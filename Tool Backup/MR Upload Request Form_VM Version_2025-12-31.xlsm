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tables/table1.xml" ContentType="application/vnd.openxmlformats-officedocument.spreadsheetml.table+xml"/>
  <Override PartName="/xl/customProperty7.bin" ContentType="application/vnd.openxmlformats-officedocument.spreadsheetml.customProperty"/>
  <Override PartName="/xl/tables/table2.xml" ContentType="application/vnd.openxmlformats-officedocument.spreadsheetml.table+xml"/>
  <Override PartName="/xl/customProperty8.bin" ContentType="application/vnd.openxmlformats-officedocument.spreadsheetml.customProperty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tables/table4.xml" ContentType="application/vnd.openxmlformats-officedocument.spreadsheetml.table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drawings/drawing4.xml" ContentType="application/vnd.openxmlformats-officedocument.drawing+xml"/>
  <Override PartName="/xl/customProperty19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13_ncr:1_{66A82616-D854-4EC0-B13B-2DC902023F2E}" xr6:coauthVersionLast="47" xr6:coauthVersionMax="47" xr10:uidLastSave="{00000000-0000-0000-0000-000000000000}"/>
  <bookViews>
    <workbookView xWindow="-120" yWindow="-120" windowWidth="29040" windowHeight="17520" firstSheet="5" activeTab="6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10" r:id="rId7"/>
    <sheet name="MatRes Record" sheetId="8" r:id="rId8"/>
    <sheet name="Summary" sheetId="20" r:id="rId9"/>
    <sheet name="Job Aid" sheetId="18" r:id="rId10"/>
    <sheet name="Follow up" sheetId="19" r:id="rId11"/>
    <sheet name="ManualSufactor" sheetId="17" state="hidden" r:id="rId12"/>
    <sheet name="MatRes" sheetId="7" r:id="rId13"/>
    <sheet name="Status" sheetId="13" state="hidden" r:id="rId14"/>
    <sheet name="Value format" sheetId="15" state="hidden" r:id="rId15"/>
    <sheet name="MatRes Past Due Template" sheetId="11" state="hidden" r:id="rId16"/>
    <sheet name="Sufactor" sheetId="16" r:id="rId17"/>
    <sheet name="OPL -hyy" sheetId="3" state="hidden" r:id="rId18"/>
    <sheet name="PointerStorage" sheetId="12" state="veryHidden" r:id="rId19"/>
  </sheets>
  <functionGroups builtInGroupCount="19"/>
  <definedNames>
    <definedName name="_xlnm._FilterDatabase" localSheetId="4" hidden="1">'All Manual VSF'!$A$1:$K$4936</definedName>
    <definedName name="_xlnm._FilterDatabase" localSheetId="12" hidden="1">MatRes!$A$1:$M$69</definedName>
    <definedName name="_xlnm._FilterDatabase" localSheetId="7" hidden="1">'MatRes Record'!$A$3:$R$1091</definedName>
    <definedName name="_xlnm._FilterDatabase" localSheetId="1" hidden="1">'Plan order Record'!$A$1:$L$45</definedName>
    <definedName name="_xlnm._FilterDatabase" localSheetId="3" hidden="1">'VSF Record'!$A$1:$M$1</definedName>
    <definedName name="_xlpm.AllCellsFilled" hidden="1" xlm="1">#NAME?</definedName>
    <definedName name="_xlpm.AvailDateIsValid" hidden="1" xlm="1">#NAME?</definedName>
    <definedName name="_xlpm.DeletionDate" hidden="1" xlm="1">#NAME?</definedName>
    <definedName name="_xlpm.EmailIsValid" hidden="1" xlm="1">#NAME?</definedName>
    <definedName name="_xlpm.error_messages" hidden="1" xlm="1">#NAME?</definedName>
    <definedName name="_xlpm.IsAlreadyDeleted" hidden="1" xlm="1">#NAME?</definedName>
    <definedName name="_xlpm.QtyIsInt" hidden="1" xlm="1">#NAME?</definedName>
    <definedName name="_xlpm.record_sheet" hidden="1" xlm="1">#NAME?</definedName>
    <definedName name="_xlpm.ReqDateIsValid" hidden="1" xlm="1">#NAME?</definedName>
    <definedName name="_xlpm.res_no" hidden="1" xlm="1">#NAME?</definedName>
    <definedName name="_xlpm.ResNoIsNumeric" hidden="1" xlm="1">#NAME?</definedName>
  </definedName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9" l="1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L521" i="10"/>
  <c r="L522" i="10"/>
  <c r="L523" i="10"/>
  <c r="L524" i="10"/>
  <c r="L525" i="10"/>
  <c r="L526" i="10"/>
  <c r="L527" i="10"/>
  <c r="L528" i="10"/>
  <c r="L529" i="10"/>
  <c r="L530" i="10"/>
  <c r="L531" i="10"/>
  <c r="L532" i="10"/>
  <c r="L533" i="10"/>
  <c r="L534" i="10"/>
  <c r="L535" i="10"/>
  <c r="L536" i="10"/>
  <c r="L537" i="10"/>
  <c r="L538" i="10"/>
  <c r="L539" i="10"/>
  <c r="L540" i="10"/>
  <c r="L541" i="10"/>
  <c r="L542" i="10"/>
  <c r="L543" i="10"/>
  <c r="L544" i="10"/>
  <c r="L545" i="10"/>
  <c r="L546" i="10"/>
  <c r="L547" i="10"/>
  <c r="L548" i="10"/>
  <c r="L549" i="10"/>
  <c r="L550" i="10"/>
  <c r="L551" i="10"/>
  <c r="L552" i="10"/>
  <c r="L553" i="10"/>
  <c r="L554" i="10"/>
  <c r="L555" i="10"/>
  <c r="L556" i="10"/>
  <c r="L557" i="10"/>
  <c r="L558" i="10"/>
  <c r="L559" i="10"/>
  <c r="L560" i="10"/>
  <c r="L561" i="10"/>
  <c r="L562" i="10"/>
  <c r="L563" i="10"/>
  <c r="L564" i="10"/>
  <c r="L565" i="10"/>
  <c r="L566" i="10"/>
  <c r="L567" i="10"/>
  <c r="L568" i="10"/>
  <c r="L569" i="10"/>
  <c r="L570" i="10"/>
  <c r="L571" i="10"/>
  <c r="L572" i="10"/>
  <c r="L573" i="10"/>
  <c r="L574" i="10"/>
  <c r="L575" i="10"/>
  <c r="L576" i="10"/>
  <c r="L577" i="10"/>
  <c r="L578" i="10"/>
  <c r="L579" i="10"/>
  <c r="L580" i="10"/>
  <c r="L581" i="10"/>
  <c r="L582" i="10"/>
  <c r="L583" i="10"/>
  <c r="L584" i="10"/>
  <c r="L585" i="10"/>
  <c r="L586" i="10"/>
  <c r="L587" i="10"/>
  <c r="L588" i="10"/>
  <c r="L589" i="10"/>
  <c r="L590" i="10"/>
  <c r="L591" i="10"/>
  <c r="L592" i="10"/>
  <c r="L593" i="10"/>
  <c r="L594" i="10"/>
  <c r="L595" i="10"/>
  <c r="L596" i="10"/>
  <c r="L597" i="10"/>
  <c r="L598" i="10"/>
  <c r="L599" i="10"/>
  <c r="L600" i="10"/>
  <c r="L601" i="10"/>
  <c r="L602" i="10"/>
  <c r="L603" i="10"/>
  <c r="L604" i="10"/>
  <c r="L605" i="10"/>
  <c r="L606" i="10"/>
  <c r="L607" i="10"/>
  <c r="L608" i="10"/>
  <c r="L609" i="10"/>
  <c r="L610" i="10"/>
  <c r="L611" i="10"/>
  <c r="L612" i="10"/>
  <c r="L613" i="10"/>
  <c r="L614" i="10"/>
  <c r="L615" i="10"/>
  <c r="L616" i="10"/>
  <c r="L617" i="10"/>
  <c r="L618" i="10"/>
  <c r="L619" i="10"/>
  <c r="L620" i="10"/>
  <c r="L621" i="10"/>
  <c r="L622" i="10"/>
  <c r="L623" i="10"/>
  <c r="L624" i="10"/>
  <c r="L625" i="10"/>
  <c r="L626" i="10"/>
  <c r="L627" i="10"/>
  <c r="L628" i="10"/>
  <c r="L629" i="10"/>
  <c r="L630" i="10"/>
  <c r="L631" i="10"/>
  <c r="L632" i="10"/>
  <c r="L633" i="10"/>
  <c r="L634" i="10"/>
  <c r="L635" i="10"/>
  <c r="L636" i="10"/>
  <c r="L637" i="10"/>
  <c r="L638" i="10"/>
  <c r="L639" i="10"/>
  <c r="L640" i="10"/>
  <c r="L641" i="10"/>
  <c r="L642" i="10"/>
  <c r="L643" i="10"/>
  <c r="L644" i="10"/>
  <c r="L645" i="10"/>
  <c r="L646" i="10"/>
  <c r="L647" i="10"/>
  <c r="L648" i="10"/>
  <c r="L649" i="10"/>
  <c r="L650" i="10"/>
  <c r="L651" i="10"/>
  <c r="L652" i="10"/>
  <c r="L653" i="10"/>
  <c r="L654" i="10"/>
  <c r="L655" i="10"/>
  <c r="L656" i="10"/>
  <c r="L657" i="10"/>
  <c r="L658" i="10"/>
  <c r="L659" i="10"/>
  <c r="L660" i="10"/>
  <c r="L661" i="10"/>
  <c r="L662" i="10"/>
  <c r="L663" i="10"/>
  <c r="L664" i="10"/>
  <c r="L665" i="10"/>
  <c r="L666" i="10"/>
  <c r="L667" i="10"/>
  <c r="L668" i="10"/>
  <c r="L669" i="10"/>
  <c r="L670" i="10"/>
  <c r="L671" i="10"/>
  <c r="L672" i="10"/>
  <c r="L673" i="10"/>
  <c r="L674" i="10"/>
  <c r="L675" i="10"/>
  <c r="L676" i="10"/>
  <c r="L677" i="10"/>
  <c r="L678" i="10"/>
  <c r="L679" i="10"/>
  <c r="L680" i="10"/>
  <c r="L681" i="10"/>
  <c r="L682" i="10"/>
  <c r="L683" i="10"/>
  <c r="L684" i="10"/>
  <c r="L685" i="10"/>
  <c r="L686" i="10"/>
  <c r="L687" i="10"/>
  <c r="L688" i="10"/>
  <c r="L689" i="10"/>
  <c r="L690" i="10"/>
  <c r="L691" i="10"/>
  <c r="L692" i="10"/>
  <c r="L693" i="10"/>
  <c r="L694" i="10"/>
  <c r="L695" i="10"/>
  <c r="L696" i="10"/>
  <c r="L697" i="10"/>
  <c r="L698" i="10"/>
  <c r="L699" i="10"/>
  <c r="L700" i="10"/>
  <c r="L701" i="10"/>
  <c r="L702" i="10"/>
  <c r="L703" i="10"/>
  <c r="L704" i="10"/>
  <c r="L705" i="10"/>
  <c r="L706" i="10"/>
  <c r="L707" i="10"/>
  <c r="L708" i="10"/>
  <c r="L709" i="10"/>
  <c r="L710" i="10"/>
  <c r="L711" i="10"/>
  <c r="L712" i="10"/>
  <c r="L713" i="10"/>
  <c r="L714" i="10"/>
  <c r="L715" i="10"/>
  <c r="L716" i="10"/>
  <c r="L717" i="10"/>
  <c r="L718" i="10"/>
  <c r="L719" i="10"/>
  <c r="L720" i="10"/>
  <c r="L721" i="10"/>
  <c r="L722" i="10"/>
  <c r="L723" i="10"/>
  <c r="L724" i="10"/>
  <c r="L725" i="10"/>
  <c r="L726" i="10"/>
  <c r="L727" i="10"/>
  <c r="L728" i="10"/>
  <c r="L729" i="10"/>
  <c r="L730" i="10"/>
  <c r="L731" i="10"/>
  <c r="L732" i="10"/>
  <c r="L733" i="10"/>
  <c r="L734" i="10"/>
  <c r="L735" i="10"/>
  <c r="L736" i="10"/>
  <c r="L737" i="10"/>
  <c r="L738" i="10"/>
  <c r="L739" i="10"/>
  <c r="L740" i="10"/>
  <c r="L741" i="10"/>
  <c r="L742" i="10"/>
  <c r="L743" i="10"/>
  <c r="L744" i="10"/>
  <c r="L745" i="10"/>
  <c r="L746" i="10"/>
  <c r="L747" i="10"/>
  <c r="L748" i="10"/>
  <c r="L749" i="10"/>
  <c r="L750" i="10"/>
  <c r="L751" i="10"/>
  <c r="L752" i="10"/>
  <c r="L753" i="10"/>
  <c r="L754" i="10"/>
  <c r="L755" i="10"/>
  <c r="L756" i="10"/>
  <c r="L757" i="10"/>
  <c r="L758" i="10"/>
  <c r="L759" i="10"/>
  <c r="L760" i="10"/>
  <c r="L761" i="10"/>
  <c r="L762" i="10"/>
  <c r="L763" i="10"/>
  <c r="L764" i="10"/>
  <c r="L765" i="10"/>
  <c r="L766" i="10"/>
  <c r="L767" i="10"/>
  <c r="L768" i="10"/>
  <c r="L769" i="10"/>
  <c r="L770" i="10"/>
  <c r="L771" i="10"/>
  <c r="L772" i="10"/>
  <c r="L773" i="10"/>
  <c r="L774" i="10"/>
  <c r="L775" i="10"/>
  <c r="L776" i="10"/>
  <c r="L777" i="10"/>
  <c r="L778" i="10"/>
  <c r="L779" i="10"/>
  <c r="L780" i="10"/>
  <c r="L781" i="10"/>
  <c r="L782" i="10"/>
  <c r="L783" i="10"/>
  <c r="L784" i="10"/>
  <c r="L785" i="10"/>
  <c r="L786" i="10"/>
  <c r="L787" i="10"/>
  <c r="L788" i="10"/>
  <c r="L789" i="10"/>
  <c r="L790" i="10"/>
  <c r="L791" i="10"/>
  <c r="L792" i="10"/>
  <c r="L793" i="10"/>
  <c r="L794" i="10"/>
  <c r="L795" i="10"/>
  <c r="L796" i="10"/>
  <c r="L797" i="10"/>
  <c r="L798" i="10"/>
  <c r="L799" i="10"/>
  <c r="L800" i="10"/>
  <c r="L801" i="10"/>
  <c r="L802" i="10"/>
  <c r="L803" i="10"/>
  <c r="L804" i="10"/>
  <c r="L805" i="10"/>
  <c r="L806" i="10"/>
  <c r="L807" i="10"/>
  <c r="L808" i="10"/>
  <c r="L809" i="10"/>
  <c r="L810" i="10"/>
  <c r="L811" i="10"/>
  <c r="L812" i="10"/>
  <c r="L813" i="10"/>
  <c r="L814" i="10"/>
  <c r="L815" i="10"/>
  <c r="L816" i="10"/>
  <c r="L817" i="10"/>
  <c r="L818" i="10"/>
  <c r="L819" i="10"/>
  <c r="L820" i="10"/>
  <c r="L821" i="10"/>
  <c r="L822" i="10"/>
  <c r="L823" i="10"/>
  <c r="L824" i="10"/>
  <c r="L825" i="10"/>
  <c r="L826" i="10"/>
  <c r="L827" i="10"/>
  <c r="L828" i="10"/>
  <c r="L829" i="10"/>
  <c r="L830" i="10"/>
  <c r="L831" i="10"/>
  <c r="L832" i="10"/>
  <c r="L833" i="10"/>
  <c r="L834" i="10"/>
  <c r="L835" i="10"/>
  <c r="L836" i="10"/>
  <c r="L837" i="10"/>
  <c r="L838" i="10"/>
  <c r="L839" i="10"/>
  <c r="L840" i="10"/>
  <c r="L841" i="10"/>
  <c r="L842" i="10"/>
  <c r="L843" i="10"/>
  <c r="L844" i="10"/>
  <c r="L845" i="10"/>
  <c r="L846" i="10"/>
  <c r="L847" i="10"/>
  <c r="L848" i="10"/>
  <c r="L849" i="10"/>
  <c r="L850" i="10"/>
  <c r="L851" i="10"/>
  <c r="L852" i="10"/>
  <c r="L853" i="10"/>
  <c r="L854" i="10"/>
  <c r="L855" i="10"/>
  <c r="L856" i="10"/>
  <c r="L857" i="10"/>
  <c r="L858" i="10"/>
  <c r="L859" i="10"/>
  <c r="L860" i="10"/>
  <c r="L861" i="10"/>
  <c r="L862" i="10"/>
  <c r="L863" i="10"/>
  <c r="L864" i="10"/>
  <c r="L865" i="10"/>
  <c r="L866" i="10"/>
  <c r="L867" i="10"/>
  <c r="L868" i="10"/>
  <c r="L869" i="10"/>
  <c r="L870" i="10"/>
  <c r="L871" i="10"/>
  <c r="L872" i="10"/>
  <c r="L873" i="10"/>
  <c r="L874" i="10"/>
  <c r="L875" i="10"/>
  <c r="L876" i="10"/>
  <c r="L877" i="10"/>
  <c r="L878" i="10"/>
  <c r="L879" i="10"/>
  <c r="L880" i="10"/>
  <c r="L881" i="10"/>
  <c r="L882" i="10"/>
  <c r="L883" i="10"/>
  <c r="L884" i="10"/>
  <c r="L885" i="10"/>
  <c r="L886" i="10"/>
  <c r="L887" i="10"/>
  <c r="L888" i="10"/>
  <c r="L889" i="10"/>
  <c r="L890" i="10"/>
  <c r="L891" i="10"/>
  <c r="L892" i="10"/>
  <c r="L893" i="10"/>
  <c r="L894" i="10"/>
  <c r="L895" i="10"/>
  <c r="L896" i="10"/>
  <c r="L897" i="10"/>
  <c r="L898" i="10"/>
  <c r="L899" i="10"/>
  <c r="L900" i="10"/>
  <c r="L901" i="10"/>
  <c r="L902" i="10"/>
  <c r="L903" i="10"/>
  <c r="L904" i="10"/>
  <c r="L905" i="10"/>
  <c r="L906" i="10"/>
  <c r="L907" i="10"/>
  <c r="L908" i="10"/>
  <c r="L909" i="10"/>
  <c r="L910" i="10"/>
  <c r="L911" i="10"/>
  <c r="L912" i="10"/>
  <c r="L913" i="10"/>
  <c r="L914" i="10"/>
  <c r="L915" i="10"/>
  <c r="L916" i="10"/>
  <c r="L917" i="10"/>
  <c r="L918" i="10"/>
  <c r="L919" i="10"/>
  <c r="L920" i="10"/>
  <c r="L921" i="10"/>
  <c r="L922" i="10"/>
  <c r="L923" i="10"/>
  <c r="L924" i="10"/>
  <c r="L925" i="10"/>
  <c r="L926" i="10"/>
  <c r="L927" i="10"/>
  <c r="L928" i="10"/>
  <c r="L929" i="10"/>
  <c r="L930" i="10"/>
  <c r="L931" i="10"/>
  <c r="L932" i="10"/>
  <c r="L933" i="10"/>
  <c r="L934" i="10"/>
  <c r="L935" i="10"/>
  <c r="L936" i="10"/>
  <c r="L937" i="10"/>
  <c r="L938" i="10"/>
  <c r="L939" i="10"/>
  <c r="L940" i="10"/>
  <c r="L941" i="10"/>
  <c r="L942" i="10"/>
  <c r="L943" i="10"/>
  <c r="L944" i="10"/>
  <c r="L945" i="10"/>
  <c r="L946" i="10"/>
  <c r="L947" i="10"/>
  <c r="L948" i="10"/>
  <c r="L949" i="10"/>
  <c r="L950" i="10"/>
  <c r="L951" i="10"/>
  <c r="L952" i="10"/>
  <c r="L953" i="10"/>
  <c r="L954" i="10"/>
  <c r="L955" i="10"/>
  <c r="L956" i="10"/>
  <c r="L957" i="10"/>
  <c r="L958" i="10"/>
  <c r="L959" i="10"/>
  <c r="L960" i="10"/>
  <c r="L961" i="10"/>
  <c r="L962" i="10"/>
  <c r="L963" i="10"/>
  <c r="L964" i="10"/>
  <c r="L965" i="10"/>
  <c r="L966" i="10"/>
  <c r="L967" i="10"/>
  <c r="L968" i="10"/>
  <c r="L969" i="10"/>
  <c r="L970" i="10"/>
  <c r="L971" i="10"/>
  <c r="L972" i="10"/>
  <c r="L973" i="10"/>
  <c r="L974" i="10"/>
  <c r="L975" i="10"/>
  <c r="L976" i="10"/>
  <c r="L977" i="10"/>
  <c r="L978" i="10"/>
  <c r="L979" i="10"/>
  <c r="L980" i="10"/>
  <c r="L981" i="10"/>
  <c r="L982" i="10"/>
  <c r="L983" i="10"/>
  <c r="L984" i="10"/>
  <c r="L985" i="10"/>
  <c r="L986" i="10"/>
  <c r="L987" i="10"/>
  <c r="L988" i="10"/>
  <c r="L989" i="10"/>
  <c r="L990" i="10"/>
  <c r="L991" i="10"/>
  <c r="L992" i="10"/>
  <c r="L993" i="10"/>
  <c r="L994" i="10"/>
  <c r="L995" i="10"/>
  <c r="L996" i="10"/>
  <c r="L997" i="10"/>
  <c r="L998" i="10"/>
  <c r="L999" i="10"/>
  <c r="L1000" i="10"/>
  <c r="L1001" i="10"/>
  <c r="L1002" i="10"/>
  <c r="L1003" i="10"/>
  <c r="L1004" i="10"/>
  <c r="L1005" i="10"/>
  <c r="L1006" i="10"/>
  <c r="L1007" i="10"/>
  <c r="L1008" i="10"/>
  <c r="L1009" i="10"/>
  <c r="L1010" i="10"/>
  <c r="L1011" i="10"/>
  <c r="L1012" i="10"/>
  <c r="L1013" i="10"/>
  <c r="L1014" i="10"/>
  <c r="L1015" i="10"/>
  <c r="L1016" i="10"/>
  <c r="L1017" i="10"/>
  <c r="L1018" i="10"/>
  <c r="L1019" i="10"/>
  <c r="L1020" i="10"/>
  <c r="L1021" i="10"/>
  <c r="L1022" i="10"/>
  <c r="L1023" i="10"/>
  <c r="L1024" i="10"/>
  <c r="L1025" i="10"/>
  <c r="L1026" i="10"/>
  <c r="L1027" i="10"/>
  <c r="L1028" i="10"/>
  <c r="L1029" i="10"/>
  <c r="L1030" i="10"/>
  <c r="L1031" i="10"/>
  <c r="L1032" i="10"/>
  <c r="L1033" i="10"/>
  <c r="L1034" i="10"/>
  <c r="L1035" i="10"/>
  <c r="L1036" i="10"/>
  <c r="L1037" i="10"/>
  <c r="L1038" i="10"/>
  <c r="L1039" i="10"/>
  <c r="L1040" i="10"/>
  <c r="L1041" i="10"/>
  <c r="L1042" i="10"/>
  <c r="L1043" i="10"/>
  <c r="L1044" i="10"/>
  <c r="L1045" i="10"/>
  <c r="L1046" i="10"/>
  <c r="L1047" i="10"/>
  <c r="L1048" i="10"/>
  <c r="L1049" i="10"/>
  <c r="L1050" i="10"/>
  <c r="L1051" i="10"/>
  <c r="L1052" i="10"/>
  <c r="L1053" i="10"/>
  <c r="L1054" i="10"/>
  <c r="L1055" i="10"/>
  <c r="L1056" i="10"/>
  <c r="L1057" i="10"/>
  <c r="L1058" i="10"/>
  <c r="L1059" i="10"/>
  <c r="L1060" i="10"/>
  <c r="L1061" i="10"/>
  <c r="L1062" i="10"/>
  <c r="L1063" i="10"/>
  <c r="L1064" i="10"/>
  <c r="L1065" i="10"/>
  <c r="L1066" i="10"/>
  <c r="L1067" i="10"/>
  <c r="L1068" i="10"/>
  <c r="L1069" i="10"/>
  <c r="L1070" i="10"/>
  <c r="L1071" i="10"/>
  <c r="L1072" i="10"/>
  <c r="L1073" i="10"/>
  <c r="L1074" i="10"/>
  <c r="L1075" i="10"/>
  <c r="L1076" i="10"/>
  <c r="L1077" i="10"/>
  <c r="L1078" i="10"/>
  <c r="L1079" i="10"/>
  <c r="L1080" i="10"/>
  <c r="L1081" i="10"/>
  <c r="L1082" i="10"/>
  <c r="L1083" i="10"/>
  <c r="L1084" i="10"/>
  <c r="L1085" i="10"/>
  <c r="L1086" i="10"/>
  <c r="L1087" i="10"/>
  <c r="L1088" i="10"/>
  <c r="L1089" i="10"/>
  <c r="L1090" i="10"/>
  <c r="L1091" i="10"/>
  <c r="L1092" i="10"/>
  <c r="L1093" i="10"/>
  <c r="L1094" i="10"/>
  <c r="L1095" i="10"/>
  <c r="L1096" i="10"/>
  <c r="L1097" i="10"/>
  <c r="L1098" i="10"/>
  <c r="L1099" i="10"/>
  <c r="L1100" i="10"/>
  <c r="L1101" i="10"/>
  <c r="L1102" i="10"/>
  <c r="L1103" i="10"/>
  <c r="L1104" i="10"/>
  <c r="L1105" i="10"/>
  <c r="L1106" i="10"/>
  <c r="L1107" i="10"/>
  <c r="L1108" i="10"/>
  <c r="L1109" i="10"/>
  <c r="L1110" i="10"/>
  <c r="L1111" i="10"/>
  <c r="L1112" i="10"/>
  <c r="L1113" i="10"/>
  <c r="L1114" i="10"/>
  <c r="L1115" i="10"/>
  <c r="L1116" i="10"/>
  <c r="L1117" i="10"/>
  <c r="L1118" i="10"/>
  <c r="L1119" i="10"/>
  <c r="L1120" i="10"/>
  <c r="L1121" i="10"/>
  <c r="L1122" i="10"/>
  <c r="L1123" i="10"/>
  <c r="L1124" i="10"/>
  <c r="L1125" i="10"/>
  <c r="L1126" i="10"/>
  <c r="L1127" i="10"/>
  <c r="L1128" i="10"/>
  <c r="L1129" i="10"/>
  <c r="L1130" i="10"/>
  <c r="L1131" i="10"/>
  <c r="L1132" i="10"/>
  <c r="L1133" i="10"/>
  <c r="L1134" i="10"/>
  <c r="L1135" i="10"/>
  <c r="L1136" i="10"/>
  <c r="L1137" i="10"/>
  <c r="L1138" i="10"/>
  <c r="L1139" i="10"/>
  <c r="L1140" i="10"/>
  <c r="L1141" i="10"/>
  <c r="L1142" i="10"/>
  <c r="L1143" i="10"/>
  <c r="L1144" i="10"/>
  <c r="L1145" i="10"/>
  <c r="L1146" i="10"/>
  <c r="L1147" i="10"/>
  <c r="L1148" i="10"/>
  <c r="L1149" i="10"/>
  <c r="L1150" i="10"/>
  <c r="L1151" i="10"/>
  <c r="L1152" i="10"/>
  <c r="L1153" i="10"/>
  <c r="L1154" i="10"/>
  <c r="L1155" i="10"/>
  <c r="L1156" i="10"/>
  <c r="L1157" i="10"/>
  <c r="L1158" i="10"/>
  <c r="L1159" i="10"/>
  <c r="L1160" i="10"/>
  <c r="L1161" i="10"/>
  <c r="L1162" i="10"/>
  <c r="L1163" i="10"/>
  <c r="L1164" i="10"/>
  <c r="L1165" i="10"/>
  <c r="L1166" i="10"/>
  <c r="L1167" i="10"/>
  <c r="L1168" i="10"/>
  <c r="L1169" i="10"/>
  <c r="L1170" i="10"/>
  <c r="L1171" i="10"/>
  <c r="L1172" i="10"/>
  <c r="L1173" i="10"/>
  <c r="L1174" i="10"/>
  <c r="L1175" i="10"/>
  <c r="L1176" i="10"/>
  <c r="L1177" i="10"/>
  <c r="L1178" i="10"/>
  <c r="L1179" i="10"/>
  <c r="L1180" i="10"/>
  <c r="L1181" i="10"/>
  <c r="L1182" i="10"/>
  <c r="L1183" i="10"/>
  <c r="L1184" i="10"/>
  <c r="L1185" i="10"/>
  <c r="L1186" i="10"/>
  <c r="L1187" i="10"/>
  <c r="L1188" i="10"/>
  <c r="L1189" i="10"/>
  <c r="L1190" i="10"/>
  <c r="L1191" i="10"/>
  <c r="L1192" i="10"/>
  <c r="L1193" i="10"/>
  <c r="L1194" i="10"/>
  <c r="L1195" i="10"/>
  <c r="L1196" i="10"/>
  <c r="L1197" i="10"/>
  <c r="L1198" i="10"/>
  <c r="L1199" i="10"/>
  <c r="L1200" i="10"/>
  <c r="L1201" i="10"/>
  <c r="L1202" i="10"/>
  <c r="L1203" i="10"/>
  <c r="L1204" i="10"/>
  <c r="L1205" i="10"/>
  <c r="L1206" i="10"/>
  <c r="L1207" i="10"/>
  <c r="L1208" i="10"/>
  <c r="L1209" i="10"/>
  <c r="L1210" i="10"/>
  <c r="L1211" i="10"/>
  <c r="L1212" i="10"/>
  <c r="L1213" i="10"/>
  <c r="L1214" i="10"/>
  <c r="L1215" i="10"/>
  <c r="L1216" i="10"/>
  <c r="L1217" i="10"/>
  <c r="L1218" i="10"/>
  <c r="L1219" i="10"/>
  <c r="L1220" i="10"/>
  <c r="L1221" i="10"/>
  <c r="L1222" i="10"/>
  <c r="L1223" i="10"/>
  <c r="L1224" i="10"/>
  <c r="L1225" i="10"/>
  <c r="L1226" i="10"/>
  <c r="L1227" i="10"/>
  <c r="L1228" i="10"/>
  <c r="L1229" i="10"/>
  <c r="L1230" i="10"/>
  <c r="L1231" i="10"/>
  <c r="L1232" i="10"/>
  <c r="L1233" i="10"/>
  <c r="L1234" i="10"/>
  <c r="L1235" i="10"/>
  <c r="L1236" i="10"/>
  <c r="L1237" i="10"/>
  <c r="L1238" i="10"/>
  <c r="L1239" i="10"/>
  <c r="L1240" i="10"/>
  <c r="L1241" i="10"/>
  <c r="L1242" i="10"/>
  <c r="L1243" i="10"/>
  <c r="L1244" i="10"/>
  <c r="L1245" i="10"/>
  <c r="L1246" i="10"/>
  <c r="L1247" i="10"/>
  <c r="L1248" i="10"/>
  <c r="L1249" i="10"/>
  <c r="L1250" i="10"/>
  <c r="L1251" i="10"/>
  <c r="L1252" i="10"/>
  <c r="L1253" i="10"/>
  <c r="L1254" i="10"/>
  <c r="L1255" i="10"/>
  <c r="L1256" i="10"/>
  <c r="L1257" i="10"/>
  <c r="L1258" i="10"/>
  <c r="L1259" i="10"/>
  <c r="L1260" i="10"/>
  <c r="L1261" i="10"/>
  <c r="L1262" i="10"/>
  <c r="L1263" i="10"/>
  <c r="L1264" i="10"/>
  <c r="L1265" i="10"/>
  <c r="L1266" i="10"/>
  <c r="L1267" i="10"/>
  <c r="L1268" i="10"/>
  <c r="L1269" i="10"/>
  <c r="L1270" i="10"/>
  <c r="L1271" i="10"/>
  <c r="L1272" i="10"/>
  <c r="L1273" i="10"/>
  <c r="L1274" i="10"/>
  <c r="L1275" i="10"/>
  <c r="L1276" i="10"/>
  <c r="L1277" i="10"/>
  <c r="L1278" i="10"/>
  <c r="L1279" i="10"/>
  <c r="L1280" i="10"/>
  <c r="L1281" i="10"/>
  <c r="L1282" i="10"/>
  <c r="L1283" i="10"/>
  <c r="L1284" i="10"/>
  <c r="L1285" i="10"/>
  <c r="L1286" i="10"/>
  <c r="L1287" i="10"/>
  <c r="L1288" i="10"/>
  <c r="L1289" i="10"/>
  <c r="L1290" i="10"/>
  <c r="L1291" i="10"/>
  <c r="L1292" i="10"/>
  <c r="L1293" i="10"/>
  <c r="L1294" i="10"/>
  <c r="L1295" i="10"/>
  <c r="L1296" i="10"/>
  <c r="L1297" i="10"/>
  <c r="L1298" i="10"/>
  <c r="L1299" i="10"/>
  <c r="L1300" i="10"/>
  <c r="L1301" i="10"/>
  <c r="L1302" i="10"/>
  <c r="L1303" i="10"/>
  <c r="L1304" i="10"/>
  <c r="L1305" i="10"/>
  <c r="L1306" i="10"/>
  <c r="L1307" i="10"/>
  <c r="L1308" i="10"/>
  <c r="L1309" i="10"/>
  <c r="L1310" i="10"/>
  <c r="L1311" i="10"/>
  <c r="L1312" i="10"/>
  <c r="L1313" i="10"/>
  <c r="L1314" i="10"/>
  <c r="L1315" i="10"/>
  <c r="L1316" i="10"/>
  <c r="L1317" i="10"/>
  <c r="L1318" i="10"/>
  <c r="L1319" i="10"/>
  <c r="L1320" i="10"/>
  <c r="L1321" i="10"/>
  <c r="L1322" i="10"/>
  <c r="L1323" i="10"/>
  <c r="L1324" i="10"/>
  <c r="L1325" i="10"/>
  <c r="L1326" i="10"/>
  <c r="L1327" i="10"/>
  <c r="L1328" i="10"/>
  <c r="L1329" i="10"/>
  <c r="L1330" i="10"/>
  <c r="L1331" i="10"/>
  <c r="L1332" i="10"/>
  <c r="L1333" i="10"/>
  <c r="L1334" i="10"/>
  <c r="L1335" i="10"/>
  <c r="L1336" i="10"/>
  <c r="L1337" i="10"/>
  <c r="L1338" i="10"/>
  <c r="L1339" i="10"/>
  <c r="L1340" i="10"/>
  <c r="L1341" i="10"/>
  <c r="L1342" i="10"/>
  <c r="L1343" i="10"/>
  <c r="L1344" i="10"/>
  <c r="L1345" i="10"/>
  <c r="L1346" i="10"/>
  <c r="L1347" i="10"/>
  <c r="L1348" i="10"/>
  <c r="L1349" i="10"/>
  <c r="L1350" i="10"/>
  <c r="L1351" i="10"/>
  <c r="L1352" i="10"/>
  <c r="L1353" i="10"/>
  <c r="L1354" i="10"/>
  <c r="L1355" i="10"/>
  <c r="L1356" i="10"/>
  <c r="L1357" i="10"/>
  <c r="L1358" i="10"/>
  <c r="L1359" i="10"/>
  <c r="L1360" i="10"/>
  <c r="L1361" i="10"/>
  <c r="L1362" i="10"/>
  <c r="L1363" i="10"/>
  <c r="L1364" i="10"/>
  <c r="L1365" i="10"/>
  <c r="L1366" i="10"/>
  <c r="L1367" i="10"/>
  <c r="L1368" i="10"/>
  <c r="L1369" i="10"/>
  <c r="L1370" i="10"/>
  <c r="L1371" i="10"/>
  <c r="L1372" i="10"/>
  <c r="L1373" i="10"/>
  <c r="L1374" i="10"/>
  <c r="L1375" i="10"/>
  <c r="L1376" i="10"/>
  <c r="L1377" i="10"/>
  <c r="L1378" i="10"/>
  <c r="L1379" i="10"/>
  <c r="L1380" i="10"/>
  <c r="L1381" i="10"/>
  <c r="L1382" i="10"/>
  <c r="L1383" i="10"/>
  <c r="L1384" i="10"/>
  <c r="L1385" i="10"/>
  <c r="L1386" i="10"/>
  <c r="L1387" i="10"/>
  <c r="L1388" i="10"/>
  <c r="L1389" i="10"/>
  <c r="L1390" i="10"/>
  <c r="L1391" i="10"/>
  <c r="L1392" i="10"/>
  <c r="L1393" i="10"/>
  <c r="L1394" i="10"/>
  <c r="L1395" i="10"/>
  <c r="L1396" i="10"/>
  <c r="L1397" i="10"/>
  <c r="L1398" i="10"/>
  <c r="L1399" i="10"/>
  <c r="L1400" i="10"/>
  <c r="L1401" i="10"/>
  <c r="L1402" i="10"/>
  <c r="L1403" i="10"/>
  <c r="L1404" i="10"/>
  <c r="L1405" i="10"/>
  <c r="L1406" i="10"/>
  <c r="L1407" i="10"/>
  <c r="L1408" i="10"/>
  <c r="L1409" i="10"/>
  <c r="L1410" i="10"/>
  <c r="L1411" i="10"/>
  <c r="L1412" i="10"/>
  <c r="L1413" i="10"/>
  <c r="L1414" i="10"/>
  <c r="L1415" i="10"/>
  <c r="L1416" i="10"/>
  <c r="L1417" i="10"/>
  <c r="L1418" i="10"/>
  <c r="L1419" i="10"/>
  <c r="L1420" i="10"/>
  <c r="L1421" i="10"/>
  <c r="L1422" i="10"/>
  <c r="L1423" i="10"/>
  <c r="L1424" i="10"/>
  <c r="L1425" i="10"/>
  <c r="L1426" i="10"/>
  <c r="L1427" i="10"/>
  <c r="L1428" i="10"/>
  <c r="L1429" i="10"/>
  <c r="L1430" i="10"/>
  <c r="L1431" i="10"/>
  <c r="L1432" i="10"/>
  <c r="L1433" i="10"/>
  <c r="L1434" i="10"/>
  <c r="L1435" i="10"/>
  <c r="L1436" i="10"/>
  <c r="L1437" i="10"/>
  <c r="L1438" i="10"/>
  <c r="L1439" i="10"/>
  <c r="L1440" i="10"/>
  <c r="L1441" i="10"/>
  <c r="L1442" i="10"/>
  <c r="L1443" i="10"/>
  <c r="L1444" i="10"/>
  <c r="L1445" i="10"/>
  <c r="L1446" i="10"/>
  <c r="L1447" i="10"/>
  <c r="L1448" i="10"/>
  <c r="L1449" i="10"/>
  <c r="L1450" i="10"/>
  <c r="L1451" i="10"/>
  <c r="L1452" i="10"/>
  <c r="L1453" i="10"/>
  <c r="L1454" i="10"/>
  <c r="L1455" i="10"/>
  <c r="L1456" i="10"/>
  <c r="L1457" i="10"/>
  <c r="L1458" i="10"/>
  <c r="L1459" i="10"/>
  <c r="L1460" i="10"/>
  <c r="L1461" i="10"/>
  <c r="L1462" i="10"/>
  <c r="L1463" i="10"/>
  <c r="L1464" i="10"/>
  <c r="L1465" i="10"/>
  <c r="L1466" i="10"/>
  <c r="L1467" i="10"/>
  <c r="L1468" i="10"/>
  <c r="L1469" i="10"/>
  <c r="L1470" i="10"/>
  <c r="L1471" i="10"/>
  <c r="L1472" i="10"/>
  <c r="L1473" i="10"/>
  <c r="L1474" i="10"/>
  <c r="L1475" i="10"/>
  <c r="L1476" i="10"/>
  <c r="L1477" i="10"/>
  <c r="L1478" i="10"/>
  <c r="L1479" i="10"/>
  <c r="L1480" i="10"/>
  <c r="L1481" i="10"/>
  <c r="L1482" i="10"/>
  <c r="L1483" i="10"/>
  <c r="L1484" i="10"/>
  <c r="L1485" i="10"/>
  <c r="L1486" i="10"/>
  <c r="L1487" i="10"/>
  <c r="L1488" i="10"/>
  <c r="L1489" i="10"/>
  <c r="L1490" i="10"/>
  <c r="L1491" i="10"/>
  <c r="L1492" i="10"/>
  <c r="L1493" i="10"/>
  <c r="L1494" i="10"/>
  <c r="L1495" i="10"/>
  <c r="L1496" i="10"/>
  <c r="L1497" i="10"/>
  <c r="L1498" i="10"/>
  <c r="L1499" i="10"/>
  <c r="L1500" i="10"/>
  <c r="L1501" i="10"/>
  <c r="L1502" i="10"/>
  <c r="L1503" i="10"/>
  <c r="L1504" i="10"/>
  <c r="L1505" i="10"/>
  <c r="L1506" i="10"/>
  <c r="L1507" i="10"/>
  <c r="L1508" i="10"/>
  <c r="L1509" i="10"/>
  <c r="L1510" i="10"/>
  <c r="L1511" i="10"/>
  <c r="L1512" i="10"/>
  <c r="L1513" i="10"/>
  <c r="L1514" i="10"/>
  <c r="L1515" i="10"/>
  <c r="L1516" i="10"/>
  <c r="L1517" i="10"/>
  <c r="L1518" i="10"/>
  <c r="L1519" i="10"/>
  <c r="L1520" i="10"/>
  <c r="L1521" i="10"/>
  <c r="L1522" i="10"/>
  <c r="L1523" i="10"/>
  <c r="L1524" i="10"/>
  <c r="L1525" i="10"/>
  <c r="L1526" i="10"/>
  <c r="L1527" i="10"/>
  <c r="L1528" i="10"/>
  <c r="L1529" i="10"/>
  <c r="L1530" i="10"/>
  <c r="L1531" i="10"/>
  <c r="L1532" i="10"/>
  <c r="L1533" i="10"/>
  <c r="L1534" i="10"/>
  <c r="L1535" i="10"/>
  <c r="L1536" i="10"/>
  <c r="L1537" i="10"/>
  <c r="L1538" i="10"/>
  <c r="L1539" i="10"/>
  <c r="L1540" i="10"/>
  <c r="L1541" i="10"/>
  <c r="L1542" i="10"/>
  <c r="L1543" i="10"/>
  <c r="L1544" i="10"/>
  <c r="L1545" i="10"/>
  <c r="L1546" i="10"/>
  <c r="L1547" i="10"/>
  <c r="L1548" i="10"/>
  <c r="L1549" i="10"/>
  <c r="L1550" i="10"/>
  <c r="L1551" i="10"/>
  <c r="L1552" i="10"/>
  <c r="L1553" i="10"/>
  <c r="L1554" i="10"/>
  <c r="L1555" i="10"/>
  <c r="L1556" i="10"/>
  <c r="L1557" i="10"/>
  <c r="L1558" i="10"/>
  <c r="L1559" i="10"/>
  <c r="L1560" i="10"/>
  <c r="L1561" i="10"/>
  <c r="L1562" i="10"/>
  <c r="L1563" i="10"/>
  <c r="L1564" i="10"/>
  <c r="L1565" i="10"/>
  <c r="L1566" i="10"/>
  <c r="L1567" i="10"/>
  <c r="L1568" i="10"/>
  <c r="L1569" i="10"/>
  <c r="L1570" i="10"/>
  <c r="L1571" i="10"/>
  <c r="L1572" i="10"/>
  <c r="L1573" i="10"/>
  <c r="L1574" i="10"/>
  <c r="L1575" i="10"/>
  <c r="L1576" i="10"/>
  <c r="L1577" i="10"/>
  <c r="L1578" i="10"/>
  <c r="L1579" i="10"/>
  <c r="L1580" i="10"/>
  <c r="L1581" i="10"/>
  <c r="L1582" i="10"/>
  <c r="L1583" i="10"/>
  <c r="L1584" i="10"/>
  <c r="L1585" i="10"/>
  <c r="L1586" i="10"/>
  <c r="L1587" i="10"/>
  <c r="L1588" i="10"/>
  <c r="L1589" i="10"/>
  <c r="L1590" i="10"/>
  <c r="L1591" i="10"/>
  <c r="L1592" i="10"/>
  <c r="L1593" i="10"/>
  <c r="L1594" i="10"/>
  <c r="L1595" i="10"/>
  <c r="L1596" i="10"/>
  <c r="L1597" i="10"/>
  <c r="L1598" i="10"/>
  <c r="L1599" i="10"/>
  <c r="L1600" i="10"/>
  <c r="L1601" i="10"/>
  <c r="L1602" i="10"/>
  <c r="L1603" i="10"/>
  <c r="L1604" i="10"/>
  <c r="L1605" i="10"/>
  <c r="L1606" i="10"/>
  <c r="L1607" i="10"/>
  <c r="L1608" i="10"/>
  <c r="L1609" i="10"/>
  <c r="L1610" i="10"/>
  <c r="L1611" i="10"/>
  <c r="L1612" i="10"/>
  <c r="L1613" i="10"/>
  <c r="L1614" i="10"/>
  <c r="L1615" i="10"/>
  <c r="L1616" i="10"/>
  <c r="L1617" i="10"/>
  <c r="L1618" i="10"/>
  <c r="L1619" i="10"/>
  <c r="L1620" i="10"/>
  <c r="L1621" i="10"/>
  <c r="L1622" i="10"/>
  <c r="L1623" i="10"/>
  <c r="L1624" i="10"/>
  <c r="L1625" i="10"/>
  <c r="L1626" i="10"/>
  <c r="L1627" i="10"/>
  <c r="L1628" i="10"/>
  <c r="L1629" i="10"/>
  <c r="L1630" i="10"/>
  <c r="L1631" i="10"/>
  <c r="L1632" i="10"/>
  <c r="L1633" i="10"/>
  <c r="L1634" i="10"/>
  <c r="L1635" i="10"/>
  <c r="L1636" i="10"/>
  <c r="L1637" i="10"/>
  <c r="L1638" i="10"/>
  <c r="L1639" i="10"/>
  <c r="L1640" i="10"/>
  <c r="L1641" i="10"/>
  <c r="L1642" i="10"/>
  <c r="L1643" i="10"/>
  <c r="L1644" i="10"/>
  <c r="L1645" i="10"/>
  <c r="L1646" i="10"/>
  <c r="L1647" i="10"/>
  <c r="L1648" i="10"/>
  <c r="L1649" i="10"/>
  <c r="L1650" i="10"/>
  <c r="L1651" i="10"/>
  <c r="L1652" i="10"/>
  <c r="L1653" i="10"/>
  <c r="L1654" i="10"/>
  <c r="L1655" i="10"/>
  <c r="L1656" i="10"/>
  <c r="L1657" i="10"/>
  <c r="L1658" i="10"/>
  <c r="L1659" i="10"/>
  <c r="L1660" i="10"/>
  <c r="L1661" i="10"/>
  <c r="L1662" i="10"/>
  <c r="L1663" i="10"/>
  <c r="L1664" i="10"/>
  <c r="L1665" i="10"/>
  <c r="L1666" i="10"/>
  <c r="L1667" i="10"/>
  <c r="L1668" i="10"/>
  <c r="L1669" i="10"/>
  <c r="L1670" i="10"/>
  <c r="L1671" i="10"/>
  <c r="L1672" i="10"/>
  <c r="L1673" i="10"/>
  <c r="L1674" i="10"/>
  <c r="L1675" i="10"/>
  <c r="L1676" i="10"/>
  <c r="L1677" i="10"/>
  <c r="L1678" i="10"/>
  <c r="L1679" i="10"/>
  <c r="L1680" i="10"/>
  <c r="L1681" i="10"/>
  <c r="L1682" i="10"/>
  <c r="L1683" i="10"/>
  <c r="L1684" i="10"/>
  <c r="L1685" i="10"/>
  <c r="L1686" i="10"/>
  <c r="L1687" i="10"/>
  <c r="L1688" i="10"/>
  <c r="L1689" i="10"/>
  <c r="L1690" i="10"/>
  <c r="L1691" i="10"/>
  <c r="L1692" i="10"/>
  <c r="L1693" i="10"/>
  <c r="L1694" i="10"/>
  <c r="L1695" i="10"/>
  <c r="L1696" i="10"/>
  <c r="L1697" i="10"/>
  <c r="L1698" i="10"/>
  <c r="L1699" i="10"/>
  <c r="L1700" i="10"/>
  <c r="L1701" i="10"/>
  <c r="L1702" i="10"/>
  <c r="L1703" i="10"/>
  <c r="L1704" i="10"/>
  <c r="L1705" i="10"/>
  <c r="L1706" i="10"/>
  <c r="L1707" i="10"/>
  <c r="L1708" i="10"/>
  <c r="L1709" i="10"/>
  <c r="L1710" i="10"/>
  <c r="L1711" i="10"/>
  <c r="L1712" i="10"/>
  <c r="L1713" i="10"/>
  <c r="L1714" i="10"/>
  <c r="L1715" i="10"/>
  <c r="L1716" i="10"/>
  <c r="L1717" i="10"/>
  <c r="L1718" i="10"/>
  <c r="L1719" i="10"/>
  <c r="L1720" i="10"/>
  <c r="L1721" i="10"/>
  <c r="L1722" i="10"/>
  <c r="L1723" i="10"/>
  <c r="L1724" i="10"/>
  <c r="L1725" i="10"/>
  <c r="L1726" i="10"/>
  <c r="L1727" i="10"/>
  <c r="L1728" i="10"/>
  <c r="L1729" i="10"/>
  <c r="L1730" i="10"/>
  <c r="L1731" i="10"/>
  <c r="L1732" i="10"/>
  <c r="L1733" i="10"/>
  <c r="L1734" i="10"/>
  <c r="L1735" i="10"/>
  <c r="L1736" i="10"/>
  <c r="L1737" i="10"/>
  <c r="L1738" i="10"/>
  <c r="L1739" i="10"/>
  <c r="L1740" i="10"/>
  <c r="L1741" i="10"/>
  <c r="L1742" i="10"/>
  <c r="L1743" i="10"/>
  <c r="L1744" i="10"/>
  <c r="L1745" i="10"/>
  <c r="L1746" i="10"/>
  <c r="L1747" i="10"/>
  <c r="L1748" i="10"/>
  <c r="L1749" i="10"/>
  <c r="L1750" i="10"/>
  <c r="L1751" i="10"/>
  <c r="L1752" i="10"/>
  <c r="L1753" i="10"/>
  <c r="L1754" i="10"/>
  <c r="L1755" i="10"/>
  <c r="L1756" i="10"/>
  <c r="L1757" i="10"/>
  <c r="L1758" i="10"/>
  <c r="L1759" i="10"/>
  <c r="L1760" i="10"/>
  <c r="L1761" i="10"/>
  <c r="L1762" i="10"/>
  <c r="L1763" i="10"/>
  <c r="L1764" i="10"/>
  <c r="L1765" i="10"/>
  <c r="L1766" i="10"/>
  <c r="L1767" i="10"/>
  <c r="L1768" i="10"/>
  <c r="L1769" i="10"/>
  <c r="L1770" i="10"/>
  <c r="L1771" i="10"/>
  <c r="L1772" i="10"/>
  <c r="L1773" i="10"/>
  <c r="L1774" i="10"/>
  <c r="L1775" i="10"/>
  <c r="L1776" i="10"/>
  <c r="L1777" i="10"/>
  <c r="L1778" i="10"/>
  <c r="L1779" i="10"/>
  <c r="L1780" i="10"/>
  <c r="L1781" i="10"/>
  <c r="L1782" i="10"/>
  <c r="L1783" i="10"/>
  <c r="L1784" i="10"/>
  <c r="L1785" i="10"/>
  <c r="L1786" i="10"/>
  <c r="L1787" i="10"/>
  <c r="L1788" i="10"/>
  <c r="L1789" i="10"/>
  <c r="L1790" i="10"/>
  <c r="L1791" i="10"/>
  <c r="L1792" i="10"/>
  <c r="L1793" i="10"/>
  <c r="L1794" i="10"/>
  <c r="L1795" i="10"/>
  <c r="L1796" i="10"/>
  <c r="L1797" i="10"/>
  <c r="L1798" i="10"/>
  <c r="L1799" i="10"/>
  <c r="L1800" i="10"/>
  <c r="L1801" i="10"/>
  <c r="L1802" i="10"/>
  <c r="L1803" i="10"/>
  <c r="L1804" i="10"/>
  <c r="L1805" i="10"/>
  <c r="L1806" i="10"/>
  <c r="L1807" i="10"/>
  <c r="L1808" i="10"/>
  <c r="L1809" i="10"/>
  <c r="L1810" i="10"/>
  <c r="L1811" i="10"/>
  <c r="L1812" i="10"/>
  <c r="L1813" i="10"/>
  <c r="L1814" i="10"/>
  <c r="L1815" i="10"/>
  <c r="L1816" i="10"/>
  <c r="L1817" i="10"/>
  <c r="L1818" i="10"/>
  <c r="L1819" i="10"/>
  <c r="L1820" i="10"/>
  <c r="L1821" i="10"/>
  <c r="L1822" i="10"/>
  <c r="L1823" i="10"/>
  <c r="L1824" i="10"/>
  <c r="L1825" i="10"/>
  <c r="L1826" i="10"/>
  <c r="L1827" i="10"/>
  <c r="L1828" i="10"/>
  <c r="L1829" i="10"/>
  <c r="L1830" i="10"/>
  <c r="L1831" i="10"/>
  <c r="L1832" i="10"/>
  <c r="L1833" i="10"/>
  <c r="L1834" i="10"/>
  <c r="L1835" i="10"/>
  <c r="L1836" i="10"/>
  <c r="L1837" i="10"/>
  <c r="L1838" i="10"/>
  <c r="L1839" i="10"/>
  <c r="L1840" i="10"/>
  <c r="L1841" i="10"/>
  <c r="L1842" i="10"/>
  <c r="L1843" i="10"/>
  <c r="L1844" i="10"/>
  <c r="L1845" i="10"/>
  <c r="L1846" i="10"/>
  <c r="L1847" i="10"/>
  <c r="L1848" i="10"/>
  <c r="L1849" i="10"/>
  <c r="L1850" i="10"/>
  <c r="L1851" i="10"/>
  <c r="L1852" i="10"/>
  <c r="L1853" i="10"/>
  <c r="L1854" i="10"/>
  <c r="L1855" i="10"/>
  <c r="L1856" i="10"/>
  <c r="L1857" i="10"/>
  <c r="L1858" i="10"/>
  <c r="L1859" i="10"/>
  <c r="L1860" i="10"/>
  <c r="L1861" i="10"/>
  <c r="L1862" i="10"/>
  <c r="L1863" i="10"/>
  <c r="L1864" i="10"/>
  <c r="L1865" i="10"/>
  <c r="L1866" i="10"/>
  <c r="L1867" i="10"/>
  <c r="L1868" i="10"/>
  <c r="L1869" i="10"/>
  <c r="L1870" i="10"/>
  <c r="L1871" i="10"/>
  <c r="L1872" i="10"/>
  <c r="L1873" i="10"/>
  <c r="L1874" i="10"/>
  <c r="L1875" i="10"/>
  <c r="L1876" i="10"/>
  <c r="L1877" i="10"/>
  <c r="L1878" i="10"/>
  <c r="L1879" i="10"/>
  <c r="L1880" i="10"/>
  <c r="L1881" i="10"/>
  <c r="L1882" i="10"/>
  <c r="L1883" i="10"/>
  <c r="L1884" i="10"/>
  <c r="L1885" i="10"/>
  <c r="L1886" i="10"/>
  <c r="L1887" i="10"/>
  <c r="L1888" i="10"/>
  <c r="L1889" i="10"/>
  <c r="L1890" i="10"/>
  <c r="L1891" i="10"/>
  <c r="L1892" i="10"/>
  <c r="L1893" i="10"/>
  <c r="L1894" i="10"/>
  <c r="L1895" i="10"/>
  <c r="L1896" i="10"/>
  <c r="L1897" i="10"/>
  <c r="L1898" i="10"/>
  <c r="L1899" i="10"/>
  <c r="L1900" i="10"/>
  <c r="L1901" i="10"/>
  <c r="L1902" i="10"/>
  <c r="L1903" i="10"/>
  <c r="L1904" i="10"/>
  <c r="L1905" i="10"/>
  <c r="L1906" i="10"/>
  <c r="L1907" i="10"/>
  <c r="L1908" i="10"/>
  <c r="L1909" i="10"/>
  <c r="L1910" i="10"/>
  <c r="L1911" i="10"/>
  <c r="L1912" i="10"/>
  <c r="L1913" i="10"/>
  <c r="L1914" i="10"/>
  <c r="L1915" i="10"/>
  <c r="L1916" i="10"/>
  <c r="L1917" i="10"/>
  <c r="L1918" i="10"/>
  <c r="L1919" i="10"/>
  <c r="L1920" i="10"/>
  <c r="L1921" i="10"/>
  <c r="L1922" i="10"/>
  <c r="L1923" i="10"/>
  <c r="L1924" i="10"/>
  <c r="L1925" i="10"/>
  <c r="L1926" i="10"/>
  <c r="L1927" i="10"/>
  <c r="L1928" i="10"/>
  <c r="L1929" i="10"/>
  <c r="L1930" i="10"/>
  <c r="L1931" i="10"/>
  <c r="L1932" i="10"/>
  <c r="L1933" i="10"/>
  <c r="L1934" i="10"/>
  <c r="L1935" i="10"/>
  <c r="L1936" i="10"/>
  <c r="L1937" i="10"/>
  <c r="L1938" i="10"/>
  <c r="L1939" i="10"/>
  <c r="L1940" i="10"/>
  <c r="L1941" i="10"/>
  <c r="L1942" i="10"/>
  <c r="L1943" i="10"/>
  <c r="L1944" i="10"/>
  <c r="L1945" i="10"/>
  <c r="L1946" i="10"/>
  <c r="L1947" i="10"/>
  <c r="L1948" i="10"/>
  <c r="L1949" i="10"/>
  <c r="L1950" i="10"/>
  <c r="L1951" i="10"/>
  <c r="L1952" i="10"/>
  <c r="L1953" i="10"/>
  <c r="L1954" i="10"/>
  <c r="L1955" i="10"/>
  <c r="L1956" i="10"/>
  <c r="L1957" i="10"/>
  <c r="L1958" i="10"/>
  <c r="L1959" i="10"/>
  <c r="L1960" i="10"/>
  <c r="L1961" i="10"/>
  <c r="L1962" i="10"/>
  <c r="L1963" i="10"/>
  <c r="L1964" i="10"/>
  <c r="L1965" i="10"/>
  <c r="L1966" i="10"/>
  <c r="L1967" i="10"/>
  <c r="L1968" i="10"/>
  <c r="L1969" i="10"/>
  <c r="L1970" i="10"/>
  <c r="L1971" i="10"/>
  <c r="L1972" i="10"/>
  <c r="L1973" i="10"/>
  <c r="L1974" i="10"/>
  <c r="L1975" i="10"/>
  <c r="L1976" i="10"/>
  <c r="L1977" i="10"/>
  <c r="L1978" i="10"/>
  <c r="L1979" i="10"/>
  <c r="L1980" i="10"/>
  <c r="L1981" i="10"/>
  <c r="L1982" i="10"/>
  <c r="L1983" i="10"/>
  <c r="L1984" i="10"/>
  <c r="L1985" i="10"/>
  <c r="L1986" i="10"/>
  <c r="L1987" i="10"/>
  <c r="L1988" i="10"/>
  <c r="L1989" i="10"/>
  <c r="L1990" i="10"/>
  <c r="L1991" i="10"/>
  <c r="L1992" i="10"/>
  <c r="L1993" i="10"/>
  <c r="L1994" i="10"/>
  <c r="L1995" i="10"/>
  <c r="L1996" i="10"/>
  <c r="L1997" i="10"/>
  <c r="L1998" i="10"/>
  <c r="L1999" i="10"/>
  <c r="L2000" i="10"/>
  <c r="L2001" i="10"/>
  <c r="L2002" i="10"/>
  <c r="L2003" i="10"/>
  <c r="L2004" i="10"/>
  <c r="L2005" i="10"/>
  <c r="L2006" i="10"/>
  <c r="L2007" i="10"/>
  <c r="L2008" i="10"/>
  <c r="L2009" i="10"/>
  <c r="L2010" i="10"/>
  <c r="L2011" i="10"/>
  <c r="L2012" i="10"/>
  <c r="L2013" i="10"/>
  <c r="L2014" i="10"/>
  <c r="L2015" i="10"/>
  <c r="L2016" i="10"/>
  <c r="L2017" i="10"/>
  <c r="L2018" i="10"/>
  <c r="L2019" i="10"/>
  <c r="L2020" i="10"/>
  <c r="L2021" i="10"/>
  <c r="L2022" i="10"/>
  <c r="L2023" i="10"/>
  <c r="L2024" i="10"/>
  <c r="J2" i="9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L471" i="10"/>
  <c r="L472" i="10"/>
  <c r="L473" i="10"/>
  <c r="L474" i="10"/>
  <c r="L475" i="10"/>
  <c r="L476" i="10"/>
  <c r="L477" i="10"/>
  <c r="L478" i="10"/>
  <c r="L479" i="10"/>
  <c r="L480" i="10"/>
  <c r="L481" i="10"/>
  <c r="L482" i="10"/>
  <c r="L483" i="10"/>
  <c r="L484" i="10"/>
  <c r="L485" i="10"/>
  <c r="L486" i="10"/>
  <c r="L487" i="10"/>
  <c r="L488" i="10"/>
  <c r="L489" i="10"/>
  <c r="L490" i="10"/>
  <c r="L491" i="10"/>
  <c r="L492" i="10"/>
  <c r="L493" i="10"/>
  <c r="L494" i="10"/>
  <c r="L495" i="10"/>
  <c r="L496" i="10"/>
  <c r="L497" i="10"/>
  <c r="L498" i="10"/>
  <c r="L499" i="10"/>
  <c r="L500" i="10"/>
  <c r="L501" i="10"/>
  <c r="L502" i="10"/>
  <c r="L503" i="10"/>
  <c r="L504" i="10"/>
  <c r="L505" i="10"/>
  <c r="L506" i="10"/>
  <c r="L507" i="10"/>
  <c r="L508" i="10"/>
  <c r="L509" i="10"/>
  <c r="L510" i="10"/>
  <c r="L511" i="10"/>
  <c r="L512" i="10"/>
  <c r="L513" i="10"/>
  <c r="L514" i="10"/>
  <c r="L515" i="10"/>
  <c r="L516" i="10"/>
  <c r="L517" i="10"/>
  <c r="L518" i="10"/>
  <c r="L519" i="10"/>
  <c r="L520" i="10"/>
  <c r="L2" i="10"/>
  <c r="B3" i="13" l="1"/>
  <c r="B2" i="13"/>
</calcChain>
</file>

<file path=xl/sharedStrings.xml><?xml version="1.0" encoding="utf-8"?>
<sst xmlns="http://schemas.openxmlformats.org/spreadsheetml/2006/main" count="21403" uniqueCount="1315">
  <si>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</si>
  <si>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</si>
  <si>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</si>
  <si>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</si>
  <si>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</si>
  <si>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</si>
  <si>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</si>
  <si>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</si>
  <si>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</si>
  <si>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</si>
  <si>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</si>
  <si>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</si>
  <si>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</si>
  <si>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</si>
  <si>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</si>
  <si>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</si>
  <si>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</si>
  <si>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</si>
  <si>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</si>
  <si>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</si>
  <si>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</si>
  <si>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</si>
  <si>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</si>
  <si>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</si>
  <si>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</si>
  <si>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</si>
  <si>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</si>
  <si>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</si>
  <si>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</si>
  <si>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</si>
  <si>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</si>
  <si>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</si>
  <si>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</si>
  <si>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</si>
  <si>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</si>
  <si>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</si>
  <si>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</si>
  <si>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</si>
  <si>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</si>
  <si>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</si>
  <si>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</si>
  <si>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</si>
  <si>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</si>
  <si>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</si>
  <si>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</si>
  <si>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</si>
  <si>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</si>
  <si>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</si>
  <si>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</si>
  <si>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</si>
  <si>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</si>
  <si>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</si>
  <si>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</si>
  <si>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</si>
  <si>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</si>
  <si>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</si>
  <si>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</si>
  <si>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</si>
  <si>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</si>
  <si>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</si>
  <si>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</si>
  <si>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</si>
  <si>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</si>
  <si>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</si>
  <si>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</si>
  <si>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</si>
  <si>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</si>
  <si>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</si>
  <si>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</si>
  <si>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</si>
  <si>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</si>
  <si>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</si>
  <si>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</si>
  <si>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</si>
  <si>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</si>
  <si>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</si>
  <si>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</si>
  <si>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</si>
  <si>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</si>
  <si>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</si>
  <si>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</si>
  <si>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</si>
  <si>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</si>
  <si>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</si>
  <si>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</si>
  <si>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</si>
  <si>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</si>
  <si>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</si>
  <si>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</si>
  <si>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</si>
  <si>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</si>
  <si>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</si>
  <si>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</si>
  <si>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</si>
  <si>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</si>
  <si>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</si>
  <si>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</si>
  <si>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</si>
  <si>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</si>
  <si>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</si>
  <si>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</si>
  <si>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</si>
  <si>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</si>
  <si>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</si>
  <si>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</si>
  <si>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</si>
  <si>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</si>
  <si>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</si>
  <si>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</si>
  <si>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</si>
  <si>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</si>
  <si>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</si>
  <si>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</si>
  <si>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</si>
  <si>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</si>
  <si>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</si>
  <si>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</si>
  <si>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</si>
  <si>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</si>
  <si>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</si>
  <si>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</si>
  <si>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</si>
  <si>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</si>
  <si>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</si>
  <si>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</si>
  <si>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</si>
  <si>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</si>
  <si>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MRPElementIndicator</t>
  </si>
  <si>
    <t>Item Text</t>
  </si>
  <si>
    <t>Availability Date</t>
  </si>
  <si>
    <t>Requester Email</t>
  </si>
  <si>
    <t>Status</t>
  </si>
  <si>
    <t>Reservation No.</t>
  </si>
  <si>
    <t>Deletion Remark</t>
  </si>
  <si>
    <t>MRP Element Indicator</t>
  </si>
  <si>
    <t>Reservation No</t>
  </si>
  <si>
    <t>DeleteDate</t>
  </si>
  <si>
    <t>MSU</t>
  </si>
  <si>
    <t>Type</t>
  </si>
  <si>
    <t>Active in System</t>
  </si>
  <si>
    <t>PDE Checking</t>
  </si>
  <si>
    <t>Rolling Checking</t>
  </si>
  <si>
    <t>H&amp;S SHM 670GX12 Gardedia 2 in 1</t>
  </si>
  <si>
    <t>A668</t>
  </si>
  <si>
    <t>H&amp;S Nova 2 in 1 HS</t>
  </si>
  <si>
    <t>R Material</t>
  </si>
  <si>
    <t>liu.b.2@pg.com</t>
  </si>
  <si>
    <t>Material</t>
  </si>
  <si>
    <t>Deleted</t>
  </si>
  <si>
    <t>Deleted no checking</t>
  </si>
  <si>
    <t>A672</t>
  </si>
  <si>
    <t>A673</t>
  </si>
  <si>
    <t>A680</t>
  </si>
  <si>
    <t>A715</t>
  </si>
  <si>
    <t>A716</t>
  </si>
  <si>
    <t>C816</t>
  </si>
  <si>
    <t>H&amp;S SHM 670GX12 Apple 2 in 1</t>
  </si>
  <si>
    <t>H&amp;S SHM 360GX12 Gardenia 2 in 1</t>
  </si>
  <si>
    <t>H&amp;S SHM 360GX12 Apple 2 in 1</t>
  </si>
  <si>
    <t>REJ SHM 600GX12 Fresh AD+</t>
  </si>
  <si>
    <t>REJ Ella plus NI highside</t>
  </si>
  <si>
    <t>zeng.re@pg.com</t>
  </si>
  <si>
    <t>改打MR quotation</t>
  </si>
  <si>
    <t>REJ SHM 600GX12 Nourish AD+</t>
  </si>
  <si>
    <t>REJ SHM 1000GX6 Fresh AD+</t>
  </si>
  <si>
    <t>REJ SHM 1000GX6 Nourish AD+</t>
  </si>
  <si>
    <t>海飞丝去屑洗发露幽香馥郁型450G</t>
  </si>
  <si>
    <t>Tier 2 挑战量</t>
  </si>
  <si>
    <t xml:space="preserve">R Quotation </t>
  </si>
  <si>
    <t>liu.jp.1@pg.com</t>
  </si>
  <si>
    <t>FG</t>
  </si>
  <si>
    <t>海飞丝头皮护理控油蓬松型300X3+80X3</t>
  </si>
  <si>
    <t>R Quotation</t>
  </si>
  <si>
    <t>REJ DC AD SH 360gX12</t>
  </si>
  <si>
    <t>Top 70% small size WS @Dec to capture WS target 102IYA</t>
  </si>
  <si>
    <t>sun.y.25@pg.com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</si>
  <si>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</si>
  <si>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</si>
  <si>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</si>
  <si>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</si>
  <si>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</si>
  <si>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</si>
  <si>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</si>
  <si>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</si>
  <si>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</si>
  <si>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</si>
  <si>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</si>
  <si>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</si>
  <si>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</si>
  <si>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</si>
  <si>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</si>
  <si>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</si>
  <si>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</si>
  <si>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</si>
  <si>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</si>
  <si>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</si>
  <si>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HS SHM 5GX500 SILKY SOFT</t>
  </si>
  <si>
    <t>REJ DC AD SH 170gX24</t>
  </si>
  <si>
    <t>PNT SHM 500GX12 MILKY TREATMENT</t>
  </si>
  <si>
    <t>PNT SHM 500GX12 SILKY SMOOTH</t>
  </si>
  <si>
    <t>PNT Milky CN(400X2)GX4</t>
  </si>
  <si>
    <t>WS pattern lean forward, MR for XQ OMP+</t>
  </si>
  <si>
    <t>zhang.h.26@pg.com</t>
  </si>
  <si>
    <t>PTN SHM 470gX12 3MM DMR</t>
  </si>
  <si>
    <t>JFM PP Menu NI -DY D1</t>
  </si>
  <si>
    <t>R Component</t>
  </si>
  <si>
    <t>xu.x.17@pg.com</t>
  </si>
  <si>
    <t>PTN COND 70MLX24 3MM DMR</t>
  </si>
  <si>
    <t>PTN CON 180MLX12 3MM TDC CN LOCAL</t>
  </si>
  <si>
    <t>PTN COND 40MLX24 3MM TDC</t>
  </si>
  <si>
    <t>PTN SHM 470gX12 TDC</t>
  </si>
  <si>
    <t>TMFS 店内WS</t>
  </si>
  <si>
    <t>潘婷PRO-V丝质400g洗+200g护优惠装</t>
  </si>
  <si>
    <t>RT 11月紧急加量</t>
  </si>
  <si>
    <t>huang.h.9@pg.com</t>
  </si>
  <si>
    <t>BP已pass CM, 已反应系统</t>
  </si>
  <si>
    <t>潘婷乳液400g洗+200g护优惠装</t>
  </si>
  <si>
    <t>REJ DC AD SH 1000gX12</t>
  </si>
  <si>
    <t>Rej DC pump size Nov system production gap</t>
  </si>
  <si>
    <t>调整qty和时间</t>
  </si>
  <si>
    <t>REJ DC AD SH 750gX12</t>
  </si>
  <si>
    <t>HS SHM 470GX12 PRO OIL CONTROL&amp;DETOX</t>
  </si>
  <si>
    <t>Sams Jan RPM protection</t>
  </si>
  <si>
    <t>更改MR 类型</t>
  </si>
  <si>
    <t>HR SHM 530GX9 UKA Anti-breakage</t>
  </si>
  <si>
    <t>更改MR 类型和时间</t>
  </si>
  <si>
    <t>fu.s.4@pg.com</t>
  </si>
  <si>
    <t>delete due to WS DFC is enough</t>
  </si>
  <si>
    <t>REJ DC MOIS SH 1000gX12</t>
  </si>
  <si>
    <t>REJ DC FRESH SH 1000gX12</t>
  </si>
  <si>
    <t>海飞丝去屑舒痒水润型洗发露480G</t>
  </si>
  <si>
    <t>12月达播需求</t>
  </si>
  <si>
    <t>zhong.d@pg.com</t>
  </si>
  <si>
    <t>更改MR 时间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</si>
  <si>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</si>
  <si>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</si>
  <si>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</si>
  <si>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</si>
  <si>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客户取消订单</t>
  </si>
  <si>
    <t>REJ SHM 500GX12 MOISTURE AD</t>
  </si>
  <si>
    <t>DBP Whole sale volume</t>
  </si>
  <si>
    <t>REJ DC MOIS SH 360gX12</t>
  </si>
  <si>
    <t>follow BP guidance to protect 45 WS and remove other protection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</si>
  <si>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</si>
  <si>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</si>
  <si>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</si>
  <si>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</si>
  <si>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</si>
  <si>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</si>
  <si>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</si>
  <si>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</si>
  <si>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海飞丝去屑丝质柔滑型洗发露200克</t>
  </si>
  <si>
    <t>WS protection for Dec. (delta between demand and target)</t>
  </si>
  <si>
    <t>huang.su.1@pg.com</t>
  </si>
  <si>
    <t>海飞丝去屑怡神冰凉型洗发露200克</t>
  </si>
  <si>
    <t>海飞丝去屑清爽控油型洗发露200克</t>
  </si>
  <si>
    <t>海飞丝去屑止痒呵护型洗发露200克</t>
  </si>
  <si>
    <t>海飞丝去屑丝质柔滑型洗发露430克</t>
  </si>
  <si>
    <t>海飞丝去屑怡神冰凉型洗发露430克</t>
  </si>
  <si>
    <t>海飞丝去屑清爽控油型洗发露430克</t>
  </si>
  <si>
    <t>海飞丝去屑深度洁净型洗发露430克</t>
  </si>
  <si>
    <t>海飞丝去屑止痒呵护型洗发露430克</t>
  </si>
  <si>
    <t>海飞丝去屑防断韧发型洗发露430克</t>
  </si>
  <si>
    <t>潘婷PRO-V乳液修护洗发水200G</t>
  </si>
  <si>
    <t>潘婷PRO-V丝质顺滑型洗发露200G</t>
  </si>
  <si>
    <t>潘婷PRO-V乳液修护洗发水400G</t>
  </si>
  <si>
    <t>潘婷PRO-V丝质顺滑型洗发露400G</t>
  </si>
  <si>
    <t>潘婷PRO-V丝质顺滑去屑洗发水400g</t>
  </si>
  <si>
    <t>潘婷PRO-V乳液修护去屑洗发水400g</t>
  </si>
  <si>
    <t>飘柔滋润去屑洗发露200g</t>
  </si>
  <si>
    <t>RJ remove PO and put PI code</t>
  </si>
  <si>
    <t>飘柔精萃润泽柔顺洗发露400g</t>
  </si>
  <si>
    <t>飘柔修护去屑洗发露400g</t>
  </si>
  <si>
    <t>飘柔滋润去屑洗发露400g</t>
  </si>
  <si>
    <t>past due, 重新放unmet needs after align with BP</t>
  </si>
  <si>
    <t>WS protection for RJC MAD PI code</t>
  </si>
  <si>
    <t>REJ SHM 400gX12 Moisture AD</t>
  </si>
  <si>
    <t>RTM 加量，待第一批FP pick up 后再排产</t>
  </si>
  <si>
    <t>海飞丝去屑洗发露恬雅清新型300G_OI</t>
  </si>
  <si>
    <t>JD potential 加量</t>
  </si>
  <si>
    <t>海飞丝清爽控油型洗发露套装500克X2+80克X2</t>
  </si>
  <si>
    <t>DY DP 50/50 剩余需求</t>
  </si>
  <si>
    <t>past due, 往后延</t>
  </si>
  <si>
    <t>飘柔日常护理双效滋润柔顺洗发露170g</t>
  </si>
  <si>
    <t>North 家飘 WS Protection for JZX</t>
  </si>
  <si>
    <t>delay to 12/12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</si>
  <si>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</si>
  <si>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</si>
  <si>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</si>
  <si>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</si>
  <si>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</si>
  <si>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</si>
  <si>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</si>
  <si>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</si>
  <si>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</si>
  <si>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</si>
  <si>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</si>
  <si>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</si>
  <si>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</si>
  <si>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</si>
  <si>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</si>
  <si>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</si>
  <si>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</si>
  <si>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HS SHM 750GX12 SILKY SOFT</t>
  </si>
  <si>
    <t>O&amp;O Demand Gap Mitigation</t>
  </si>
  <si>
    <t>12/8 reflect in sytem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</si>
  <si>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</si>
  <si>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</si>
  <si>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</si>
  <si>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</si>
  <si>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</si>
  <si>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</si>
  <si>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</si>
  <si>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</si>
  <si>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</si>
  <si>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</si>
  <si>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</si>
  <si>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</si>
  <si>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</si>
  <si>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</si>
  <si>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</si>
  <si>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Demand reflect system</t>
  </si>
  <si>
    <t>潘婷乳液修护洗护套</t>
  </si>
  <si>
    <t>Yes</t>
  </si>
  <si>
    <t>No</t>
  </si>
  <si>
    <t>Month end protection proposed by BP</t>
  </si>
  <si>
    <t>Delay to 12/19</t>
  </si>
  <si>
    <t>HS SH(SILKY 500X2+IRM OC 80)X6</t>
  </si>
  <si>
    <t>JS WS HS protection</t>
  </si>
  <si>
    <t>HS SH(LEMON 500X2+IRM OC 80)X6</t>
  </si>
  <si>
    <t>zhong.d</t>
  </si>
  <si>
    <t>Align with BP to remove</t>
  </si>
  <si>
    <t>JD 已拿批准，但赶不上这周CM 窗口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</si>
  <si>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</si>
  <si>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</si>
  <si>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</si>
  <si>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</si>
  <si>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</si>
  <si>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</si>
  <si>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</si>
  <si>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</si>
  <si>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</si>
  <si>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</si>
  <si>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</si>
  <si>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</si>
  <si>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</si>
  <si>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</si>
  <si>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潘婷洗护(丝质顺滑洗500gx2+护三分钟40ml)</t>
  </si>
  <si>
    <t xml:space="preserve">TMS ICP IBA </t>
  </si>
  <si>
    <t>潘婷洗护(乳液洗500g+护500g+三分钟40ml</t>
  </si>
  <si>
    <t>PNT SHM 200g X24 Milky AD (CLMZ II)</t>
  </si>
  <si>
    <t>XQ 45WS Protection</t>
  </si>
  <si>
    <t>No protection needed</t>
  </si>
  <si>
    <t>GH140oA B3X4000 0.5PO 1.7A 1DC</t>
  </si>
  <si>
    <t>For LY's oil control bulk</t>
  </si>
  <si>
    <t>RM Material</t>
  </si>
  <si>
    <t>Guan.bi@pg.com</t>
  </si>
  <si>
    <t>BC188 S07X4000 0.5PO 1.1Yuja Cha HS</t>
  </si>
  <si>
    <t>For LY's anti itch bulk</t>
  </si>
  <si>
    <t>A868</t>
  </si>
  <si>
    <t>OIL control</t>
  </si>
  <si>
    <t>anti itch</t>
  </si>
  <si>
    <t>GH140o T+A3XJ1515S1 0.5PO 1.1BO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</si>
  <si>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</si>
  <si>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</si>
  <si>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</si>
  <si>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</si>
  <si>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</si>
  <si>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</si>
  <si>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飘柔日常去屑360g+水润360g+精洗400g混箱装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</si>
  <si>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</si>
  <si>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</si>
  <si>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</si>
  <si>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</si>
  <si>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</si>
  <si>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</si>
  <si>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</si>
  <si>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</si>
  <si>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</si>
  <si>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JZX WS Cancel</t>
  </si>
  <si>
    <t>PTN ROT 180GX12 MILKY MASK</t>
  </si>
  <si>
    <t>PNT Aurora Jar Highside Delta</t>
  </si>
  <si>
    <t>xie.xy@pg.com</t>
  </si>
  <si>
    <t xml:space="preserve">Feb B2B NI </t>
  </si>
  <si>
    <t>XU.X.17@PG.COM</t>
  </si>
  <si>
    <t>1864</t>
  </si>
  <si>
    <t>H&amp;S SHM 80g*24 IRM Oil Control Rose OI</t>
  </si>
  <si>
    <t>H&amp;S Core+ Max BCP material 消耗</t>
  </si>
  <si>
    <t>REJ Ella fresh NI highside delta</t>
  </si>
  <si>
    <t>潘婷750ML乳液修护洗发露</t>
  </si>
  <si>
    <t>RR Order Plan on 12/22</t>
  </si>
  <si>
    <t>order done</t>
  </si>
  <si>
    <t>海飞丝670g控油蓬松型去屑头皮护理洗发水</t>
  </si>
  <si>
    <t>H&amp;S SHM 360g*12 IRM Oil Control Rose</t>
  </si>
  <si>
    <t>H&amp;S Core+ Max KOL直播 4.4msu</t>
  </si>
  <si>
    <t>H&amp;S Core+ Max KOL HS</t>
  </si>
  <si>
    <t>H&amp;S SHM 670g*12 IRM Oil Control Rose</t>
  </si>
  <si>
    <t>GH140o T D2N20S10 0.3PO NaBz 1.0GBG</t>
  </si>
  <si>
    <t>HKTW Ella plus nourish M1</t>
  </si>
  <si>
    <t>chen.g.9@pg.com</t>
  </si>
  <si>
    <t>REJ Ella Nourish NI highside</t>
  </si>
  <si>
    <t>PTN SHM 470gX12 TDC HKTW</t>
  </si>
  <si>
    <t>HK 470 SHM highside</t>
  </si>
  <si>
    <t>PTN SHM 470gX12 DMR HKTW</t>
  </si>
  <si>
    <t>PTN SHM 470gX12 3MM Jasmine HKTW</t>
  </si>
  <si>
    <t>PTN Millie SHM 530GX6 LIGHT TONIC</t>
  </si>
  <si>
    <t>HKTW Millie online sticker PQ</t>
  </si>
  <si>
    <t>RJC SHM FRH AD MOIS (1kgX10+1kgX2)gX1MIX</t>
  </si>
  <si>
    <t>EB 加量-jining</t>
  </si>
  <si>
    <t>已pass CM</t>
  </si>
  <si>
    <t>HR COND 510GX9 FIG VOL HKTW</t>
  </si>
  <si>
    <t>HKTW Fuji 4.0 CNY</t>
  </si>
  <si>
    <t>HR SHM 510GX9 FIG VOL HKTW</t>
  </si>
  <si>
    <t>HR SHM 510GX9 ANTI+BREAKAGE UKA HKTW</t>
  </si>
  <si>
    <t>HR SHM 510GX9 HYDRATING WGS HKTW</t>
  </si>
  <si>
    <t>HR COND 510GX9 WGS HYDRATING HKTW</t>
  </si>
  <si>
    <t>HR SHM 280GX12 HYDRATING WGS HKTW</t>
  </si>
  <si>
    <t>HR SHM 280GX12 ANTI+BREAKAGE UKA HKTW</t>
  </si>
  <si>
    <t>PTN CON 180mlX12 3MM Jasmine HKTW</t>
  </si>
  <si>
    <t>PTN SHM 470gX12 3MM Jasmine HKTW</t>
  </si>
  <si>
    <t>HK M1/M2 volume</t>
  </si>
  <si>
    <t>APAC H&amp;S Plus Project-LY</t>
  </si>
  <si>
    <t>guan.bi@pg.com</t>
  </si>
  <si>
    <t>APAC H&amp;S Plus Project-TC</t>
  </si>
  <si>
    <t>HS SH SILKY(500GX2+80GX2)X6</t>
  </si>
  <si>
    <t>TMFS HS Jan Wave 2</t>
  </si>
  <si>
    <t>HS SH LEMON (500GX2+80GX2)X6</t>
  </si>
  <si>
    <t>海飞丝去屑防断韧发型洗发露200克</t>
  </si>
  <si>
    <t>Jan ICP HS for WS SKU</t>
  </si>
  <si>
    <t>3518709464</t>
  </si>
  <si>
    <t>3518709465</t>
  </si>
  <si>
    <t>3518709466</t>
  </si>
  <si>
    <t>3518709467</t>
  </si>
  <si>
    <t>3518709468</t>
  </si>
  <si>
    <t>3518709469</t>
  </si>
  <si>
    <t>3518709470</t>
  </si>
  <si>
    <t>3518709471</t>
  </si>
  <si>
    <t>3518709472</t>
  </si>
  <si>
    <t>3518709473</t>
  </si>
  <si>
    <t>3518709474</t>
  </si>
  <si>
    <t>3518709475</t>
  </si>
  <si>
    <t>3518709476</t>
  </si>
  <si>
    <t>3518709477</t>
  </si>
  <si>
    <t>海飞丝去屑柔润修护型洗发露200克</t>
  </si>
  <si>
    <t>3518709558</t>
  </si>
  <si>
    <t>3518709559</t>
  </si>
  <si>
    <t>3518709560</t>
  </si>
  <si>
    <t>3518709561</t>
  </si>
  <si>
    <t>3518709562</t>
  </si>
  <si>
    <t>3518709563</t>
  </si>
  <si>
    <t>3518709564</t>
  </si>
  <si>
    <t>海飞丝去屑深度洁净型洗发露200克</t>
  </si>
  <si>
    <t>3518709565</t>
  </si>
  <si>
    <t>3518709566</t>
  </si>
  <si>
    <t>3518709567</t>
  </si>
  <si>
    <t>3518709568</t>
  </si>
  <si>
    <t>3518709569</t>
  </si>
  <si>
    <t>3518709570</t>
  </si>
  <si>
    <t>3518709571</t>
  </si>
  <si>
    <t>海飞丝去屑海洋清新型洗发露200克</t>
  </si>
  <si>
    <t>3518709572</t>
  </si>
  <si>
    <t>3518709573</t>
  </si>
  <si>
    <t>3518709574</t>
  </si>
  <si>
    <t>3518709575</t>
  </si>
  <si>
    <t>3518709576</t>
  </si>
  <si>
    <t>3518709577</t>
  </si>
  <si>
    <t>3518711918</t>
  </si>
  <si>
    <t>3518711919</t>
  </si>
  <si>
    <t>3518711920</t>
  </si>
  <si>
    <t>3518711921</t>
  </si>
  <si>
    <t>3518711922</t>
  </si>
  <si>
    <t>3518711923</t>
  </si>
  <si>
    <t>3518711924</t>
  </si>
  <si>
    <t>3518711925</t>
  </si>
  <si>
    <t>3518711926</t>
  </si>
  <si>
    <t>3518711927</t>
  </si>
  <si>
    <t>3518711928</t>
  </si>
  <si>
    <t>3518711929</t>
  </si>
  <si>
    <t>3518711930</t>
  </si>
  <si>
    <t>3518711931</t>
  </si>
  <si>
    <t>3518711932</t>
  </si>
  <si>
    <t>3518711933</t>
  </si>
  <si>
    <t>3518711934</t>
  </si>
  <si>
    <t>3518711935</t>
  </si>
  <si>
    <t>3518711936</t>
  </si>
  <si>
    <t>3518711937</t>
  </si>
  <si>
    <t>3518714438</t>
  </si>
  <si>
    <t>3518714439</t>
  </si>
  <si>
    <t>海飞丝丝质柔滑型去屑洗发露200G</t>
  </si>
  <si>
    <t>3518714440</t>
  </si>
  <si>
    <t>3518714441</t>
  </si>
  <si>
    <t>3518714442</t>
  </si>
  <si>
    <t>3518714443</t>
  </si>
  <si>
    <t>3518714444</t>
  </si>
  <si>
    <t>3518714445</t>
  </si>
  <si>
    <t>3518714446</t>
  </si>
  <si>
    <t>3518714447</t>
  </si>
  <si>
    <t>3518714448</t>
  </si>
  <si>
    <t>3518714449</t>
  </si>
  <si>
    <t>3518714450</t>
  </si>
  <si>
    <t>3518714451</t>
  </si>
  <si>
    <t>3518714452</t>
  </si>
  <si>
    <t>3518714453</t>
  </si>
  <si>
    <t>3518714454</t>
  </si>
  <si>
    <t>3518714455</t>
  </si>
  <si>
    <t>3518714456</t>
  </si>
  <si>
    <t>3518714457</t>
  </si>
  <si>
    <t>3518717078</t>
  </si>
  <si>
    <t>3518717079</t>
  </si>
  <si>
    <t>3518717080</t>
  </si>
  <si>
    <t>3518717081</t>
  </si>
  <si>
    <t>3518717082</t>
  </si>
  <si>
    <t>3518717083</t>
  </si>
  <si>
    <t>3518717084</t>
  </si>
  <si>
    <t>3518717085</t>
  </si>
  <si>
    <t>3518717086</t>
  </si>
  <si>
    <t>3518717087</t>
  </si>
  <si>
    <t>3518717088</t>
  </si>
  <si>
    <t>3518717089</t>
  </si>
  <si>
    <t>3518717090</t>
  </si>
  <si>
    <t>3518717091</t>
  </si>
  <si>
    <t>3518717092</t>
  </si>
  <si>
    <t>3518717093</t>
  </si>
  <si>
    <t>3518717094</t>
  </si>
  <si>
    <t>海飞丝去屑柔润修护型洗发露430克</t>
  </si>
  <si>
    <t>3518717095</t>
  </si>
  <si>
    <t>3518717096</t>
  </si>
  <si>
    <t>3518717097</t>
  </si>
  <si>
    <t>3518718798</t>
  </si>
  <si>
    <t>3518718799</t>
  </si>
  <si>
    <t>3518718800</t>
  </si>
  <si>
    <t>3518718801</t>
  </si>
  <si>
    <t>3518718802</t>
  </si>
  <si>
    <t>3518718803</t>
  </si>
  <si>
    <t>3518718804</t>
  </si>
  <si>
    <t>3518718805</t>
  </si>
  <si>
    <t>3518718806</t>
  </si>
  <si>
    <t>3518718807</t>
  </si>
  <si>
    <t>3518718808</t>
  </si>
  <si>
    <t>3518718809</t>
  </si>
  <si>
    <t>3518718810</t>
  </si>
  <si>
    <t>3518718811</t>
  </si>
  <si>
    <t>3518718812</t>
  </si>
  <si>
    <t>3518718813</t>
  </si>
  <si>
    <t>3518718814</t>
  </si>
  <si>
    <t>3518718815</t>
  </si>
  <si>
    <t>海飞丝去屑海洋清新型洗发露430克</t>
  </si>
  <si>
    <t>3518718816</t>
  </si>
  <si>
    <t>3518718817</t>
  </si>
  <si>
    <t>3518718818</t>
  </si>
  <si>
    <t>3518718819</t>
  </si>
  <si>
    <t>3518718820</t>
  </si>
  <si>
    <t>3518718821</t>
  </si>
  <si>
    <t>3518718822</t>
  </si>
  <si>
    <t>海飞丝丝质柔滑430GX3+清爽去油型430GX3</t>
  </si>
  <si>
    <t>3518718823</t>
  </si>
  <si>
    <t>3518718824</t>
  </si>
  <si>
    <t>3518718825</t>
  </si>
  <si>
    <t>3518718826</t>
  </si>
  <si>
    <t>3518718827</t>
  </si>
  <si>
    <t>3518718828</t>
  </si>
  <si>
    <t>3518718829</t>
  </si>
  <si>
    <t>海飞丝去屑柔润修护型洗发露750克</t>
  </si>
  <si>
    <t>3518718830</t>
  </si>
  <si>
    <t>3518718831</t>
  </si>
  <si>
    <t>3518718832</t>
  </si>
  <si>
    <t>3518718833</t>
  </si>
  <si>
    <t>3518718834</t>
  </si>
  <si>
    <t>3518718835</t>
  </si>
  <si>
    <t>3518718836</t>
  </si>
  <si>
    <t>海飞丝去屑防断韧发型洗发露750克</t>
  </si>
  <si>
    <t>3518718837</t>
  </si>
  <si>
    <t>3518720658</t>
  </si>
  <si>
    <t>3518720659</t>
  </si>
  <si>
    <t>3518720660</t>
  </si>
  <si>
    <t>3518720661</t>
  </si>
  <si>
    <t>3518720662</t>
  </si>
  <si>
    <t>3518720663</t>
  </si>
  <si>
    <t>海飞丝去屑海洋清新型洗发露750克</t>
  </si>
  <si>
    <t>3518720664</t>
  </si>
  <si>
    <t>3518720665</t>
  </si>
  <si>
    <t>3518720666</t>
  </si>
  <si>
    <t>3518720667</t>
  </si>
  <si>
    <t>3518720668</t>
  </si>
  <si>
    <t>3518720669</t>
  </si>
  <si>
    <t>3518720670</t>
  </si>
  <si>
    <t>海飞丝去屑深度洁净型洗发露750克</t>
  </si>
  <si>
    <t>3518720671</t>
  </si>
  <si>
    <t>3518720672</t>
  </si>
  <si>
    <t>3518720673</t>
  </si>
  <si>
    <t>3518720674</t>
  </si>
  <si>
    <t>3518720675</t>
  </si>
  <si>
    <t>3518720676</t>
  </si>
  <si>
    <t>3518720677</t>
  </si>
  <si>
    <t>海飞丝去屑怡神冰凉型洗发露750克</t>
  </si>
  <si>
    <t>3518729178</t>
  </si>
  <si>
    <t>3518729179</t>
  </si>
  <si>
    <t>3518729180</t>
  </si>
  <si>
    <t>3518729181</t>
  </si>
  <si>
    <t>3518729182</t>
  </si>
  <si>
    <t>3518729183</t>
  </si>
  <si>
    <t>3518729184</t>
  </si>
  <si>
    <t>海飞丝去屑止痒呵护型洗发露750克</t>
  </si>
  <si>
    <t>3518729185</t>
  </si>
  <si>
    <t>3518729187</t>
  </si>
  <si>
    <t>3518729188</t>
  </si>
  <si>
    <t>3518729189</t>
  </si>
  <si>
    <t>3518729190</t>
  </si>
  <si>
    <t>3518729191</t>
  </si>
  <si>
    <t>3518729192</t>
  </si>
  <si>
    <t>海飞丝去屑清爽控油型洗发露750克</t>
  </si>
  <si>
    <t>3518729193</t>
  </si>
  <si>
    <t>3518729194</t>
  </si>
  <si>
    <t>3518729195</t>
  </si>
  <si>
    <t>3518729196</t>
  </si>
  <si>
    <t>3518729197</t>
  </si>
  <si>
    <t>3518737518</t>
  </si>
  <si>
    <t>3518737519</t>
  </si>
  <si>
    <t>海飞丝去屑丝质柔滑型洗发露750克</t>
  </si>
  <si>
    <t>3518737520</t>
  </si>
  <si>
    <t>3518737521</t>
  </si>
  <si>
    <t>3518737522</t>
  </si>
  <si>
    <t>3518737523</t>
  </si>
  <si>
    <t>3518737524</t>
  </si>
  <si>
    <t>3518737525</t>
  </si>
  <si>
    <t>3518737526</t>
  </si>
  <si>
    <t>潘婷PRO-V水润滋养型洗发露750g</t>
  </si>
  <si>
    <t>3518737527</t>
  </si>
  <si>
    <t>3518737528</t>
  </si>
  <si>
    <t>3518737529</t>
  </si>
  <si>
    <t>3518737530</t>
  </si>
  <si>
    <t>3518737531</t>
  </si>
  <si>
    <t>3518737532</t>
  </si>
  <si>
    <t>3518737533</t>
  </si>
  <si>
    <t>潘婷PRO-V强韧防断型洗发露750g</t>
  </si>
  <si>
    <t>3518737534</t>
  </si>
  <si>
    <t>3518737535</t>
  </si>
  <si>
    <t>3518737536</t>
  </si>
  <si>
    <t>3518737537</t>
  </si>
  <si>
    <t>3518741078</t>
  </si>
  <si>
    <t>3518741079</t>
  </si>
  <si>
    <t>3518741080</t>
  </si>
  <si>
    <t>潘婷PRO-V乳液修护洗发水750G</t>
  </si>
  <si>
    <t>3518741081</t>
  </si>
  <si>
    <t>3518741082</t>
  </si>
  <si>
    <t>3518741083</t>
  </si>
  <si>
    <t>3518741084</t>
  </si>
  <si>
    <t>3518741085</t>
  </si>
  <si>
    <t>3518741086</t>
  </si>
  <si>
    <t>3518741087</t>
  </si>
  <si>
    <t>潘婷PRO-V乳液修护去屑洗发水750g</t>
  </si>
  <si>
    <t>3518741088</t>
  </si>
  <si>
    <t>3518741089</t>
  </si>
  <si>
    <t>3518741090</t>
  </si>
  <si>
    <t>3518741091</t>
  </si>
  <si>
    <t>3518741092</t>
  </si>
  <si>
    <t>3518741093</t>
  </si>
  <si>
    <t>3518741094</t>
  </si>
  <si>
    <t>潘婷PRO-V乳液修护型润发精华素750G</t>
  </si>
  <si>
    <t>3518741095</t>
  </si>
  <si>
    <t>3518741096</t>
  </si>
  <si>
    <t>3518741097</t>
  </si>
  <si>
    <t>3518741098</t>
  </si>
  <si>
    <t>3518741099</t>
  </si>
  <si>
    <t>3518741100</t>
  </si>
  <si>
    <t>3518741101</t>
  </si>
  <si>
    <t>潘婷PRO-V丝质顺滑去屑洗发水750g</t>
  </si>
  <si>
    <t>3518741102</t>
  </si>
  <si>
    <t>3518741103</t>
  </si>
  <si>
    <t>3518741104</t>
  </si>
  <si>
    <t>3518741105</t>
  </si>
  <si>
    <t>3518741106</t>
  </si>
  <si>
    <t>3518741107</t>
  </si>
  <si>
    <t>3518741108</t>
  </si>
  <si>
    <t>潘婷PRO-V水润滋养型润发精华素750G</t>
  </si>
  <si>
    <t>3518741109</t>
  </si>
  <si>
    <t>3518741110</t>
  </si>
  <si>
    <t>3518741111</t>
  </si>
  <si>
    <t>3518741112</t>
  </si>
  <si>
    <t>3518741113</t>
  </si>
  <si>
    <t>3518741114</t>
  </si>
  <si>
    <t>3518741115</t>
  </si>
  <si>
    <t>潘婷PRO-V丝质顺滑型洗发露750G</t>
  </si>
  <si>
    <t>3518741116</t>
  </si>
  <si>
    <t>3518741117</t>
  </si>
  <si>
    <t>3518741118</t>
  </si>
  <si>
    <t>3518741119</t>
  </si>
  <si>
    <t>3518741120</t>
  </si>
  <si>
    <t>3518741121</t>
  </si>
  <si>
    <t>3518741122</t>
  </si>
  <si>
    <t>潘婷PRO-V丝质顺滑型润发精华素750G</t>
  </si>
  <si>
    <t>3518741123</t>
  </si>
  <si>
    <t>3518741124</t>
  </si>
  <si>
    <t>3518741125</t>
  </si>
  <si>
    <t>3518741126</t>
  </si>
  <si>
    <t>3518741127</t>
  </si>
  <si>
    <t>3518741128</t>
  </si>
  <si>
    <t>3518741129</t>
  </si>
  <si>
    <t>潘婷PRO-V染烫修护型洗发露750G</t>
  </si>
  <si>
    <t>3518741130</t>
  </si>
  <si>
    <t>3518741131</t>
  </si>
  <si>
    <t>3518741132</t>
  </si>
  <si>
    <t>3518741133</t>
  </si>
  <si>
    <t>3518741134</t>
  </si>
  <si>
    <t>3518741135</t>
  </si>
  <si>
    <t>3518741136</t>
  </si>
  <si>
    <t>潘婷PRO-V强韧防断型润发精华素400G</t>
  </si>
  <si>
    <t>3518741137</t>
  </si>
  <si>
    <t>3518741138</t>
  </si>
  <si>
    <t>3518741139</t>
  </si>
  <si>
    <t>3518741140</t>
  </si>
  <si>
    <t>3518741141</t>
  </si>
  <si>
    <t>3518741142</t>
  </si>
  <si>
    <t>3518741143</t>
  </si>
  <si>
    <t>潘婷PRO-V水润滋养型洗发露400g</t>
  </si>
  <si>
    <t>3518741144</t>
  </si>
  <si>
    <t>3518741145</t>
  </si>
  <si>
    <t>3518741146</t>
  </si>
  <si>
    <t>3518741147</t>
  </si>
  <si>
    <t>3518741148</t>
  </si>
  <si>
    <t>3518741149</t>
  </si>
  <si>
    <t>3518741150</t>
  </si>
  <si>
    <t>潘婷PRO-V强韧防断型洗发露400g</t>
  </si>
  <si>
    <t>3518741151</t>
  </si>
  <si>
    <t>3518741152</t>
  </si>
  <si>
    <t>3518741153</t>
  </si>
  <si>
    <t>3518741154</t>
  </si>
  <si>
    <t>3518741155</t>
  </si>
  <si>
    <t>3518741156</t>
  </si>
  <si>
    <t>3518741157</t>
  </si>
  <si>
    <t>3518741158</t>
  </si>
  <si>
    <t>3518741159</t>
  </si>
  <si>
    <t>3518741160</t>
  </si>
  <si>
    <t>3518741161</t>
  </si>
  <si>
    <t>3518741162</t>
  </si>
  <si>
    <t>3518741163</t>
  </si>
  <si>
    <t>3518741164</t>
  </si>
  <si>
    <t>3518741165</t>
  </si>
  <si>
    <t>3518741166</t>
  </si>
  <si>
    <t>3518741167</t>
  </si>
  <si>
    <t>3518741168</t>
  </si>
  <si>
    <t>3518741169</t>
  </si>
  <si>
    <t>3518741170</t>
  </si>
  <si>
    <t>3518741171</t>
  </si>
  <si>
    <t>3518741172</t>
  </si>
  <si>
    <t>3518741173</t>
  </si>
  <si>
    <t>3518741174</t>
  </si>
  <si>
    <t>3518741175</t>
  </si>
  <si>
    <t>3518741176</t>
  </si>
  <si>
    <t>3518741177</t>
  </si>
  <si>
    <t>3518741178</t>
  </si>
  <si>
    <t>潘婷PRO-V丝质顺滑型润发精华素400G</t>
  </si>
  <si>
    <t>3518741179</t>
  </si>
  <si>
    <t>3518741180</t>
  </si>
  <si>
    <t>3518741181</t>
  </si>
  <si>
    <t>3518741182</t>
  </si>
  <si>
    <t>3518741183</t>
  </si>
  <si>
    <t>3518741184</t>
  </si>
  <si>
    <t>3518741185</t>
  </si>
  <si>
    <t>潘婷PRO-V乌黑莹亮洗发露400G</t>
  </si>
  <si>
    <t>3518741186</t>
  </si>
  <si>
    <t>3518741187</t>
  </si>
  <si>
    <t>3518741188</t>
  </si>
  <si>
    <t>3518741189</t>
  </si>
  <si>
    <t>3518741190</t>
  </si>
  <si>
    <t>3518741191</t>
  </si>
  <si>
    <t>3518741192</t>
  </si>
  <si>
    <t>潘婷PRO-V水润滋养型润发精华素400g</t>
  </si>
  <si>
    <t>3518741193</t>
  </si>
  <si>
    <t>3518741194</t>
  </si>
  <si>
    <t>3518741195</t>
  </si>
  <si>
    <t>3518741196</t>
  </si>
  <si>
    <t>3518741197</t>
  </si>
  <si>
    <t>3518741198</t>
  </si>
  <si>
    <t>3518741199</t>
  </si>
  <si>
    <t>潘婷PRO-V染烫修护型洗发露400G</t>
  </si>
  <si>
    <t>3518741200</t>
  </si>
  <si>
    <t>3518741201</t>
  </si>
  <si>
    <t>3518741202</t>
  </si>
  <si>
    <t>3518741203</t>
  </si>
  <si>
    <t>3518741204</t>
  </si>
  <si>
    <t>3518741205</t>
  </si>
  <si>
    <t>3518741206</t>
  </si>
  <si>
    <t>潘婷PRO-V乳液修护型润发精华素400G</t>
  </si>
  <si>
    <t>3518741207</t>
  </si>
  <si>
    <t>3518741208</t>
  </si>
  <si>
    <t>3518741209</t>
  </si>
  <si>
    <t>3518741210</t>
  </si>
  <si>
    <t>3518741211</t>
  </si>
  <si>
    <t>3518741212</t>
  </si>
  <si>
    <t>3518741213</t>
  </si>
  <si>
    <t>3518741214</t>
  </si>
  <si>
    <t>3518741215</t>
  </si>
  <si>
    <t>3518741216</t>
  </si>
  <si>
    <t>3518741217</t>
  </si>
  <si>
    <t>3518741218</t>
  </si>
  <si>
    <t>3518741219</t>
  </si>
  <si>
    <t>3518741220</t>
  </si>
  <si>
    <t>潘婷PRO-V染烫修护型润发精华素400G</t>
  </si>
  <si>
    <t>3518741221</t>
  </si>
  <si>
    <t>3518741222</t>
  </si>
  <si>
    <t>3518741223</t>
  </si>
  <si>
    <t>3518741224</t>
  </si>
  <si>
    <t>3518741225</t>
  </si>
  <si>
    <t>3518741226</t>
  </si>
  <si>
    <t>3518741227</t>
  </si>
  <si>
    <t>潘婷乳液修护洗发（400gX6）</t>
  </si>
  <si>
    <t>3518741228</t>
  </si>
  <si>
    <t>3518741229</t>
  </si>
  <si>
    <t>3518741230</t>
  </si>
  <si>
    <t>3518741231</t>
  </si>
  <si>
    <t>3518741232</t>
  </si>
  <si>
    <t>3518741233</t>
  </si>
  <si>
    <t>潘婷PRO-V水润滋养型洗发露200g</t>
  </si>
  <si>
    <t>3518741234</t>
  </si>
  <si>
    <t>3518741235</t>
  </si>
  <si>
    <t>3518741236</t>
  </si>
  <si>
    <t>3518741237</t>
  </si>
  <si>
    <t>3518741238</t>
  </si>
  <si>
    <t>3518741239</t>
  </si>
  <si>
    <t>3518741240</t>
  </si>
  <si>
    <t>潘婷PRO-V强韧防断型洗发露200g</t>
  </si>
  <si>
    <t>3518741241</t>
  </si>
  <si>
    <t>3518741242</t>
  </si>
  <si>
    <t>3518741243</t>
  </si>
  <si>
    <t>3518741244</t>
  </si>
  <si>
    <t>3518741245</t>
  </si>
  <si>
    <t>3518741246</t>
  </si>
  <si>
    <t>3518741247</t>
  </si>
  <si>
    <t>3518741248</t>
  </si>
  <si>
    <t>3518741249</t>
  </si>
  <si>
    <t>3518741250</t>
  </si>
  <si>
    <t>3518741251</t>
  </si>
  <si>
    <t>3518741252</t>
  </si>
  <si>
    <t>3518741253</t>
  </si>
  <si>
    <t>3518741254</t>
  </si>
  <si>
    <t>3518741255</t>
  </si>
  <si>
    <t>3518741256</t>
  </si>
  <si>
    <t>3518741257</t>
  </si>
  <si>
    <t>3518741258</t>
  </si>
  <si>
    <t>3518741259</t>
  </si>
  <si>
    <t>3518741260</t>
  </si>
  <si>
    <t>3518741261</t>
  </si>
  <si>
    <t>潘婷PRO-V乳液修护去屑洗发水200g</t>
  </si>
  <si>
    <t>3518741262</t>
  </si>
  <si>
    <t>3518741263</t>
  </si>
  <si>
    <t>3518741264</t>
  </si>
  <si>
    <t>3518741265</t>
  </si>
  <si>
    <t>3518741266</t>
  </si>
  <si>
    <t>3518741267</t>
  </si>
  <si>
    <t>3518741268</t>
  </si>
  <si>
    <t>潘婷PRO-V丝质顺滑去屑洗发水200g</t>
  </si>
  <si>
    <t>3518741269</t>
  </si>
  <si>
    <t>3518741270</t>
  </si>
  <si>
    <t>3518741271</t>
  </si>
  <si>
    <t>3518741272</t>
  </si>
  <si>
    <t>3518741273</t>
  </si>
  <si>
    <t>3518741274</t>
  </si>
  <si>
    <t>3518741275</t>
  </si>
  <si>
    <t>潘婷PRO-V乳液修护型润发精华素200G</t>
  </si>
  <si>
    <t>3518741276</t>
  </si>
  <si>
    <t>3518741277</t>
  </si>
  <si>
    <t>3518741278</t>
  </si>
  <si>
    <t>3518741279</t>
  </si>
  <si>
    <t>3518741280</t>
  </si>
  <si>
    <t>3518741281</t>
  </si>
  <si>
    <t>3518741282</t>
  </si>
  <si>
    <t>潘婷PRO-V染烫修护型洗发露200G</t>
  </si>
  <si>
    <t>3518741283</t>
  </si>
  <si>
    <t>3518741284</t>
  </si>
  <si>
    <t>3518741285</t>
  </si>
  <si>
    <t>3518741286</t>
  </si>
  <si>
    <t>3518741287</t>
  </si>
  <si>
    <t>3518741288</t>
  </si>
  <si>
    <t>3518741289</t>
  </si>
  <si>
    <t>潘婷PRO-V丝质顺滑型润发精华素200G</t>
  </si>
  <si>
    <t>3518741290</t>
  </si>
  <si>
    <t>3518741291</t>
  </si>
  <si>
    <t>3518741292</t>
  </si>
  <si>
    <t>3518741293</t>
  </si>
  <si>
    <t>3518741294</t>
  </si>
  <si>
    <t>3518741295</t>
  </si>
  <si>
    <t>3518741296</t>
  </si>
  <si>
    <t>潘婷乳液修护洗发露(200gX6)</t>
  </si>
  <si>
    <t>3518741297</t>
  </si>
  <si>
    <t>3518741298</t>
  </si>
  <si>
    <t>3518741299</t>
  </si>
  <si>
    <t>3518741300</t>
  </si>
  <si>
    <t>3518741301</t>
  </si>
  <si>
    <t>3518741302</t>
  </si>
  <si>
    <t>3518741303</t>
  </si>
  <si>
    <t>潘婷乳液去屑200SH*3+丝质去屑200SH*3</t>
  </si>
  <si>
    <t>3518741304</t>
  </si>
  <si>
    <t>3518741305</t>
  </si>
  <si>
    <t>3518741306</t>
  </si>
  <si>
    <t>3518741307</t>
  </si>
  <si>
    <t>3518741308</t>
  </si>
  <si>
    <t>3518741309</t>
  </si>
  <si>
    <t>3518741310</t>
  </si>
  <si>
    <t>潘婷乳液修护润发精华素200ML*4*3</t>
  </si>
  <si>
    <t>3518741311</t>
  </si>
  <si>
    <t>3518741312</t>
  </si>
  <si>
    <t>3518741313</t>
  </si>
  <si>
    <t>3518741314</t>
  </si>
  <si>
    <t>3518741315</t>
  </si>
  <si>
    <t>3518741316</t>
  </si>
  <si>
    <t>3518741317</t>
  </si>
  <si>
    <t>飘柔垂顺亮泽洗发露200g</t>
  </si>
  <si>
    <t>3518741318</t>
  </si>
  <si>
    <t>3518741319</t>
  </si>
  <si>
    <t>3518741320</t>
  </si>
  <si>
    <t>3518741321</t>
  </si>
  <si>
    <t>3518741322</t>
  </si>
  <si>
    <t>3518741323</t>
  </si>
  <si>
    <t>3518741324</t>
  </si>
  <si>
    <t>飘柔净澈去油洗发露200g</t>
  </si>
  <si>
    <t>3518741325</t>
  </si>
  <si>
    <t>3518741326</t>
  </si>
  <si>
    <t>3518741327</t>
  </si>
  <si>
    <t>3518741328</t>
  </si>
  <si>
    <t>3518741329</t>
  </si>
  <si>
    <t>3518741330</t>
  </si>
  <si>
    <t>3518741331</t>
  </si>
  <si>
    <t>飘柔精萃润泽柔顺洗发露200gX6</t>
  </si>
  <si>
    <t>3518741332</t>
  </si>
  <si>
    <t>3518741333</t>
  </si>
  <si>
    <t>3518741334</t>
  </si>
  <si>
    <t>3518741335</t>
  </si>
  <si>
    <t>飘柔润养柔顺护发素200g</t>
  </si>
  <si>
    <t>3518741336</t>
  </si>
  <si>
    <t>3518741337</t>
  </si>
  <si>
    <t>3518741338</t>
  </si>
  <si>
    <t>3518741339</t>
  </si>
  <si>
    <t>3518741340</t>
  </si>
  <si>
    <t>3518741341</t>
  </si>
  <si>
    <t>3518741342</t>
  </si>
  <si>
    <t>飘柔精萃润泽洗发露200g</t>
  </si>
  <si>
    <t>3518741343</t>
  </si>
  <si>
    <t>3518741344</t>
  </si>
  <si>
    <t>3518741345</t>
  </si>
  <si>
    <t>3518741346</t>
  </si>
  <si>
    <t>3518741347</t>
  </si>
  <si>
    <t>3518741348</t>
  </si>
  <si>
    <t>3518741349</t>
  </si>
  <si>
    <t>飘柔强韧修护型护发素200g</t>
  </si>
  <si>
    <t>3518741350</t>
  </si>
  <si>
    <t>3518741351</t>
  </si>
  <si>
    <t>3518741352</t>
  </si>
  <si>
    <t>3518741353</t>
  </si>
  <si>
    <t>3518741354</t>
  </si>
  <si>
    <t>3518741355</t>
  </si>
  <si>
    <t>3518741356</t>
  </si>
  <si>
    <t>飘柔修护去屑型洗发露200g</t>
  </si>
  <si>
    <t>3518741357</t>
  </si>
  <si>
    <t>3518741358</t>
  </si>
  <si>
    <t>3518741359</t>
  </si>
  <si>
    <t>3518741360</t>
  </si>
  <si>
    <t>3518741361</t>
  </si>
  <si>
    <t>3518741362</t>
  </si>
  <si>
    <t>3518741363</t>
  </si>
  <si>
    <t>飘柔沁爽型去屑洗发露200g</t>
  </si>
  <si>
    <t>3518741364</t>
  </si>
  <si>
    <t>3518741365</t>
  </si>
  <si>
    <t>3518741366</t>
  </si>
  <si>
    <t>3518741367</t>
  </si>
  <si>
    <t>3518741368</t>
  </si>
  <si>
    <t>3518741369</t>
  </si>
  <si>
    <t>3518741370</t>
  </si>
  <si>
    <t>飘柔精萃润养洗发露200gX6</t>
  </si>
  <si>
    <t>3518741371</t>
  </si>
  <si>
    <t>3518741372</t>
  </si>
  <si>
    <t>3518741373</t>
  </si>
  <si>
    <t>3518741374</t>
  </si>
  <si>
    <t>飘柔滋润去屑型洗发露200g</t>
  </si>
  <si>
    <t>3518741375</t>
  </si>
  <si>
    <t>3518741376</t>
  </si>
  <si>
    <t>3518741377</t>
  </si>
  <si>
    <t>3518741378</t>
  </si>
  <si>
    <t>3518741379</t>
  </si>
  <si>
    <t>3518741380</t>
  </si>
  <si>
    <t>3518741381</t>
  </si>
  <si>
    <t>3518741382</t>
  </si>
  <si>
    <t>3518741383</t>
  </si>
  <si>
    <t>3518741384</t>
  </si>
  <si>
    <t>3518741385</t>
  </si>
  <si>
    <t>3518741386</t>
  </si>
  <si>
    <t>3518741387</t>
  </si>
  <si>
    <t>3518741388</t>
  </si>
  <si>
    <t>3518741389</t>
  </si>
  <si>
    <t>3518741390</t>
  </si>
  <si>
    <t>3518741391</t>
  </si>
  <si>
    <t>3518741393</t>
  </si>
  <si>
    <t>3518741394</t>
  </si>
  <si>
    <t>3518741395</t>
  </si>
  <si>
    <t>3518741396</t>
  </si>
  <si>
    <t>3518741397</t>
  </si>
  <si>
    <t>3518741398</t>
  </si>
  <si>
    <t>3518741400</t>
  </si>
  <si>
    <t>3518741401</t>
  </si>
  <si>
    <t>3518741402</t>
  </si>
  <si>
    <t>3518741403</t>
  </si>
  <si>
    <t>3518741404</t>
  </si>
  <si>
    <t>飘柔垂顺亮泽洗发露400g</t>
  </si>
  <si>
    <t>3518741405</t>
  </si>
  <si>
    <t>3518741407</t>
  </si>
  <si>
    <t>3518741408</t>
  </si>
  <si>
    <t>3518741409</t>
  </si>
  <si>
    <t>3518741410</t>
  </si>
  <si>
    <t>3518741411</t>
  </si>
  <si>
    <t>3518741413</t>
  </si>
  <si>
    <t>飘柔净澈去油洗发露400g</t>
  </si>
  <si>
    <t>3518741414</t>
  </si>
  <si>
    <t>3518741415</t>
  </si>
  <si>
    <t>3518741416</t>
  </si>
  <si>
    <t>3518741417</t>
  </si>
  <si>
    <t>3518741418</t>
  </si>
  <si>
    <t>3518741419</t>
  </si>
  <si>
    <t>3518741420</t>
  </si>
  <si>
    <t>飘柔精萃润泽洗发露400g</t>
  </si>
  <si>
    <t>3518741421</t>
  </si>
  <si>
    <t>3518741422</t>
  </si>
  <si>
    <t>3518741424</t>
  </si>
  <si>
    <t>3518741425</t>
  </si>
  <si>
    <t>3518741426</t>
  </si>
  <si>
    <t>3518741427</t>
  </si>
  <si>
    <t>3518741428</t>
  </si>
  <si>
    <t>飘柔润养柔顺护发素400g</t>
  </si>
  <si>
    <t>3518741429</t>
  </si>
  <si>
    <t>3518741430</t>
  </si>
  <si>
    <t>3518741431</t>
  </si>
  <si>
    <t>3518741432</t>
  </si>
  <si>
    <t>3518741433</t>
  </si>
  <si>
    <t>3518741434</t>
  </si>
  <si>
    <t>3518741435</t>
  </si>
  <si>
    <t>飘柔修护去屑型洗发露400g</t>
  </si>
  <si>
    <t>3518741436</t>
  </si>
  <si>
    <t>3518741437</t>
  </si>
  <si>
    <t>3518741438</t>
  </si>
  <si>
    <t>3518741440</t>
  </si>
  <si>
    <t>3518741441</t>
  </si>
  <si>
    <t>3518741442</t>
  </si>
  <si>
    <t>3518741443</t>
  </si>
  <si>
    <t>飘柔强韧修护型护发素400g</t>
  </si>
  <si>
    <t>3518741444</t>
  </si>
  <si>
    <t>3518741445</t>
  </si>
  <si>
    <t>3518741446</t>
  </si>
  <si>
    <t>3518741447</t>
  </si>
  <si>
    <t>3518741448</t>
  </si>
  <si>
    <t>3518741449</t>
  </si>
  <si>
    <t>3518741451</t>
  </si>
  <si>
    <t>飘柔蓬松去屑型洗发露400g</t>
  </si>
  <si>
    <t>3518741452</t>
  </si>
  <si>
    <t>3518741453</t>
  </si>
  <si>
    <t>3518741454</t>
  </si>
  <si>
    <t>3518741455</t>
  </si>
  <si>
    <t>3518741456</t>
  </si>
  <si>
    <t>3518741457</t>
  </si>
  <si>
    <t>3518741458</t>
  </si>
  <si>
    <t>飘柔控油去屑型洗发露400g</t>
  </si>
  <si>
    <t>3518741459</t>
  </si>
  <si>
    <t>3518741460</t>
  </si>
  <si>
    <t>3518741461</t>
  </si>
  <si>
    <t>3518741462</t>
  </si>
  <si>
    <t>3518741463</t>
  </si>
  <si>
    <t>3518741464</t>
  </si>
  <si>
    <t>3518741466</t>
  </si>
  <si>
    <t>飘柔沁爽型去屑洗发露400g</t>
  </si>
  <si>
    <t>3518741467</t>
  </si>
  <si>
    <t>3518741468</t>
  </si>
  <si>
    <t>3518741469</t>
  </si>
  <si>
    <t>3518741470</t>
  </si>
  <si>
    <t>3518741471</t>
  </si>
  <si>
    <t>3518741472</t>
  </si>
  <si>
    <t>3518741473</t>
  </si>
  <si>
    <t>飘柔精萃润养洗发露400gX6</t>
  </si>
  <si>
    <t>3518741474</t>
  </si>
  <si>
    <t>3518741475</t>
  </si>
  <si>
    <t>3518741476</t>
  </si>
  <si>
    <t>3518741478</t>
  </si>
  <si>
    <t>3518741479</t>
  </si>
  <si>
    <t>3518741480</t>
  </si>
  <si>
    <t>3518741481</t>
  </si>
  <si>
    <t>飘柔滋润去屑型洗发露400g</t>
  </si>
  <si>
    <t>3518741482</t>
  </si>
  <si>
    <t>3518741483</t>
  </si>
  <si>
    <t>3518741484</t>
  </si>
  <si>
    <t>3518741485</t>
  </si>
  <si>
    <t>3518741486</t>
  </si>
  <si>
    <t>3518741487</t>
  </si>
  <si>
    <t>3518741488</t>
  </si>
  <si>
    <t>3518741489</t>
  </si>
  <si>
    <t>3518741491</t>
  </si>
  <si>
    <t>3518741492</t>
  </si>
  <si>
    <t>3518741493</t>
  </si>
  <si>
    <t>3518741494</t>
  </si>
  <si>
    <t>3518741495</t>
  </si>
  <si>
    <t>3518741496</t>
  </si>
  <si>
    <t>3518741497</t>
  </si>
  <si>
    <t>3518741498</t>
  </si>
  <si>
    <t>3518741499</t>
  </si>
  <si>
    <t>3518741500</t>
  </si>
  <si>
    <t>3518741501</t>
  </si>
  <si>
    <t>3518741503</t>
  </si>
  <si>
    <t>3518741504</t>
  </si>
  <si>
    <t>3518741505</t>
  </si>
  <si>
    <t>3518741506</t>
  </si>
  <si>
    <t>3518741507</t>
  </si>
  <si>
    <t>3518741508</t>
  </si>
  <si>
    <t>3518741509</t>
  </si>
  <si>
    <t>3518741510</t>
  </si>
  <si>
    <t>3518741511</t>
  </si>
  <si>
    <t>3518741512</t>
  </si>
  <si>
    <t>3518741513</t>
  </si>
  <si>
    <t>3518741514</t>
  </si>
  <si>
    <t>3518741515</t>
  </si>
  <si>
    <t>3518741516</t>
  </si>
  <si>
    <t>3518741517</t>
  </si>
  <si>
    <t>3518741538</t>
  </si>
  <si>
    <t>3518741539</t>
  </si>
  <si>
    <t>3518741540</t>
  </si>
  <si>
    <t>3518741542</t>
  </si>
  <si>
    <t>3518741543</t>
  </si>
  <si>
    <t>3518741544</t>
  </si>
  <si>
    <t>3518741545</t>
  </si>
  <si>
    <t>3518741546</t>
  </si>
  <si>
    <t>飘柔垂顺亮泽洗发露750g</t>
  </si>
  <si>
    <t>3518741547</t>
  </si>
  <si>
    <t>3518741548</t>
  </si>
  <si>
    <t>3518741549</t>
  </si>
  <si>
    <t>3518741550</t>
  </si>
  <si>
    <t>3518741551</t>
  </si>
  <si>
    <t>3518741552</t>
  </si>
  <si>
    <t>3518741553</t>
  </si>
  <si>
    <t>飘柔净澈去油洗发露750g</t>
  </si>
  <si>
    <t>3518741554</t>
  </si>
  <si>
    <t>3518741555</t>
  </si>
  <si>
    <t>3518741556</t>
  </si>
  <si>
    <t>3518741557</t>
  </si>
  <si>
    <t>3518741558</t>
  </si>
  <si>
    <t>3518741559</t>
  </si>
  <si>
    <t>3518741560</t>
  </si>
  <si>
    <t>飘柔精萃润泽洗发露750g</t>
  </si>
  <si>
    <t>3518741561</t>
  </si>
  <si>
    <t>3518741562</t>
  </si>
  <si>
    <t>3518741563</t>
  </si>
  <si>
    <t>3518741564</t>
  </si>
  <si>
    <t>3518741565</t>
  </si>
  <si>
    <t>3518741566</t>
  </si>
  <si>
    <t>3518741567</t>
  </si>
  <si>
    <t>飘柔滋润去屑型洗发露750g</t>
  </si>
  <si>
    <t>3518741568</t>
  </si>
  <si>
    <t>3518741569</t>
  </si>
  <si>
    <t>3518741570</t>
  </si>
  <si>
    <t>3518741571</t>
  </si>
  <si>
    <t>3518741572</t>
  </si>
  <si>
    <t>3518741573</t>
  </si>
  <si>
    <t>3518741574</t>
  </si>
  <si>
    <t>飘柔修护去屑型洗发露750g</t>
  </si>
  <si>
    <t>3518741575</t>
  </si>
  <si>
    <t>3518741576</t>
  </si>
  <si>
    <t>3518741577</t>
  </si>
  <si>
    <t>3518741578</t>
  </si>
  <si>
    <t>3518741579</t>
  </si>
  <si>
    <t>3518741580</t>
  </si>
  <si>
    <t>3518741581</t>
  </si>
  <si>
    <t>飘柔润养柔顺护发素750g</t>
  </si>
  <si>
    <t>3518741582</t>
  </si>
  <si>
    <t>3518741583</t>
  </si>
  <si>
    <t>3518741584</t>
  </si>
  <si>
    <t>3518741585</t>
  </si>
  <si>
    <t>3518741586</t>
  </si>
  <si>
    <t>3518741587</t>
  </si>
  <si>
    <t>3518741588</t>
  </si>
  <si>
    <t>飘柔控油去屑型洗发露750g</t>
  </si>
  <si>
    <t>3518741589</t>
  </si>
  <si>
    <t>3518741590</t>
  </si>
  <si>
    <t>3518741591</t>
  </si>
  <si>
    <t>3518741592</t>
  </si>
  <si>
    <t>3518741593</t>
  </si>
  <si>
    <t>3518741594</t>
  </si>
  <si>
    <t>3518741595</t>
  </si>
  <si>
    <t>飘柔蓬松去屑型洗发露750g</t>
  </si>
  <si>
    <t>3518741596</t>
  </si>
  <si>
    <t>3518741597</t>
  </si>
  <si>
    <t>3518741598</t>
  </si>
  <si>
    <t>3518741599</t>
  </si>
  <si>
    <t>3518741600</t>
  </si>
  <si>
    <t>3518741601</t>
  </si>
  <si>
    <t>3518741602</t>
  </si>
  <si>
    <t>飘柔沁爽型去屑洗发露750g</t>
  </si>
  <si>
    <t>3518741603</t>
  </si>
  <si>
    <t>3518741604</t>
  </si>
  <si>
    <t>3518741605</t>
  </si>
  <si>
    <t>3518741606</t>
  </si>
  <si>
    <t>3518741607</t>
  </si>
  <si>
    <t>3518741608</t>
  </si>
  <si>
    <t>3518741609</t>
  </si>
  <si>
    <t>3518741610</t>
  </si>
  <si>
    <t>3518741611</t>
  </si>
  <si>
    <t>3518741612</t>
  </si>
  <si>
    <t>3518741613</t>
  </si>
  <si>
    <t>3518741614</t>
  </si>
  <si>
    <t>3518741615</t>
  </si>
  <si>
    <t>3518741616</t>
  </si>
  <si>
    <t>3518741617</t>
  </si>
  <si>
    <t>3518741618</t>
  </si>
  <si>
    <t>3518741619</t>
  </si>
  <si>
    <t>3518741620</t>
  </si>
  <si>
    <t>3518741621</t>
  </si>
  <si>
    <t>3518741622</t>
  </si>
  <si>
    <t>3518741623</t>
  </si>
  <si>
    <t>3518741624</t>
  </si>
  <si>
    <t>3518741625</t>
  </si>
  <si>
    <t>3518741626</t>
  </si>
  <si>
    <t>3518741627</t>
  </si>
  <si>
    <t>3518741628</t>
  </si>
  <si>
    <t>3518741629</t>
  </si>
  <si>
    <t>3518741630</t>
  </si>
  <si>
    <t>3518741631</t>
  </si>
  <si>
    <t>3518741632</t>
  </si>
  <si>
    <t>3518741633</t>
  </si>
  <si>
    <t>3518741634</t>
  </si>
  <si>
    <t>3518741635</t>
  </si>
  <si>
    <t>3518741636</t>
  </si>
  <si>
    <t>3518741637</t>
  </si>
  <si>
    <t>(blank)</t>
  </si>
  <si>
    <t>Remaining MR</t>
  </si>
  <si>
    <t>Sum of MSU</t>
  </si>
  <si>
    <t>Years (Availability Date)</t>
  </si>
  <si>
    <t>Months (Availability Date)</t>
  </si>
  <si>
    <t>2025</t>
  </si>
  <si>
    <t>2026</t>
  </si>
  <si>
    <t>Grand Total</t>
  </si>
  <si>
    <t>Dec</t>
  </si>
  <si>
    <t>Jan</t>
  </si>
  <si>
    <t>Feb</t>
  </si>
  <si>
    <t>Mar</t>
  </si>
  <si>
    <t>Apr</t>
  </si>
  <si>
    <t>PDE MR</t>
  </si>
  <si>
    <t>Cross region</t>
  </si>
  <si>
    <t>Job aid</t>
  </si>
  <si>
    <t>MatRes to be deleted Sheet</t>
  </si>
  <si>
    <t xml:space="preserve">Deletion 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</si>
  <si>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</si>
  <si>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</si>
  <si>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</si>
  <si>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</si>
  <si>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</si>
  <si>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</si>
  <si>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</si>
  <si>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t>"Row X: Column 'Y' cannot be empty."</t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</si>
  <si>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</si>
  <si>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</si>
  <si>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t>"Row X: 'Quantity' must be a whole number (integer)."</t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</si>
  <si>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</si>
  <si>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</si>
  <si>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t>"Row X: 'Availability Date' is invalid or a past date."</t>
  </si>
  <si>
    <r>
      <t>H</t>
    </r>
    <r>
      <rPr>
        <sz val="10"/>
        <color theme="1"/>
        <rFont val="Arial"/>
        <family val="2"/>
      </rPr>
      <t> (Request Date)</t>
    </r>
  </si>
  <si>
    <t>"Row X: 'Request Date' is invalid or a past date."</t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</si>
  <si>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</si>
  <si>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</si>
  <si>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t>"Row X: 'Requester Email' must end with '@pg.com'."</t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</si>
  <si>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</si>
  <si>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</si>
  <si>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t>"Row X: 'Reservation No.' must be a numeric value."</t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</si>
  <si>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</si>
  <si>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</si>
  <si>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t>"Row X: Reservation No. '...' was not found in the 'MatRes Record' sheet."</t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</si>
  <si>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</si>
  <si>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</si>
  <si>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"Row X: Reservation No. '...' has already been processed for deletion."</t>
  </si>
  <si>
    <t>MatRes to be uploaded</t>
  </si>
  <si>
    <t>A 到 I</t>
  </si>
  <si>
    <t>Item</t>
  </si>
  <si>
    <t xml:space="preserve">Task </t>
  </si>
  <si>
    <t>Action</t>
  </si>
  <si>
    <t>大数VS HS 预警</t>
  </si>
  <si>
    <t>Busineess naildown with cookie</t>
  </si>
  <si>
    <t>多个邮箱验证功能</t>
  </si>
  <si>
    <t xml:space="preserve">HR technical validation </t>
  </si>
  <si>
    <t>job aid</t>
  </si>
  <si>
    <t xml:space="preserve">HR create the job aid </t>
  </si>
  <si>
    <t>Item task 加上short name</t>
  </si>
  <si>
    <t>Tool enhancment</t>
  </si>
  <si>
    <t>输错进行提醒，增加一个说明</t>
  </si>
  <si>
    <t>Base on practice then design the logic</t>
  </si>
  <si>
    <t>Done</t>
  </si>
  <si>
    <t>MR change date/qty only</t>
  </si>
  <si>
    <t xml:space="preserve">New function </t>
  </si>
  <si>
    <t xml:space="preserve">IOL round up MOQ Checking </t>
  </si>
  <si>
    <t xml:space="preserve">Test MR should has costing </t>
  </si>
  <si>
    <t xml:space="preserve">Process validation </t>
  </si>
  <si>
    <t xml:space="preserve">only active in plant could place the TPSQ,should confirm the MR </t>
  </si>
  <si>
    <t xml:space="preserve"> Denom.</t>
  </si>
  <si>
    <t>Uploaded</t>
  </si>
  <si>
    <t>Parameter</t>
  </si>
  <si>
    <t>Status Checking</t>
  </si>
  <si>
    <t>Creation Status</t>
  </si>
  <si>
    <t>Deletion Status</t>
  </si>
  <si>
    <t>PDE Days Checking</t>
  </si>
  <si>
    <t>Rolling Delay Checking</t>
  </si>
  <si>
    <t>DeletedMR</t>
  </si>
  <si>
    <t>AUn</t>
  </si>
  <si>
    <t xml:space="preserve"> Numer.</t>
  </si>
  <si>
    <t>SU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</si>
  <si>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</si>
  <si>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</si>
  <si>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</si>
  <si>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</si>
  <si>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</si>
  <si>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Note: Plese don't change the values of this Sheet!</t>
  </si>
  <si>
    <t>Ribbon</t>
  </si>
  <si>
    <t>Excel App</t>
  </si>
  <si>
    <t>Excel Window</t>
  </si>
  <si>
    <t>Excel Controls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</si>
</sst>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32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b/>
      <sz val="11"/>
      <color theme="1" tint="4.9989318521683403E-2"/>
      <name val="DengXian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E1F2"/>
        <bgColor rgb="FFD9E1F2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164" fontId="3" fillId="0" borderId="0"/>
    <xf numFmtId="0" fontId="4" fillId="0" borderId="0">
      <alignment vertical="center"/>
    </xf>
  </cellStyleXfs>
  <cellXfs count="189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quotePrefix="1" applyNumberFormat="1"/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7" fillId="0" borderId="0" xfId="0" applyFont="1"/>
    <xf numFmtId="0" fontId="11" fillId="0" borderId="1" xfId="0" applyFont="1" applyBorder="1" applyAlignment="1">
      <alignment horizontal="center" vertical="center"/>
    </xf>
    <xf numFmtId="0" fontId="19" fillId="0" borderId="6" xfId="0" applyFont="1" applyBorder="1" applyAlignment="1">
      <alignment vertical="center"/>
    </xf>
    <xf numFmtId="49" fontId="19" fillId="0" borderId="6" xfId="0" applyNumberFormat="1" applyFont="1" applyBorder="1" applyAlignment="1">
      <alignment vertical="center"/>
    </xf>
    <xf numFmtId="14" fontId="19" fillId="0" borderId="6" xfId="0" applyNumberFormat="1" applyFont="1" applyBorder="1" applyAlignment="1">
      <alignment vertical="center"/>
    </xf>
    <xf numFmtId="2" fontId="20" fillId="0" borderId="0" xfId="0" applyNumberFormat="1" applyFont="1"/>
    <xf numFmtId="0" fontId="20" fillId="0" borderId="0" xfId="0" applyFont="1"/>
    <xf numFmtId="2" fontId="0" fillId="0" borderId="0" xfId="0" applyNumberFormat="1"/>
    <xf numFmtId="14" fontId="19" fillId="0" borderId="7" xfId="0" applyNumberFormat="1" applyFont="1" applyBorder="1" applyAlignment="1">
      <alignment vertical="center"/>
    </xf>
    <xf numFmtId="0" fontId="23" fillId="0" borderId="0" xfId="0" applyFont="1"/>
    <xf numFmtId="0" fontId="24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center" wrapText="1" indent="1"/>
    </xf>
    <xf numFmtId="0" fontId="25" fillId="2" borderId="6" xfId="0" applyFont="1" applyFill="1" applyBorder="1" applyAlignment="1">
      <alignment horizontal="left" vertical="center" wrapText="1" indent="1"/>
    </xf>
    <xf numFmtId="0" fontId="27" fillId="0" borderId="0" xfId="0" applyFont="1"/>
    <xf numFmtId="0" fontId="27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3" fillId="0" borderId="6" xfId="0" applyFont="1" applyBorder="1" applyAlignment="1">
      <alignment horizontal="left"/>
    </xf>
    <xf numFmtId="0" fontId="28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0" fontId="28" fillId="2" borderId="0" xfId="0" applyFont="1" applyFill="1"/>
    <xf numFmtId="49" fontId="0" fillId="2" borderId="6" xfId="0" applyNumberFormat="1" applyFill="1" applyBorder="1"/>
    <xf numFmtId="14" fontId="0" fillId="2" borderId="6" xfId="0" applyNumberFormat="1" applyFill="1" applyBorder="1"/>
    <xf numFmtId="0" fontId="0" fillId="2" borderId="6" xfId="0" applyFill="1" applyBorder="1"/>
    <xf numFmtId="0" fontId="5" fillId="2" borderId="6" xfId="0" applyFont="1" applyFill="1" applyBorder="1" applyAlignment="1">
      <alignment horizontal="center" vertical="top"/>
    </xf>
    <xf numFmtId="49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49" fontId="0" fillId="0" borderId="6" xfId="0" quotePrefix="1" applyNumberFormat="1" applyBorder="1"/>
    <xf numFmtId="49" fontId="5" fillId="2" borderId="6" xfId="0" applyNumberFormat="1" applyFont="1" applyFill="1" applyBorder="1" applyAlignment="1">
      <alignment horizontal="center" vertical="top"/>
    </xf>
    <xf numFmtId="14" fontId="5" fillId="2" borderId="6" xfId="0" applyNumberFormat="1" applyFont="1" applyFill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49" fontId="5" fillId="2" borderId="6" xfId="0" applyNumberFormat="1" applyFont="1" applyFill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14" fontId="5" fillId="2" borderId="6" xfId="0" applyNumberFormat="1" applyFont="1" applyFill="1" applyBorder="1" applyAlignment="1">
      <alignment horizontal="center" wrapText="1"/>
    </xf>
    <xf numFmtId="14" fontId="5" fillId="0" borderId="6" xfId="0" applyNumberFormat="1" applyFont="1" applyBorder="1" applyAlignment="1">
      <alignment horizontal="center" wrapText="1"/>
    </xf>
    <xf numFmtId="0" fontId="7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49" fontId="1" fillId="0" borderId="6" xfId="0" quotePrefix="1" applyNumberFormat="1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right" vertical="center"/>
    </xf>
    <xf numFmtId="14" fontId="1" fillId="0" borderId="6" xfId="0" applyNumberFormat="1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49" fontId="1" fillId="0" borderId="6" xfId="0" quotePrefix="1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vertical="center"/>
    </xf>
    <xf numFmtId="49" fontId="1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0" fillId="2" borderId="6" xfId="0" applyNumberFormat="1" applyFont="1" applyFill="1" applyBorder="1" applyAlignment="1">
      <alignment vertical="center"/>
    </xf>
    <xf numFmtId="14" fontId="10" fillId="2" borderId="6" xfId="0" applyNumberFormat="1" applyFont="1" applyFill="1" applyBorder="1" applyAlignment="1">
      <alignment vertical="center"/>
    </xf>
    <xf numFmtId="14" fontId="10" fillId="0" borderId="6" xfId="0" applyNumberFormat="1" applyFont="1" applyBorder="1" applyAlignment="1">
      <alignment vertical="center"/>
    </xf>
    <xf numFmtId="49" fontId="10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0" fillId="0" borderId="8" xfId="0" applyBorder="1"/>
    <xf numFmtId="0" fontId="10" fillId="0" borderId="4" xfId="0" applyFont="1" applyBorder="1" applyAlignment="1" applyProtection="1">
      <alignment vertical="center"/>
      <protection locked="0"/>
    </xf>
    <xf numFmtId="49" fontId="13" fillId="2" borderId="4" xfId="0" applyNumberFormat="1" applyFont="1" applyFill="1" applyBorder="1" applyAlignment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/>
      <protection locked="0"/>
    </xf>
    <xf numFmtId="14" fontId="13" fillId="2" borderId="4" xfId="0" applyNumberFormat="1" applyFont="1" applyFill="1" applyBorder="1" applyAlignment="1" applyProtection="1">
      <alignment vertical="center"/>
      <protection locked="0"/>
    </xf>
    <xf numFmtId="14" fontId="10" fillId="0" borderId="4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0" fillId="0" borderId="5" xfId="0" applyFont="1" applyBorder="1" applyAlignment="1" applyProtection="1">
      <alignment vertic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center" vertical="center"/>
      <protection locked="0"/>
    </xf>
    <xf numFmtId="0" fontId="0" fillId="0" borderId="8" xfId="0" applyBorder="1" applyProtection="1">
      <protection locked="0"/>
    </xf>
    <xf numFmtId="49" fontId="0" fillId="0" borderId="8" xfId="0" applyNumberFormat="1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10" fillId="0" borderId="5" xfId="0" applyFont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0" fontId="13" fillId="2" borderId="9" xfId="0" applyFont="1" applyFill="1" applyBorder="1" applyAlignment="1" applyProtection="1">
      <alignment vertical="center"/>
      <protection locked="0"/>
    </xf>
    <xf numFmtId="0" fontId="29" fillId="0" borderId="11" xfId="0" applyFont="1" applyBorder="1" applyAlignment="1">
      <alignment horizontal="center"/>
    </xf>
    <xf numFmtId="0" fontId="28" fillId="0" borderId="10" xfId="0" applyFont="1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49" fontId="0" fillId="0" borderId="6" xfId="0" applyNumberFormat="1" applyBorder="1" applyAlignment="1" applyProtection="1">
      <alignment horizontal="center"/>
      <protection locked="0"/>
    </xf>
    <xf numFmtId="14" fontId="0" fillId="0" borderId="6" xfId="0" applyNumberForma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18" fillId="3" borderId="10" xfId="0" applyFont="1" applyFill="1" applyBorder="1" applyProtection="1">
      <protection locked="0"/>
    </xf>
    <xf numFmtId="0" fontId="18" fillId="3" borderId="0" xfId="0" applyFont="1" applyFill="1" applyProtection="1">
      <protection locked="0"/>
    </xf>
    <xf numFmtId="49" fontId="18" fillId="3" borderId="0" xfId="0" applyNumberFormat="1" applyFont="1" applyFill="1" applyProtection="1">
      <protection locked="0"/>
    </xf>
    <xf numFmtId="14" fontId="18" fillId="3" borderId="0" xfId="0" applyNumberFormat="1" applyFont="1" applyFill="1" applyProtection="1">
      <protection locked="0"/>
    </xf>
    <xf numFmtId="0" fontId="18" fillId="3" borderId="0" xfId="0" applyFont="1" applyFill="1" applyAlignment="1" applyProtection="1">
      <alignment horizontal="center"/>
      <protection locked="0"/>
    </xf>
    <xf numFmtId="0" fontId="18" fillId="0" borderId="10" xfId="0" applyFont="1" applyBorder="1" applyProtection="1">
      <protection locked="0"/>
    </xf>
    <xf numFmtId="0" fontId="18" fillId="0" borderId="0" xfId="0" applyFont="1" applyProtection="1">
      <protection locked="0"/>
    </xf>
    <xf numFmtId="49" fontId="18" fillId="0" borderId="0" xfId="0" applyNumberFormat="1" applyFont="1" applyProtection="1">
      <protection locked="0"/>
    </xf>
    <xf numFmtId="14" fontId="18" fillId="0" borderId="0" xfId="0" applyNumberFormat="1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/>
      <protection locked="0"/>
    </xf>
    <xf numFmtId="0" fontId="7" fillId="3" borderId="10" xfId="0" applyFont="1" applyFill="1" applyBorder="1" applyAlignment="1" applyProtection="1">
      <alignment horizontal="center" vertical="center"/>
      <protection locked="0"/>
    </xf>
    <xf numFmtId="49" fontId="18" fillId="3" borderId="0" xfId="0" applyNumberFormat="1" applyFont="1" applyFill="1" applyAlignment="1" applyProtection="1">
      <alignment horizontal="center"/>
      <protection locked="0"/>
    </xf>
    <xf numFmtId="0" fontId="7" fillId="3" borderId="0" xfId="0" applyFont="1" applyFill="1" applyAlignment="1" applyProtection="1">
      <alignment horizontal="center" vertical="center"/>
      <protection locked="0"/>
    </xf>
    <xf numFmtId="14" fontId="18" fillId="3" borderId="0" xfId="0" applyNumberFormat="1" applyFont="1" applyFill="1" applyAlignment="1" applyProtection="1">
      <alignment horizontal="center"/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0" fontId="18" fillId="0" borderId="10" xfId="0" applyFont="1" applyBorder="1" applyAlignment="1" applyProtection="1">
      <alignment horizontal="center"/>
      <protection locked="0"/>
    </xf>
    <xf numFmtId="0" fontId="18" fillId="3" borderId="13" xfId="0" applyFont="1" applyFill="1" applyBorder="1" applyAlignment="1" applyProtection="1">
      <alignment horizontal="center"/>
      <protection locked="0"/>
    </xf>
    <xf numFmtId="49" fontId="18" fillId="3" borderId="14" xfId="0" applyNumberFormat="1" applyFont="1" applyFill="1" applyBorder="1" applyAlignment="1" applyProtection="1">
      <alignment horizontal="center"/>
      <protection locked="0"/>
    </xf>
    <xf numFmtId="0" fontId="18" fillId="3" borderId="14" xfId="0" applyFont="1" applyFill="1" applyBorder="1" applyAlignment="1" applyProtection="1">
      <alignment horizontal="center"/>
      <protection locked="0"/>
    </xf>
    <xf numFmtId="0" fontId="7" fillId="3" borderId="14" xfId="0" applyFont="1" applyFill="1" applyBorder="1" applyAlignment="1" applyProtection="1">
      <alignment horizontal="center" vertical="center"/>
      <protection locked="0"/>
    </xf>
    <xf numFmtId="14" fontId="18" fillId="3" borderId="14" xfId="0" applyNumberFormat="1" applyFont="1" applyFill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49" fontId="18" fillId="0" borderId="15" xfId="0" applyNumberFormat="1" applyFont="1" applyBorder="1" applyAlignment="1" applyProtection="1">
      <alignment horizontal="center"/>
      <protection locked="0"/>
    </xf>
    <xf numFmtId="0" fontId="18" fillId="0" borderId="15" xfId="0" applyFont="1" applyBorder="1" applyAlignment="1" applyProtection="1">
      <alignment horizontal="center"/>
      <protection locked="0"/>
    </xf>
    <xf numFmtId="0" fontId="7" fillId="0" borderId="15" xfId="0" applyFont="1" applyBorder="1" applyAlignment="1" applyProtection="1">
      <alignment horizontal="center" vertical="center"/>
      <protection locked="0"/>
    </xf>
    <xf numFmtId="14" fontId="18" fillId="0" borderId="15" xfId="0" applyNumberFormat="1" applyFont="1" applyBorder="1" applyAlignment="1" applyProtection="1">
      <alignment horizontal="center"/>
      <protection locked="0"/>
    </xf>
    <xf numFmtId="14" fontId="18" fillId="0" borderId="15" xfId="0" applyNumberFormat="1" applyFont="1" applyBorder="1" applyProtection="1">
      <protection locked="0"/>
    </xf>
    <xf numFmtId="14" fontId="30" fillId="3" borderId="0" xfId="0" applyNumberFormat="1" applyFont="1" applyFill="1" applyProtection="1">
      <protection locked="0"/>
    </xf>
    <xf numFmtId="14" fontId="30" fillId="0" borderId="0" xfId="0" applyNumberFormat="1" applyFont="1" applyProtection="1">
      <protection locked="0"/>
    </xf>
    <xf numFmtId="0" fontId="18" fillId="0" borderId="13" xfId="0" applyFont="1" applyBorder="1" applyAlignment="1" applyProtection="1">
      <alignment horizontal="center"/>
      <protection locked="0"/>
    </xf>
    <xf numFmtId="0" fontId="18" fillId="0" borderId="14" xfId="0" applyFont="1" applyBorder="1" applyAlignment="1" applyProtection="1">
      <alignment horizontal="center"/>
      <protection locked="0"/>
    </xf>
    <xf numFmtId="49" fontId="18" fillId="0" borderId="14" xfId="0" applyNumberFormat="1" applyFont="1" applyBorder="1" applyAlignment="1" applyProtection="1">
      <alignment horizont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5" xfId="0" applyFont="1" applyFill="1" applyBorder="1" applyAlignment="1" applyProtection="1">
      <alignment horizontal="center" vertical="center"/>
      <protection locked="0"/>
    </xf>
    <xf numFmtId="0" fontId="18" fillId="3" borderId="15" xfId="0" applyFont="1" applyFill="1" applyBorder="1" applyAlignment="1" applyProtection="1">
      <alignment horizontal="center"/>
      <protection locked="0"/>
    </xf>
    <xf numFmtId="49" fontId="18" fillId="3" borderId="15" xfId="0" applyNumberFormat="1" applyFont="1" applyFill="1" applyBorder="1" applyAlignment="1" applyProtection="1">
      <alignment horizont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14" fontId="18" fillId="3" borderId="15" xfId="0" applyNumberFormat="1" applyFont="1" applyFill="1" applyBorder="1" applyAlignment="1" applyProtection="1">
      <alignment horizontal="center"/>
      <protection locked="0"/>
    </xf>
    <xf numFmtId="14" fontId="18" fillId="3" borderId="15" xfId="0" applyNumberFormat="1" applyFont="1" applyFill="1" applyBorder="1" applyProtection="1">
      <protection locked="0"/>
    </xf>
    <xf numFmtId="14" fontId="30" fillId="3" borderId="15" xfId="0" applyNumberFormat="1" applyFont="1" applyFill="1" applyBorder="1" applyProtection="1">
      <protection locked="0"/>
    </xf>
    <xf numFmtId="0" fontId="0" fillId="0" borderId="16" xfId="0" applyBorder="1" applyProtection="1">
      <protection locked="0"/>
    </xf>
    <xf numFmtId="49" fontId="0" fillId="0" borderId="16" xfId="0" applyNumberFormat="1" applyBorder="1" applyProtection="1">
      <protection locked="0"/>
    </xf>
    <xf numFmtId="14" fontId="0" fillId="0" borderId="16" xfId="0" applyNumberFormat="1" applyBorder="1" applyProtection="1">
      <protection locked="0"/>
    </xf>
    <xf numFmtId="49" fontId="0" fillId="0" borderId="16" xfId="0" applyNumberFormat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14" fontId="0" fillId="0" borderId="4" xfId="0" applyNumberFormat="1" applyBorder="1" applyAlignment="1">
      <alignment horizontal="center"/>
    </xf>
    <xf numFmtId="0" fontId="18" fillId="3" borderId="6" xfId="0" applyFont="1" applyFill="1" applyBorder="1" applyProtection="1">
      <protection locked="0"/>
    </xf>
    <xf numFmtId="49" fontId="18" fillId="3" borderId="6" xfId="0" applyNumberFormat="1" applyFont="1" applyFill="1" applyBorder="1" applyProtection="1">
      <protection locked="0"/>
    </xf>
    <xf numFmtId="14" fontId="18" fillId="3" borderId="6" xfId="0" applyNumberFormat="1" applyFont="1" applyFill="1" applyBorder="1" applyProtection="1">
      <protection locked="0"/>
    </xf>
    <xf numFmtId="0" fontId="18" fillId="3" borderId="6" xfId="0" applyFont="1" applyFill="1" applyBorder="1" applyAlignment="1" applyProtection="1">
      <alignment horizontal="center"/>
      <protection locked="0"/>
    </xf>
    <xf numFmtId="0" fontId="18" fillId="0" borderId="6" xfId="0" applyFont="1" applyBorder="1" applyProtection="1">
      <protection locked="0"/>
    </xf>
    <xf numFmtId="49" fontId="18" fillId="0" borderId="6" xfId="0" applyNumberFormat="1" applyFont="1" applyBorder="1" applyProtection="1">
      <protection locked="0"/>
    </xf>
    <xf numFmtId="14" fontId="18" fillId="0" borderId="6" xfId="0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49" fontId="18" fillId="0" borderId="6" xfId="0" applyNumberFormat="1" applyFont="1" applyBorder="1" applyAlignment="1" applyProtection="1">
      <alignment horizontal="center"/>
      <protection locked="0"/>
    </xf>
    <xf numFmtId="14" fontId="18" fillId="0" borderId="6" xfId="0" applyNumberFormat="1" applyFont="1" applyBorder="1" applyAlignment="1" applyProtection="1">
      <alignment horizont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49" fontId="18" fillId="3" borderId="6" xfId="0" applyNumberFormat="1" applyFont="1" applyFill="1" applyBorder="1" applyAlignment="1" applyProtection="1">
      <alignment horizontal="center"/>
      <protection locked="0"/>
    </xf>
    <xf numFmtId="14" fontId="18" fillId="3" borderId="6" xfId="0" applyNumberFormat="1" applyFont="1" applyFill="1" applyBorder="1" applyAlignment="1" applyProtection="1">
      <alignment horizontal="center"/>
      <protection locked="0"/>
    </xf>
    <xf numFmtId="49" fontId="0" fillId="0" borderId="6" xfId="0" applyNumberFormat="1" applyBorder="1" applyProtection="1">
      <protection locked="0"/>
    </xf>
    <xf numFmtId="14" fontId="0" fillId="0" borderId="6" xfId="0" applyNumberFormat="1" applyBorder="1" applyProtection="1">
      <protection locked="0"/>
    </xf>
    <xf numFmtId="0" fontId="20" fillId="0" borderId="0" xfId="0" applyFont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0" fillId="0" borderId="8" xfId="0" applyNumberForma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14" fontId="0" fillId="0" borderId="8" xfId="0" applyNumberFormat="1" applyBorder="1"/>
    <xf numFmtId="2" fontId="0" fillId="0" borderId="8" xfId="0" applyNumberFormat="1" applyBorder="1"/>
    <xf numFmtId="14" fontId="16" fillId="0" borderId="8" xfId="0" applyNumberFormat="1" applyFont="1" applyBorder="1" applyAlignment="1">
      <alignment horizontal="center"/>
    </xf>
    <xf numFmtId="0" fontId="18" fillId="0" borderId="8" xfId="0" applyFont="1" applyBorder="1"/>
    <xf numFmtId="49" fontId="11" fillId="0" borderId="8" xfId="0" applyNumberFormat="1" applyFont="1" applyBorder="1" applyAlignment="1">
      <alignment horizontal="center" vertical="center"/>
    </xf>
    <xf numFmtId="14" fontId="15" fillId="0" borderId="8" xfId="0" applyNumberFormat="1" applyFont="1" applyBorder="1" applyAlignment="1">
      <alignment horizontal="center" vertical="center"/>
    </xf>
    <xf numFmtId="49" fontId="0" fillId="0" borderId="8" xfId="0" applyNumberFormat="1" applyBorder="1"/>
    <xf numFmtId="14" fontId="17" fillId="0" borderId="8" xfId="0" applyNumberFormat="1" applyFont="1" applyBorder="1"/>
    <xf numFmtId="0" fontId="26" fillId="0" borderId="6" xfId="0" applyFont="1" applyBorder="1" applyAlignment="1">
      <alignment horizontal="center"/>
    </xf>
  </cellXfs>
  <cellStyles count="3">
    <cellStyle name="Normal" xfId="0" builtinId="0"/>
    <cellStyle name="Normal 42" xfId="1" xr:uid="{6CE9F199-41C9-440E-9459-9849EB4D39F3}"/>
    <cellStyle name="一般 2" xfId="2" xr:uid="{9B35A7B3-582B-4713-B366-66C2BB8D0725}"/>
  </cellStyles>
  <dxfs count="65"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numFmt numFmtId="19" formatCode="m/d/yyyy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m/d/yyyy"/>
    </dxf>
    <dxf>
      <numFmt numFmtId="2" formatCode="0.00"/>
    </dxf>
    <dxf>
      <numFmt numFmtId="2" formatCode="0.00"/>
    </dxf>
    <dxf>
      <numFmt numFmtId="19" formatCode="m/d/yyyy"/>
    </dxf>
    <dxf>
      <numFmt numFmtId="19" formatCode="m/d/yyyy"/>
    </dxf>
    <dxf>
      <numFmt numFmtId="19" formatCode="m/d/yyyy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</dxf>
    <dxf>
      <numFmt numFmtId="19" formatCode="m/d/yyyy"/>
    </dxf>
    <dxf>
      <numFmt numFmtId="0" formatCode="General"/>
    </dxf>
    <dxf>
      <numFmt numFmtId="19" formatCode="m/d/yyyy"/>
    </dxf>
    <dxf>
      <numFmt numFmtId="30" formatCode="@"/>
    </dxf>
    <dxf>
      <numFmt numFmtId="30" formatCode="@"/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DengXi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114300</xdr:rowOff>
        </xdr:from>
        <xdr:to>
          <xdr:col>9</xdr:col>
          <xdr:colOff>1619250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180975</xdr:rowOff>
        </xdr:from>
        <xdr:to>
          <xdr:col>9</xdr:col>
          <xdr:colOff>1628775</xdr:colOff>
          <xdr:row>13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76200</xdr:rowOff>
        </xdr:from>
        <xdr:to>
          <xdr:col>17</xdr:col>
          <xdr:colOff>28575</xdr:colOff>
          <xdr:row>19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76200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85725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76200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76200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C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12</xdr:row>
          <xdr:rowOff>0</xdr:rowOff>
        </xdr:from>
        <xdr:to>
          <xdr:col>15</xdr:col>
          <xdr:colOff>400050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C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16</xdr:row>
          <xdr:rowOff>0</xdr:rowOff>
        </xdr:from>
        <xdr:to>
          <xdr:col>15</xdr:col>
          <xdr:colOff>371475</xdr:colOff>
          <xdr:row>19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C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020.356768981481" createdVersion="8" refreshedVersion="8" minRefreshableVersion="3" recordCount="1091" xr:uid="{C3195BD8-65BF-4784-9DCE-98CD36FC5685}">
  <cacheSource type="worksheet">
    <worksheetSource ref="A1:R1048576" sheet="MatRes Record"/>
  </cacheSource>
  <cacheFields count="23">
    <cacheField name="Material Number" numFmtId="0">
      <sharedItems containsString="0" containsBlank="1" containsNumber="1" containsInteger="1" minValue="21073081" maxValue="83900171"/>
    </cacheField>
    <cacheField name="Material Description" numFmtId="0">
      <sharedItems containsBlank="1"/>
    </cacheField>
    <cacheField name="Plant" numFmtId="49">
      <sharedItems containsBlank="1"/>
    </cacheField>
    <cacheField name="MRP Element Indicator" numFmtId="0">
      <sharedItems containsBlank="1" count="51">
        <m/>
        <s v="H&amp;S Nova 2 in 1 HS"/>
        <s v="REJ Ella plus NI highside"/>
        <s v="Tier 2 挑战量"/>
        <s v="Top 70% small size WS @Dec to capture WS target 102IYA"/>
        <s v="WS pattern lean forward, MR for XQ OMP+"/>
        <s v="JFM PP Menu NI -DY D1"/>
        <s v="TMFS 店内WS"/>
        <s v="RT 11月紧急加量"/>
        <s v="Rej DC pump size Nov system production gap"/>
        <s v="Sams Jan RPM protection"/>
        <s v="12月达播需求"/>
        <s v="猫超Whole sale volume"/>
        <s v="DBP Whole sale volume"/>
        <s v="WS protection for Dec. (delta between demand and target)"/>
        <s v="WS protection for RJC MAD PI code"/>
        <s v="RTM 加量，待第一批FP pick up 后再排产"/>
        <s v="JD potential 加量"/>
        <s v="DY DP 50/50 剩余需求"/>
        <s v="North 家飘 WS Protection for JZX"/>
        <s v="O&amp;O Demand Gap Mitigation"/>
        <s v="Walmart CNY 陈列"/>
        <s v="Month end protection proposed by BP"/>
        <s v="JS WS HS protection"/>
        <s v="JD 已拿批准，但赶不上这周CM 窗口"/>
        <s v="O&amp;O- RT 年货大街"/>
        <s v="TMS ICP IBA "/>
        <s v="XQ 45WS Protection"/>
        <s v="For LY's oil control bulk"/>
        <s v="For LY's anti itch bulk"/>
        <s v="OIL control"/>
        <s v="anti itch"/>
        <s v="hydration"/>
        <s v="北部TP CM "/>
        <s v="东部TP CM "/>
        <s v="JD offline CM "/>
        <s v="PDD offline CM "/>
        <s v="PNT Aurora Jar Highside Delta"/>
        <s v="Feb B2B NI "/>
        <s v="H&amp;S Core+ Max BCP material 消耗"/>
        <s v="REJ Ella fresh NI highside delta"/>
        <s v="RR Order Plan on 12/22"/>
        <s v="H&amp;S Core+ Max KOL直播 4.4msu"/>
        <s v="H&amp;S Core+ Max KOL HS"/>
        <s v="HKTW Ella plus nourish M1"/>
        <s v="REJ Ella Nourish NI highside"/>
        <s v="HK 470 SHM highside"/>
        <s v="HKTW Millie online sticker PQ"/>
        <s v="EB 加量-jining"/>
        <s v="HKTW Fuji 4.0 CNY"/>
        <s v="HK M1/M2 volume"/>
      </sharedItems>
    </cacheField>
    <cacheField name="Item Text" numFmtId="0">
      <sharedItems containsBlank="1" count="6">
        <m/>
        <s v="R Material"/>
        <s v="R Quotation "/>
        <s v="R Quotation"/>
        <s v="R Component"/>
        <s v="RM Material"/>
      </sharedItems>
    </cacheField>
    <cacheField name="Availability Date" numFmtId="14">
      <sharedItems containsNonDate="0" containsDate="1" containsString="0" containsBlank="1" minDate="2025-11-08T00:00:00" maxDate="2026-12-25T00:00:00" count="40">
        <m/>
        <d v="2025-12-24T00:00:00"/>
        <d v="2026-01-24T00:00:00"/>
        <d v="2025-12-05T00:00:00"/>
        <d v="2025-11-08T00:00:00"/>
        <d v="2025-12-01T00:00:00"/>
        <d v="2025-12-08T00:00:00"/>
        <d v="2025-11-12T00:00:00"/>
        <d v="2025-11-13T00:00:00"/>
        <d v="2025-11-17T00:00:00"/>
        <d v="2025-12-17T00:00:00"/>
        <d v="2025-12-10T00:00:00"/>
        <d v="2025-12-20T00:00:00"/>
        <d v="2026-01-20T00:00:00"/>
        <d v="2025-11-24T00:00:00"/>
        <d v="2025-12-15T00:00:00"/>
        <d v="2025-12-04T00:00:00"/>
        <d v="2025-11-28T00:00:00"/>
        <d v="2025-12-12T00:00:00"/>
        <d v="2025-12-19T00:00:00"/>
        <d v="2025-12-23T00:00:00"/>
        <d v="2025-12-22T00:00:00"/>
        <d v="2025-12-14T00:00:00"/>
        <d v="2025-12-06T00:00:00"/>
        <d v="2025-12-29T00:00:00"/>
        <d v="2026-01-05T00:00:00"/>
        <d v="2025-12-16T00:00:00"/>
        <d v="2026-01-06T00:00:00"/>
        <d v="2025-12-18T00:00:00"/>
        <d v="2026-03-25T00:00:00"/>
        <d v="2026-04-01T00:00:00"/>
        <d v="2026-01-26T00:00:00"/>
        <d v="2026-03-01T00:00:00"/>
        <d v="2026-01-19T00:00:00"/>
        <d v="2026-01-08T00:00:00"/>
        <d v="2026-01-04T00:00:00"/>
        <d v="2026-01-10T00:00:00"/>
        <d v="2026-02-01T00:00:00"/>
        <d v="2026-02-09T00:00:00"/>
        <d v="2026-12-24T00:00:00" u="1"/>
      </sharedItems>
      <fieldGroup par="22"/>
    </cacheField>
    <cacheField name="Quantity" numFmtId="0">
      <sharedItems containsString="0" containsBlank="1" containsNumber="1" minValue="22" maxValue="534000"/>
    </cacheField>
    <cacheField name="Request Date" numFmtId="14">
      <sharedItems containsNonDate="0" containsDate="1" containsString="0" containsBlank="1" minDate="2025-10-10T00:00:00" maxDate="2025-12-30T00:00:00" count="33">
        <m/>
        <d v="2025-10-10T00:00:00"/>
        <d v="2025-10-23T00:00:00"/>
        <d v="2025-10-29T00:00:00"/>
        <d v="2025-11-03T00:00:00"/>
        <d v="2025-11-05T00:00:00"/>
        <d v="2025-11-07T00:00:00"/>
        <d v="2025-11-12T00:00:00"/>
        <d v="2025-11-17T00:00:00"/>
        <d v="2025-11-18T00:00:00"/>
        <d v="2025-11-19T00:00:00"/>
        <d v="2025-11-24T00:00:00"/>
        <d v="2025-11-25T00:00:00"/>
        <d v="2025-11-26T00:00:00"/>
        <d v="2025-11-27T00:00:00"/>
        <d v="2025-11-28T00:00:00"/>
        <d v="2025-12-01T00:00:00"/>
        <d v="2025-12-02T00:00:00"/>
        <d v="2025-12-08T00:00:00"/>
        <d v="2025-12-05T00:00:00"/>
        <d v="2025-12-09T00:00:00"/>
        <d v="2025-12-10T00:00:00"/>
        <d v="2025-12-12T00:00:00"/>
        <d v="2025-12-15T00:00:00"/>
        <d v="2025-12-16T00:00:00"/>
        <d v="2025-12-17T00:00:00"/>
        <d v="2025-12-18T00:00:00"/>
        <d v="2025-12-19T00:00:00"/>
        <d v="2025-12-22T00:00:00"/>
        <d v="2025-12-23T00:00:00"/>
        <d v="2025-12-24T00:00:00"/>
        <d v="2025-12-26T00:00:00"/>
        <d v="2025-12-29T00:00:00" u="1"/>
      </sharedItems>
      <fieldGroup par="19"/>
    </cacheField>
    <cacheField name="Requester Email" numFmtId="14">
      <sharedItems containsBlank="1" count="15">
        <m/>
        <s v="liu.b.2@pg.com"/>
        <s v="zeng.re@pg.com"/>
        <s v="liu.jp.1@pg.com"/>
        <s v="sun.y.25@pg.com"/>
        <s v="zhang.h.26@pg.com"/>
        <s v="xu.x.17@pg.com"/>
        <s v="huang.h.9@pg.com"/>
        <s v="fu.s.4@pg.com"/>
        <s v="zhong.d@pg.com"/>
        <s v="huang.su.1@pg.com"/>
        <s v="zhong.d"/>
        <s v="Guan.bi@pg.com"/>
        <s v="xie.xy@pg.com"/>
        <s v="chen.g.9@pg.com"/>
      </sharedItems>
    </cacheField>
    <cacheField name="Reservation No" numFmtId="0">
      <sharedItems containsString="0" containsBlank="1" containsNumber="1" containsInteger="1" minValue="3466249331" maxValue="3516765630"/>
    </cacheField>
    <cacheField name="Deletion Remark" numFmtId="0">
      <sharedItems containsDate="1" containsBlank="1" containsMixedTypes="1" minDate="2025-12-05T00:00:00" maxDate="2025-12-10T00:00:00"/>
    </cacheField>
    <cacheField name="Upload Date" numFmtId="14">
      <sharedItems containsNonDate="0" containsDate="1" containsString="0" containsBlank="1" minDate="2025-10-11T00:00:00" maxDate="2025-12-27T00:00:00"/>
    </cacheField>
    <cacheField name="DeleteDate" numFmtId="14">
      <sharedItems containsNonDate="0" containsDate="1" containsString="0" containsBlank="1" minDate="2025-11-10T00:00:00" maxDate="2025-12-27T00:00:00" count="20">
        <m/>
        <d v="2025-11-17T00:00:00"/>
        <d v="2025-11-10T00:00:00"/>
        <d v="2025-11-21T00:00:00"/>
        <d v="2025-11-26T00:00:00"/>
        <d v="2025-11-25T00:00:00"/>
        <d v="2025-11-18T00:00:00"/>
        <d v="2025-11-24T00:00:00"/>
        <d v="2025-11-11T00:00:00"/>
        <d v="2025-11-28T00:00:00"/>
        <d v="2025-12-08T00:00:00"/>
        <d v="2025-12-01T00:00:00"/>
        <d v="2025-12-15T00:00:00"/>
        <d v="2025-12-05T00:00:00"/>
        <d v="2025-12-12T00:00:00"/>
        <d v="2025-12-22T00:00:00"/>
        <d v="2025-12-16T00:00:00"/>
        <d v="2025-12-13T00:00:00"/>
        <d v="2025-12-18T00:00:00"/>
        <d v="2025-12-26T00:00:00"/>
      </sharedItems>
    </cacheField>
    <cacheField name="MSU" numFmtId="2">
      <sharedItems containsString="0" containsBlank="1" containsNumber="1" minValue="2.1749999999999999E-2" maxValue="195.8"/>
    </cacheField>
    <cacheField name="Type" numFmtId="2">
      <sharedItems containsBlank="1" count="3">
        <m/>
        <s v="Material"/>
        <s v="FG"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-5" maxValue="3" count="7">
        <m/>
        <n v="-5"/>
        <s v="No"/>
        <s v="Deleted no checking"/>
        <n v="2" u="1"/>
        <n v="3" u="1"/>
        <n v="1" u="1"/>
      </sharedItems>
    </cacheField>
    <cacheField name="Rolling Checking" numFmtId="0">
      <sharedItems containsNonDate="0" containsString="0" containsBlank="1"/>
    </cacheField>
    <cacheField name="Days (Request Date)" numFmtId="0" databaseField="0">
      <fieldGroup base="7">
        <rangePr groupBy="days" startDate="2025-10-10T00:00:00" endDate="2025-12-27T00:00:00"/>
        <groupItems count="368">
          <s v="&lt;10/10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7/2025"/>
        </groupItems>
      </fieldGroup>
    </cacheField>
    <cacheField name="Months (Request Date)" numFmtId="0" databaseField="0">
      <fieldGroup base="7">
        <rangePr groupBy="months" startDate="2025-10-10T00:00:00" endDate="2025-12-27T00:00:00"/>
        <groupItems count="14">
          <s v="&lt;10/10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7/2025"/>
        </groupItems>
      </fieldGroup>
    </cacheField>
    <cacheField name="Months (Availability Date)" numFmtId="0" databaseField="0">
      <fieldGroup base="5">
        <rangePr groupBy="months" startDate="2025-11-08T00:00:00" endDate="2026-04-02T00:00:00"/>
        <groupItems count="14">
          <s v="&lt;11/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/2026"/>
        </groupItems>
      </fieldGroup>
    </cacheField>
    <cacheField name="Quarters (Availability Date)" numFmtId="0" databaseField="0">
      <fieldGroup base="5">
        <rangePr groupBy="quarters" startDate="2025-11-08T00:00:00" endDate="2026-04-02T00:00:00"/>
        <groupItems count="6">
          <s v="&lt;11/8/2025"/>
          <s v="Qtr1"/>
          <s v="Qtr2"/>
          <s v="Qtr3"/>
          <s v="Qtr4"/>
          <s v="&gt;4/2/2026"/>
        </groupItems>
      </fieldGroup>
    </cacheField>
    <cacheField name="Years (Availability Date)" numFmtId="0" databaseField="0">
      <fieldGroup base="5">
        <rangePr groupBy="years" startDate="2025-11-08T00:00:00" endDate="2026-04-02T00:00:00"/>
        <groupItems count="4">
          <s v="&lt;11/8/2025"/>
          <s v="2025"/>
          <s v="2026"/>
          <s v="&gt;4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1">
  <r>
    <m/>
    <m/>
    <m/>
    <x v="0"/>
    <x v="0"/>
    <x v="0"/>
    <m/>
    <x v="0"/>
    <x v="0"/>
    <m/>
    <m/>
    <m/>
    <x v="0"/>
    <m/>
    <x v="0"/>
    <m/>
    <x v="0"/>
    <m/>
  </r>
  <r>
    <n v="80889182"/>
    <s v="H&amp;S SHM 670GX12 Gardedia 2 in 1"/>
    <s v="A668"/>
    <x v="1"/>
    <x v="1"/>
    <x v="1"/>
    <n v="118"/>
    <x v="1"/>
    <x v="1"/>
    <n v="3466249331"/>
    <m/>
    <d v="2025-10-11T00:00:00"/>
    <x v="0"/>
    <n v="0.35825980000000002"/>
    <x v="1"/>
    <s v="Yes"/>
    <x v="1"/>
    <m/>
  </r>
  <r>
    <n v="80889182"/>
    <s v="H&amp;S SHM 670GX12 Gardedia 2 in 1"/>
    <s v="A672"/>
    <x v="1"/>
    <x v="1"/>
    <x v="1"/>
    <n v="433"/>
    <x v="1"/>
    <x v="1"/>
    <n v="3466249332"/>
    <m/>
    <d v="2025-10-11T00:00:00"/>
    <x v="0"/>
    <n v="1.3146313000000001"/>
    <x v="1"/>
    <s v="Yes"/>
    <x v="1"/>
    <m/>
  </r>
  <r>
    <n v="80889182"/>
    <s v="H&amp;S SHM 670GX12 Gardedia 2 in 1"/>
    <s v="A673"/>
    <x v="1"/>
    <x v="1"/>
    <x v="1"/>
    <n v="594"/>
    <x v="1"/>
    <x v="1"/>
    <n v="3466249333"/>
    <m/>
    <d v="2025-10-11T00:00:00"/>
    <x v="0"/>
    <n v="1.8034433999999999"/>
    <x v="1"/>
    <s v="Yes"/>
    <x v="1"/>
    <m/>
  </r>
  <r>
    <n v="80889182"/>
    <s v="H&amp;S SHM 670GX12 Gardedia 2 in 1"/>
    <s v="A680"/>
    <x v="1"/>
    <x v="1"/>
    <x v="1"/>
    <n v="219"/>
    <x v="1"/>
    <x v="1"/>
    <n v="3466249334"/>
    <m/>
    <d v="2025-10-11T00:00:00"/>
    <x v="0"/>
    <n v="0.66490590000000005"/>
    <x v="1"/>
    <s v="Yes"/>
    <x v="1"/>
    <m/>
  </r>
  <r>
    <n v="80889182"/>
    <s v="H&amp;S SHM 670GX12 Gardedia 2 in 1"/>
    <s v="A715"/>
    <x v="1"/>
    <x v="1"/>
    <x v="1"/>
    <n v="60"/>
    <x v="1"/>
    <x v="1"/>
    <n v="3466249335"/>
    <m/>
    <d v="2025-10-11T00:00:00"/>
    <x v="0"/>
    <n v="0.18216599999999999"/>
    <x v="1"/>
    <s v="Yes"/>
    <x v="1"/>
    <m/>
  </r>
  <r>
    <n v="80889182"/>
    <s v="H&amp;S SHM 670GX12 Gardedia 2 in 1"/>
    <s v="A716"/>
    <x v="1"/>
    <x v="1"/>
    <x v="1"/>
    <n v="80"/>
    <x v="1"/>
    <x v="1"/>
    <n v="3466249336"/>
    <m/>
    <d v="2025-10-11T00:00:00"/>
    <x v="0"/>
    <n v="0.24288799999999999"/>
    <x v="1"/>
    <s v="Yes"/>
    <x v="1"/>
    <m/>
  </r>
  <r>
    <n v="80889182"/>
    <s v="H&amp;S SHM 670GX12 Gardedia 2 in 1"/>
    <s v="C816"/>
    <x v="1"/>
    <x v="1"/>
    <x v="1"/>
    <n v="476"/>
    <x v="1"/>
    <x v="1"/>
    <n v="3466249337"/>
    <m/>
    <d v="2025-10-11T00:00:00"/>
    <x v="0"/>
    <n v="1.4451836"/>
    <x v="1"/>
    <s v="Yes"/>
    <x v="1"/>
    <m/>
  </r>
  <r>
    <n v="80889183"/>
    <s v="H&amp;S SHM 670GX12 Apple 2 in 1"/>
    <s v="A668"/>
    <x v="1"/>
    <x v="1"/>
    <x v="1"/>
    <n v="158"/>
    <x v="1"/>
    <x v="1"/>
    <n v="3466249338"/>
    <m/>
    <d v="2025-10-11T00:00:00"/>
    <x v="0"/>
    <n v="0.47970380000000001"/>
    <x v="1"/>
    <s v="Yes"/>
    <x v="1"/>
    <m/>
  </r>
  <r>
    <n v="80889183"/>
    <s v="H&amp;S SHM 670GX12 Apple 2 in 1"/>
    <s v="A672"/>
    <x v="1"/>
    <x v="1"/>
    <x v="1"/>
    <n v="581"/>
    <x v="1"/>
    <x v="1"/>
    <n v="3466249339"/>
    <m/>
    <d v="2025-10-11T00:00:00"/>
    <x v="0"/>
    <n v="1.7639741"/>
    <x v="1"/>
    <s v="Yes"/>
    <x v="1"/>
    <m/>
  </r>
  <r>
    <n v="80889183"/>
    <s v="H&amp;S SHM 670GX12 Apple 2 in 1"/>
    <s v="A673"/>
    <x v="1"/>
    <x v="1"/>
    <x v="1"/>
    <n v="790"/>
    <x v="1"/>
    <x v="1"/>
    <n v="3466249340"/>
    <m/>
    <d v="2025-10-11T00:00:00"/>
    <x v="0"/>
    <n v="2.3985189999999998"/>
    <x v="1"/>
    <s v="Yes"/>
    <x v="1"/>
    <m/>
  </r>
  <r>
    <n v="80889183"/>
    <s v="H&amp;S SHM 670GX12 Apple 2 in 1"/>
    <s v="A680"/>
    <x v="1"/>
    <x v="1"/>
    <x v="1"/>
    <n v="292"/>
    <x v="1"/>
    <x v="1"/>
    <n v="3466249341"/>
    <m/>
    <d v="2025-10-11T00:00:00"/>
    <x v="0"/>
    <n v="0.88654120000000003"/>
    <x v="1"/>
    <s v="Yes"/>
    <x v="1"/>
    <m/>
  </r>
  <r>
    <n v="80889183"/>
    <s v="H&amp;S SHM 670GX12 Apple 2 in 1"/>
    <s v="A715"/>
    <x v="1"/>
    <x v="1"/>
    <x v="1"/>
    <n v="80"/>
    <x v="1"/>
    <x v="1"/>
    <n v="3466249342"/>
    <m/>
    <d v="2025-10-11T00:00:00"/>
    <x v="0"/>
    <n v="0.24288799999999999"/>
    <x v="1"/>
    <s v="Yes"/>
    <x v="1"/>
    <m/>
  </r>
  <r>
    <n v="80889183"/>
    <s v="H&amp;S SHM 670GX12 Apple 2 in 1"/>
    <s v="A716"/>
    <x v="1"/>
    <x v="1"/>
    <x v="1"/>
    <n v="105"/>
    <x v="1"/>
    <x v="1"/>
    <n v="3466249343"/>
    <m/>
    <d v="2025-10-11T00:00:00"/>
    <x v="0"/>
    <n v="0.31879049999999998"/>
    <x v="1"/>
    <s v="Yes"/>
    <x v="1"/>
    <m/>
  </r>
  <r>
    <n v="80889183"/>
    <s v="H&amp;S SHM 670GX12 Apple 2 in 1"/>
    <s v="C816"/>
    <x v="1"/>
    <x v="1"/>
    <x v="1"/>
    <n v="634"/>
    <x v="1"/>
    <x v="1"/>
    <n v="3466249344"/>
    <m/>
    <d v="2025-10-11T00:00:00"/>
    <x v="0"/>
    <n v="1.9248874"/>
    <x v="1"/>
    <s v="Yes"/>
    <x v="1"/>
    <m/>
  </r>
  <r>
    <n v="80889184"/>
    <s v="H&amp;S SHM 360GX12 Gardenia 2 in 1"/>
    <s v="A668"/>
    <x v="1"/>
    <x v="1"/>
    <x v="1"/>
    <n v="149"/>
    <x v="1"/>
    <x v="1"/>
    <n v="3466249345"/>
    <m/>
    <d v="2025-10-11T00:00:00"/>
    <x v="0"/>
    <n v="0.24306369999999999"/>
    <x v="1"/>
    <s v="Yes"/>
    <x v="1"/>
    <m/>
  </r>
  <r>
    <n v="80889184"/>
    <s v="H&amp;S SHM 360GX12 Gardenia 2 in 1"/>
    <s v="A672"/>
    <x v="1"/>
    <x v="1"/>
    <x v="1"/>
    <n v="541"/>
    <x v="1"/>
    <x v="1"/>
    <n v="3466249346"/>
    <m/>
    <d v="2025-10-11T00:00:00"/>
    <x v="0"/>
    <n v="0.88253329999999997"/>
    <x v="1"/>
    <s v="Yes"/>
    <x v="1"/>
    <m/>
  </r>
  <r>
    <n v="80889184"/>
    <s v="H&amp;S SHM 360GX12 Gardenia 2 in 1"/>
    <s v="A673"/>
    <x v="1"/>
    <x v="1"/>
    <x v="1"/>
    <n v="734"/>
    <x v="1"/>
    <x v="1"/>
    <n v="3466249347"/>
    <m/>
    <d v="2025-10-11T00:00:00"/>
    <x v="0"/>
    <n v="1.1973742000000001"/>
    <x v="1"/>
    <s v="Yes"/>
    <x v="1"/>
    <m/>
  </r>
  <r>
    <n v="80889184"/>
    <s v="H&amp;S SHM 360GX12 Gardenia 2 in 1"/>
    <s v="A680"/>
    <x v="1"/>
    <x v="1"/>
    <x v="1"/>
    <n v="271"/>
    <x v="1"/>
    <x v="1"/>
    <n v="3466249348"/>
    <m/>
    <d v="2025-10-11T00:00:00"/>
    <x v="0"/>
    <n v="0.44208229999999998"/>
    <x v="1"/>
    <s v="Yes"/>
    <x v="1"/>
    <m/>
  </r>
  <r>
    <n v="80889184"/>
    <s v="H&amp;S SHM 360GX12 Gardenia 2 in 1"/>
    <s v="A715"/>
    <x v="1"/>
    <x v="1"/>
    <x v="1"/>
    <n v="73"/>
    <x v="1"/>
    <x v="1"/>
    <n v="3466249349"/>
    <m/>
    <d v="2025-10-11T00:00:00"/>
    <x v="0"/>
    <n v="0.11908489999999999"/>
    <x v="1"/>
    <s v="Yes"/>
    <x v="1"/>
    <m/>
  </r>
  <r>
    <n v="80889184"/>
    <s v="H&amp;S SHM 360GX12 Gardenia 2 in 1"/>
    <s v="A716"/>
    <x v="1"/>
    <x v="1"/>
    <x v="1"/>
    <n v="100"/>
    <x v="1"/>
    <x v="1"/>
    <n v="3466249351"/>
    <m/>
    <d v="2025-10-11T00:00:00"/>
    <x v="0"/>
    <n v="0.16313"/>
    <x v="1"/>
    <s v="Yes"/>
    <x v="1"/>
    <m/>
  </r>
  <r>
    <n v="80889184"/>
    <s v="H&amp;S SHM 360GX12 Gardenia 2 in 1"/>
    <s v="C816"/>
    <x v="1"/>
    <x v="1"/>
    <x v="1"/>
    <n v="588"/>
    <x v="1"/>
    <x v="1"/>
    <n v="3466249353"/>
    <m/>
    <d v="2025-10-11T00:00:00"/>
    <x v="0"/>
    <n v="0.95920439999999996"/>
    <x v="1"/>
    <s v="Yes"/>
    <x v="1"/>
    <m/>
  </r>
  <r>
    <n v="80889185"/>
    <s v="H&amp;S SHM 360GX12 Apple 2 in 1"/>
    <s v="A668"/>
    <x v="1"/>
    <x v="1"/>
    <x v="1"/>
    <n v="148"/>
    <x v="1"/>
    <x v="1"/>
    <n v="3466249354"/>
    <m/>
    <d v="2025-10-11T00:00:00"/>
    <x v="0"/>
    <n v="0.24143239999999999"/>
    <x v="1"/>
    <s v="Yes"/>
    <x v="1"/>
    <m/>
  </r>
  <r>
    <n v="80889185"/>
    <s v="H&amp;S SHM 360GX12 Apple 2 in 1"/>
    <s v="A672"/>
    <x v="1"/>
    <x v="1"/>
    <x v="1"/>
    <n v="540"/>
    <x v="1"/>
    <x v="1"/>
    <n v="3466249355"/>
    <m/>
    <d v="2025-10-11T00:00:00"/>
    <x v="0"/>
    <n v="0.88090199999999996"/>
    <x v="1"/>
    <s v="Yes"/>
    <x v="1"/>
    <m/>
  </r>
  <r>
    <n v="80889185"/>
    <s v="H&amp;S SHM 360GX12 Apple 2 in 1"/>
    <s v="A673"/>
    <x v="1"/>
    <x v="1"/>
    <x v="1"/>
    <n v="734"/>
    <x v="1"/>
    <x v="1"/>
    <n v="3466249356"/>
    <m/>
    <d v="2025-10-11T00:00:00"/>
    <x v="0"/>
    <n v="1.1973742000000001"/>
    <x v="1"/>
    <s v="Yes"/>
    <x v="1"/>
    <m/>
  </r>
  <r>
    <n v="80889185"/>
    <s v="H&amp;S SHM 360GX12 Apple 2 in 1"/>
    <s v="A680"/>
    <x v="1"/>
    <x v="1"/>
    <x v="1"/>
    <n v="271"/>
    <x v="1"/>
    <x v="1"/>
    <n v="3466249357"/>
    <m/>
    <d v="2025-10-11T00:00:00"/>
    <x v="0"/>
    <n v="0.44208229999999998"/>
    <x v="1"/>
    <s v="Yes"/>
    <x v="1"/>
    <m/>
  </r>
  <r>
    <n v="80889185"/>
    <s v="H&amp;S SHM 360GX12 Apple 2 in 1"/>
    <s v="A715"/>
    <x v="1"/>
    <x v="1"/>
    <x v="1"/>
    <n v="75"/>
    <x v="1"/>
    <x v="1"/>
    <n v="3466249398"/>
    <m/>
    <d v="2025-10-11T00:00:00"/>
    <x v="0"/>
    <n v="0.1223475"/>
    <x v="1"/>
    <s v="Yes"/>
    <x v="1"/>
    <m/>
  </r>
  <r>
    <n v="80889185"/>
    <s v="H&amp;S SHM 360GX12 Apple 2 in 1"/>
    <s v="A716"/>
    <x v="1"/>
    <x v="1"/>
    <x v="1"/>
    <n v="99"/>
    <x v="1"/>
    <x v="1"/>
    <n v="3466249399"/>
    <m/>
    <d v="2025-10-11T00:00:00"/>
    <x v="0"/>
    <n v="0.1614987"/>
    <x v="1"/>
    <s v="Yes"/>
    <x v="1"/>
    <m/>
  </r>
  <r>
    <n v="80889185"/>
    <s v="H&amp;S SHM 360GX12 Apple 2 in 1"/>
    <s v="C816"/>
    <x v="1"/>
    <x v="1"/>
    <x v="1"/>
    <n v="588"/>
    <x v="1"/>
    <x v="1"/>
    <n v="3466249400"/>
    <m/>
    <d v="2025-10-11T00:00:00"/>
    <x v="0"/>
    <n v="0.95920439999999996"/>
    <x v="1"/>
    <s v="Yes"/>
    <x v="1"/>
    <m/>
  </r>
  <r>
    <n v="80889182"/>
    <s v="H&amp;S SHM 670GX12 Gardedia 2 in 1"/>
    <s v="A668"/>
    <x v="1"/>
    <x v="1"/>
    <x v="2"/>
    <n v="98"/>
    <x v="1"/>
    <x v="1"/>
    <n v="3466249401"/>
    <m/>
    <d v="2025-10-11T00:00:00"/>
    <x v="0"/>
    <n v="0.29753780000000002"/>
    <x v="1"/>
    <s v="Yes"/>
    <x v="2"/>
    <m/>
  </r>
  <r>
    <n v="80889182"/>
    <s v="H&amp;S SHM 670GX12 Gardedia 2 in 1"/>
    <s v="A672"/>
    <x v="1"/>
    <x v="1"/>
    <x v="2"/>
    <n v="361"/>
    <x v="1"/>
    <x v="1"/>
    <n v="3466249402"/>
    <m/>
    <d v="2025-10-11T00:00:00"/>
    <x v="0"/>
    <n v="1.0960321"/>
    <x v="1"/>
    <s v="Yes"/>
    <x v="2"/>
    <m/>
  </r>
  <r>
    <n v="80889182"/>
    <s v="H&amp;S SHM 670GX12 Gardedia 2 in 1"/>
    <s v="A673"/>
    <x v="1"/>
    <x v="1"/>
    <x v="2"/>
    <n v="495"/>
    <x v="1"/>
    <x v="1"/>
    <n v="3466249403"/>
    <m/>
    <d v="2025-10-11T00:00:00"/>
    <x v="0"/>
    <n v="1.5028695000000001"/>
    <x v="1"/>
    <s v="Yes"/>
    <x v="2"/>
    <m/>
  </r>
  <r>
    <n v="80889182"/>
    <s v="H&amp;S SHM 670GX12 Gardedia 2 in 1"/>
    <s v="A680"/>
    <x v="1"/>
    <x v="1"/>
    <x v="2"/>
    <n v="182"/>
    <x v="1"/>
    <x v="1"/>
    <n v="3466249404"/>
    <m/>
    <d v="2025-10-11T00:00:00"/>
    <x v="0"/>
    <n v="0.55257020000000001"/>
    <x v="1"/>
    <s v="Yes"/>
    <x v="2"/>
    <m/>
  </r>
  <r>
    <n v="80889182"/>
    <s v="H&amp;S SHM 670GX12 Gardedia 2 in 1"/>
    <s v="A715"/>
    <x v="1"/>
    <x v="1"/>
    <x v="2"/>
    <n v="50"/>
    <x v="1"/>
    <x v="1"/>
    <n v="3466249405"/>
    <m/>
    <d v="2025-10-11T00:00:00"/>
    <x v="0"/>
    <n v="0.151805"/>
    <x v="1"/>
    <s v="Yes"/>
    <x v="2"/>
    <m/>
  </r>
  <r>
    <n v="80889182"/>
    <s v="H&amp;S SHM 670GX12 Gardedia 2 in 1"/>
    <s v="A716"/>
    <x v="1"/>
    <x v="1"/>
    <x v="2"/>
    <n v="67"/>
    <x v="1"/>
    <x v="1"/>
    <n v="3466249406"/>
    <m/>
    <d v="2025-10-11T00:00:00"/>
    <x v="0"/>
    <n v="0.20341870000000001"/>
    <x v="1"/>
    <s v="Yes"/>
    <x v="2"/>
    <m/>
  </r>
  <r>
    <n v="80889182"/>
    <s v="H&amp;S SHM 670GX12 Gardedia 2 in 1"/>
    <s v="C816"/>
    <x v="1"/>
    <x v="1"/>
    <x v="2"/>
    <n v="397"/>
    <x v="1"/>
    <x v="1"/>
    <n v="3466249407"/>
    <m/>
    <d v="2025-10-11T00:00:00"/>
    <x v="0"/>
    <n v="1.2053316999999999"/>
    <x v="1"/>
    <s v="Yes"/>
    <x v="2"/>
    <m/>
  </r>
  <r>
    <n v="80889183"/>
    <s v="H&amp;S SHM 670GX12 Apple 2 in 1"/>
    <s v="A668"/>
    <x v="1"/>
    <x v="1"/>
    <x v="2"/>
    <n v="138"/>
    <x v="1"/>
    <x v="1"/>
    <n v="3466249408"/>
    <m/>
    <d v="2025-10-11T00:00:00"/>
    <x v="0"/>
    <n v="0.41898180000000002"/>
    <x v="1"/>
    <s v="Yes"/>
    <x v="2"/>
    <m/>
  </r>
  <r>
    <n v="80889183"/>
    <s v="H&amp;S SHM 670GX12 Apple 2 in 1"/>
    <s v="A672"/>
    <x v="1"/>
    <x v="1"/>
    <x v="2"/>
    <n v="508"/>
    <x v="1"/>
    <x v="1"/>
    <n v="3466249409"/>
    <m/>
    <d v="2025-10-11T00:00:00"/>
    <x v="0"/>
    <n v="1.5423388"/>
    <x v="1"/>
    <s v="Yes"/>
    <x v="2"/>
    <m/>
  </r>
  <r>
    <n v="80889183"/>
    <s v="H&amp;S SHM 670GX12 Apple 2 in 1"/>
    <s v="A673"/>
    <x v="1"/>
    <x v="1"/>
    <x v="2"/>
    <n v="691"/>
    <x v="1"/>
    <x v="1"/>
    <n v="3466249410"/>
    <m/>
    <d v="2025-10-11T00:00:00"/>
    <x v="0"/>
    <n v="2.0979451"/>
    <x v="1"/>
    <s v="Yes"/>
    <x v="2"/>
    <m/>
  </r>
  <r>
    <n v="80889183"/>
    <s v="H&amp;S SHM 670GX12 Apple 2 in 1"/>
    <s v="A680"/>
    <x v="1"/>
    <x v="1"/>
    <x v="2"/>
    <n v="255"/>
    <x v="1"/>
    <x v="1"/>
    <n v="3466249411"/>
    <m/>
    <d v="2025-10-11T00:00:00"/>
    <x v="0"/>
    <n v="0.77420549999999999"/>
    <x v="1"/>
    <s v="Yes"/>
    <x v="2"/>
    <m/>
  </r>
  <r>
    <n v="80889183"/>
    <s v="H&amp;S SHM 670GX12 Apple 2 in 1"/>
    <s v="A715"/>
    <x v="1"/>
    <x v="1"/>
    <x v="2"/>
    <n v="70"/>
    <x v="1"/>
    <x v="1"/>
    <n v="3466249413"/>
    <m/>
    <d v="2025-10-11T00:00:00"/>
    <x v="0"/>
    <n v="0.21252699999999999"/>
    <x v="1"/>
    <s v="Yes"/>
    <x v="2"/>
    <m/>
  </r>
  <r>
    <n v="80889183"/>
    <s v="H&amp;S SHM 670GX12 Apple 2 in 1"/>
    <s v="A716"/>
    <x v="1"/>
    <x v="1"/>
    <x v="2"/>
    <n v="92"/>
    <x v="1"/>
    <x v="1"/>
    <n v="3466249414"/>
    <m/>
    <d v="2025-10-11T00:00:00"/>
    <x v="0"/>
    <n v="0.27932119999999999"/>
    <x v="1"/>
    <s v="Yes"/>
    <x v="2"/>
    <m/>
  </r>
  <r>
    <n v="80889183"/>
    <s v="H&amp;S SHM 670GX12 Apple 2 in 1"/>
    <s v="C816"/>
    <x v="1"/>
    <x v="1"/>
    <x v="2"/>
    <n v="555"/>
    <x v="1"/>
    <x v="1"/>
    <n v="3466249415"/>
    <m/>
    <d v="2025-10-11T00:00:00"/>
    <x v="0"/>
    <n v="1.6850354999999999"/>
    <x v="1"/>
    <s v="Yes"/>
    <x v="2"/>
    <m/>
  </r>
  <r>
    <n v="80889184"/>
    <s v="H&amp;S SHM 360GX12 Gardenia 2 in 1"/>
    <s v="A668"/>
    <x v="1"/>
    <x v="1"/>
    <x v="2"/>
    <n v="112"/>
    <x v="1"/>
    <x v="1"/>
    <n v="3466249416"/>
    <m/>
    <d v="2025-10-11T00:00:00"/>
    <x v="0"/>
    <n v="0.1827056"/>
    <x v="1"/>
    <s v="Yes"/>
    <x v="2"/>
    <m/>
  </r>
  <r>
    <n v="80889184"/>
    <s v="H&amp;S SHM 360GX12 Gardenia 2 in 1"/>
    <s v="A672"/>
    <x v="1"/>
    <x v="1"/>
    <x v="2"/>
    <n v="406"/>
    <x v="1"/>
    <x v="1"/>
    <n v="3466249417"/>
    <m/>
    <d v="2025-10-11T00:00:00"/>
    <x v="0"/>
    <n v="0.6623078"/>
    <x v="1"/>
    <s v="Yes"/>
    <x v="2"/>
    <m/>
  </r>
  <r>
    <n v="80889184"/>
    <s v="H&amp;S SHM 360GX12 Gardenia 2 in 1"/>
    <s v="A673"/>
    <x v="1"/>
    <x v="1"/>
    <x v="2"/>
    <n v="551"/>
    <x v="1"/>
    <x v="1"/>
    <n v="3466249418"/>
    <m/>
    <d v="2025-10-11T00:00:00"/>
    <x v="0"/>
    <n v="0.89884629999999999"/>
    <x v="1"/>
    <s v="Yes"/>
    <x v="2"/>
    <m/>
  </r>
  <r>
    <n v="80889184"/>
    <s v="H&amp;S SHM 360GX12 Gardenia 2 in 1"/>
    <s v="A680"/>
    <x v="1"/>
    <x v="1"/>
    <x v="2"/>
    <n v="204"/>
    <x v="1"/>
    <x v="1"/>
    <n v="3466249419"/>
    <m/>
    <d v="2025-10-11T00:00:00"/>
    <x v="0"/>
    <n v="0.3327852"/>
    <x v="1"/>
    <s v="Yes"/>
    <x v="2"/>
    <m/>
  </r>
  <r>
    <n v="80889184"/>
    <s v="H&amp;S SHM 360GX12 Gardenia 2 in 1"/>
    <s v="A715"/>
    <x v="1"/>
    <x v="1"/>
    <x v="2"/>
    <n v="55"/>
    <x v="1"/>
    <x v="1"/>
    <n v="3466249420"/>
    <m/>
    <d v="2025-10-11T00:00:00"/>
    <x v="0"/>
    <n v="8.9721499999999996E-2"/>
    <x v="1"/>
    <s v="Yes"/>
    <x v="2"/>
    <m/>
  </r>
  <r>
    <n v="80889184"/>
    <s v="H&amp;S SHM 360GX12 Gardenia 2 in 1"/>
    <s v="A716"/>
    <x v="1"/>
    <x v="1"/>
    <x v="2"/>
    <n v="75"/>
    <x v="1"/>
    <x v="1"/>
    <n v="3466249422"/>
    <m/>
    <d v="2025-10-11T00:00:00"/>
    <x v="0"/>
    <n v="0.1223475"/>
    <x v="1"/>
    <s v="Yes"/>
    <x v="2"/>
    <m/>
  </r>
  <r>
    <n v="80889184"/>
    <s v="H&amp;S SHM 360GX12 Gardenia 2 in 1"/>
    <s v="C816"/>
    <x v="1"/>
    <x v="1"/>
    <x v="2"/>
    <n v="441"/>
    <x v="1"/>
    <x v="1"/>
    <n v="3466249423"/>
    <m/>
    <d v="2025-10-11T00:00:00"/>
    <x v="0"/>
    <n v="0.71940329999999997"/>
    <x v="1"/>
    <s v="Yes"/>
    <x v="2"/>
    <m/>
  </r>
  <r>
    <n v="80889185"/>
    <s v="H&amp;S SHM 360GX12 Apple 2 in 1"/>
    <s v="A668"/>
    <x v="1"/>
    <x v="1"/>
    <x v="2"/>
    <n v="111"/>
    <x v="1"/>
    <x v="1"/>
    <n v="3466249424"/>
    <m/>
    <d v="2025-10-11T00:00:00"/>
    <x v="0"/>
    <n v="0.18107429999999999"/>
    <x v="1"/>
    <s v="Yes"/>
    <x v="2"/>
    <m/>
  </r>
  <r>
    <n v="80889185"/>
    <s v="H&amp;S SHM 360GX12 Apple 2 in 1"/>
    <s v="A672"/>
    <x v="1"/>
    <x v="1"/>
    <x v="2"/>
    <n v="405"/>
    <x v="1"/>
    <x v="1"/>
    <n v="3466249425"/>
    <m/>
    <d v="2025-10-11T00:00:00"/>
    <x v="0"/>
    <n v="0.6606765"/>
    <x v="1"/>
    <s v="Yes"/>
    <x v="2"/>
    <m/>
  </r>
  <r>
    <n v="80889185"/>
    <s v="H&amp;S SHM 360GX12 Apple 2 in 1"/>
    <s v="A673"/>
    <x v="1"/>
    <x v="1"/>
    <x v="2"/>
    <n v="551"/>
    <x v="1"/>
    <x v="1"/>
    <n v="3466249426"/>
    <m/>
    <d v="2025-10-11T00:00:00"/>
    <x v="0"/>
    <n v="0.89884629999999999"/>
    <x v="1"/>
    <s v="Yes"/>
    <x v="2"/>
    <m/>
  </r>
  <r>
    <n v="80889185"/>
    <s v="H&amp;S SHM 360GX12 Apple 2 in 1"/>
    <s v="A680"/>
    <x v="1"/>
    <x v="1"/>
    <x v="2"/>
    <n v="203"/>
    <x v="1"/>
    <x v="1"/>
    <n v="3466249427"/>
    <m/>
    <d v="2025-10-11T00:00:00"/>
    <x v="0"/>
    <n v="0.3311539"/>
    <x v="1"/>
    <s v="Yes"/>
    <x v="2"/>
    <m/>
  </r>
  <r>
    <n v="80889185"/>
    <s v="H&amp;S SHM 360GX12 Apple 2 in 1"/>
    <s v="A715"/>
    <x v="1"/>
    <x v="1"/>
    <x v="2"/>
    <n v="56"/>
    <x v="1"/>
    <x v="1"/>
    <n v="3466249428"/>
    <m/>
    <d v="2025-10-11T00:00:00"/>
    <x v="0"/>
    <n v="9.1352799999999998E-2"/>
    <x v="1"/>
    <s v="Yes"/>
    <x v="2"/>
    <m/>
  </r>
  <r>
    <n v="80889185"/>
    <s v="H&amp;S SHM 360GX12 Apple 2 in 1"/>
    <s v="A716"/>
    <x v="1"/>
    <x v="1"/>
    <x v="2"/>
    <n v="75"/>
    <x v="1"/>
    <x v="1"/>
    <n v="3466249429"/>
    <m/>
    <d v="2025-10-11T00:00:00"/>
    <x v="0"/>
    <n v="0.1223475"/>
    <x v="1"/>
    <s v="Yes"/>
    <x v="2"/>
    <m/>
  </r>
  <r>
    <n v="80889185"/>
    <s v="H&amp;S SHM 360GX12 Apple 2 in 1"/>
    <s v="C816"/>
    <x v="1"/>
    <x v="1"/>
    <x v="2"/>
    <n v="441"/>
    <x v="1"/>
    <x v="1"/>
    <n v="3466249430"/>
    <m/>
    <d v="2025-10-11T00:00:00"/>
    <x v="0"/>
    <n v="0.71940329999999997"/>
    <x v="1"/>
    <s v="Yes"/>
    <x v="2"/>
    <m/>
  </r>
  <r>
    <n v="80883601"/>
    <s v="REJ SHM 600GX12 Fresh AD+"/>
    <s v="A672"/>
    <x v="2"/>
    <x v="1"/>
    <x v="3"/>
    <n v="2184"/>
    <x v="2"/>
    <x v="2"/>
    <n v="3474596534"/>
    <s v="改打MR quotation"/>
    <d v="2025-10-23T00:00:00"/>
    <x v="1"/>
    <n v="5.9380775999999997"/>
    <x v="1"/>
    <s v="Deleted"/>
    <x v="3"/>
    <m/>
  </r>
  <r>
    <n v="80883601"/>
    <s v="REJ SHM 600GX12 Fresh AD+"/>
    <s v="A673"/>
    <x v="2"/>
    <x v="1"/>
    <x v="3"/>
    <n v="3598"/>
    <x v="2"/>
    <x v="2"/>
    <n v="3474596535"/>
    <s v="改打MR quotation"/>
    <d v="2025-10-23T00:00:00"/>
    <x v="1"/>
    <n v="9.7826021999999995"/>
    <x v="1"/>
    <s v="Deleted"/>
    <x v="3"/>
    <m/>
  </r>
  <r>
    <n v="80883601"/>
    <s v="REJ SHM 600GX12 Fresh AD+"/>
    <s v="C816"/>
    <x v="2"/>
    <x v="1"/>
    <x v="3"/>
    <n v="4901"/>
    <x v="2"/>
    <x v="2"/>
    <n v="3474596536"/>
    <s v="改打MR quotation"/>
    <d v="2025-10-23T00:00:00"/>
    <x v="1"/>
    <n v="13.325328900000001"/>
    <x v="1"/>
    <s v="Deleted"/>
    <x v="3"/>
    <m/>
  </r>
  <r>
    <n v="80883593"/>
    <s v="REJ SHM 600GX12 Nourish AD+"/>
    <s v="A672"/>
    <x v="2"/>
    <x v="1"/>
    <x v="3"/>
    <n v="1179"/>
    <x v="2"/>
    <x v="2"/>
    <n v="3474596537"/>
    <s v="改打MR quotation"/>
    <d v="2025-10-23T00:00:00"/>
    <x v="1"/>
    <n v="3.2055831000000001"/>
    <x v="1"/>
    <s v="Deleted"/>
    <x v="3"/>
    <m/>
  </r>
  <r>
    <n v="80883593"/>
    <s v="REJ SHM 600GX12 Nourish AD+"/>
    <s v="A673"/>
    <x v="2"/>
    <x v="1"/>
    <x v="3"/>
    <n v="2723"/>
    <x v="2"/>
    <x v="2"/>
    <n v="3474596798"/>
    <s v="改打MR quotation"/>
    <d v="2025-10-23T00:00:00"/>
    <x v="1"/>
    <n v="7.4035647000000004"/>
    <x v="1"/>
    <s v="Deleted"/>
    <x v="3"/>
    <m/>
  </r>
  <r>
    <n v="80883593"/>
    <s v="REJ SHM 600GX12 Nourish AD+"/>
    <s v="C816"/>
    <x v="2"/>
    <x v="1"/>
    <x v="3"/>
    <n v="3530"/>
    <x v="2"/>
    <x v="2"/>
    <n v="3474596799"/>
    <s v="改打MR quotation"/>
    <d v="2025-10-23T00:00:00"/>
    <x v="1"/>
    <n v="9.5977169999999994"/>
    <x v="1"/>
    <s v="Deleted"/>
    <x v="3"/>
    <m/>
  </r>
  <r>
    <n v="80883600"/>
    <s v="REJ SHM 1000GX6 Fresh AD+"/>
    <s v="A672"/>
    <x v="2"/>
    <x v="1"/>
    <x v="3"/>
    <n v="1326"/>
    <x v="2"/>
    <x v="2"/>
    <n v="3474596800"/>
    <s v="改打MR quotation"/>
    <d v="2025-10-23T00:00:00"/>
    <x v="1"/>
    <n v="3.0043182000000002"/>
    <x v="1"/>
    <s v="Deleted"/>
    <x v="3"/>
    <m/>
  </r>
  <r>
    <n v="80883600"/>
    <s v="REJ SHM 1000GX6 Fresh AD+"/>
    <s v="A673"/>
    <x v="2"/>
    <x v="1"/>
    <x v="3"/>
    <n v="2183"/>
    <x v="2"/>
    <x v="2"/>
    <n v="3474596801"/>
    <s v="改打MR quotation"/>
    <d v="2025-10-23T00:00:00"/>
    <x v="1"/>
    <n v="4.9460230999999997"/>
    <x v="1"/>
    <s v="Deleted"/>
    <x v="3"/>
    <m/>
  </r>
  <r>
    <n v="80883600"/>
    <s v="REJ SHM 1000GX6 Fresh AD+"/>
    <s v="C816"/>
    <x v="2"/>
    <x v="1"/>
    <x v="3"/>
    <n v="2975"/>
    <x v="2"/>
    <x v="2"/>
    <n v="3474596802"/>
    <s v="改打MR quotation"/>
    <d v="2025-10-23T00:00:00"/>
    <x v="1"/>
    <n v="6.7404574999999998"/>
    <x v="1"/>
    <s v="Deleted"/>
    <x v="3"/>
    <m/>
  </r>
  <r>
    <n v="80883623"/>
    <s v="REJ SHM 1000GX6 Nourish AD+"/>
    <s v="A672"/>
    <x v="2"/>
    <x v="1"/>
    <x v="3"/>
    <n v="935"/>
    <x v="2"/>
    <x v="2"/>
    <n v="3474596803"/>
    <s v="改打MR quotation"/>
    <d v="2025-10-23T00:00:00"/>
    <x v="1"/>
    <n v="2.1184295"/>
    <x v="1"/>
    <s v="Deleted"/>
    <x v="3"/>
    <m/>
  </r>
  <r>
    <n v="80883623"/>
    <s v="REJ SHM 1000GX6 Nourish AD+"/>
    <s v="A673"/>
    <x v="2"/>
    <x v="1"/>
    <x v="3"/>
    <n v="2160"/>
    <x v="2"/>
    <x v="2"/>
    <n v="3474596804"/>
    <s v="改打MR quotation"/>
    <d v="2025-10-23T00:00:00"/>
    <x v="1"/>
    <n v="4.8939120000000003"/>
    <x v="1"/>
    <s v="Deleted"/>
    <x v="3"/>
    <m/>
  </r>
  <r>
    <n v="80883623"/>
    <s v="REJ SHM 1000GX6 Nourish AD+"/>
    <s v="C816"/>
    <x v="2"/>
    <x v="1"/>
    <x v="3"/>
    <n v="2800"/>
    <x v="2"/>
    <x v="2"/>
    <n v="3474596805"/>
    <s v="改打MR quotation"/>
    <d v="2025-10-23T00:00:00"/>
    <x v="1"/>
    <n v="6.34396"/>
    <x v="1"/>
    <s v="Deleted"/>
    <x v="3"/>
    <m/>
  </r>
  <r>
    <n v="80703933"/>
    <s v="海飞丝去屑洗发露幽香馥郁型450G"/>
    <s v="A668"/>
    <x v="3"/>
    <x v="2"/>
    <x v="4"/>
    <n v="772"/>
    <x v="3"/>
    <x v="3"/>
    <n v="3479932178"/>
    <m/>
    <d v="2025-10-31T00:00:00"/>
    <x v="2"/>
    <n v="1.5742624000000001"/>
    <x v="2"/>
    <s v="Deleted"/>
    <x v="3"/>
    <m/>
  </r>
  <r>
    <n v="80703933"/>
    <s v="海飞丝去屑洗发露幽香馥郁型450G"/>
    <s v="A672"/>
    <x v="3"/>
    <x v="2"/>
    <x v="4"/>
    <n v="972"/>
    <x v="3"/>
    <x v="3"/>
    <n v="3479932180"/>
    <m/>
    <d v="2025-10-31T00:00:00"/>
    <x v="2"/>
    <n v="1.9821024"/>
    <x v="2"/>
    <s v="Deleted"/>
    <x v="3"/>
    <m/>
  </r>
  <r>
    <n v="80703933"/>
    <s v="海飞丝去屑洗发露幽香馥郁型450G"/>
    <s v="A673"/>
    <x v="3"/>
    <x v="2"/>
    <x v="4"/>
    <n v="1609"/>
    <x v="3"/>
    <x v="3"/>
    <n v="3479932181"/>
    <m/>
    <d v="2025-10-31T00:00:00"/>
    <x v="2"/>
    <n v="3.2810728"/>
    <x v="2"/>
    <s v="Deleted"/>
    <x v="3"/>
    <m/>
  </r>
  <r>
    <n v="80703933"/>
    <s v="海飞丝去屑洗发露幽香馥郁型450G"/>
    <s v="A680"/>
    <x v="3"/>
    <x v="2"/>
    <x v="4"/>
    <n v="342"/>
    <x v="3"/>
    <x v="3"/>
    <n v="3479932182"/>
    <m/>
    <d v="2025-10-31T00:00:00"/>
    <x v="2"/>
    <n v="0.69740639999999998"/>
    <x v="2"/>
    <s v="Deleted"/>
    <x v="3"/>
    <m/>
  </r>
  <r>
    <n v="80703933"/>
    <s v="海飞丝去屑洗发露幽香馥郁型450G"/>
    <s v="C816"/>
    <x v="3"/>
    <x v="2"/>
    <x v="4"/>
    <n v="830"/>
    <x v="3"/>
    <x v="3"/>
    <n v="3479932183"/>
    <m/>
    <d v="2025-10-31T00:00:00"/>
    <x v="2"/>
    <n v="1.692536"/>
    <x v="2"/>
    <s v="Deleted"/>
    <x v="3"/>
    <m/>
  </r>
  <r>
    <n v="80703933"/>
    <s v="海飞丝去屑洗发露幽香馥郁型450G"/>
    <s v="A715"/>
    <x v="3"/>
    <x v="2"/>
    <x v="4"/>
    <n v="329"/>
    <x v="3"/>
    <x v="3"/>
    <n v="3479932184"/>
    <m/>
    <d v="2025-10-31T00:00:00"/>
    <x v="2"/>
    <n v="0.67089679999999996"/>
    <x v="2"/>
    <s v="Deleted"/>
    <x v="3"/>
    <m/>
  </r>
  <r>
    <n v="80703933"/>
    <s v="海飞丝去屑洗发露幽香馥郁型450G"/>
    <s v="A716"/>
    <x v="3"/>
    <x v="2"/>
    <x v="4"/>
    <n v="201"/>
    <x v="3"/>
    <x v="3"/>
    <n v="3479932185"/>
    <m/>
    <d v="2025-10-31T00:00:00"/>
    <x v="2"/>
    <n v="0.4098792"/>
    <x v="2"/>
    <s v="Deleted"/>
    <x v="3"/>
    <m/>
  </r>
  <r>
    <n v="80879045"/>
    <s v="海飞丝头皮护理控油蓬松型300X3+80X3"/>
    <s v="A668"/>
    <x v="3"/>
    <x v="2"/>
    <x v="4"/>
    <n v="115"/>
    <x v="3"/>
    <x v="3"/>
    <n v="3479932186"/>
    <m/>
    <d v="2025-10-31T00:00:00"/>
    <x v="2"/>
    <n v="0.29703350000000001"/>
    <x v="2"/>
    <s v="Deleted"/>
    <x v="3"/>
    <m/>
  </r>
  <r>
    <n v="80879045"/>
    <s v="海飞丝头皮护理控油蓬松型300X3+80X3"/>
    <s v="A672"/>
    <x v="3"/>
    <x v="2"/>
    <x v="4"/>
    <n v="164"/>
    <x v="3"/>
    <x v="3"/>
    <n v="3479932188"/>
    <m/>
    <d v="2025-10-31T00:00:00"/>
    <x v="2"/>
    <n v="0.42359560000000002"/>
    <x v="2"/>
    <s v="Deleted"/>
    <x v="3"/>
    <m/>
  </r>
  <r>
    <n v="80879045"/>
    <s v="海飞丝头皮护理控油蓬松型300X3+80X3"/>
    <s v="A673"/>
    <x v="3"/>
    <x v="2"/>
    <x v="4"/>
    <n v="255"/>
    <x v="3"/>
    <x v="3"/>
    <n v="3479932189"/>
    <m/>
    <d v="2025-10-31T00:00:00"/>
    <x v="2"/>
    <n v="0.65863950000000004"/>
    <x v="2"/>
    <s v="Deleted"/>
    <x v="3"/>
    <m/>
  </r>
  <r>
    <n v="80879045"/>
    <s v="海飞丝头皮护理控油蓬松型300X3+80X3"/>
    <s v="A680"/>
    <x v="3"/>
    <x v="2"/>
    <x v="4"/>
    <n v="72"/>
    <x v="3"/>
    <x v="3"/>
    <n v="3479932244"/>
    <m/>
    <d v="2025-10-31T00:00:00"/>
    <x v="2"/>
    <n v="0.18596879999999999"/>
    <x v="2"/>
    <s v="Deleted"/>
    <x v="3"/>
    <m/>
  </r>
  <r>
    <n v="80879045"/>
    <s v="海飞丝头皮护理控油蓬松型300X3+80X3"/>
    <s v="C816"/>
    <x v="3"/>
    <x v="2"/>
    <x v="4"/>
    <n v="142"/>
    <x v="3"/>
    <x v="3"/>
    <n v="3479932245"/>
    <m/>
    <d v="2025-10-31T00:00:00"/>
    <x v="2"/>
    <n v="0.36677179999999998"/>
    <x v="2"/>
    <s v="Deleted"/>
    <x v="3"/>
    <m/>
  </r>
  <r>
    <n v="80879045"/>
    <s v="海飞丝头皮护理控油蓬松型300X3+80X3"/>
    <s v="A715"/>
    <x v="3"/>
    <x v="2"/>
    <x v="4"/>
    <n v="54"/>
    <x v="3"/>
    <x v="3"/>
    <n v="3479932246"/>
    <m/>
    <d v="2025-10-31T00:00:00"/>
    <x v="2"/>
    <n v="0.13947660000000001"/>
    <x v="2"/>
    <s v="Deleted"/>
    <x v="3"/>
    <m/>
  </r>
  <r>
    <n v="80879045"/>
    <s v="海飞丝头皮护理控油蓬松型300X3+80X3"/>
    <s v="A716"/>
    <x v="3"/>
    <x v="2"/>
    <x v="4"/>
    <n v="44"/>
    <x v="3"/>
    <x v="3"/>
    <n v="3479932263"/>
    <m/>
    <d v="2025-10-31T00:00:00"/>
    <x v="2"/>
    <n v="0.1136476"/>
    <x v="2"/>
    <s v="Deleted"/>
    <x v="3"/>
    <m/>
  </r>
  <r>
    <n v="80889182"/>
    <s v="H&amp;S SHM 670GX12 Gardedia 2 in 1"/>
    <s v="A668"/>
    <x v="1"/>
    <x v="3"/>
    <x v="5"/>
    <n v="196"/>
    <x v="4"/>
    <x v="1"/>
    <n v="3481906001"/>
    <m/>
    <d v="2025-11-03T00:00:00"/>
    <x v="3"/>
    <n v="0.59507560000000004"/>
    <x v="2"/>
    <s v="Deleted"/>
    <x v="3"/>
    <m/>
  </r>
  <r>
    <n v="80889182"/>
    <s v="H&amp;S SHM 670GX12 Gardedia 2 in 1"/>
    <s v="A672"/>
    <x v="1"/>
    <x v="3"/>
    <x v="5"/>
    <n v="722"/>
    <x v="4"/>
    <x v="1"/>
    <n v="3481906002"/>
    <m/>
    <d v="2025-11-03T00:00:00"/>
    <x v="3"/>
    <n v="2.1920641999999999"/>
    <x v="2"/>
    <s v="Deleted"/>
    <x v="3"/>
    <m/>
  </r>
  <r>
    <n v="80889182"/>
    <s v="H&amp;S SHM 670GX12 Gardedia 2 in 1"/>
    <s v="A673"/>
    <x v="1"/>
    <x v="3"/>
    <x v="5"/>
    <n v="989"/>
    <x v="4"/>
    <x v="1"/>
    <n v="3481906003"/>
    <m/>
    <d v="2025-11-03T00:00:00"/>
    <x v="3"/>
    <n v="3.0027029000000001"/>
    <x v="2"/>
    <s v="Deleted"/>
    <x v="3"/>
    <m/>
  </r>
  <r>
    <n v="80889182"/>
    <s v="H&amp;S SHM 670GX12 Gardedia 2 in 1"/>
    <s v="A680"/>
    <x v="1"/>
    <x v="3"/>
    <x v="5"/>
    <n v="364"/>
    <x v="4"/>
    <x v="1"/>
    <n v="3481906004"/>
    <m/>
    <d v="2025-11-03T00:00:00"/>
    <x v="3"/>
    <n v="1.1051404"/>
    <x v="2"/>
    <s v="Deleted"/>
    <x v="3"/>
    <m/>
  </r>
  <r>
    <n v="80889182"/>
    <s v="H&amp;S SHM 670GX12 Gardedia 2 in 1"/>
    <s v="A715"/>
    <x v="1"/>
    <x v="3"/>
    <x v="5"/>
    <n v="100"/>
    <x v="4"/>
    <x v="1"/>
    <n v="3481906005"/>
    <m/>
    <d v="2025-11-03T00:00:00"/>
    <x v="3"/>
    <n v="0.30360999999999999"/>
    <x v="2"/>
    <s v="Deleted"/>
    <x v="3"/>
    <m/>
  </r>
  <r>
    <n v="80889182"/>
    <s v="H&amp;S SHM 670GX12 Gardedia 2 in 1"/>
    <s v="A716"/>
    <x v="1"/>
    <x v="3"/>
    <x v="5"/>
    <n v="133"/>
    <x v="4"/>
    <x v="1"/>
    <n v="3481906006"/>
    <m/>
    <d v="2025-11-03T00:00:00"/>
    <x v="3"/>
    <n v="0.40380129999999997"/>
    <x v="2"/>
    <s v="Deleted"/>
    <x v="3"/>
    <m/>
  </r>
  <r>
    <n v="80889182"/>
    <s v="H&amp;S SHM 670GX12 Gardedia 2 in 1"/>
    <s v="C816"/>
    <x v="1"/>
    <x v="3"/>
    <x v="5"/>
    <n v="793"/>
    <x v="4"/>
    <x v="1"/>
    <n v="3481906007"/>
    <m/>
    <d v="2025-11-03T00:00:00"/>
    <x v="3"/>
    <n v="2.4076273000000001"/>
    <x v="2"/>
    <s v="Deleted"/>
    <x v="3"/>
    <m/>
  </r>
  <r>
    <n v="80889183"/>
    <s v="H&amp;S SHM 670GX12 Apple 2 in 1"/>
    <s v="A668"/>
    <x v="1"/>
    <x v="3"/>
    <x v="5"/>
    <n v="276"/>
    <x v="4"/>
    <x v="1"/>
    <n v="3481906008"/>
    <m/>
    <d v="2025-11-03T00:00:00"/>
    <x v="3"/>
    <n v="0.83796360000000003"/>
    <x v="2"/>
    <s v="Deleted"/>
    <x v="3"/>
    <m/>
  </r>
  <r>
    <n v="80889183"/>
    <s v="H&amp;S SHM 670GX12 Apple 2 in 1"/>
    <s v="A672"/>
    <x v="1"/>
    <x v="3"/>
    <x v="5"/>
    <n v="1016"/>
    <x v="4"/>
    <x v="1"/>
    <n v="3481906009"/>
    <m/>
    <d v="2025-11-03T00:00:00"/>
    <x v="3"/>
    <n v="3.0846776"/>
    <x v="2"/>
    <s v="Deleted"/>
    <x v="3"/>
    <m/>
  </r>
  <r>
    <n v="80889183"/>
    <s v="H&amp;S SHM 670GX12 Apple 2 in 1"/>
    <s v="A673"/>
    <x v="1"/>
    <x v="3"/>
    <x v="5"/>
    <n v="1382"/>
    <x v="4"/>
    <x v="1"/>
    <n v="3481906010"/>
    <m/>
    <d v="2025-11-03T00:00:00"/>
    <x v="3"/>
    <n v="4.1958902"/>
    <x v="2"/>
    <s v="Deleted"/>
    <x v="3"/>
    <m/>
  </r>
  <r>
    <n v="80889183"/>
    <s v="H&amp;S SHM 670GX12 Apple 2 in 1"/>
    <s v="A680"/>
    <x v="1"/>
    <x v="3"/>
    <x v="5"/>
    <n v="510"/>
    <x v="4"/>
    <x v="1"/>
    <n v="3481906011"/>
    <m/>
    <d v="2025-11-03T00:00:00"/>
    <x v="3"/>
    <n v="1.548411"/>
    <x v="2"/>
    <s v="Deleted"/>
    <x v="3"/>
    <m/>
  </r>
  <r>
    <n v="80889183"/>
    <s v="H&amp;S SHM 670GX12 Apple 2 in 1"/>
    <s v="A715"/>
    <x v="1"/>
    <x v="3"/>
    <x v="5"/>
    <n v="139"/>
    <x v="4"/>
    <x v="1"/>
    <n v="3481906012"/>
    <m/>
    <d v="2025-11-03T00:00:00"/>
    <x v="3"/>
    <n v="0.4220179"/>
    <x v="2"/>
    <s v="Deleted"/>
    <x v="3"/>
    <m/>
  </r>
  <r>
    <n v="80889183"/>
    <s v="H&amp;S SHM 670GX12 Apple 2 in 1"/>
    <s v="A716"/>
    <x v="1"/>
    <x v="3"/>
    <x v="5"/>
    <n v="183"/>
    <x v="4"/>
    <x v="1"/>
    <n v="3481906013"/>
    <m/>
    <d v="2025-11-03T00:00:00"/>
    <x v="3"/>
    <n v="0.5556063"/>
    <x v="2"/>
    <s v="Deleted"/>
    <x v="3"/>
    <m/>
  </r>
  <r>
    <n v="80889183"/>
    <s v="H&amp;S SHM 670GX12 Apple 2 in 1"/>
    <s v="C816"/>
    <x v="1"/>
    <x v="3"/>
    <x v="5"/>
    <n v="1109"/>
    <x v="4"/>
    <x v="1"/>
    <n v="3481906014"/>
    <m/>
    <d v="2025-11-03T00:00:00"/>
    <x v="3"/>
    <n v="3.3670349000000002"/>
    <x v="2"/>
    <s v="Deleted"/>
    <x v="3"/>
    <m/>
  </r>
  <r>
    <n v="80889184"/>
    <s v="H&amp;S SHM 360GX12 Gardenia 2 in 1"/>
    <s v="A668"/>
    <x v="1"/>
    <x v="3"/>
    <x v="5"/>
    <n v="223"/>
    <x v="4"/>
    <x v="1"/>
    <n v="3481906015"/>
    <m/>
    <d v="2025-11-03T00:00:00"/>
    <x v="3"/>
    <n v="0.36377989999999999"/>
    <x v="2"/>
    <s v="Deleted"/>
    <x v="3"/>
    <m/>
  </r>
  <r>
    <n v="80889184"/>
    <s v="H&amp;S SHM 360GX12 Gardenia 2 in 1"/>
    <s v="A672"/>
    <x v="1"/>
    <x v="3"/>
    <x v="5"/>
    <n v="811"/>
    <x v="4"/>
    <x v="1"/>
    <n v="3481906016"/>
    <m/>
    <d v="2025-11-03T00:00:00"/>
    <x v="3"/>
    <n v="1.3229842999999999"/>
    <x v="2"/>
    <s v="Deleted"/>
    <x v="3"/>
    <m/>
  </r>
  <r>
    <n v="80889184"/>
    <s v="H&amp;S SHM 360GX12 Gardenia 2 in 1"/>
    <s v="A673"/>
    <x v="1"/>
    <x v="3"/>
    <x v="5"/>
    <n v="1101"/>
    <x v="4"/>
    <x v="1"/>
    <n v="3481906017"/>
    <m/>
    <d v="2025-11-03T00:00:00"/>
    <x v="3"/>
    <n v="1.7960613000000001"/>
    <x v="2"/>
    <s v="Deleted"/>
    <x v="3"/>
    <m/>
  </r>
  <r>
    <n v="80889184"/>
    <s v="H&amp;S SHM 360GX12 Gardenia 2 in 1"/>
    <s v="A680"/>
    <x v="1"/>
    <x v="3"/>
    <x v="5"/>
    <n v="407"/>
    <x v="4"/>
    <x v="1"/>
    <n v="3481906018"/>
    <m/>
    <d v="2025-11-03T00:00:00"/>
    <x v="3"/>
    <n v="0.6639391"/>
    <x v="2"/>
    <s v="Deleted"/>
    <x v="3"/>
    <m/>
  </r>
  <r>
    <n v="80889184"/>
    <s v="H&amp;S SHM 360GX12 Gardenia 2 in 1"/>
    <s v="A715"/>
    <x v="1"/>
    <x v="3"/>
    <x v="5"/>
    <n v="109"/>
    <x v="4"/>
    <x v="1"/>
    <n v="3481906019"/>
    <m/>
    <d v="2025-11-03T00:00:00"/>
    <x v="3"/>
    <n v="0.17781169999999999"/>
    <x v="2"/>
    <s v="Deleted"/>
    <x v="3"/>
    <m/>
  </r>
  <r>
    <n v="80889184"/>
    <s v="H&amp;S SHM 360GX12 Gardenia 2 in 1"/>
    <s v="A716"/>
    <x v="1"/>
    <x v="3"/>
    <x v="5"/>
    <n v="150"/>
    <x v="4"/>
    <x v="1"/>
    <n v="3481906020"/>
    <m/>
    <d v="2025-11-03T00:00:00"/>
    <x v="3"/>
    <n v="0.244695"/>
    <x v="2"/>
    <s v="Deleted"/>
    <x v="3"/>
    <m/>
  </r>
  <r>
    <n v="80889184"/>
    <s v="H&amp;S SHM 360GX12 Gardenia 2 in 1"/>
    <s v="C816"/>
    <x v="1"/>
    <x v="3"/>
    <x v="5"/>
    <n v="882"/>
    <x v="4"/>
    <x v="1"/>
    <n v="3481906021"/>
    <m/>
    <d v="2025-11-03T00:00:00"/>
    <x v="3"/>
    <n v="1.4388065999999999"/>
    <x v="2"/>
    <s v="Deleted"/>
    <x v="3"/>
    <m/>
  </r>
  <r>
    <n v="80889185"/>
    <s v="H&amp;S SHM 360GX12 Apple 2 in 1"/>
    <s v="A668"/>
    <x v="1"/>
    <x v="3"/>
    <x v="5"/>
    <n v="222"/>
    <x v="4"/>
    <x v="1"/>
    <n v="3481906022"/>
    <m/>
    <d v="2025-11-03T00:00:00"/>
    <x v="3"/>
    <n v="0.36214859999999999"/>
    <x v="2"/>
    <s v="Deleted"/>
    <x v="3"/>
    <m/>
  </r>
  <r>
    <n v="80889185"/>
    <s v="H&amp;S SHM 360GX12 Apple 2 in 1"/>
    <s v="A672"/>
    <x v="1"/>
    <x v="3"/>
    <x v="5"/>
    <n v="810"/>
    <x v="4"/>
    <x v="1"/>
    <n v="3481906023"/>
    <m/>
    <d v="2025-11-03T00:00:00"/>
    <x v="3"/>
    <n v="1.321353"/>
    <x v="2"/>
    <s v="Deleted"/>
    <x v="3"/>
    <m/>
  </r>
  <r>
    <n v="80889185"/>
    <s v="H&amp;S SHM 360GX12 Apple 2 in 1"/>
    <s v="A673"/>
    <x v="1"/>
    <x v="3"/>
    <x v="5"/>
    <n v="1101"/>
    <x v="4"/>
    <x v="1"/>
    <n v="3481906024"/>
    <m/>
    <d v="2025-11-03T00:00:00"/>
    <x v="3"/>
    <n v="1.7960613000000001"/>
    <x v="2"/>
    <s v="Deleted"/>
    <x v="3"/>
    <m/>
  </r>
  <r>
    <n v="80889185"/>
    <s v="H&amp;S SHM 360GX12 Apple 2 in 1"/>
    <s v="A680"/>
    <x v="1"/>
    <x v="3"/>
    <x v="5"/>
    <n v="406"/>
    <x v="4"/>
    <x v="1"/>
    <n v="3481906025"/>
    <m/>
    <d v="2025-11-03T00:00:00"/>
    <x v="3"/>
    <n v="0.6623078"/>
    <x v="2"/>
    <s v="Deleted"/>
    <x v="3"/>
    <m/>
  </r>
  <r>
    <n v="80889185"/>
    <s v="H&amp;S SHM 360GX12 Apple 2 in 1"/>
    <s v="A715"/>
    <x v="1"/>
    <x v="3"/>
    <x v="5"/>
    <n v="112"/>
    <x v="4"/>
    <x v="1"/>
    <n v="3481906026"/>
    <m/>
    <d v="2025-11-03T00:00:00"/>
    <x v="3"/>
    <n v="0.1827056"/>
    <x v="2"/>
    <s v="Deleted"/>
    <x v="3"/>
    <m/>
  </r>
  <r>
    <n v="80889185"/>
    <s v="H&amp;S SHM 360GX12 Apple 2 in 1"/>
    <s v="A716"/>
    <x v="1"/>
    <x v="3"/>
    <x v="5"/>
    <n v="149"/>
    <x v="4"/>
    <x v="1"/>
    <n v="3481906027"/>
    <m/>
    <d v="2025-11-03T00:00:00"/>
    <x v="3"/>
    <n v="0.24306369999999999"/>
    <x v="2"/>
    <s v="Deleted"/>
    <x v="3"/>
    <m/>
  </r>
  <r>
    <n v="80889185"/>
    <s v="H&amp;S SHM 360GX12 Apple 2 in 1"/>
    <s v="C816"/>
    <x v="1"/>
    <x v="3"/>
    <x v="5"/>
    <n v="882"/>
    <x v="4"/>
    <x v="1"/>
    <n v="3481906028"/>
    <m/>
    <d v="2025-11-03T00:00:00"/>
    <x v="3"/>
    <n v="1.4388065999999999"/>
    <x v="2"/>
    <s v="Deleted"/>
    <x v="3"/>
    <m/>
  </r>
  <r>
    <n v="80859232"/>
    <s v="REJ DC AD SH 360gX12"/>
    <s v="A668"/>
    <x v="4"/>
    <x v="1"/>
    <x v="6"/>
    <n v="153"/>
    <x v="4"/>
    <x v="4"/>
    <n v="3481906029"/>
    <m/>
    <d v="2025-11-03T00:00:00"/>
    <x v="4"/>
    <n v="0.2495889"/>
    <x v="1"/>
    <s v="Deleted"/>
    <x v="3"/>
    <m/>
  </r>
  <r>
    <n v="80859232"/>
    <s v="REJ DC AD SH 360gX12"/>
    <s v="A672"/>
    <x v="4"/>
    <x v="1"/>
    <x v="6"/>
    <n v="4340"/>
    <x v="4"/>
    <x v="4"/>
    <n v="3481906030"/>
    <m/>
    <d v="2025-11-03T00:00:00"/>
    <x v="4"/>
    <n v="7.0798420000000002"/>
    <x v="1"/>
    <s v="Deleted"/>
    <x v="3"/>
    <m/>
  </r>
  <r>
    <n v="80859232"/>
    <s v="REJ DC AD SH 360gX12"/>
    <s v="A673"/>
    <x v="4"/>
    <x v="1"/>
    <x v="6"/>
    <n v="4365"/>
    <x v="4"/>
    <x v="4"/>
    <n v="3481906031"/>
    <m/>
    <d v="2025-11-03T00:00:00"/>
    <x v="4"/>
    <n v="7.1206244999999999"/>
    <x v="1"/>
    <s v="Deleted"/>
    <x v="3"/>
    <m/>
  </r>
  <r>
    <n v="80859232"/>
    <s v="REJ DC AD SH 360gX12"/>
    <s v="A680"/>
    <x v="4"/>
    <x v="1"/>
    <x v="6"/>
    <n v="478"/>
    <x v="4"/>
    <x v="4"/>
    <n v="3481906032"/>
    <m/>
    <d v="2025-11-03T00:00:00"/>
    <x v="4"/>
    <n v="0.77976140000000005"/>
    <x v="1"/>
    <s v="Deleted"/>
    <x v="3"/>
    <m/>
  </r>
  <r>
    <n v="80859232"/>
    <s v="REJ DC AD SH 360gX12"/>
    <s v="A715"/>
    <x v="4"/>
    <x v="1"/>
    <x v="6"/>
    <n v="1152"/>
    <x v="4"/>
    <x v="4"/>
    <n v="3481906033"/>
    <m/>
    <d v="2025-11-03T00:00:00"/>
    <x v="4"/>
    <n v="1.8792576000000001"/>
    <x v="1"/>
    <s v="Deleted"/>
    <x v="3"/>
    <m/>
  </r>
  <r>
    <n v="80859232"/>
    <s v="REJ DC AD SH 360gX12"/>
    <s v="C816"/>
    <x v="4"/>
    <x v="1"/>
    <x v="6"/>
    <n v="5272"/>
    <x v="4"/>
    <x v="4"/>
    <n v="3481906034"/>
    <m/>
    <d v="2025-11-03T00:00:00"/>
    <x v="4"/>
    <n v="8.6002136"/>
    <x v="1"/>
    <s v="Deleted"/>
    <x v="3"/>
    <m/>
  </r>
  <r>
    <n v="80815648"/>
    <s v="HS SHM 430GX12 SILKY SOFT"/>
    <s v="A672"/>
    <x v="4"/>
    <x v="1"/>
    <x v="6"/>
    <n v="1057"/>
    <x v="4"/>
    <x v="4"/>
    <n v="3481906071"/>
    <m/>
    <d v="2025-11-03T00:00:00"/>
    <x v="5"/>
    <n v="2.0595645"/>
    <x v="1"/>
    <s v="Deleted"/>
    <x v="3"/>
    <m/>
  </r>
  <r>
    <n v="80815648"/>
    <s v="HS SHM 430GX12 SILKY SOFT"/>
    <s v="A673"/>
    <x v="4"/>
    <x v="1"/>
    <x v="6"/>
    <n v="2017"/>
    <x v="4"/>
    <x v="4"/>
    <n v="3481906072"/>
    <m/>
    <d v="2025-11-03T00:00:00"/>
    <x v="5"/>
    <n v="3.9301244999999998"/>
    <x v="1"/>
    <s v="Deleted"/>
    <x v="3"/>
    <m/>
  </r>
  <r>
    <n v="80815648"/>
    <s v="HS SHM 430GX12 SILKY SOFT"/>
    <s v="A680"/>
    <x v="4"/>
    <x v="1"/>
    <x v="6"/>
    <n v="354"/>
    <x v="4"/>
    <x v="4"/>
    <n v="3481906073"/>
    <m/>
    <d v="2025-11-03T00:00:00"/>
    <x v="5"/>
    <n v="0.68976899999999997"/>
    <x v="1"/>
    <s v="Deleted"/>
    <x v="3"/>
    <m/>
  </r>
  <r>
    <n v="80815648"/>
    <s v="HS SHM 430GX12 SILKY SOFT"/>
    <s v="A715"/>
    <x v="4"/>
    <x v="1"/>
    <x v="6"/>
    <n v="534"/>
    <x v="4"/>
    <x v="4"/>
    <n v="3481906074"/>
    <m/>
    <d v="2025-11-03T00:00:00"/>
    <x v="5"/>
    <n v="1.0404990000000001"/>
    <x v="1"/>
    <s v="Deleted"/>
    <x v="3"/>
    <m/>
  </r>
  <r>
    <n v="80815648"/>
    <s v="HS SHM 430GX12 SILKY SOFT"/>
    <s v="C816"/>
    <x v="4"/>
    <x v="1"/>
    <x v="6"/>
    <n v="4306"/>
    <x v="4"/>
    <x v="4"/>
    <n v="3481906075"/>
    <m/>
    <d v="2025-11-03T00:00:00"/>
    <x v="5"/>
    <n v="8.3902409999999996"/>
    <x v="1"/>
    <s v="Deleted"/>
    <x v="3"/>
    <m/>
  </r>
  <r>
    <n v="80814089"/>
    <s v="HS SHM 200GX24 SILKY SOFT"/>
    <s v="A672"/>
    <x v="4"/>
    <x v="1"/>
    <x v="6"/>
    <n v="2295"/>
    <x v="4"/>
    <x v="4"/>
    <n v="3481906076"/>
    <m/>
    <d v="2025-11-03T00:00:00"/>
    <x v="5"/>
    <n v="4.1596875000000004"/>
    <x v="1"/>
    <s v="Deleted"/>
    <x v="3"/>
    <m/>
  </r>
  <r>
    <n v="80814089"/>
    <s v="HS SHM 200GX24 SILKY SOFT"/>
    <s v="A673"/>
    <x v="4"/>
    <x v="1"/>
    <x v="6"/>
    <n v="1208"/>
    <x v="4"/>
    <x v="4"/>
    <n v="3481906077"/>
    <m/>
    <d v="2025-11-03T00:00:00"/>
    <x v="5"/>
    <n v="2.1894999999999998"/>
    <x v="1"/>
    <s v="Deleted"/>
    <x v="3"/>
    <m/>
  </r>
  <r>
    <n v="80814089"/>
    <s v="HS SHM 200GX24 SILKY SOFT"/>
    <s v="A715"/>
    <x v="4"/>
    <x v="1"/>
    <x v="6"/>
    <n v="750"/>
    <x v="4"/>
    <x v="4"/>
    <n v="3481906098"/>
    <m/>
    <d v="2025-11-03T00:00:00"/>
    <x v="5"/>
    <n v="1.359375"/>
    <x v="1"/>
    <s v="Deleted"/>
    <x v="3"/>
    <m/>
  </r>
  <r>
    <n v="80814089"/>
    <s v="HS SHM 200GX24 SILKY SOFT"/>
    <s v="C816"/>
    <x v="4"/>
    <x v="1"/>
    <x v="6"/>
    <n v="2714"/>
    <x v="4"/>
    <x v="4"/>
    <n v="3481906099"/>
    <m/>
    <d v="2025-11-03T00:00:00"/>
    <x v="5"/>
    <n v="4.9191250000000002"/>
    <x v="1"/>
    <s v="Deleted"/>
    <x v="3"/>
    <m/>
  </r>
  <r>
    <n v="80815643"/>
    <s v="HS SHM 430GX12 MENTHOL COOLING"/>
    <s v="A672"/>
    <x v="4"/>
    <x v="1"/>
    <x v="6"/>
    <n v="888"/>
    <x v="4"/>
    <x v="4"/>
    <n v="3481906100"/>
    <m/>
    <d v="2025-11-03T00:00:00"/>
    <x v="5"/>
    <n v="1.7302679999999999"/>
    <x v="1"/>
    <s v="Deleted"/>
    <x v="3"/>
    <m/>
  </r>
  <r>
    <n v="80815643"/>
    <s v="HS SHM 430GX12 MENTHOL COOLING"/>
    <s v="A673"/>
    <x v="4"/>
    <x v="1"/>
    <x v="6"/>
    <n v="1617"/>
    <x v="4"/>
    <x v="4"/>
    <n v="3481906101"/>
    <m/>
    <d v="2025-11-03T00:00:00"/>
    <x v="5"/>
    <n v="3.1507244999999999"/>
    <x v="1"/>
    <s v="Deleted"/>
    <x v="3"/>
    <m/>
  </r>
  <r>
    <n v="80815643"/>
    <s v="HS SHM 430GX12 MENTHOL COOLING"/>
    <s v="A680"/>
    <x v="4"/>
    <x v="1"/>
    <x v="6"/>
    <n v="400"/>
    <x v="4"/>
    <x v="4"/>
    <n v="3481906102"/>
    <m/>
    <d v="2025-11-03T00:00:00"/>
    <x v="5"/>
    <n v="0.77939999999999998"/>
    <x v="1"/>
    <s v="Deleted"/>
    <x v="3"/>
    <m/>
  </r>
  <r>
    <n v="80815643"/>
    <s v="HS SHM 430GX12 MENTHOL COOLING"/>
    <s v="A715"/>
    <x v="4"/>
    <x v="1"/>
    <x v="6"/>
    <n v="611"/>
    <x v="4"/>
    <x v="4"/>
    <n v="3481906103"/>
    <m/>
    <d v="2025-11-03T00:00:00"/>
    <x v="5"/>
    <n v="1.1905334999999999"/>
    <x v="1"/>
    <s v="Deleted"/>
    <x v="3"/>
    <m/>
  </r>
  <r>
    <n v="80815643"/>
    <s v="HS SHM 430GX12 MENTHOL COOLING"/>
    <s v="C816"/>
    <x v="4"/>
    <x v="1"/>
    <x v="6"/>
    <n v="3120"/>
    <x v="4"/>
    <x v="4"/>
    <n v="3481906104"/>
    <m/>
    <d v="2025-11-03T00:00:00"/>
    <x v="5"/>
    <n v="6.0793200000000001"/>
    <x v="1"/>
    <s v="Deleted"/>
    <x v="3"/>
    <m/>
  </r>
  <r>
    <n v="80814098"/>
    <s v="HS SHM 200GX24 MENTHOL COOLING"/>
    <s v="A672"/>
    <x v="4"/>
    <x v="1"/>
    <x v="6"/>
    <n v="331"/>
    <x v="4"/>
    <x v="4"/>
    <n v="3481906105"/>
    <m/>
    <d v="2025-11-03T00:00:00"/>
    <x v="5"/>
    <n v="0.59993750000000001"/>
    <x v="1"/>
    <s v="Deleted"/>
    <x v="3"/>
    <m/>
  </r>
  <r>
    <n v="80814098"/>
    <s v="HS SHM 200GX24 MENTHOL COOLING"/>
    <s v="A673"/>
    <x v="4"/>
    <x v="1"/>
    <x v="6"/>
    <n v="905"/>
    <x v="4"/>
    <x v="4"/>
    <n v="3481906106"/>
    <m/>
    <d v="2025-11-03T00:00:00"/>
    <x v="5"/>
    <n v="1.6403125000000001"/>
    <x v="1"/>
    <s v="Deleted"/>
    <x v="3"/>
    <m/>
  </r>
  <r>
    <n v="80814098"/>
    <s v="HS SHM 200GX24 MENTHOL COOLING"/>
    <s v="A680"/>
    <x v="4"/>
    <x v="1"/>
    <x v="6"/>
    <n v="414"/>
    <x v="4"/>
    <x v="4"/>
    <n v="3481906107"/>
    <m/>
    <d v="2025-11-03T00:00:00"/>
    <x v="5"/>
    <n v="0.75037500000000001"/>
    <x v="1"/>
    <s v="Deleted"/>
    <x v="3"/>
    <m/>
  </r>
  <r>
    <n v="80814098"/>
    <s v="HS SHM 200GX24 MENTHOL COOLING"/>
    <s v="A715"/>
    <x v="4"/>
    <x v="1"/>
    <x v="6"/>
    <n v="634"/>
    <x v="4"/>
    <x v="4"/>
    <n v="3481906108"/>
    <m/>
    <d v="2025-11-03T00:00:00"/>
    <x v="5"/>
    <n v="1.149125"/>
    <x v="1"/>
    <s v="Deleted"/>
    <x v="3"/>
    <m/>
  </r>
  <r>
    <n v="80814098"/>
    <s v="HS SHM 200GX24 MENTHOL COOLING"/>
    <s v="C816"/>
    <x v="4"/>
    <x v="1"/>
    <x v="6"/>
    <n v="1732"/>
    <x v="4"/>
    <x v="4"/>
    <n v="3481906109"/>
    <m/>
    <d v="2025-11-03T00:00:00"/>
    <x v="5"/>
    <n v="3.1392500000000001"/>
    <x v="1"/>
    <s v="Deleted"/>
    <x v="3"/>
    <m/>
  </r>
  <r>
    <n v="80815642"/>
    <s v="HS SHM 430GX12 LEMON OIL CTRL"/>
    <s v="A672"/>
    <x v="4"/>
    <x v="1"/>
    <x v="6"/>
    <n v="2022"/>
    <x v="4"/>
    <x v="4"/>
    <n v="3481906110"/>
    <m/>
    <d v="2025-11-03T00:00:00"/>
    <x v="5"/>
    <n v="3.939867"/>
    <x v="1"/>
    <s v="Deleted"/>
    <x v="3"/>
    <m/>
  </r>
  <r>
    <n v="80815642"/>
    <s v="HS SHM 430GX12 LEMON OIL CTRL"/>
    <s v="A673"/>
    <x v="4"/>
    <x v="1"/>
    <x v="6"/>
    <n v="3890"/>
    <x v="4"/>
    <x v="4"/>
    <n v="3481906112"/>
    <m/>
    <d v="2025-11-03T00:00:00"/>
    <x v="5"/>
    <n v="7.5796650000000003"/>
    <x v="1"/>
    <s v="Deleted"/>
    <x v="3"/>
    <m/>
  </r>
  <r>
    <n v="80815642"/>
    <s v="HS SHM 430GX12 LEMON OIL CTRL"/>
    <s v="A680"/>
    <x v="4"/>
    <x v="1"/>
    <x v="6"/>
    <n v="272"/>
    <x v="4"/>
    <x v="4"/>
    <n v="3481906113"/>
    <m/>
    <d v="2025-11-03T00:00:00"/>
    <x v="5"/>
    <n v="0.52999200000000002"/>
    <x v="1"/>
    <s v="Deleted"/>
    <x v="3"/>
    <m/>
  </r>
  <r>
    <n v="80815642"/>
    <s v="HS SHM 430GX12 LEMON OIL CTRL"/>
    <s v="A715"/>
    <x v="4"/>
    <x v="1"/>
    <x v="6"/>
    <n v="734"/>
    <x v="4"/>
    <x v="4"/>
    <n v="3481906114"/>
    <m/>
    <d v="2025-11-03T00:00:00"/>
    <x v="5"/>
    <n v="1.430199"/>
    <x v="1"/>
    <s v="Deleted"/>
    <x v="3"/>
    <m/>
  </r>
  <r>
    <n v="80815642"/>
    <s v="HS SHM 430GX12 LEMON OIL CTRL"/>
    <s v="C816"/>
    <x v="4"/>
    <x v="1"/>
    <x v="6"/>
    <n v="2828"/>
    <x v="4"/>
    <x v="4"/>
    <n v="3481906115"/>
    <m/>
    <d v="2025-11-03T00:00:00"/>
    <x v="5"/>
    <n v="5.5103580000000001"/>
    <x v="1"/>
    <s v="Deleted"/>
    <x v="3"/>
    <m/>
  </r>
  <r>
    <n v="80814097"/>
    <s v="HS SHM 200GX24 LEMON OIL CTRL"/>
    <s v="A672"/>
    <x v="4"/>
    <x v="1"/>
    <x v="6"/>
    <n v="2124"/>
    <x v="4"/>
    <x v="4"/>
    <n v="3481906116"/>
    <m/>
    <d v="2025-11-03T00:00:00"/>
    <x v="5"/>
    <n v="3.8497499999999998"/>
    <x v="1"/>
    <s v="Deleted"/>
    <x v="3"/>
    <m/>
  </r>
  <r>
    <n v="80814097"/>
    <s v="HS SHM 200GX24 LEMON OIL CTRL"/>
    <s v="A673"/>
    <x v="4"/>
    <x v="1"/>
    <x v="6"/>
    <n v="2676"/>
    <x v="4"/>
    <x v="4"/>
    <n v="3481906117"/>
    <m/>
    <d v="2025-11-03T00:00:00"/>
    <x v="5"/>
    <n v="4.85025"/>
    <x v="1"/>
    <s v="Deleted"/>
    <x v="3"/>
    <m/>
  </r>
  <r>
    <n v="80814097"/>
    <s v="HS SHM 200GX24 LEMON OIL CTRL"/>
    <s v="A680"/>
    <x v="4"/>
    <x v="1"/>
    <x v="6"/>
    <n v="546"/>
    <x v="4"/>
    <x v="4"/>
    <n v="3481906118"/>
    <m/>
    <d v="2025-11-03T00:00:00"/>
    <x v="5"/>
    <n v="0.98962499999999998"/>
    <x v="1"/>
    <s v="Deleted"/>
    <x v="3"/>
    <m/>
  </r>
  <r>
    <n v="80814097"/>
    <s v="HS SHM 200GX24 LEMON OIL CTRL"/>
    <s v="A715"/>
    <x v="4"/>
    <x v="1"/>
    <x v="6"/>
    <n v="916"/>
    <x v="4"/>
    <x v="4"/>
    <n v="3481906119"/>
    <m/>
    <d v="2025-11-03T00:00:00"/>
    <x v="5"/>
    <n v="1.66025"/>
    <x v="1"/>
    <s v="Deleted"/>
    <x v="3"/>
    <m/>
  </r>
  <r>
    <n v="80814097"/>
    <s v="HS SHM 200GX24 LEMON OIL CTRL"/>
    <s v="C816"/>
    <x v="4"/>
    <x v="1"/>
    <x v="6"/>
    <n v="2174"/>
    <x v="4"/>
    <x v="4"/>
    <n v="3481906120"/>
    <m/>
    <d v="2025-11-03T00:00:00"/>
    <x v="5"/>
    <n v="3.940375"/>
    <x v="1"/>
    <s v="Deleted"/>
    <x v="3"/>
    <m/>
  </r>
  <r>
    <n v="80815644"/>
    <s v="HS SHM 430GX12 DEEP CLEANSING"/>
    <s v="A672"/>
    <x v="4"/>
    <x v="1"/>
    <x v="6"/>
    <n v="821"/>
    <x v="4"/>
    <x v="4"/>
    <n v="3481906121"/>
    <m/>
    <d v="2025-11-03T00:00:00"/>
    <x v="5"/>
    <n v="1.5997185"/>
    <x v="1"/>
    <s v="Deleted"/>
    <x v="3"/>
    <m/>
  </r>
  <r>
    <n v="80815644"/>
    <s v="HS SHM 430GX12 DEEP CLEANSING"/>
    <s v="A673"/>
    <x v="4"/>
    <x v="1"/>
    <x v="6"/>
    <n v="2032"/>
    <x v="4"/>
    <x v="4"/>
    <n v="3481906122"/>
    <m/>
    <d v="2025-11-03T00:00:00"/>
    <x v="5"/>
    <n v="3.959352"/>
    <x v="1"/>
    <s v="Deleted"/>
    <x v="3"/>
    <m/>
  </r>
  <r>
    <n v="80815644"/>
    <s v="HS SHM 430GX12 DEEP CLEANSING"/>
    <s v="A680"/>
    <x v="4"/>
    <x v="1"/>
    <x v="6"/>
    <n v="559"/>
    <x v="4"/>
    <x v="4"/>
    <n v="3481906123"/>
    <m/>
    <d v="2025-11-03T00:00:00"/>
    <x v="5"/>
    <n v="1.0892115"/>
    <x v="1"/>
    <s v="Deleted"/>
    <x v="3"/>
    <m/>
  </r>
  <r>
    <n v="80815644"/>
    <s v="HS SHM 430GX12 DEEP CLEANSING"/>
    <s v="A715"/>
    <x v="4"/>
    <x v="1"/>
    <x v="6"/>
    <n v="395"/>
    <x v="4"/>
    <x v="4"/>
    <n v="3481906124"/>
    <m/>
    <d v="2025-11-03T00:00:00"/>
    <x v="5"/>
    <n v="0.76965749999999999"/>
    <x v="1"/>
    <s v="Deleted"/>
    <x v="3"/>
    <m/>
  </r>
  <r>
    <n v="80815644"/>
    <s v="HS SHM 430GX12 DEEP CLEANSING"/>
    <s v="C816"/>
    <x v="4"/>
    <x v="1"/>
    <x v="6"/>
    <n v="1304"/>
    <x v="4"/>
    <x v="4"/>
    <n v="3481906125"/>
    <m/>
    <d v="2025-11-03T00:00:00"/>
    <x v="5"/>
    <n v="2.5408439999999999"/>
    <x v="1"/>
    <s v="Deleted"/>
    <x v="3"/>
    <m/>
  </r>
  <r>
    <n v="80820460"/>
    <s v="REJ SHM 200gX24 ESS oil"/>
    <s v="A672"/>
    <x v="4"/>
    <x v="1"/>
    <x v="6"/>
    <n v="259"/>
    <x v="4"/>
    <x v="4"/>
    <n v="3481906126"/>
    <m/>
    <d v="2025-11-03T00:00:00"/>
    <x v="5"/>
    <n v="0.46946339999999998"/>
    <x v="1"/>
    <s v="Deleted"/>
    <x v="3"/>
    <m/>
  </r>
  <r>
    <n v="80820460"/>
    <s v="REJ SHM 200gX24 ESS oil"/>
    <s v="A673"/>
    <x v="4"/>
    <x v="1"/>
    <x v="6"/>
    <n v="778"/>
    <x v="4"/>
    <x v="4"/>
    <n v="3481906127"/>
    <m/>
    <d v="2025-11-03T00:00:00"/>
    <x v="5"/>
    <n v="1.4102028"/>
    <x v="1"/>
    <s v="Deleted"/>
    <x v="3"/>
    <m/>
  </r>
  <r>
    <n v="80820460"/>
    <s v="REJ SHM 200gX24 ESS oil"/>
    <s v="A680"/>
    <x v="4"/>
    <x v="1"/>
    <x v="6"/>
    <n v="39"/>
    <x v="4"/>
    <x v="4"/>
    <n v="3481906128"/>
    <m/>
    <d v="2025-11-03T00:00:00"/>
    <x v="5"/>
    <n v="7.0691400000000001E-2"/>
    <x v="1"/>
    <s v="Deleted"/>
    <x v="3"/>
    <m/>
  </r>
  <r>
    <n v="80820460"/>
    <s v="REJ SHM 200gX24 ESS oil"/>
    <s v="A715"/>
    <x v="4"/>
    <x v="1"/>
    <x v="6"/>
    <n v="28"/>
    <x v="4"/>
    <x v="4"/>
    <n v="3481906130"/>
    <m/>
    <d v="2025-11-03T00:00:00"/>
    <x v="5"/>
    <n v="5.0752800000000001E-2"/>
    <x v="1"/>
    <s v="Deleted"/>
    <x v="3"/>
    <m/>
  </r>
  <r>
    <n v="80820460"/>
    <s v="REJ SHM 200gX24 ESS oil"/>
    <s v="C816"/>
    <x v="4"/>
    <x v="1"/>
    <x v="6"/>
    <n v="2229"/>
    <x v="4"/>
    <x v="4"/>
    <n v="3481906131"/>
    <m/>
    <d v="2025-11-03T00:00:00"/>
    <x v="5"/>
    <n v="4.0402854000000001"/>
    <x v="1"/>
    <s v="Deleted"/>
    <x v="3"/>
    <m/>
  </r>
  <r>
    <n v="80820459"/>
    <s v="REJ SHM 400gX12 ESS oil"/>
    <s v="A672"/>
    <x v="4"/>
    <x v="1"/>
    <x v="6"/>
    <n v="166"/>
    <x v="4"/>
    <x v="4"/>
    <n v="3481906132"/>
    <m/>
    <d v="2025-11-03T00:00:00"/>
    <x v="5"/>
    <n v="0.30089159999999998"/>
    <x v="1"/>
    <s v="Deleted"/>
    <x v="3"/>
    <m/>
  </r>
  <r>
    <n v="80820459"/>
    <s v="REJ SHM 400gX12 ESS oil"/>
    <s v="A673"/>
    <x v="4"/>
    <x v="1"/>
    <x v="6"/>
    <n v="1357"/>
    <x v="4"/>
    <x v="4"/>
    <n v="3481906133"/>
    <m/>
    <d v="2025-11-03T00:00:00"/>
    <x v="5"/>
    <n v="2.4596982000000001"/>
    <x v="1"/>
    <s v="Deleted"/>
    <x v="3"/>
    <m/>
  </r>
  <r>
    <n v="80820459"/>
    <s v="REJ SHM 400gX12 ESS oil"/>
    <s v="A680"/>
    <x v="4"/>
    <x v="1"/>
    <x v="6"/>
    <n v="281"/>
    <x v="4"/>
    <x v="4"/>
    <n v="3481906134"/>
    <m/>
    <d v="2025-11-03T00:00:00"/>
    <x v="5"/>
    <n v="0.50934060000000003"/>
    <x v="1"/>
    <s v="Deleted"/>
    <x v="3"/>
    <m/>
  </r>
  <r>
    <n v="80820459"/>
    <s v="REJ SHM 400gX12 ESS oil"/>
    <s v="A715"/>
    <x v="4"/>
    <x v="1"/>
    <x v="6"/>
    <n v="259"/>
    <x v="4"/>
    <x v="4"/>
    <n v="3481906135"/>
    <m/>
    <d v="2025-11-03T00:00:00"/>
    <x v="5"/>
    <n v="0.46946339999999998"/>
    <x v="1"/>
    <s v="Deleted"/>
    <x v="3"/>
    <m/>
  </r>
  <r>
    <n v="80820459"/>
    <s v="REJ SHM 400gX12 ESS oil"/>
    <s v="C816"/>
    <x v="4"/>
    <x v="1"/>
    <x v="6"/>
    <n v="2466"/>
    <x v="4"/>
    <x v="4"/>
    <n v="3481906136"/>
    <m/>
    <d v="2025-11-03T00:00:00"/>
    <x v="5"/>
    <n v="4.4698716000000003"/>
    <x v="1"/>
    <s v="Deleted"/>
    <x v="3"/>
    <m/>
  </r>
  <r>
    <n v="80820462"/>
    <s v="REJ SHM 200GX24 MOISTURE AD"/>
    <s v="A672"/>
    <x v="4"/>
    <x v="1"/>
    <x v="6"/>
    <n v="458"/>
    <x v="4"/>
    <x v="4"/>
    <n v="3481906137"/>
    <m/>
    <d v="2025-11-03T00:00:00"/>
    <x v="5"/>
    <n v="0.83017079999999999"/>
    <x v="1"/>
    <s v="Deleted"/>
    <x v="3"/>
    <m/>
  </r>
  <r>
    <n v="80820462"/>
    <s v="REJ SHM 200GX24 MOISTURE AD"/>
    <s v="A673"/>
    <x v="4"/>
    <x v="1"/>
    <x v="6"/>
    <n v="552"/>
    <x v="4"/>
    <x v="4"/>
    <n v="3481906138"/>
    <m/>
    <d v="2025-11-03T00:00:00"/>
    <x v="5"/>
    <n v="1.0005552"/>
    <x v="1"/>
    <s v="Deleted"/>
    <x v="3"/>
    <m/>
  </r>
  <r>
    <n v="80820462"/>
    <s v="REJ SHM 200GX24 MOISTURE AD"/>
    <s v="A715"/>
    <x v="4"/>
    <x v="1"/>
    <x v="6"/>
    <n v="657"/>
    <x v="4"/>
    <x v="4"/>
    <n v="3481906139"/>
    <m/>
    <d v="2025-11-03T00:00:00"/>
    <x v="5"/>
    <n v="1.1908782"/>
    <x v="1"/>
    <s v="Deleted"/>
    <x v="3"/>
    <m/>
  </r>
  <r>
    <n v="80820462"/>
    <s v="REJ SHM 200GX24 MOISTURE AD"/>
    <s v="C816"/>
    <x v="4"/>
    <x v="1"/>
    <x v="6"/>
    <n v="4231"/>
    <x v="4"/>
    <x v="4"/>
    <n v="3481906140"/>
    <m/>
    <d v="2025-11-03T00:00:00"/>
    <x v="5"/>
    <n v="7.6691105999999998"/>
    <x v="1"/>
    <s v="Deleted"/>
    <x v="3"/>
    <m/>
  </r>
  <r>
    <n v="80820469"/>
    <s v="REJ SHM 400gX12 MOISTURE AD"/>
    <s v="A668"/>
    <x v="4"/>
    <x v="1"/>
    <x v="6"/>
    <n v="110"/>
    <x v="4"/>
    <x v="4"/>
    <n v="3481906141"/>
    <m/>
    <d v="2025-11-03T00:00:00"/>
    <x v="5"/>
    <n v="0.19938600000000001"/>
    <x v="1"/>
    <s v="Deleted"/>
    <x v="3"/>
    <m/>
  </r>
  <r>
    <n v="80820469"/>
    <s v="REJ SHM 400gX12 MOISTURE AD"/>
    <s v="A672"/>
    <x v="4"/>
    <x v="1"/>
    <x v="6"/>
    <n v="22"/>
    <x v="4"/>
    <x v="4"/>
    <n v="3481906142"/>
    <m/>
    <d v="2025-11-03T00:00:00"/>
    <x v="5"/>
    <n v="3.9877200000000002E-2"/>
    <x v="1"/>
    <s v="Deleted"/>
    <x v="3"/>
    <m/>
  </r>
  <r>
    <n v="80820469"/>
    <s v="REJ SHM 400gX12 MOISTURE AD"/>
    <s v="A673"/>
    <x v="4"/>
    <x v="1"/>
    <x v="6"/>
    <n v="1776"/>
    <x v="4"/>
    <x v="4"/>
    <n v="3481906143"/>
    <m/>
    <d v="2025-11-03T00:00:00"/>
    <x v="5"/>
    <n v="3.2191776000000001"/>
    <x v="1"/>
    <s v="Deleted"/>
    <x v="3"/>
    <m/>
  </r>
  <r>
    <n v="80820469"/>
    <s v="REJ SHM 400gX12 MOISTURE AD"/>
    <s v="A680"/>
    <x v="4"/>
    <x v="1"/>
    <x v="6"/>
    <n v="436"/>
    <x v="4"/>
    <x v="4"/>
    <n v="3481906144"/>
    <m/>
    <d v="2025-11-03T00:00:00"/>
    <x v="5"/>
    <n v="0.79029360000000004"/>
    <x v="1"/>
    <s v="Deleted"/>
    <x v="3"/>
    <m/>
  </r>
  <r>
    <n v="80820469"/>
    <s v="REJ SHM 400gX12 MOISTURE AD"/>
    <s v="A715"/>
    <x v="4"/>
    <x v="1"/>
    <x v="6"/>
    <n v="485"/>
    <x v="4"/>
    <x v="4"/>
    <n v="3481906145"/>
    <m/>
    <d v="2025-11-03T00:00:00"/>
    <x v="5"/>
    <n v="0.87911099999999998"/>
    <x v="1"/>
    <s v="Deleted"/>
    <x v="3"/>
    <m/>
  </r>
  <r>
    <n v="80820469"/>
    <s v="REJ SHM 400gX12 MOISTURE AD"/>
    <s v="C816"/>
    <x v="4"/>
    <x v="1"/>
    <x v="6"/>
    <n v="5031"/>
    <x v="4"/>
    <x v="4"/>
    <n v="3481906146"/>
    <m/>
    <d v="2025-11-03T00:00:00"/>
    <x v="5"/>
    <n v="9.1191905999999996"/>
    <x v="1"/>
    <s v="Deleted"/>
    <x v="3"/>
    <m/>
  </r>
  <r>
    <n v="80813636"/>
    <s v="PNT CON 400GX8 MILKY TREATMENT"/>
    <s v="A668"/>
    <x v="4"/>
    <x v="1"/>
    <x v="6"/>
    <n v="80"/>
    <x v="4"/>
    <x v="4"/>
    <n v="3481906147"/>
    <m/>
    <d v="2025-11-03T00:00:00"/>
    <x v="4"/>
    <n v="9.9575999999999998E-2"/>
    <x v="1"/>
    <s v="Deleted"/>
    <x v="3"/>
    <m/>
  </r>
  <r>
    <n v="80813636"/>
    <s v="PNT CON 400GX8 MILKY TREATMENT"/>
    <s v="A672"/>
    <x v="4"/>
    <x v="1"/>
    <x v="6"/>
    <n v="80"/>
    <x v="4"/>
    <x v="4"/>
    <n v="3481906148"/>
    <m/>
    <d v="2025-11-03T00:00:00"/>
    <x v="4"/>
    <n v="9.9575999999999998E-2"/>
    <x v="1"/>
    <s v="Deleted"/>
    <x v="3"/>
    <m/>
  </r>
  <r>
    <n v="80813636"/>
    <s v="PNT CON 400GX8 MILKY TREATMENT"/>
    <s v="A673"/>
    <x v="4"/>
    <x v="1"/>
    <x v="6"/>
    <n v="450"/>
    <x v="4"/>
    <x v="4"/>
    <n v="3481906149"/>
    <m/>
    <d v="2025-11-03T00:00:00"/>
    <x v="4"/>
    <n v="0.56011500000000003"/>
    <x v="1"/>
    <s v="Deleted"/>
    <x v="3"/>
    <m/>
  </r>
  <r>
    <n v="80813636"/>
    <s v="PNT CON 400GX8 MILKY TREATMENT"/>
    <s v="A715"/>
    <x v="4"/>
    <x v="1"/>
    <x v="6"/>
    <n v="112"/>
    <x v="4"/>
    <x v="4"/>
    <n v="3481906150"/>
    <m/>
    <d v="2025-11-03T00:00:00"/>
    <x v="4"/>
    <n v="0.13940640000000001"/>
    <x v="1"/>
    <s v="Deleted"/>
    <x v="3"/>
    <m/>
  </r>
  <r>
    <n v="80813636"/>
    <s v="PNT CON 400GX8 MILKY TREATMENT"/>
    <s v="C816"/>
    <x v="4"/>
    <x v="1"/>
    <x v="6"/>
    <n v="828"/>
    <x v="4"/>
    <x v="4"/>
    <n v="3481906151"/>
    <m/>
    <d v="2025-11-03T00:00:00"/>
    <x v="4"/>
    <n v="1.0306116000000001"/>
    <x v="1"/>
    <s v="Deleted"/>
    <x v="3"/>
    <m/>
  </r>
  <r>
    <n v="80813610"/>
    <s v="PNT SHM 200GX24 MILKY TREATMENT"/>
    <s v="A672"/>
    <x v="4"/>
    <x v="1"/>
    <x v="6"/>
    <n v="265"/>
    <x v="4"/>
    <x v="4"/>
    <n v="3481906152"/>
    <m/>
    <d v="2025-11-03T00:00:00"/>
    <x v="5"/>
    <n v="0.48033900000000002"/>
    <x v="1"/>
    <s v="Deleted"/>
    <x v="3"/>
    <m/>
  </r>
  <r>
    <n v="80813610"/>
    <s v="PNT SHM 200GX24 MILKY TREATMENT"/>
    <s v="A673"/>
    <x v="4"/>
    <x v="1"/>
    <x v="6"/>
    <n v="237"/>
    <x v="4"/>
    <x v="4"/>
    <n v="3481906153"/>
    <m/>
    <d v="2025-11-03T00:00:00"/>
    <x v="5"/>
    <n v="0.42958619999999997"/>
    <x v="1"/>
    <s v="Deleted"/>
    <x v="3"/>
    <m/>
  </r>
  <r>
    <n v="80813610"/>
    <s v="PNT SHM 200GX24 MILKY TREATMENT"/>
    <s v="A715"/>
    <x v="4"/>
    <x v="1"/>
    <x v="6"/>
    <n v="259"/>
    <x v="4"/>
    <x v="4"/>
    <n v="3481906154"/>
    <m/>
    <d v="2025-11-03T00:00:00"/>
    <x v="5"/>
    <n v="0.46946339999999998"/>
    <x v="1"/>
    <s v="Deleted"/>
    <x v="3"/>
    <m/>
  </r>
  <r>
    <n v="80813610"/>
    <s v="PNT SHM 200GX24 MILKY TREATMENT"/>
    <s v="C816"/>
    <x v="4"/>
    <x v="1"/>
    <x v="6"/>
    <n v="1390"/>
    <x v="4"/>
    <x v="4"/>
    <n v="3481906155"/>
    <m/>
    <d v="2025-11-03T00:00:00"/>
    <x v="5"/>
    <n v="2.519514"/>
    <x v="1"/>
    <s v="Deleted"/>
    <x v="3"/>
    <m/>
  </r>
  <r>
    <n v="80813615"/>
    <s v="PNT SHM 400GX12 MILKY TREATMENT"/>
    <s v="A672"/>
    <x v="4"/>
    <x v="1"/>
    <x v="6"/>
    <n v="2350"/>
    <x v="4"/>
    <x v="4"/>
    <n v="3481906156"/>
    <m/>
    <d v="2025-11-03T00:00:00"/>
    <x v="5"/>
    <n v="4.2596100000000003"/>
    <x v="1"/>
    <s v="Deleted"/>
    <x v="3"/>
    <m/>
  </r>
  <r>
    <n v="80813615"/>
    <s v="PNT SHM 400GX12 MILKY TREATMENT"/>
    <s v="A673"/>
    <x v="4"/>
    <x v="1"/>
    <x v="6"/>
    <n v="1545"/>
    <x v="4"/>
    <x v="4"/>
    <n v="3481906157"/>
    <m/>
    <d v="2025-11-03T00:00:00"/>
    <x v="5"/>
    <n v="2.8004669999999998"/>
    <x v="1"/>
    <s v="Deleted"/>
    <x v="3"/>
    <m/>
  </r>
  <r>
    <n v="80813615"/>
    <s v="PNT SHM 400GX12 MILKY TREATMENT"/>
    <s v="A680"/>
    <x v="4"/>
    <x v="1"/>
    <x v="6"/>
    <n v="309"/>
    <x v="4"/>
    <x v="4"/>
    <n v="3481906158"/>
    <m/>
    <d v="2025-11-03T00:00:00"/>
    <x v="5"/>
    <n v="0.56009339999999996"/>
    <x v="1"/>
    <s v="Deleted"/>
    <x v="3"/>
    <m/>
  </r>
  <r>
    <n v="80813615"/>
    <s v="PNT SHM 400GX12 MILKY TREATMENT"/>
    <s v="A715"/>
    <x v="4"/>
    <x v="1"/>
    <x v="6"/>
    <n v="199"/>
    <x v="4"/>
    <x v="4"/>
    <n v="3481906159"/>
    <m/>
    <d v="2025-11-03T00:00:00"/>
    <x v="5"/>
    <n v="0.36070740000000001"/>
    <x v="1"/>
    <s v="Deleted"/>
    <x v="3"/>
    <m/>
  </r>
  <r>
    <n v="80813615"/>
    <s v="PNT SHM 400GX12 MILKY TREATMENT"/>
    <s v="C816"/>
    <x v="4"/>
    <x v="1"/>
    <x v="6"/>
    <n v="1771"/>
    <x v="4"/>
    <x v="4"/>
    <n v="3481906160"/>
    <m/>
    <d v="2025-11-03T00:00:00"/>
    <x v="5"/>
    <n v="3.2101145999999998"/>
    <x v="1"/>
    <s v="Deleted"/>
    <x v="3"/>
    <m/>
  </r>
  <r>
    <n v="80813619"/>
    <s v="PNT SHM 200GX24 SILKY SMOOTH"/>
    <s v="A672"/>
    <x v="4"/>
    <x v="1"/>
    <x v="6"/>
    <n v="337"/>
    <x v="4"/>
    <x v="4"/>
    <n v="3481906161"/>
    <m/>
    <d v="2025-11-03T00:00:00"/>
    <x v="5"/>
    <n v="0.61084620000000001"/>
    <x v="1"/>
    <s v="Deleted"/>
    <x v="3"/>
    <m/>
  </r>
  <r>
    <n v="80813619"/>
    <s v="PNT SHM 200GX24 SILKY SMOOTH"/>
    <s v="A673"/>
    <x v="4"/>
    <x v="1"/>
    <x v="6"/>
    <n v="397"/>
    <x v="4"/>
    <x v="4"/>
    <n v="3481906162"/>
    <m/>
    <d v="2025-11-03T00:00:00"/>
    <x v="5"/>
    <n v="0.71960219999999997"/>
    <x v="1"/>
    <s v="Deleted"/>
    <x v="3"/>
    <m/>
  </r>
  <r>
    <n v="80813619"/>
    <s v="PNT SHM 200GX24 SILKY SMOOTH"/>
    <s v="A715"/>
    <x v="4"/>
    <x v="1"/>
    <x v="6"/>
    <n v="563"/>
    <x v="4"/>
    <x v="4"/>
    <n v="3481906163"/>
    <m/>
    <d v="2025-11-03T00:00:00"/>
    <x v="5"/>
    <n v="1.0204937999999999"/>
    <x v="1"/>
    <s v="Deleted"/>
    <x v="3"/>
    <m/>
  </r>
  <r>
    <n v="80813619"/>
    <s v="PNT SHM 200GX24 SILKY SMOOTH"/>
    <s v="C816"/>
    <x v="4"/>
    <x v="1"/>
    <x v="6"/>
    <n v="2124"/>
    <x v="4"/>
    <x v="4"/>
    <n v="3481906164"/>
    <m/>
    <d v="2025-11-03T00:00:00"/>
    <x v="5"/>
    <n v="3.8499623999999999"/>
    <x v="1"/>
    <s v="Deleted"/>
    <x v="3"/>
    <m/>
  </r>
  <r>
    <n v="80813637"/>
    <s v="PNT SHM 400GX12 SILKY SMOOTH"/>
    <s v="A672"/>
    <x v="4"/>
    <x v="1"/>
    <x v="6"/>
    <n v="993"/>
    <x v="4"/>
    <x v="4"/>
    <n v="3481906165"/>
    <m/>
    <d v="2025-11-03T00:00:00"/>
    <x v="5"/>
    <n v="1.7999118000000001"/>
    <x v="1"/>
    <s v="Deleted"/>
    <x v="3"/>
    <m/>
  </r>
  <r>
    <n v="80813637"/>
    <s v="PNT SHM 400GX12 SILKY SMOOTH"/>
    <s v="A673"/>
    <x v="4"/>
    <x v="1"/>
    <x v="6"/>
    <n v="1451"/>
    <x v="4"/>
    <x v="4"/>
    <n v="3481906166"/>
    <m/>
    <d v="2025-11-03T00:00:00"/>
    <x v="5"/>
    <n v="2.6300826000000002"/>
    <x v="1"/>
    <s v="Deleted"/>
    <x v="3"/>
    <m/>
  </r>
  <r>
    <n v="80813637"/>
    <s v="PNT SHM 400GX12 SILKY SMOOTH"/>
    <s v="A680"/>
    <x v="4"/>
    <x v="1"/>
    <x v="6"/>
    <n v="375"/>
    <x v="4"/>
    <x v="4"/>
    <n v="3481906167"/>
    <m/>
    <d v="2025-11-03T00:00:00"/>
    <x v="5"/>
    <n v="0.67972500000000002"/>
    <x v="1"/>
    <s v="Deleted"/>
    <x v="3"/>
    <m/>
  </r>
  <r>
    <n v="80813637"/>
    <s v="PNT SHM 400GX12 SILKY SMOOTH"/>
    <s v="A715"/>
    <x v="4"/>
    <x v="1"/>
    <x v="6"/>
    <n v="370"/>
    <x v="4"/>
    <x v="4"/>
    <n v="3481906168"/>
    <m/>
    <d v="2025-11-03T00:00:00"/>
    <x v="5"/>
    <n v="0.67066199999999998"/>
    <x v="1"/>
    <s v="Deleted"/>
    <x v="3"/>
    <m/>
  </r>
  <r>
    <n v="80813637"/>
    <s v="PNT SHM 400GX12 SILKY SMOOTH"/>
    <s v="C816"/>
    <x v="4"/>
    <x v="1"/>
    <x v="6"/>
    <n v="1148"/>
    <x v="4"/>
    <x v="4"/>
    <n v="3481906169"/>
    <m/>
    <d v="2025-11-03T00:00:00"/>
    <x v="5"/>
    <n v="2.0808648000000001"/>
    <x v="1"/>
    <s v="Deleted"/>
    <x v="3"/>
    <m/>
  </r>
  <r>
    <n v="80813630"/>
    <s v="PNT CON 400GX8 SILKY SMOOTH"/>
    <s v="A672"/>
    <x v="4"/>
    <x v="1"/>
    <x v="6"/>
    <n v="24"/>
    <x v="4"/>
    <x v="4"/>
    <n v="3481906170"/>
    <m/>
    <d v="2025-11-03T00:00:00"/>
    <x v="4"/>
    <n v="2.9872800000000001E-2"/>
    <x v="1"/>
    <s v="Deleted"/>
    <x v="3"/>
    <m/>
  </r>
  <r>
    <n v="80813630"/>
    <s v="PNT CON 400GX8 SILKY SMOOTH"/>
    <s v="A673"/>
    <x v="4"/>
    <x v="1"/>
    <x v="6"/>
    <n v="747"/>
    <x v="4"/>
    <x v="4"/>
    <n v="3481906171"/>
    <m/>
    <d v="2025-11-03T00:00:00"/>
    <x v="4"/>
    <n v="0.92979089999999998"/>
    <x v="1"/>
    <s v="Deleted"/>
    <x v="3"/>
    <m/>
  </r>
  <r>
    <n v="80813630"/>
    <s v="PNT CON 400GX8 SILKY SMOOTH"/>
    <s v="A680"/>
    <x v="4"/>
    <x v="1"/>
    <x v="6"/>
    <n v="161"/>
    <x v="4"/>
    <x v="4"/>
    <n v="3481906172"/>
    <m/>
    <d v="2025-11-03T00:00:00"/>
    <x v="4"/>
    <n v="0.20039670000000001"/>
    <x v="1"/>
    <s v="Deleted"/>
    <x v="3"/>
    <m/>
  </r>
  <r>
    <n v="80813630"/>
    <s v="PNT CON 400GX8 SILKY SMOOTH"/>
    <s v="A715"/>
    <x v="4"/>
    <x v="1"/>
    <x v="6"/>
    <n v="56"/>
    <x v="4"/>
    <x v="4"/>
    <n v="3481906173"/>
    <m/>
    <d v="2025-11-03T00:00:00"/>
    <x v="4"/>
    <n v="6.9703200000000007E-2"/>
    <x v="1"/>
    <s v="Deleted"/>
    <x v="3"/>
    <m/>
  </r>
  <r>
    <n v="80813630"/>
    <s v="PNT CON 400GX8 SILKY SMOOTH"/>
    <s v="C816"/>
    <x v="4"/>
    <x v="1"/>
    <x v="6"/>
    <n v="803"/>
    <x v="4"/>
    <x v="4"/>
    <n v="3481906174"/>
    <m/>
    <d v="2025-11-03T00:00:00"/>
    <x v="4"/>
    <n v="0.99949410000000005"/>
    <x v="1"/>
    <s v="Deleted"/>
    <x v="3"/>
    <m/>
  </r>
  <r>
    <n v="80813632"/>
    <s v="PNT CON 200GX12 MILKY TREATMENT"/>
    <s v="A672"/>
    <x v="4"/>
    <x v="1"/>
    <x v="6"/>
    <n v="2100"/>
    <x v="4"/>
    <x v="4"/>
    <n v="3481906175"/>
    <m/>
    <d v="2025-11-03T00:00:00"/>
    <x v="4"/>
    <n v="1.96035"/>
    <x v="1"/>
    <s v="Deleted"/>
    <x v="3"/>
    <m/>
  </r>
  <r>
    <n v="80813632"/>
    <s v="PNT CON 200GX12 MILKY TREATMENT"/>
    <s v="A673"/>
    <x v="4"/>
    <x v="1"/>
    <x v="6"/>
    <n v="1521"/>
    <x v="4"/>
    <x v="4"/>
    <n v="3481906176"/>
    <m/>
    <d v="2025-11-03T00:00:00"/>
    <x v="4"/>
    <n v="1.4198535000000001"/>
    <x v="1"/>
    <s v="Deleted"/>
    <x v="3"/>
    <m/>
  </r>
  <r>
    <n v="80813632"/>
    <s v="PNT CON 200GX12 MILKY TREATMENT"/>
    <s v="C816"/>
    <x v="4"/>
    <x v="1"/>
    <x v="6"/>
    <n v="1607"/>
    <x v="4"/>
    <x v="4"/>
    <n v="3481906177"/>
    <m/>
    <d v="2025-11-03T00:00:00"/>
    <x v="4"/>
    <n v="1.5001344999999999"/>
    <x v="1"/>
    <s v="Deleted"/>
    <x v="3"/>
    <m/>
  </r>
  <r>
    <n v="80813617"/>
    <s v="PNT SHM 400g X12 Silky AD (CLMZ II)"/>
    <s v="A672"/>
    <x v="4"/>
    <x v="1"/>
    <x v="6"/>
    <n v="298"/>
    <x v="4"/>
    <x v="4"/>
    <n v="3481906198"/>
    <m/>
    <d v="2025-11-03T00:00:00"/>
    <x v="5"/>
    <n v="0.54015480000000005"/>
    <x v="1"/>
    <s v="Deleted"/>
    <x v="3"/>
    <m/>
  </r>
  <r>
    <n v="80813617"/>
    <s v="PNT SHM 400g X12 Silky AD (CLMZ II)"/>
    <s v="A673"/>
    <x v="4"/>
    <x v="1"/>
    <x v="6"/>
    <n v="447"/>
    <x v="4"/>
    <x v="4"/>
    <n v="3481906199"/>
    <m/>
    <d v="2025-11-03T00:00:00"/>
    <x v="5"/>
    <n v="0.81023219999999996"/>
    <x v="1"/>
    <s v="Deleted"/>
    <x v="3"/>
    <m/>
  </r>
  <r>
    <n v="80813617"/>
    <s v="PNT SHM 400g X12 Silky AD (CLMZ II)"/>
    <s v="A680"/>
    <x v="4"/>
    <x v="1"/>
    <x v="6"/>
    <n v="419"/>
    <x v="4"/>
    <x v="4"/>
    <n v="3481906200"/>
    <m/>
    <d v="2025-11-03T00:00:00"/>
    <x v="5"/>
    <n v="0.75947940000000003"/>
    <x v="1"/>
    <s v="Deleted"/>
    <x v="3"/>
    <m/>
  </r>
  <r>
    <n v="80813617"/>
    <s v="PNT SHM 400g X12 Silky AD (CLMZ II)"/>
    <s v="A715"/>
    <x v="4"/>
    <x v="1"/>
    <x v="6"/>
    <n v="188"/>
    <x v="4"/>
    <x v="4"/>
    <n v="3481906201"/>
    <m/>
    <d v="2025-11-03T00:00:00"/>
    <x v="5"/>
    <n v="0.34076879999999998"/>
    <x v="1"/>
    <s v="Deleted"/>
    <x v="3"/>
    <m/>
  </r>
  <r>
    <n v="80813617"/>
    <s v="PNT SHM 400g X12 Silky AD (CLMZ II)"/>
    <s v="C816"/>
    <x v="4"/>
    <x v="1"/>
    <x v="6"/>
    <n v="2709"/>
    <x v="4"/>
    <x v="4"/>
    <n v="3481906202"/>
    <m/>
    <d v="2025-11-03T00:00:00"/>
    <x v="5"/>
    <n v="4.9103333999999998"/>
    <x v="1"/>
    <s v="Deleted"/>
    <x v="3"/>
    <m/>
  </r>
  <r>
    <n v="80815645"/>
    <s v="HS SHM 430GX12 ANTI ITCH"/>
    <s v="A672"/>
    <x v="4"/>
    <x v="1"/>
    <x v="6"/>
    <n v="1447"/>
    <x v="4"/>
    <x v="4"/>
    <n v="3481906203"/>
    <m/>
    <d v="2025-11-03T00:00:00"/>
    <x v="5"/>
    <n v="2.8194794999999999"/>
    <x v="1"/>
    <s v="Deleted"/>
    <x v="3"/>
    <m/>
  </r>
  <r>
    <n v="80815645"/>
    <s v="HS SHM 430GX12 ANTI ITCH"/>
    <s v="A673"/>
    <x v="4"/>
    <x v="1"/>
    <x v="6"/>
    <n v="3131"/>
    <x v="4"/>
    <x v="4"/>
    <n v="3481906204"/>
    <m/>
    <d v="2025-11-03T00:00:00"/>
    <x v="5"/>
    <n v="6.1007534999999997"/>
    <x v="1"/>
    <s v="Deleted"/>
    <x v="3"/>
    <m/>
  </r>
  <r>
    <n v="80815645"/>
    <s v="HS SHM 430GX12 ANTI ITCH"/>
    <s v="A680"/>
    <x v="4"/>
    <x v="1"/>
    <x v="6"/>
    <n v="559"/>
    <x v="4"/>
    <x v="4"/>
    <n v="3481906205"/>
    <m/>
    <d v="2025-11-03T00:00:00"/>
    <x v="5"/>
    <n v="1.0892115"/>
    <x v="1"/>
    <s v="Deleted"/>
    <x v="3"/>
    <m/>
  </r>
  <r>
    <n v="80815645"/>
    <s v="HS SHM 430GX12 ANTI ITCH"/>
    <s v="A715"/>
    <x v="4"/>
    <x v="1"/>
    <x v="6"/>
    <n v="611"/>
    <x v="4"/>
    <x v="4"/>
    <n v="3481906206"/>
    <m/>
    <d v="2025-11-03T00:00:00"/>
    <x v="5"/>
    <n v="1.1905334999999999"/>
    <x v="1"/>
    <s v="Deleted"/>
    <x v="3"/>
    <m/>
  </r>
  <r>
    <n v="80815645"/>
    <s v="HS SHM 430GX12 ANTI ITCH"/>
    <s v="C816"/>
    <x v="4"/>
    <x v="1"/>
    <x v="6"/>
    <n v="2581"/>
    <x v="4"/>
    <x v="4"/>
    <n v="3481906207"/>
    <m/>
    <d v="2025-11-03T00:00:00"/>
    <x v="5"/>
    <n v="5.0290784999999998"/>
    <x v="1"/>
    <s v="Deleted"/>
    <x v="3"/>
    <m/>
  </r>
  <r>
    <n v="80814084"/>
    <s v="HS SHM 5GX500 SILKY SOFT"/>
    <s v="A668"/>
    <x v="4"/>
    <x v="1"/>
    <x v="6"/>
    <n v="42"/>
    <x v="4"/>
    <x v="4"/>
    <n v="3481906214"/>
    <m/>
    <d v="2025-11-03T00:00:00"/>
    <x v="4"/>
    <n v="3.9648000000000003E-2"/>
    <x v="1"/>
    <s v="Deleted"/>
    <x v="3"/>
    <m/>
  </r>
  <r>
    <n v="80814084"/>
    <s v="HS SHM 5GX500 SILKY SOFT"/>
    <s v="A672"/>
    <x v="4"/>
    <x v="1"/>
    <x v="6"/>
    <n v="318"/>
    <x v="4"/>
    <x v="4"/>
    <n v="3481906215"/>
    <m/>
    <d v="2025-11-03T00:00:00"/>
    <x v="4"/>
    <n v="0.30019200000000001"/>
    <x v="1"/>
    <s v="Deleted"/>
    <x v="3"/>
    <m/>
  </r>
  <r>
    <n v="80814084"/>
    <s v="HS SHM 5GX500 SILKY SOFT"/>
    <s v="A673"/>
    <x v="4"/>
    <x v="1"/>
    <x v="6"/>
    <n v="1208"/>
    <x v="4"/>
    <x v="4"/>
    <n v="3481906216"/>
    <m/>
    <d v="2025-11-03T00:00:00"/>
    <x v="4"/>
    <n v="1.140352"/>
    <x v="1"/>
    <s v="Deleted"/>
    <x v="3"/>
    <m/>
  </r>
  <r>
    <n v="80814084"/>
    <s v="HS SHM 5GX500 SILKY SOFT"/>
    <s v="A715"/>
    <x v="4"/>
    <x v="1"/>
    <x v="6"/>
    <n v="561"/>
    <x v="4"/>
    <x v="4"/>
    <n v="3481906217"/>
    <m/>
    <d v="2025-11-03T00:00:00"/>
    <x v="4"/>
    <n v="0.52958400000000005"/>
    <x v="1"/>
    <s v="Deleted"/>
    <x v="3"/>
    <m/>
  </r>
  <r>
    <n v="80814084"/>
    <s v="HS SHM 5GX500 SILKY SOFT"/>
    <s v="C816"/>
    <x v="4"/>
    <x v="1"/>
    <x v="6"/>
    <n v="4354"/>
    <x v="4"/>
    <x v="4"/>
    <n v="3481906218"/>
    <m/>
    <d v="2025-11-03T00:00:00"/>
    <x v="4"/>
    <n v="4.1101760000000001"/>
    <x v="1"/>
    <s v="Deleted"/>
    <x v="3"/>
    <m/>
  </r>
  <r>
    <n v="80859226"/>
    <s v="REJ DC AD SH 170gX24"/>
    <s v="A672"/>
    <x v="4"/>
    <x v="1"/>
    <x v="6"/>
    <n v="3154"/>
    <x v="4"/>
    <x v="4"/>
    <n v="3481906219"/>
    <m/>
    <d v="2025-11-03T00:00:00"/>
    <x v="4"/>
    <n v="4.8593678000000002"/>
    <x v="1"/>
    <s v="Deleted"/>
    <x v="3"/>
    <m/>
  </r>
  <r>
    <n v="80859226"/>
    <s v="REJ DC AD SH 170gX24"/>
    <s v="A673"/>
    <x v="4"/>
    <x v="1"/>
    <x v="6"/>
    <n v="2953"/>
    <x v="4"/>
    <x v="4"/>
    <n v="3481906220"/>
    <m/>
    <d v="2025-11-03T00:00:00"/>
    <x v="4"/>
    <n v="4.5496870999999999"/>
    <x v="1"/>
    <s v="Deleted"/>
    <x v="3"/>
    <m/>
  </r>
  <r>
    <n v="80859226"/>
    <s v="REJ DC AD SH 170gX24"/>
    <s v="A680"/>
    <x v="4"/>
    <x v="1"/>
    <x v="6"/>
    <n v="338"/>
    <x v="4"/>
    <x v="4"/>
    <n v="3481906221"/>
    <m/>
    <d v="2025-11-03T00:00:00"/>
    <x v="4"/>
    <n v="0.52075660000000001"/>
    <x v="1"/>
    <s v="Deleted"/>
    <x v="3"/>
    <m/>
  </r>
  <r>
    <n v="80859226"/>
    <s v="REJ DC AD SH 170gX24"/>
    <s v="A715"/>
    <x v="4"/>
    <x v="1"/>
    <x v="6"/>
    <n v="2622"/>
    <x v="4"/>
    <x v="4"/>
    <n v="3481906222"/>
    <m/>
    <d v="2025-11-03T00:00:00"/>
    <x v="4"/>
    <n v="4.0397154000000004"/>
    <x v="1"/>
    <s v="Deleted"/>
    <x v="3"/>
    <m/>
  </r>
  <r>
    <n v="80859226"/>
    <s v="REJ DC AD SH 170gX24"/>
    <s v="C816"/>
    <x v="4"/>
    <x v="1"/>
    <x v="6"/>
    <n v="4323"/>
    <x v="4"/>
    <x v="4"/>
    <n v="3481906223"/>
    <m/>
    <d v="2025-11-03T00:00:00"/>
    <x v="4"/>
    <n v="6.6604460999999997"/>
    <x v="1"/>
    <s v="Deleted"/>
    <x v="3"/>
    <m/>
  </r>
  <r>
    <n v="80813622"/>
    <s v="PNT SHM 500GX12 MILKY TREATMENT"/>
    <s v="C816"/>
    <x v="4"/>
    <x v="1"/>
    <x v="6"/>
    <n v="179"/>
    <x v="4"/>
    <x v="4"/>
    <n v="3481906290"/>
    <m/>
    <d v="2025-11-03T00:00:00"/>
    <x v="4"/>
    <n v="0.42934939999999999"/>
    <x v="1"/>
    <s v="Deleted"/>
    <x v="3"/>
    <m/>
  </r>
  <r>
    <n v="80813616"/>
    <s v="PNT SHM 500GX12 SILKY SMOOTH"/>
    <s v="C816"/>
    <x v="4"/>
    <x v="1"/>
    <x v="6"/>
    <n v="26"/>
    <x v="4"/>
    <x v="4"/>
    <n v="3481906292"/>
    <m/>
    <d v="2025-11-03T00:00:00"/>
    <x v="4"/>
    <n v="5.8908200000000001E-2"/>
    <x v="1"/>
    <s v="Deleted"/>
    <x v="3"/>
    <m/>
  </r>
  <r>
    <n v="80823143"/>
    <s v="PNT Milky CN(400X2)GX4"/>
    <s v="A716"/>
    <x v="4"/>
    <x v="1"/>
    <x v="6"/>
    <n v="40"/>
    <x v="4"/>
    <x v="4"/>
    <n v="3481906293"/>
    <m/>
    <d v="2025-11-03T00:00:00"/>
    <x v="4"/>
    <n v="4.9787999999999999E-2"/>
    <x v="1"/>
    <s v="Deleted"/>
    <x v="3"/>
    <m/>
  </r>
  <r>
    <n v="80859232"/>
    <s v="REJ DC AD SH 360gX12"/>
    <s v="A672"/>
    <x v="5"/>
    <x v="3"/>
    <x v="7"/>
    <n v="828.43146531033199"/>
    <x v="5"/>
    <x v="5"/>
    <n v="3483246363"/>
    <m/>
    <d v="2025-11-05T00:00:00"/>
    <x v="6"/>
    <n v="1.3514202493607446"/>
    <x v="2"/>
    <s v="Deleted"/>
    <x v="3"/>
    <m/>
  </r>
  <r>
    <n v="80815648"/>
    <s v="HS SHM 430GX12 SILKY SOFT"/>
    <s v="A672"/>
    <x v="5"/>
    <x v="3"/>
    <x v="7"/>
    <n v="1805.5018381677601"/>
    <x v="5"/>
    <x v="5"/>
    <n v="3483246368"/>
    <m/>
    <d v="2025-11-05T00:00:00"/>
    <x v="6"/>
    <n v="3.5180203316698804"/>
    <x v="2"/>
    <s v="Deleted"/>
    <x v="3"/>
    <m/>
  </r>
  <r>
    <n v="80815643"/>
    <s v="HS SHM 430GX12 MENTHOL COOLING"/>
    <s v="A672"/>
    <x v="5"/>
    <x v="3"/>
    <x v="7"/>
    <n v="1286.96399165562"/>
    <x v="5"/>
    <x v="5"/>
    <n v="3483246369"/>
    <m/>
    <d v="2025-11-05T00:00:00"/>
    <x v="6"/>
    <n v="2.5076493377409754"/>
    <x v="2"/>
    <s v="Deleted"/>
    <x v="3"/>
    <m/>
  </r>
  <r>
    <n v="80815642"/>
    <s v="HS SHM 430GX12 LEMON OIL CTRL"/>
    <s v="A672"/>
    <x v="5"/>
    <x v="3"/>
    <x v="7"/>
    <n v="1905.2694962236901"/>
    <x v="5"/>
    <x v="5"/>
    <n v="3483246370"/>
    <m/>
    <d v="2025-11-05T00:00:00"/>
    <x v="6"/>
    <n v="3.7124176133918603"/>
    <x v="2"/>
    <s v="Deleted"/>
    <x v="3"/>
    <m/>
  </r>
  <r>
    <n v="80815644"/>
    <s v="HS SHM 430GX12 DEEP CLEANSING"/>
    <s v="A672"/>
    <x v="5"/>
    <x v="3"/>
    <x v="7"/>
    <n v="863.38457237693797"/>
    <x v="5"/>
    <x v="5"/>
    <n v="3483246371"/>
    <m/>
    <d v="2025-11-05T00:00:00"/>
    <x v="6"/>
    <n v="1.6823048392764637"/>
    <x v="2"/>
    <s v="Deleted"/>
    <x v="3"/>
    <m/>
  </r>
  <r>
    <n v="80815645"/>
    <s v="HS SHM 430GX12 ANTI ITCH"/>
    <s v="A672"/>
    <x v="5"/>
    <x v="3"/>
    <x v="7"/>
    <n v="1318.3672810631699"/>
    <x v="5"/>
    <x v="5"/>
    <n v="3483246372"/>
    <m/>
    <d v="2025-11-05T00:00:00"/>
    <x v="6"/>
    <n v="2.5688386471515865"/>
    <x v="2"/>
    <s v="Deleted"/>
    <x v="3"/>
    <m/>
  </r>
  <r>
    <n v="80859226"/>
    <s v="REJ DC AD SH 170gX24"/>
    <s v="A672"/>
    <x v="5"/>
    <x v="3"/>
    <x v="7"/>
    <n v="1735.2032634771399"/>
    <x v="5"/>
    <x v="5"/>
    <n v="3483246373"/>
    <m/>
    <d v="2025-11-05T00:00:00"/>
    <x v="6"/>
    <n v="2.6734276680392295"/>
    <x v="2"/>
    <s v="Deleted"/>
    <x v="3"/>
    <m/>
  </r>
  <r>
    <n v="80849337"/>
    <s v="PTN SHM 470gX12 3MM DMR"/>
    <s v="A673"/>
    <x v="6"/>
    <x v="4"/>
    <x v="6"/>
    <n v="2215"/>
    <x v="6"/>
    <x v="6"/>
    <n v="3484562989"/>
    <m/>
    <d v="2025-11-07T00:00:00"/>
    <x v="7"/>
    <n v="4.7175070000000003"/>
    <x v="2"/>
    <s v="Deleted"/>
    <x v="3"/>
    <m/>
  </r>
  <r>
    <n v="80854035"/>
    <s v="PTN COND 70MLX24 3MM DMR"/>
    <s v="A673"/>
    <x v="6"/>
    <x v="4"/>
    <x v="6"/>
    <n v="1108"/>
    <x v="6"/>
    <x v="6"/>
    <n v="3484562992"/>
    <m/>
    <d v="2025-11-07T00:00:00"/>
    <x v="7"/>
    <n v="0.72396720000000003"/>
    <x v="2"/>
    <s v="Deleted"/>
    <x v="3"/>
    <m/>
  </r>
  <r>
    <n v="80854030"/>
    <s v="PTN CON 180MLX12 3MM TDC CN LOCAL"/>
    <s v="A673"/>
    <x v="6"/>
    <x v="4"/>
    <x v="6"/>
    <n v="2110"/>
    <x v="6"/>
    <x v="6"/>
    <n v="3484562994"/>
    <m/>
    <d v="2025-11-07T00:00:00"/>
    <x v="7"/>
    <n v="1.7726109999999999"/>
    <x v="2"/>
    <s v="Deleted"/>
    <x v="3"/>
    <m/>
  </r>
  <r>
    <n v="80854034"/>
    <s v="PTN COND 40MLX24 3MM TDC"/>
    <s v="A673"/>
    <x v="6"/>
    <x v="4"/>
    <x v="6"/>
    <n v="1055"/>
    <x v="6"/>
    <x v="6"/>
    <n v="3484562995"/>
    <m/>
    <d v="2025-11-07T00:00:00"/>
    <x v="7"/>
    <n v="0.39393699999999998"/>
    <x v="2"/>
    <s v="Deleted"/>
    <x v="3"/>
    <m/>
  </r>
  <r>
    <n v="80799279"/>
    <s v="PTN SHM 470gX12 TDC"/>
    <s v="C816"/>
    <x v="7"/>
    <x v="3"/>
    <x v="8"/>
    <n v="4200"/>
    <x v="6"/>
    <x v="4"/>
    <n v="3484562997"/>
    <m/>
    <d v="2025-11-07T00:00:00"/>
    <x v="8"/>
    <n v="8.9451599999999996"/>
    <x v="2"/>
    <s v="Deleted"/>
    <x v="3"/>
    <m/>
  </r>
  <r>
    <n v="80823133"/>
    <s v="潘婷PRO-V丝质400g洗+200g护优惠装"/>
    <s v="A672"/>
    <x v="8"/>
    <x v="3"/>
    <x v="9"/>
    <n v="2000"/>
    <x v="7"/>
    <x v="7"/>
    <n v="3487714235"/>
    <s v="BP已pass CM, 已反应系统"/>
    <d v="2025-11-12T00:00:00"/>
    <x v="1"/>
    <n v="5.4922000000000004"/>
    <x v="2"/>
    <s v="Deleted"/>
    <x v="3"/>
    <m/>
  </r>
  <r>
    <n v="80823132"/>
    <s v="潘婷乳液400g洗+200g护优惠装"/>
    <s v="A672"/>
    <x v="8"/>
    <x v="3"/>
    <x v="9"/>
    <n v="3000"/>
    <x v="7"/>
    <x v="7"/>
    <n v="3487714236"/>
    <s v="BP已pass CM, 已反应系统"/>
    <d v="2025-11-12T00:00:00"/>
    <x v="1"/>
    <n v="8.2383000000000006"/>
    <x v="2"/>
    <s v="Deleted"/>
    <x v="3"/>
    <m/>
  </r>
  <r>
    <n v="80859237"/>
    <s v="REJ DC AD SH 1000gX12"/>
    <s v="C816"/>
    <x v="9"/>
    <x v="3"/>
    <x v="9"/>
    <n v="726"/>
    <x v="7"/>
    <x v="5"/>
    <n v="3487714237"/>
    <s v="调整qty和时间"/>
    <d v="2025-11-12T00:00:00"/>
    <x v="1"/>
    <n v="3.2898689999999999"/>
    <x v="2"/>
    <s v="Deleted"/>
    <x v="3"/>
    <m/>
  </r>
  <r>
    <n v="80859237"/>
    <s v="REJ DC AD SH 1000gX12"/>
    <s v="A672"/>
    <x v="9"/>
    <x v="3"/>
    <x v="9"/>
    <n v="1104"/>
    <x v="7"/>
    <x v="5"/>
    <n v="3487715318"/>
    <s v="调整qty和时间"/>
    <d v="2025-11-12T00:00:00"/>
    <x v="1"/>
    <n v="5.0027759999999999"/>
    <x v="2"/>
    <s v="Deleted"/>
    <x v="3"/>
    <m/>
  </r>
  <r>
    <n v="80859237"/>
    <s v="REJ DC AD SH 1000gX12"/>
    <s v="A673"/>
    <x v="9"/>
    <x v="3"/>
    <x v="9"/>
    <n v="1556"/>
    <x v="7"/>
    <x v="5"/>
    <n v="3487715319"/>
    <s v="调整qty和时间"/>
    <d v="2025-11-12T00:00:00"/>
    <x v="1"/>
    <n v="7.0510140000000003"/>
    <x v="2"/>
    <s v="Deleted"/>
    <x v="3"/>
    <m/>
  </r>
  <r>
    <n v="80859239"/>
    <s v="REJ DC AD SH 750gX12"/>
    <s v="C816"/>
    <x v="9"/>
    <x v="3"/>
    <x v="9"/>
    <n v="1489"/>
    <x v="7"/>
    <x v="5"/>
    <n v="3487715323"/>
    <m/>
    <d v="2025-11-12T00:00:00"/>
    <x v="6"/>
    <n v="5.0605153999999999"/>
    <x v="2"/>
    <s v="Deleted"/>
    <x v="3"/>
    <m/>
  </r>
  <r>
    <n v="80859239"/>
    <s v="REJ DC AD SH 750gX12"/>
    <s v="A672"/>
    <x v="9"/>
    <x v="3"/>
    <x v="9"/>
    <n v="2265"/>
    <x v="7"/>
    <x v="5"/>
    <n v="3487715324"/>
    <m/>
    <d v="2025-11-12T00:00:00"/>
    <x v="6"/>
    <n v="7.6978289999999996"/>
    <x v="2"/>
    <s v="Deleted"/>
    <x v="3"/>
    <m/>
  </r>
  <r>
    <n v="80859239"/>
    <s v="REJ DC AD SH 750gX12"/>
    <s v="A673"/>
    <x v="9"/>
    <x v="3"/>
    <x v="9"/>
    <n v="3191"/>
    <x v="7"/>
    <x v="5"/>
    <n v="3487715325"/>
    <m/>
    <d v="2025-11-12T00:00:00"/>
    <x v="6"/>
    <n v="10.8449326"/>
    <x v="2"/>
    <s v="Deleted"/>
    <x v="3"/>
    <m/>
  </r>
  <r>
    <n v="80773752"/>
    <s v="HS SHM 470GX12 PRO OIL CONTROL&amp;DETOX"/>
    <s v="A673"/>
    <x v="10"/>
    <x v="4"/>
    <x v="10"/>
    <n v="4300"/>
    <x v="8"/>
    <x v="6"/>
    <n v="3491054689"/>
    <s v="更改MR 类型"/>
    <d v="2025-11-17T00:00:00"/>
    <x v="9"/>
    <n v="9.1581399999999995"/>
    <x v="2"/>
    <s v="Deleted"/>
    <x v="3"/>
    <m/>
  </r>
  <r>
    <n v="80773752"/>
    <s v="HS SHM 470GX12 PRO OIL CONTROL&amp;DETOX"/>
    <s v="C810"/>
    <x v="10"/>
    <x v="4"/>
    <x v="10"/>
    <n v="3000"/>
    <x v="8"/>
    <x v="6"/>
    <n v="3491054690"/>
    <m/>
    <d v="2025-11-17T00:00:00"/>
    <x v="10"/>
    <n v="6.3894000000000002"/>
    <x v="2"/>
    <s v="Deleted"/>
    <x v="3"/>
    <m/>
  </r>
  <r>
    <n v="80864679"/>
    <s v="HR SHM 530GX9 UKA Anti-breakage"/>
    <s v="A673"/>
    <x v="10"/>
    <x v="4"/>
    <x v="10"/>
    <n v="8900"/>
    <x v="8"/>
    <x v="6"/>
    <n v="3491054691"/>
    <s v="更改MR 类型和时间"/>
    <d v="2025-11-17T00:00:00"/>
    <x v="9"/>
    <n v="16.031569999999999"/>
    <x v="2"/>
    <s v="Deleted"/>
    <x v="3"/>
    <m/>
  </r>
  <r>
    <n v="80883601"/>
    <s v="REJ SHM 600GX12 Fresh AD+"/>
    <s v="A673"/>
    <x v="2"/>
    <x v="3"/>
    <x v="11"/>
    <n v="792"/>
    <x v="8"/>
    <x v="2"/>
    <n v="3491054692"/>
    <m/>
    <d v="2025-11-17T00:00:00"/>
    <x v="11"/>
    <n v="2.1533688"/>
    <x v="2"/>
    <s v="Deleted"/>
    <x v="3"/>
    <m/>
  </r>
  <r>
    <n v="80883601"/>
    <s v="REJ SHM 600GX12 Fresh AD+"/>
    <s v="A672"/>
    <x v="2"/>
    <x v="3"/>
    <x v="11"/>
    <n v="481"/>
    <x v="8"/>
    <x v="2"/>
    <n v="3491054693"/>
    <m/>
    <d v="2025-11-17T00:00:00"/>
    <x v="11"/>
    <n v="1.3077909000000001"/>
    <x v="2"/>
    <s v="Deleted"/>
    <x v="3"/>
    <m/>
  </r>
  <r>
    <n v="80883601"/>
    <s v="REJ SHM 600GX12 Fresh AD+"/>
    <s v="C816"/>
    <x v="2"/>
    <x v="3"/>
    <x v="11"/>
    <n v="1079"/>
    <x v="8"/>
    <x v="2"/>
    <n v="3491054694"/>
    <m/>
    <d v="2025-11-17T00:00:00"/>
    <x v="11"/>
    <n v="2.9336931000000002"/>
    <x v="2"/>
    <s v="Deleted"/>
    <x v="3"/>
    <m/>
  </r>
  <r>
    <n v="80883593"/>
    <s v="REJ SHM 600GX12 Nourish AD+"/>
    <s v="A673"/>
    <x v="2"/>
    <x v="3"/>
    <x v="11"/>
    <n v="600"/>
    <x v="8"/>
    <x v="2"/>
    <n v="3491054695"/>
    <m/>
    <d v="2025-11-17T00:00:00"/>
    <x v="11"/>
    <n v="1.63134"/>
    <x v="2"/>
    <s v="Deleted"/>
    <x v="3"/>
    <m/>
  </r>
  <r>
    <n v="80883593"/>
    <s v="REJ SHM 600GX12 Nourish AD+"/>
    <s v="A672"/>
    <x v="2"/>
    <x v="3"/>
    <x v="11"/>
    <n v="260"/>
    <x v="8"/>
    <x v="2"/>
    <n v="3491054696"/>
    <m/>
    <d v="2025-11-17T00:00:00"/>
    <x v="11"/>
    <n v="0.70691400000000004"/>
    <x v="2"/>
    <s v="Deleted"/>
    <x v="3"/>
    <m/>
  </r>
  <r>
    <n v="80883593"/>
    <s v="REJ SHM 600GX12 Nourish AD+"/>
    <s v="C816"/>
    <x v="2"/>
    <x v="3"/>
    <x v="11"/>
    <n v="777"/>
    <x v="8"/>
    <x v="2"/>
    <n v="3491054697"/>
    <m/>
    <d v="2025-11-17T00:00:00"/>
    <x v="11"/>
    <n v="2.1125853000000001"/>
    <x v="2"/>
    <s v="Deleted"/>
    <x v="3"/>
    <m/>
  </r>
  <r>
    <n v="80883600"/>
    <s v="REJ SHM 1000GX6 Fresh AD+"/>
    <s v="A673"/>
    <x v="2"/>
    <x v="3"/>
    <x v="11"/>
    <n v="481"/>
    <x v="8"/>
    <x v="2"/>
    <n v="3491055038"/>
    <m/>
    <d v="2025-11-17T00:00:00"/>
    <x v="11"/>
    <n v="1.0898017"/>
    <x v="2"/>
    <s v="Deleted"/>
    <x v="3"/>
    <m/>
  </r>
  <r>
    <n v="80883600"/>
    <s v="REJ SHM 1000GX6 Fresh AD+"/>
    <s v="A672"/>
    <x v="2"/>
    <x v="3"/>
    <x v="11"/>
    <n v="292"/>
    <x v="8"/>
    <x v="2"/>
    <n v="3491055039"/>
    <m/>
    <d v="2025-11-17T00:00:00"/>
    <x v="11"/>
    <n v="0.66158439999999996"/>
    <x v="2"/>
    <s v="Deleted"/>
    <x v="3"/>
    <m/>
  </r>
  <r>
    <n v="80883600"/>
    <s v="REJ SHM 1000GX6 Fresh AD+"/>
    <s v="C816"/>
    <x v="2"/>
    <x v="3"/>
    <x v="11"/>
    <n v="655"/>
    <x v="8"/>
    <x v="2"/>
    <n v="3491055040"/>
    <m/>
    <d v="2025-11-17T00:00:00"/>
    <x v="11"/>
    <n v="1.4840335"/>
    <x v="2"/>
    <s v="Deleted"/>
    <x v="3"/>
    <m/>
  </r>
  <r>
    <n v="80883623"/>
    <s v="REJ SHM 1000GX6 Nourish AD+"/>
    <s v="A673"/>
    <x v="2"/>
    <x v="3"/>
    <x v="11"/>
    <n v="475"/>
    <x v="8"/>
    <x v="2"/>
    <n v="3491055041"/>
    <m/>
    <d v="2025-11-17T00:00:00"/>
    <x v="11"/>
    <n v="1.0762075"/>
    <x v="2"/>
    <s v="Deleted"/>
    <x v="3"/>
    <m/>
  </r>
  <r>
    <n v="80883623"/>
    <s v="REJ SHM 1000GX6 Nourish AD+"/>
    <s v="A672"/>
    <x v="2"/>
    <x v="3"/>
    <x v="11"/>
    <n v="206"/>
    <x v="8"/>
    <x v="2"/>
    <n v="3491055202"/>
    <m/>
    <d v="2025-11-17T00:00:00"/>
    <x v="11"/>
    <n v="0.46673419999999999"/>
    <x v="2"/>
    <s v="Deleted"/>
    <x v="3"/>
    <m/>
  </r>
  <r>
    <n v="80883623"/>
    <s v="REJ SHM 1000GX6 Nourish AD+"/>
    <s v="C816"/>
    <x v="2"/>
    <x v="3"/>
    <x v="11"/>
    <n v="616"/>
    <x v="8"/>
    <x v="2"/>
    <n v="3491055206"/>
    <m/>
    <d v="2025-11-17T00:00:00"/>
    <x v="11"/>
    <n v="1.3956712"/>
    <x v="2"/>
    <s v="Deleted"/>
    <x v="3"/>
    <m/>
  </r>
  <r>
    <n v="80883601"/>
    <s v="REJ SHM 600GX12 Fresh AD+"/>
    <s v="A673"/>
    <x v="2"/>
    <x v="3"/>
    <x v="12"/>
    <n v="1716"/>
    <x v="8"/>
    <x v="2"/>
    <n v="3491055208"/>
    <m/>
    <d v="2025-11-17T00:00:00"/>
    <x v="11"/>
    <n v="4.6656323999999998"/>
    <x v="2"/>
    <s v="Deleted"/>
    <x v="3"/>
    <m/>
  </r>
  <r>
    <n v="80883601"/>
    <s v="REJ SHM 600GX12 Fresh AD+"/>
    <s v="A672"/>
    <x v="2"/>
    <x v="3"/>
    <x v="12"/>
    <n v="1042"/>
    <x v="8"/>
    <x v="2"/>
    <n v="3491055209"/>
    <m/>
    <d v="2025-11-17T00:00:00"/>
    <x v="11"/>
    <n v="2.8330937999999999"/>
    <x v="2"/>
    <s v="Deleted"/>
    <x v="3"/>
    <m/>
  </r>
  <r>
    <n v="80883601"/>
    <s v="REJ SHM 600GX12 Fresh AD+"/>
    <s v="C816"/>
    <x v="2"/>
    <x v="3"/>
    <x v="12"/>
    <n v="2338"/>
    <x v="8"/>
    <x v="2"/>
    <n v="3491055210"/>
    <m/>
    <d v="2025-11-17T00:00:00"/>
    <x v="11"/>
    <n v="6.3567882000000004"/>
    <x v="2"/>
    <s v="Deleted"/>
    <x v="3"/>
    <m/>
  </r>
  <r>
    <n v="80883593"/>
    <s v="REJ SHM 600GX12 Nourish AD+"/>
    <s v="A673"/>
    <x v="2"/>
    <x v="3"/>
    <x v="12"/>
    <n v="1299"/>
    <x v="8"/>
    <x v="2"/>
    <n v="3491055213"/>
    <m/>
    <d v="2025-11-17T00:00:00"/>
    <x v="11"/>
    <n v="3.5318510999999999"/>
    <x v="2"/>
    <s v="Deleted"/>
    <x v="3"/>
    <m/>
  </r>
  <r>
    <n v="80883593"/>
    <s v="REJ SHM 600GX12 Nourish AD+"/>
    <s v="A672"/>
    <x v="2"/>
    <x v="3"/>
    <x v="12"/>
    <n v="562"/>
    <x v="8"/>
    <x v="2"/>
    <n v="3491055214"/>
    <m/>
    <d v="2025-11-17T00:00:00"/>
    <x v="11"/>
    <n v="1.5280218000000001"/>
    <x v="2"/>
    <s v="Deleted"/>
    <x v="3"/>
    <m/>
  </r>
  <r>
    <n v="80883593"/>
    <s v="REJ SHM 600GX12 Nourish AD+"/>
    <s v="C816"/>
    <x v="2"/>
    <x v="3"/>
    <x v="12"/>
    <n v="1684"/>
    <x v="8"/>
    <x v="2"/>
    <n v="3491055215"/>
    <m/>
    <d v="2025-11-17T00:00:00"/>
    <x v="11"/>
    <n v="4.5786275999999999"/>
    <x v="2"/>
    <s v="Deleted"/>
    <x v="3"/>
    <m/>
  </r>
  <r>
    <n v="80883600"/>
    <s v="REJ SHM 1000GX6 Fresh AD+"/>
    <s v="A673"/>
    <x v="2"/>
    <x v="3"/>
    <x v="12"/>
    <n v="1041"/>
    <x v="8"/>
    <x v="2"/>
    <n v="3491055216"/>
    <m/>
    <d v="2025-11-17T00:00:00"/>
    <x v="11"/>
    <n v="2.3585937000000001"/>
    <x v="2"/>
    <s v="Deleted"/>
    <x v="3"/>
    <m/>
  </r>
  <r>
    <n v="80883600"/>
    <s v="REJ SHM 1000GX6 Fresh AD+"/>
    <s v="A672"/>
    <x v="2"/>
    <x v="3"/>
    <x v="12"/>
    <n v="632"/>
    <x v="8"/>
    <x v="2"/>
    <n v="3491055217"/>
    <m/>
    <d v="2025-11-17T00:00:00"/>
    <x v="11"/>
    <n v="1.4319223999999999"/>
    <x v="2"/>
    <s v="Deleted"/>
    <x v="3"/>
    <m/>
  </r>
  <r>
    <n v="80883600"/>
    <s v="REJ SHM 1000GX6 Fresh AD+"/>
    <s v="C816"/>
    <x v="2"/>
    <x v="3"/>
    <x v="12"/>
    <n v="1419"/>
    <x v="8"/>
    <x v="2"/>
    <n v="3491055358"/>
    <m/>
    <d v="2025-11-17T00:00:00"/>
    <x v="11"/>
    <n v="3.2150283000000002"/>
    <x v="2"/>
    <s v="Deleted"/>
    <x v="3"/>
    <m/>
  </r>
  <r>
    <n v="80883623"/>
    <s v="REJ SHM 1000GX6 Nourish AD+"/>
    <s v="A673"/>
    <x v="2"/>
    <x v="3"/>
    <x v="12"/>
    <n v="1030"/>
    <x v="8"/>
    <x v="2"/>
    <n v="3491055359"/>
    <m/>
    <d v="2025-11-17T00:00:00"/>
    <x v="11"/>
    <n v="2.3336709999999998"/>
    <x v="2"/>
    <s v="Deleted"/>
    <x v="3"/>
    <m/>
  </r>
  <r>
    <n v="80883623"/>
    <s v="REJ SHM 1000GX6 Nourish AD+"/>
    <s v="A672"/>
    <x v="2"/>
    <x v="3"/>
    <x v="12"/>
    <n v="446"/>
    <x v="8"/>
    <x v="2"/>
    <n v="3491055360"/>
    <m/>
    <d v="2025-11-17T00:00:00"/>
    <x v="11"/>
    <n v="1.0105021999999999"/>
    <x v="2"/>
    <s v="Deleted"/>
    <x v="3"/>
    <m/>
  </r>
  <r>
    <n v="80883623"/>
    <s v="REJ SHM 1000GX6 Nourish AD+"/>
    <s v="C816"/>
    <x v="2"/>
    <x v="3"/>
    <x v="12"/>
    <n v="1335"/>
    <x v="8"/>
    <x v="2"/>
    <n v="3491055361"/>
    <m/>
    <d v="2025-11-17T00:00:00"/>
    <x v="11"/>
    <n v="3.0247095000000002"/>
    <x v="2"/>
    <s v="Deleted"/>
    <x v="3"/>
    <m/>
  </r>
  <r>
    <n v="80883601"/>
    <s v="REJ SHM 600GX12 Fresh AD+"/>
    <s v="A673"/>
    <x v="2"/>
    <x v="3"/>
    <x v="13"/>
    <n v="1089"/>
    <x v="8"/>
    <x v="2"/>
    <n v="3491055362"/>
    <m/>
    <d v="2025-11-17T00:00:00"/>
    <x v="11"/>
    <n v="2.9608821000000001"/>
    <x v="2"/>
    <s v="Deleted"/>
    <x v="3"/>
    <m/>
  </r>
  <r>
    <n v="80883601"/>
    <s v="REJ SHM 600GX12 Fresh AD+"/>
    <s v="A672"/>
    <x v="2"/>
    <x v="3"/>
    <x v="13"/>
    <n v="661"/>
    <x v="8"/>
    <x v="2"/>
    <n v="3491055372"/>
    <m/>
    <d v="2025-11-17T00:00:00"/>
    <x v="11"/>
    <n v="1.7971929"/>
    <x v="2"/>
    <s v="Deleted"/>
    <x v="3"/>
    <m/>
  </r>
  <r>
    <n v="80883601"/>
    <s v="REJ SHM 600GX12 Fresh AD+"/>
    <s v="C816"/>
    <x v="2"/>
    <x v="3"/>
    <x v="13"/>
    <n v="1484"/>
    <x v="8"/>
    <x v="2"/>
    <n v="3491055514"/>
    <m/>
    <d v="2025-11-17T00:00:00"/>
    <x v="11"/>
    <n v="4.0348476"/>
    <x v="2"/>
    <s v="Deleted"/>
    <x v="3"/>
    <m/>
  </r>
  <r>
    <n v="80883593"/>
    <s v="REJ SHM 600GX12 Nourish AD+"/>
    <s v="A673"/>
    <x v="2"/>
    <x v="3"/>
    <x v="13"/>
    <n v="824"/>
    <x v="8"/>
    <x v="2"/>
    <n v="3491055593"/>
    <m/>
    <d v="2025-11-17T00:00:00"/>
    <x v="11"/>
    <n v="2.2403735999999999"/>
    <x v="2"/>
    <s v="Deleted"/>
    <x v="3"/>
    <m/>
  </r>
  <r>
    <n v="80883593"/>
    <s v="REJ SHM 600GX12 Nourish AD+"/>
    <s v="A672"/>
    <x v="2"/>
    <x v="3"/>
    <x v="13"/>
    <n v="357"/>
    <x v="8"/>
    <x v="2"/>
    <n v="3491055609"/>
    <m/>
    <d v="2025-11-17T00:00:00"/>
    <x v="11"/>
    <n v="0.97064729999999999"/>
    <x v="2"/>
    <s v="Deleted"/>
    <x v="3"/>
    <m/>
  </r>
  <r>
    <n v="80883593"/>
    <s v="REJ SHM 600GX12 Nourish AD+"/>
    <s v="C816"/>
    <x v="2"/>
    <x v="3"/>
    <x v="13"/>
    <n v="1069"/>
    <x v="8"/>
    <x v="2"/>
    <n v="3491055616"/>
    <m/>
    <d v="2025-11-17T00:00:00"/>
    <x v="11"/>
    <n v="2.9065040999999998"/>
    <x v="2"/>
    <s v="Deleted"/>
    <x v="3"/>
    <m/>
  </r>
  <r>
    <n v="80883600"/>
    <s v="REJ SHM 1000GX6 Fresh AD+"/>
    <s v="A673"/>
    <x v="2"/>
    <x v="3"/>
    <x v="13"/>
    <n v="661"/>
    <x v="8"/>
    <x v="2"/>
    <n v="3491055643"/>
    <m/>
    <d v="2025-11-17T00:00:00"/>
    <x v="11"/>
    <n v="1.4976277"/>
    <x v="2"/>
    <s v="Deleted"/>
    <x v="3"/>
    <m/>
  </r>
  <r>
    <n v="80883600"/>
    <s v="REJ SHM 1000GX6 Fresh AD+"/>
    <s v="A672"/>
    <x v="2"/>
    <x v="3"/>
    <x v="13"/>
    <n v="401"/>
    <x v="8"/>
    <x v="2"/>
    <n v="3491055644"/>
    <m/>
    <d v="2025-11-17T00:00:00"/>
    <x v="11"/>
    <n v="0.90854570000000001"/>
    <x v="2"/>
    <s v="Deleted"/>
    <x v="3"/>
    <m/>
  </r>
  <r>
    <n v="80883600"/>
    <s v="REJ SHM 1000GX6 Fresh AD+"/>
    <s v="C816"/>
    <x v="2"/>
    <x v="3"/>
    <x v="13"/>
    <n v="900"/>
    <x v="8"/>
    <x v="2"/>
    <n v="3491055645"/>
    <m/>
    <d v="2025-11-17T00:00:00"/>
    <x v="11"/>
    <n v="2.0391300000000001"/>
    <x v="2"/>
    <s v="Deleted"/>
    <x v="3"/>
    <m/>
  </r>
  <r>
    <n v="80883623"/>
    <s v="REJ SHM 1000GX6 Nourish AD+"/>
    <s v="A673"/>
    <x v="2"/>
    <x v="3"/>
    <x v="13"/>
    <n v="654"/>
    <x v="8"/>
    <x v="2"/>
    <n v="3491055646"/>
    <m/>
    <d v="2025-11-17T00:00:00"/>
    <x v="11"/>
    <n v="1.4817678000000001"/>
    <x v="2"/>
    <s v="Deleted"/>
    <x v="3"/>
    <m/>
  </r>
  <r>
    <n v="80883623"/>
    <s v="REJ SHM 1000GX6 Nourish AD+"/>
    <s v="A672"/>
    <x v="2"/>
    <x v="3"/>
    <x v="13"/>
    <n v="283"/>
    <x v="8"/>
    <x v="2"/>
    <n v="3491055647"/>
    <m/>
    <d v="2025-11-17T00:00:00"/>
    <x v="11"/>
    <n v="0.64119309999999996"/>
    <x v="2"/>
    <s v="Deleted"/>
    <x v="3"/>
    <m/>
  </r>
  <r>
    <n v="80883623"/>
    <s v="REJ SHM 1000GX6 Nourish AD+"/>
    <s v="C816"/>
    <x v="2"/>
    <x v="3"/>
    <x v="13"/>
    <n v="847"/>
    <x v="8"/>
    <x v="2"/>
    <n v="3491055648"/>
    <m/>
    <d v="2025-11-17T00:00:00"/>
    <x v="11"/>
    <n v="1.9190479"/>
    <x v="2"/>
    <s v="Deleted"/>
    <x v="3"/>
    <m/>
  </r>
  <r>
    <n v="80859237"/>
    <s v="REJ DC AD SH 1000gX12"/>
    <s v="C816"/>
    <x v="9"/>
    <x v="3"/>
    <x v="14"/>
    <n v="726"/>
    <x v="7"/>
    <x v="8"/>
    <n v="3491055649"/>
    <s v="delete due to WS DFC is enough"/>
    <d v="2025-11-17T00:00:00"/>
    <x v="7"/>
    <n v="3.2898689999999999"/>
    <x v="2"/>
    <s v="Deleted"/>
    <x v="3"/>
    <m/>
  </r>
  <r>
    <n v="80859237"/>
    <s v="REJ DC AD SH 1000gX12"/>
    <s v="A672"/>
    <x v="9"/>
    <x v="3"/>
    <x v="14"/>
    <n v="3000"/>
    <x v="7"/>
    <x v="8"/>
    <n v="3491055650"/>
    <s v="delete due to WS DFC is enough"/>
    <d v="2025-11-17T00:00:00"/>
    <x v="7"/>
    <n v="13.5945"/>
    <x v="2"/>
    <s v="Deleted"/>
    <x v="3"/>
    <m/>
  </r>
  <r>
    <n v="80859230"/>
    <s v="REJ DC MOIS SH 1000gX12"/>
    <s v="C816"/>
    <x v="9"/>
    <x v="3"/>
    <x v="14"/>
    <n v="1800"/>
    <x v="8"/>
    <x v="8"/>
    <n v="3491055651"/>
    <s v="delete due to WS DFC is enough"/>
    <d v="2025-11-17T00:00:00"/>
    <x v="7"/>
    <n v="8.1567000000000007"/>
    <x v="2"/>
    <s v="Deleted"/>
    <x v="3"/>
    <m/>
  </r>
  <r>
    <n v="80859230"/>
    <s v="REJ DC MOIS SH 1000gX12"/>
    <s v="A672"/>
    <x v="9"/>
    <x v="3"/>
    <x v="14"/>
    <n v="3000"/>
    <x v="8"/>
    <x v="8"/>
    <n v="3491055652"/>
    <s v="delete due to WS DFC is enough"/>
    <d v="2025-11-17T00:00:00"/>
    <x v="7"/>
    <n v="13.5945"/>
    <x v="2"/>
    <s v="Deleted"/>
    <x v="3"/>
    <m/>
  </r>
  <r>
    <n v="80859248"/>
    <s v="REJ DC FRESH SH 1000gX12"/>
    <s v="A672"/>
    <x v="9"/>
    <x v="3"/>
    <x v="14"/>
    <n v="1800"/>
    <x v="8"/>
    <x v="8"/>
    <n v="3491055653"/>
    <s v="delete due to WS DFC is enough"/>
    <d v="2025-11-17T00:00:00"/>
    <x v="7"/>
    <n v="8.1567000000000007"/>
    <x v="2"/>
    <s v="Deleted"/>
    <x v="3"/>
    <m/>
  </r>
  <r>
    <n v="80859248"/>
    <s v="REJ DC FRESH SH 1000gX12"/>
    <s v="C816"/>
    <x v="9"/>
    <x v="3"/>
    <x v="14"/>
    <n v="1800"/>
    <x v="8"/>
    <x v="8"/>
    <n v="3491055760"/>
    <s v="delete due to WS DFC is enough"/>
    <d v="2025-11-17T00:00:00"/>
    <x v="7"/>
    <n v="8.1567000000000007"/>
    <x v="2"/>
    <s v="Deleted"/>
    <x v="3"/>
    <m/>
  </r>
  <r>
    <n v="80883601"/>
    <s v="REJ SHM 600GX12 Fresh AD+"/>
    <s v="A673"/>
    <x v="2"/>
    <x v="1"/>
    <x v="3"/>
    <n v="862"/>
    <x v="8"/>
    <x v="2"/>
    <n v="3491055771"/>
    <m/>
    <d v="2025-11-17T00:00:00"/>
    <x v="11"/>
    <n v="2.3436918000000002"/>
    <x v="1"/>
    <s v="Deleted"/>
    <x v="3"/>
    <m/>
  </r>
  <r>
    <n v="80883601"/>
    <s v="REJ SHM 600GX12 Fresh AD+"/>
    <s v="A672"/>
    <x v="2"/>
    <x v="1"/>
    <x v="3"/>
    <n v="523"/>
    <x v="8"/>
    <x v="2"/>
    <n v="3491055777"/>
    <m/>
    <d v="2025-11-17T00:00:00"/>
    <x v="11"/>
    <n v="1.4219847000000001"/>
    <x v="1"/>
    <s v="Deleted"/>
    <x v="3"/>
    <m/>
  </r>
  <r>
    <n v="80883601"/>
    <s v="REJ SHM 600GX12 Fresh AD+"/>
    <s v="C816"/>
    <x v="2"/>
    <x v="1"/>
    <x v="3"/>
    <n v="1174"/>
    <x v="8"/>
    <x v="2"/>
    <n v="3491055801"/>
    <m/>
    <d v="2025-11-17T00:00:00"/>
    <x v="11"/>
    <n v="3.1919886000000002"/>
    <x v="1"/>
    <s v="Deleted"/>
    <x v="3"/>
    <m/>
  </r>
  <r>
    <n v="80883593"/>
    <s v="REJ SHM 600GX12 Nourish AD+"/>
    <s v="A673"/>
    <x v="2"/>
    <x v="1"/>
    <x v="3"/>
    <n v="652"/>
    <x v="8"/>
    <x v="2"/>
    <n v="3491055803"/>
    <m/>
    <d v="2025-11-17T00:00:00"/>
    <x v="11"/>
    <n v="1.7727227999999999"/>
    <x v="1"/>
    <s v="Deleted"/>
    <x v="3"/>
    <m/>
  </r>
  <r>
    <n v="80883593"/>
    <s v="REJ SHM 600GX12 Nourish AD+"/>
    <s v="A672"/>
    <x v="2"/>
    <x v="1"/>
    <x v="3"/>
    <n v="282"/>
    <x v="8"/>
    <x v="2"/>
    <n v="3491055804"/>
    <m/>
    <d v="2025-11-17T00:00:00"/>
    <x v="11"/>
    <n v="0.76672980000000002"/>
    <x v="1"/>
    <s v="Deleted"/>
    <x v="3"/>
    <m/>
  </r>
  <r>
    <n v="80883593"/>
    <s v="REJ SHM 600GX12 Nourish AD+"/>
    <s v="C816"/>
    <x v="2"/>
    <x v="1"/>
    <x v="3"/>
    <n v="845"/>
    <x v="8"/>
    <x v="2"/>
    <n v="3491055816"/>
    <m/>
    <d v="2025-11-17T00:00:00"/>
    <x v="11"/>
    <n v="2.2974705000000002"/>
    <x v="1"/>
    <s v="Deleted"/>
    <x v="3"/>
    <m/>
  </r>
  <r>
    <n v="80883600"/>
    <s v="REJ SHM 1000GX6 Fresh AD+"/>
    <s v="A673"/>
    <x v="2"/>
    <x v="1"/>
    <x v="3"/>
    <n v="522"/>
    <x v="8"/>
    <x v="2"/>
    <n v="3491055843"/>
    <m/>
    <d v="2025-11-17T00:00:00"/>
    <x v="11"/>
    <n v="1.1826954000000001"/>
    <x v="1"/>
    <s v="Deleted"/>
    <x v="3"/>
    <m/>
  </r>
  <r>
    <n v="80883600"/>
    <s v="REJ SHM 1000GX6 Fresh AD+"/>
    <s v="A672"/>
    <x v="2"/>
    <x v="1"/>
    <x v="3"/>
    <n v="318"/>
    <x v="8"/>
    <x v="2"/>
    <n v="3491055844"/>
    <m/>
    <d v="2025-11-17T00:00:00"/>
    <x v="11"/>
    <n v="0.72049260000000004"/>
    <x v="1"/>
    <s v="Deleted"/>
    <x v="3"/>
    <m/>
  </r>
  <r>
    <n v="80883600"/>
    <s v="REJ SHM 1000GX6 Fresh AD+"/>
    <s v="C816"/>
    <x v="2"/>
    <x v="1"/>
    <x v="3"/>
    <n v="712"/>
    <x v="8"/>
    <x v="2"/>
    <n v="3491055937"/>
    <m/>
    <d v="2025-11-17T00:00:00"/>
    <x v="11"/>
    <n v="1.6131784"/>
    <x v="1"/>
    <s v="Deleted"/>
    <x v="3"/>
    <m/>
  </r>
  <r>
    <n v="80883623"/>
    <s v="REJ SHM 1000GX6 Nourish AD+"/>
    <s v="A673"/>
    <x v="2"/>
    <x v="1"/>
    <x v="3"/>
    <n v="517"/>
    <x v="8"/>
    <x v="2"/>
    <n v="3491055999"/>
    <m/>
    <d v="2025-11-17T00:00:00"/>
    <x v="11"/>
    <n v="1.1713669"/>
    <x v="1"/>
    <s v="Deleted"/>
    <x v="3"/>
    <m/>
  </r>
  <r>
    <n v="80883623"/>
    <s v="REJ SHM 1000GX6 Nourish AD+"/>
    <s v="A672"/>
    <x v="2"/>
    <x v="1"/>
    <x v="3"/>
    <n v="224"/>
    <x v="8"/>
    <x v="2"/>
    <n v="3491056010"/>
    <m/>
    <d v="2025-11-17T00:00:00"/>
    <x v="11"/>
    <n v="0.50751679999999999"/>
    <x v="1"/>
    <s v="Deleted"/>
    <x v="3"/>
    <m/>
  </r>
  <r>
    <n v="80883623"/>
    <s v="REJ SHM 1000GX6 Nourish AD+"/>
    <s v="C816"/>
    <x v="2"/>
    <x v="1"/>
    <x v="3"/>
    <n v="671"/>
    <x v="8"/>
    <x v="2"/>
    <n v="3491056021"/>
    <m/>
    <d v="2025-11-17T00:00:00"/>
    <x v="11"/>
    <n v="1.5202846999999999"/>
    <x v="1"/>
    <s v="Deleted"/>
    <x v="3"/>
    <m/>
  </r>
  <r>
    <n v="80830278"/>
    <s v="海飞丝去屑舒痒水润型洗发露480G"/>
    <s v="A672"/>
    <x v="11"/>
    <x v="1"/>
    <x v="15"/>
    <n v="911"/>
    <x v="9"/>
    <x v="9"/>
    <n v="3491773042"/>
    <s v="更改MR 时间"/>
    <d v="2025-11-18T00:00:00"/>
    <x v="9"/>
    <n v="1.9815160999999999"/>
    <x v="1"/>
    <s v="Deleted"/>
    <x v="3"/>
    <m/>
  </r>
  <r>
    <n v="80830278"/>
    <s v="海飞丝去屑舒痒水润型洗发露480G"/>
    <s v="A673"/>
    <x v="11"/>
    <x v="1"/>
    <x v="15"/>
    <n v="869"/>
    <x v="9"/>
    <x v="9"/>
    <n v="3491773043"/>
    <s v="更改MR 时间"/>
    <d v="2025-11-18T00:00:00"/>
    <x v="9"/>
    <n v="1.8901619000000001"/>
    <x v="1"/>
    <s v="Deleted"/>
    <x v="3"/>
    <m/>
  </r>
  <r>
    <n v="80830278"/>
    <s v="海飞丝去屑舒痒水润型洗发露480G"/>
    <s v="A668"/>
    <x v="11"/>
    <x v="1"/>
    <x v="15"/>
    <n v="787"/>
    <x v="9"/>
    <x v="9"/>
    <n v="3491773044"/>
    <s v="更改MR 时间"/>
    <d v="2025-11-18T00:00:00"/>
    <x v="9"/>
    <n v="1.7118036999999999"/>
    <x v="1"/>
    <s v="Deleted"/>
    <x v="3"/>
    <m/>
  </r>
  <r>
    <n v="80830278"/>
    <s v="海飞丝去屑舒痒水润型洗发露480G"/>
    <s v="A680"/>
    <x v="11"/>
    <x v="1"/>
    <x v="15"/>
    <n v="745"/>
    <x v="9"/>
    <x v="9"/>
    <n v="3491773045"/>
    <s v="更改MR 时间"/>
    <d v="2025-11-18T00:00:00"/>
    <x v="9"/>
    <n v="1.6204495000000001"/>
    <x v="1"/>
    <s v="Deleted"/>
    <x v="3"/>
    <m/>
  </r>
  <r>
    <n v="80830278"/>
    <s v="海飞丝去屑舒痒水润型洗发露480G"/>
    <s v="C816"/>
    <x v="11"/>
    <x v="1"/>
    <x v="15"/>
    <n v="828"/>
    <x v="9"/>
    <x v="9"/>
    <n v="3491773046"/>
    <s v="更改MR 时间"/>
    <d v="2025-11-18T00:00:00"/>
    <x v="9"/>
    <n v="1.8009828000000001"/>
    <x v="1"/>
    <s v="Deleted"/>
    <x v="3"/>
    <m/>
  </r>
  <r>
    <n v="80703933"/>
    <s v="海飞丝去屑洗发露幽香馥郁型450G"/>
    <s v="A672"/>
    <x v="11"/>
    <x v="1"/>
    <x v="15"/>
    <n v="1004"/>
    <x v="9"/>
    <x v="9"/>
    <n v="3491773047"/>
    <m/>
    <d v="2025-11-18T00:00:00"/>
    <x v="3"/>
    <n v="2.0473568000000002"/>
    <x v="1"/>
    <s v="Deleted"/>
    <x v="3"/>
    <m/>
  </r>
  <r>
    <n v="80703933"/>
    <s v="海飞丝去屑洗发露幽香馥郁型450G"/>
    <s v="A673"/>
    <x v="11"/>
    <x v="1"/>
    <x v="15"/>
    <n v="958"/>
    <x v="9"/>
    <x v="9"/>
    <n v="3491773048"/>
    <m/>
    <d v="2025-11-18T00:00:00"/>
    <x v="3"/>
    <n v="1.9535536"/>
    <x v="1"/>
    <s v="Deleted"/>
    <x v="3"/>
    <m/>
  </r>
  <r>
    <n v="80703933"/>
    <s v="海飞丝去屑洗发露幽香馥郁型450G"/>
    <s v="A668"/>
    <x v="11"/>
    <x v="1"/>
    <x v="15"/>
    <n v="867"/>
    <x v="9"/>
    <x v="9"/>
    <n v="3491773049"/>
    <m/>
    <d v="2025-11-18T00:00:00"/>
    <x v="3"/>
    <n v="1.7679864000000001"/>
    <x v="1"/>
    <s v="Deleted"/>
    <x v="3"/>
    <m/>
  </r>
  <r>
    <n v="80703933"/>
    <s v="海飞丝去屑洗发露幽香馥郁型450G"/>
    <s v="A680"/>
    <x v="11"/>
    <x v="1"/>
    <x v="15"/>
    <n v="821"/>
    <x v="9"/>
    <x v="9"/>
    <n v="3491773050"/>
    <m/>
    <d v="2025-11-18T00:00:00"/>
    <x v="3"/>
    <n v="1.6741832000000001"/>
    <x v="1"/>
    <s v="Deleted"/>
    <x v="3"/>
    <m/>
  </r>
  <r>
    <n v="80703933"/>
    <s v="海飞丝去屑洗发露幽香馥郁型450G"/>
    <s v="C816"/>
    <x v="11"/>
    <x v="1"/>
    <x v="15"/>
    <n v="913"/>
    <x v="9"/>
    <x v="9"/>
    <n v="3491773051"/>
    <m/>
    <d v="2025-11-18T00:00:00"/>
    <x v="3"/>
    <n v="1.8617896"/>
    <x v="1"/>
    <s v="Deleted"/>
    <x v="3"/>
    <m/>
  </r>
  <r>
    <n v="80879045"/>
    <s v="海飞丝头皮护理控油蓬松型300X3+80X3"/>
    <s v="A672"/>
    <x v="11"/>
    <x v="1"/>
    <x v="15"/>
    <n v="648"/>
    <x v="9"/>
    <x v="9"/>
    <n v="3491773052"/>
    <s v="更改MR 时间"/>
    <d v="2025-11-18T00:00:00"/>
    <x v="9"/>
    <n v="1.6737192000000001"/>
    <x v="1"/>
    <s v="Deleted"/>
    <x v="3"/>
    <m/>
  </r>
  <r>
    <n v="80879045"/>
    <s v="海飞丝头皮护理控油蓬松型300X3+80X3"/>
    <s v="A673"/>
    <x v="11"/>
    <x v="1"/>
    <x v="15"/>
    <n v="619"/>
    <x v="9"/>
    <x v="9"/>
    <n v="3491773053"/>
    <s v="更改MR 时间"/>
    <d v="2025-11-18T00:00:00"/>
    <x v="9"/>
    <n v="1.5988150999999999"/>
    <x v="1"/>
    <s v="Deleted"/>
    <x v="3"/>
    <m/>
  </r>
  <r>
    <n v="80879045"/>
    <s v="海飞丝头皮护理控油蓬松型300X3+80X3"/>
    <s v="A668"/>
    <x v="11"/>
    <x v="1"/>
    <x v="15"/>
    <n v="560"/>
    <x v="9"/>
    <x v="9"/>
    <n v="3491773054"/>
    <s v="更改MR 时间"/>
    <d v="2025-11-18T00:00:00"/>
    <x v="9"/>
    <n v="1.4464239999999999"/>
    <x v="1"/>
    <s v="Deleted"/>
    <x v="3"/>
    <m/>
  </r>
  <r>
    <n v="80879045"/>
    <s v="海飞丝头皮护理控油蓬松型300X3+80X3"/>
    <s v="A680"/>
    <x v="11"/>
    <x v="1"/>
    <x v="15"/>
    <n v="530"/>
    <x v="9"/>
    <x v="9"/>
    <n v="3491773055"/>
    <s v="更改MR 时间"/>
    <d v="2025-11-18T00:00:00"/>
    <x v="9"/>
    <n v="1.3689370000000001"/>
    <x v="1"/>
    <s v="Deleted"/>
    <x v="3"/>
    <m/>
  </r>
  <r>
    <n v="80879045"/>
    <s v="海飞丝头皮护理控油蓬松型300X3+80X3"/>
    <s v="C816"/>
    <x v="11"/>
    <x v="1"/>
    <x v="15"/>
    <n v="589"/>
    <x v="9"/>
    <x v="9"/>
    <n v="3491773056"/>
    <s v="更改MR 时间"/>
    <d v="2025-11-18T00:00:00"/>
    <x v="9"/>
    <n v="1.5213281000000001"/>
    <x v="1"/>
    <s v="Deleted"/>
    <x v="3"/>
    <m/>
  </r>
  <r>
    <n v="80863700"/>
    <s v="海飞丝头皮护理洗发露控油蓬松360X2+200"/>
    <s v="A672"/>
    <x v="11"/>
    <x v="1"/>
    <x v="15"/>
    <n v="233"/>
    <x v="9"/>
    <x v="9"/>
    <n v="3491773057"/>
    <m/>
    <d v="2025-11-18T00:00:00"/>
    <x v="3"/>
    <n v="0.48568850000000002"/>
    <x v="1"/>
    <s v="Deleted"/>
    <x v="3"/>
    <m/>
  </r>
  <r>
    <n v="80863700"/>
    <s v="海飞丝头皮护理洗发露控油蓬松360X2+200"/>
    <s v="A673"/>
    <x v="11"/>
    <x v="1"/>
    <x v="15"/>
    <n v="222"/>
    <x v="9"/>
    <x v="9"/>
    <n v="3491773098"/>
    <m/>
    <d v="2025-11-18T00:00:00"/>
    <x v="3"/>
    <n v="0.46275899999999998"/>
    <x v="1"/>
    <s v="Deleted"/>
    <x v="3"/>
    <m/>
  </r>
  <r>
    <n v="80863700"/>
    <s v="海飞丝头皮护理洗发露控油蓬松360X2+200"/>
    <s v="A668"/>
    <x v="11"/>
    <x v="1"/>
    <x v="15"/>
    <n v="201"/>
    <x v="9"/>
    <x v="9"/>
    <n v="3491773099"/>
    <m/>
    <d v="2025-11-18T00:00:00"/>
    <x v="3"/>
    <n v="0.41898449999999998"/>
    <x v="1"/>
    <s v="Deleted"/>
    <x v="3"/>
    <m/>
  </r>
  <r>
    <n v="80863700"/>
    <s v="海飞丝头皮护理洗发露控油蓬松360X2+200"/>
    <s v="A680"/>
    <x v="11"/>
    <x v="1"/>
    <x v="15"/>
    <n v="191"/>
    <x v="9"/>
    <x v="9"/>
    <n v="3491773100"/>
    <m/>
    <d v="2025-11-18T00:00:00"/>
    <x v="3"/>
    <n v="0.39813949999999998"/>
    <x v="1"/>
    <s v="Deleted"/>
    <x v="3"/>
    <m/>
  </r>
  <r>
    <n v="80863700"/>
    <s v="海飞丝头皮护理洗发露控油蓬松360X2+200"/>
    <s v="C816"/>
    <x v="11"/>
    <x v="1"/>
    <x v="15"/>
    <n v="212"/>
    <x v="9"/>
    <x v="9"/>
    <n v="3491773101"/>
    <m/>
    <d v="2025-11-18T00:00:00"/>
    <x v="3"/>
    <n v="0.44191399999999997"/>
    <x v="1"/>
    <s v="Deleted"/>
    <x v="3"/>
    <m/>
  </r>
  <r>
    <n v="80863691"/>
    <s v="海飞丝头皮护理洗发露控油蓬松360X3+80X2"/>
    <s v="A672"/>
    <x v="11"/>
    <x v="1"/>
    <x v="15"/>
    <n v="572"/>
    <x v="9"/>
    <x v="9"/>
    <n v="3491773102"/>
    <m/>
    <d v="2025-11-18T00:00:00"/>
    <x v="3"/>
    <n v="1.6070340000000001"/>
    <x v="1"/>
    <s v="Deleted"/>
    <x v="3"/>
    <m/>
  </r>
  <r>
    <n v="80863691"/>
    <s v="海飞丝头皮护理洗发露控油蓬松360X3+80X2"/>
    <s v="A673"/>
    <x v="11"/>
    <x v="1"/>
    <x v="15"/>
    <n v="546"/>
    <x v="9"/>
    <x v="9"/>
    <n v="3491773103"/>
    <m/>
    <d v="2025-11-18T00:00:00"/>
    <x v="3"/>
    <n v="1.533987"/>
    <x v="1"/>
    <s v="Deleted"/>
    <x v="3"/>
    <m/>
  </r>
  <r>
    <n v="80863691"/>
    <s v="海飞丝头皮护理洗发露控油蓬松360X3+80X2"/>
    <s v="A668"/>
    <x v="11"/>
    <x v="1"/>
    <x v="15"/>
    <n v="494"/>
    <x v="9"/>
    <x v="9"/>
    <n v="3491773104"/>
    <m/>
    <d v="2025-11-18T00:00:00"/>
    <x v="3"/>
    <n v="1.387893"/>
    <x v="1"/>
    <s v="Deleted"/>
    <x v="3"/>
    <m/>
  </r>
  <r>
    <n v="80863691"/>
    <s v="海飞丝头皮护理洗发露控油蓬松360X3+80X2"/>
    <s v="A680"/>
    <x v="11"/>
    <x v="1"/>
    <x v="15"/>
    <n v="468"/>
    <x v="9"/>
    <x v="9"/>
    <n v="3491773105"/>
    <m/>
    <d v="2025-11-18T00:00:00"/>
    <x v="3"/>
    <n v="1.314846"/>
    <x v="1"/>
    <s v="Deleted"/>
    <x v="3"/>
    <m/>
  </r>
  <r>
    <n v="80863691"/>
    <s v="海飞丝头皮护理洗发露控油蓬松360X3+80X2"/>
    <s v="C816"/>
    <x v="11"/>
    <x v="1"/>
    <x v="15"/>
    <n v="520"/>
    <x v="9"/>
    <x v="9"/>
    <n v="3491773106"/>
    <m/>
    <d v="2025-11-18T00:00:00"/>
    <x v="3"/>
    <n v="1.4609399999999999"/>
    <x v="1"/>
    <s v="Deleted"/>
    <x v="3"/>
    <m/>
  </r>
  <r>
    <n v="80893099"/>
    <s v="RJC SHM MAD (500X2)gX6飘柔滋润去屑型洗发露500gX2优惠装"/>
    <s v="C816"/>
    <x v="12"/>
    <x v="3"/>
    <x v="16"/>
    <n v="7062"/>
    <x v="10"/>
    <x v="6"/>
    <n v="3492474577"/>
    <s v="客户取消订单"/>
    <d v="2025-11-19T00:00:00"/>
    <x v="5"/>
    <n v="16.000373400000001"/>
    <x v="2"/>
    <s v="Deleted"/>
    <x v="3"/>
    <m/>
  </r>
  <r>
    <n v="80893099"/>
    <s v="RJC SHM MAD (500X2)gX6飘柔滋润去屑型洗发露500gX2优惠装"/>
    <s v="A673"/>
    <x v="12"/>
    <x v="3"/>
    <x v="16"/>
    <n v="1324"/>
    <x v="10"/>
    <x v="6"/>
    <n v="3492474658"/>
    <s v="客户取消订单"/>
    <d v="2025-11-19T00:00:00"/>
    <x v="5"/>
    <n v="2.9997867999999999"/>
    <x v="2"/>
    <s v="Deleted"/>
    <x v="3"/>
    <m/>
  </r>
  <r>
    <n v="80893099"/>
    <s v="RJC SHM MAD (500X2)gX6飘柔滋润去屑型洗发露500gX2优惠装"/>
    <s v="A672"/>
    <x v="12"/>
    <x v="3"/>
    <x v="16"/>
    <n v="5738"/>
    <x v="10"/>
    <x v="6"/>
    <n v="3492474659"/>
    <s v="客户取消订单"/>
    <d v="2025-11-19T00:00:00"/>
    <x v="5"/>
    <n v="13.0005866"/>
    <x v="2"/>
    <s v="Deleted"/>
    <x v="3"/>
    <m/>
  </r>
  <r>
    <n v="80880193"/>
    <s v="REJ SHM 500GX12 MOISTURE AD"/>
    <s v="C816"/>
    <x v="13"/>
    <x v="3"/>
    <x v="16"/>
    <n v="21627"/>
    <x v="10"/>
    <x v="2"/>
    <n v="3492474660"/>
    <s v="客户取消订单"/>
    <d v="2025-11-19T00:00:00"/>
    <x v="5"/>
    <n v="49.000293900000003"/>
    <x v="2"/>
    <s v="Deleted"/>
    <x v="3"/>
    <m/>
  </r>
  <r>
    <n v="80880193"/>
    <s v="REJ SHM 500GX12 MOISTURE AD"/>
    <s v="A673"/>
    <x v="13"/>
    <x v="3"/>
    <x v="16"/>
    <n v="4414"/>
    <x v="10"/>
    <x v="2"/>
    <n v="3492474661"/>
    <s v="客户取消订单"/>
    <d v="2025-11-19T00:00:00"/>
    <x v="5"/>
    <n v="10.000799799999999"/>
    <x v="2"/>
    <s v="Deleted"/>
    <x v="3"/>
    <m/>
  </r>
  <r>
    <n v="80880193"/>
    <s v="REJ SHM 500GX12 MOISTURE AD"/>
    <s v="A672"/>
    <x v="13"/>
    <x v="3"/>
    <x v="16"/>
    <n v="17213"/>
    <x v="10"/>
    <x v="2"/>
    <n v="3492474663"/>
    <s v="客户取消订单"/>
    <d v="2025-11-19T00:00:00"/>
    <x v="5"/>
    <n v="38.9994941"/>
    <x v="2"/>
    <s v="Deleted"/>
    <x v="3"/>
    <m/>
  </r>
  <r>
    <n v="80859233"/>
    <s v="REJ DC MOIS SH 360gX12"/>
    <s v="A672"/>
    <x v="4"/>
    <x v="1"/>
    <x v="6"/>
    <n v="3206"/>
    <x v="11"/>
    <x v="4"/>
    <n v="3495904318"/>
    <s v="follow BP guidance to protect 45 WS and remove other protection"/>
    <d v="2025-11-24T00:00:00"/>
    <x v="4"/>
    <n v="5.2299477999999997"/>
    <x v="1"/>
    <s v="Deleted"/>
    <x v="3"/>
    <m/>
  </r>
  <r>
    <n v="80859233"/>
    <s v="REJ DC MOIS SH 360gX12"/>
    <s v="A673"/>
    <x v="4"/>
    <x v="1"/>
    <x v="6"/>
    <n v="2023"/>
    <x v="11"/>
    <x v="4"/>
    <n v="3495904319"/>
    <s v="follow BP guidance to protect 45 WS and remove other protection"/>
    <d v="2025-11-24T00:00:00"/>
    <x v="4"/>
    <n v="3.3001198999999999"/>
    <x v="1"/>
    <s v="Deleted"/>
    <x v="3"/>
    <m/>
  </r>
  <r>
    <n v="80859233"/>
    <s v="REJ DC MOIS SH 360gX12"/>
    <s v="A680"/>
    <x v="4"/>
    <x v="1"/>
    <x v="6"/>
    <n v="92"/>
    <x v="11"/>
    <x v="4"/>
    <n v="3495904321"/>
    <s v="follow BP guidance to protect 45 WS and remove other protection"/>
    <d v="2025-11-24T00:00:00"/>
    <x v="4"/>
    <n v="0.15007960000000001"/>
    <x v="1"/>
    <s v="Deleted"/>
    <x v="3"/>
    <m/>
  </r>
  <r>
    <n v="80859233"/>
    <s v="REJ DC MOIS SH 360gX12"/>
    <s v="A715"/>
    <x v="4"/>
    <x v="1"/>
    <x v="6"/>
    <n v="687"/>
    <x v="11"/>
    <x v="4"/>
    <n v="3495904322"/>
    <s v="follow BP guidance to protect 45 WS and remove other protection"/>
    <d v="2025-11-24T00:00:00"/>
    <x v="4"/>
    <n v="1.1207031000000001"/>
    <x v="1"/>
    <s v="Deleted"/>
    <x v="3"/>
    <m/>
  </r>
  <r>
    <n v="80859233"/>
    <s v="REJ DC MOIS SH 360gX12"/>
    <s v="C816"/>
    <x v="4"/>
    <x v="1"/>
    <x v="6"/>
    <n v="3850"/>
    <x v="11"/>
    <x v="4"/>
    <n v="3495904323"/>
    <s v="follow BP guidance to protect 45 WS and remove other protection"/>
    <d v="2025-11-24T00:00:00"/>
    <x v="4"/>
    <n v="6.2805049999999998"/>
    <x v="1"/>
    <s v="Deleted"/>
    <x v="3"/>
    <m/>
  </r>
  <r>
    <n v="80859241"/>
    <s v="REJ DC FRESH SH 360gX12"/>
    <s v="A672"/>
    <x v="4"/>
    <x v="1"/>
    <x v="6"/>
    <n v="4732"/>
    <x v="11"/>
    <x v="4"/>
    <n v="3495904324"/>
    <s v="follow BP guidance to protect 45 WS and remove other protection"/>
    <d v="2025-11-24T00:00:00"/>
    <x v="4"/>
    <n v="7.7193116000000002"/>
    <x v="1"/>
    <s v="Deleted"/>
    <x v="3"/>
    <m/>
  </r>
  <r>
    <n v="80859241"/>
    <s v="REJ DC FRESH SH 360gX12"/>
    <s v="A673"/>
    <x v="4"/>
    <x v="1"/>
    <x v="6"/>
    <n v="3972"/>
    <x v="11"/>
    <x v="4"/>
    <n v="3495904325"/>
    <s v="follow BP guidance to protect 45 WS and remove other protection"/>
    <d v="2025-11-24T00:00:00"/>
    <x v="4"/>
    <n v="6.4795236000000003"/>
    <x v="1"/>
    <s v="Deleted"/>
    <x v="3"/>
    <m/>
  </r>
  <r>
    <n v="80859241"/>
    <s v="REJ DC FRESH SH 360gX12"/>
    <s v="A680"/>
    <x v="4"/>
    <x v="1"/>
    <x v="6"/>
    <n v="576"/>
    <x v="11"/>
    <x v="4"/>
    <n v="3495904326"/>
    <s v="follow BP guidance to protect 45 WS and remove other protection"/>
    <d v="2025-11-24T00:00:00"/>
    <x v="4"/>
    <n v="0.93962880000000004"/>
    <x v="1"/>
    <s v="Deleted"/>
    <x v="3"/>
    <m/>
  </r>
  <r>
    <n v="80859241"/>
    <s v="REJ DC FRESH SH 360gX12"/>
    <s v="A715"/>
    <x v="4"/>
    <x v="1"/>
    <x v="6"/>
    <n v="1146"/>
    <x v="11"/>
    <x v="4"/>
    <n v="3495904327"/>
    <s v="follow BP guidance to protect 45 WS and remove other protection"/>
    <d v="2025-11-24T00:00:00"/>
    <x v="4"/>
    <n v="1.8694698000000001"/>
    <x v="1"/>
    <s v="Deleted"/>
    <x v="3"/>
    <m/>
  </r>
  <r>
    <n v="80859241"/>
    <s v="REJ DC FRESH SH 360gX12"/>
    <s v="C816"/>
    <x v="4"/>
    <x v="1"/>
    <x v="6"/>
    <n v="4818"/>
    <x v="11"/>
    <x v="4"/>
    <n v="3495904328"/>
    <s v="follow BP guidance to protect 45 WS and remove other protection"/>
    <d v="2025-11-24T00:00:00"/>
    <x v="4"/>
    <n v="7.8596034000000001"/>
    <x v="1"/>
    <s v="Deleted"/>
    <x v="3"/>
    <m/>
  </r>
  <r>
    <n v="80859236"/>
    <s v="REJ DC NURISHING SH 360gX12"/>
    <s v="A668"/>
    <x v="4"/>
    <x v="1"/>
    <x v="6"/>
    <n v="25"/>
    <x v="11"/>
    <x v="4"/>
    <n v="3495904329"/>
    <s v="follow BP guidance to protect 45 WS and remove other protection"/>
    <d v="2025-11-24T00:00:00"/>
    <x v="4"/>
    <n v="4.0782499999999999E-2"/>
    <x v="1"/>
    <s v="Deleted"/>
    <x v="3"/>
    <m/>
  </r>
  <r>
    <n v="80859236"/>
    <s v="REJ DC NURISHING SH 360gX12"/>
    <s v="A672"/>
    <x v="4"/>
    <x v="1"/>
    <x v="6"/>
    <n v="2336"/>
    <x v="11"/>
    <x v="4"/>
    <n v="3495904330"/>
    <s v="follow BP guidance to protect 45 WS and remove other protection"/>
    <d v="2025-11-24T00:00:00"/>
    <x v="4"/>
    <n v="3.8107167999999998"/>
    <x v="1"/>
    <s v="Deleted"/>
    <x v="3"/>
    <m/>
  </r>
  <r>
    <n v="80859236"/>
    <s v="REJ DC NURISHING SH 360gX12"/>
    <s v="A673"/>
    <x v="4"/>
    <x v="1"/>
    <x v="6"/>
    <n v="2109"/>
    <x v="11"/>
    <x v="4"/>
    <n v="3495904331"/>
    <s v="follow BP guidance to protect 45 WS and remove other protection"/>
    <d v="2025-11-24T00:00:00"/>
    <x v="4"/>
    <n v="3.4404116999999999"/>
    <x v="1"/>
    <s v="Deleted"/>
    <x v="3"/>
    <m/>
  </r>
  <r>
    <n v="80859236"/>
    <s v="REJ DC NURISHING SH 360gX12"/>
    <s v="A680"/>
    <x v="4"/>
    <x v="1"/>
    <x v="6"/>
    <n v="595"/>
    <x v="11"/>
    <x v="4"/>
    <n v="3495904332"/>
    <s v="follow BP guidance to protect 45 WS and remove other protection"/>
    <d v="2025-11-24T00:00:00"/>
    <x v="4"/>
    <n v="0.97062349999999997"/>
    <x v="1"/>
    <s v="Deleted"/>
    <x v="3"/>
    <m/>
  </r>
  <r>
    <n v="80859236"/>
    <s v="REJ DC NURISHING SH 360gX12"/>
    <s v="A715"/>
    <x v="4"/>
    <x v="1"/>
    <x v="6"/>
    <n v="386"/>
    <x v="11"/>
    <x v="4"/>
    <n v="3495904333"/>
    <s v="follow BP guidance to protect 45 WS and remove other protection"/>
    <d v="2025-11-24T00:00:00"/>
    <x v="4"/>
    <n v="0.62968179999999996"/>
    <x v="1"/>
    <s v="Deleted"/>
    <x v="3"/>
    <m/>
  </r>
  <r>
    <n v="80859236"/>
    <s v="REJ DC NURISHING SH 360gX12"/>
    <s v="C816"/>
    <x v="4"/>
    <x v="1"/>
    <x v="6"/>
    <n v="2795"/>
    <x v="11"/>
    <x v="4"/>
    <n v="3495904335"/>
    <s v="follow BP guidance to protect 45 WS and remove other protection"/>
    <d v="2025-11-24T00:00:00"/>
    <x v="4"/>
    <n v="4.5594834999999998"/>
    <x v="1"/>
    <s v="Deleted"/>
    <x v="3"/>
    <m/>
  </r>
  <r>
    <n v="80859246"/>
    <s v="REJ DC COMFORTING SH 360gX12"/>
    <s v="A668"/>
    <x v="4"/>
    <x v="1"/>
    <x v="6"/>
    <n v="202"/>
    <x v="11"/>
    <x v="4"/>
    <n v="3495904336"/>
    <s v="follow BP guidance to protect 45 WS and remove other protection"/>
    <d v="2025-11-24T00:00:00"/>
    <x v="4"/>
    <n v="0.3295226"/>
    <x v="1"/>
    <s v="Deleted"/>
    <x v="3"/>
    <m/>
  </r>
  <r>
    <n v="80859246"/>
    <s v="REJ DC COMFORTING SH 360gX12"/>
    <s v="A672"/>
    <x v="4"/>
    <x v="1"/>
    <x v="6"/>
    <n v="4475"/>
    <x v="11"/>
    <x v="4"/>
    <n v="3495904337"/>
    <s v="follow BP guidance to protect 45 WS and remove other protection"/>
    <d v="2025-11-24T00:00:00"/>
    <x v="4"/>
    <n v="7.3000674999999999"/>
    <x v="1"/>
    <s v="Deleted"/>
    <x v="3"/>
    <m/>
  </r>
  <r>
    <n v="80859246"/>
    <s v="REJ DC COMFORTING SH 360gX12"/>
    <s v="A673"/>
    <x v="4"/>
    <x v="1"/>
    <x v="6"/>
    <n v="3145"/>
    <x v="11"/>
    <x v="4"/>
    <n v="3495904338"/>
    <s v="follow BP guidance to protect 45 WS and remove other protection"/>
    <d v="2025-11-24T00:00:00"/>
    <x v="4"/>
    <n v="5.1304385000000003"/>
    <x v="1"/>
    <s v="Deleted"/>
    <x v="3"/>
    <m/>
  </r>
  <r>
    <n v="80859246"/>
    <s v="REJ DC COMFORTING SH 360gX12"/>
    <s v="A680"/>
    <x v="4"/>
    <x v="1"/>
    <x v="6"/>
    <n v="343"/>
    <x v="11"/>
    <x v="4"/>
    <n v="3495904339"/>
    <s v="follow BP guidance to protect 45 WS and remove other protection"/>
    <d v="2025-11-24T00:00:00"/>
    <x v="4"/>
    <n v="0.55953589999999997"/>
    <x v="1"/>
    <s v="Deleted"/>
    <x v="3"/>
    <m/>
  </r>
  <r>
    <n v="80859246"/>
    <s v="REJ DC COMFORTING SH 360gX12"/>
    <s v="A715"/>
    <x v="4"/>
    <x v="1"/>
    <x v="6"/>
    <n v="546"/>
    <x v="11"/>
    <x v="4"/>
    <n v="3495904340"/>
    <s v="follow BP guidance to protect 45 WS and remove other protection"/>
    <d v="2025-11-24T00:00:00"/>
    <x v="4"/>
    <n v="0.89068979999999998"/>
    <x v="1"/>
    <s v="Deleted"/>
    <x v="3"/>
    <m/>
  </r>
  <r>
    <n v="80859246"/>
    <s v="REJ DC COMFORTING SH 360gX12"/>
    <s v="C816"/>
    <x v="4"/>
    <x v="1"/>
    <x v="6"/>
    <n v="5002"/>
    <x v="11"/>
    <x v="4"/>
    <n v="3495904341"/>
    <s v="follow BP guidance to protect 45 WS and remove other protection"/>
    <d v="2025-11-24T00:00:00"/>
    <x v="4"/>
    <n v="8.1597626000000005"/>
    <x v="1"/>
    <s v="Deleted"/>
    <x v="3"/>
    <m/>
  </r>
  <r>
    <n v="80859250"/>
    <s v="REJ DC MOIS SH 170gX24"/>
    <s v="A672"/>
    <x v="4"/>
    <x v="1"/>
    <x v="6"/>
    <n v="1324"/>
    <x v="11"/>
    <x v="4"/>
    <n v="3495904342"/>
    <s v="follow BP guidance to protect 45 WS and remove other protection"/>
    <d v="2025-11-24T00:00:00"/>
    <x v="4"/>
    <n v="2.0398868000000001"/>
    <x v="1"/>
    <s v="Deleted"/>
    <x v="3"/>
    <m/>
  </r>
  <r>
    <n v="80859250"/>
    <s v="REJ DC MOIS SH 170gX24"/>
    <s v="A673"/>
    <x v="4"/>
    <x v="1"/>
    <x v="6"/>
    <n v="441"/>
    <x v="11"/>
    <x v="4"/>
    <n v="3495904343"/>
    <s v="follow BP guidance to protect 45 WS and remove other protection"/>
    <d v="2025-11-24T00:00:00"/>
    <x v="4"/>
    <n v="0.67944870000000002"/>
    <x v="1"/>
    <s v="Deleted"/>
    <x v="3"/>
    <m/>
  </r>
  <r>
    <n v="80859250"/>
    <s v="REJ DC MOIS SH 170gX24"/>
    <s v="A680"/>
    <x v="4"/>
    <x v="1"/>
    <x v="6"/>
    <n v="149"/>
    <x v="11"/>
    <x v="4"/>
    <n v="3495904344"/>
    <s v="follow BP guidance to protect 45 WS and remove other protection"/>
    <d v="2025-11-24T00:00:00"/>
    <x v="4"/>
    <n v="0.2295643"/>
    <x v="1"/>
    <s v="Deleted"/>
    <x v="3"/>
    <m/>
  </r>
  <r>
    <n v="80859250"/>
    <s v="REJ DC MOIS SH 170gX24"/>
    <s v="A715"/>
    <x v="4"/>
    <x v="1"/>
    <x v="6"/>
    <n v="1071"/>
    <x v="11"/>
    <x v="4"/>
    <n v="3495904345"/>
    <s v="follow BP guidance to protect 45 WS and remove other protection"/>
    <d v="2025-11-24T00:00:00"/>
    <x v="4"/>
    <n v="1.6500897000000001"/>
    <x v="1"/>
    <s v="Deleted"/>
    <x v="3"/>
    <m/>
  </r>
  <r>
    <n v="80859250"/>
    <s v="REJ DC MOIS SH 170gX24"/>
    <s v="C816"/>
    <x v="4"/>
    <x v="1"/>
    <x v="6"/>
    <n v="2700"/>
    <x v="11"/>
    <x v="4"/>
    <n v="3495904346"/>
    <s v="follow BP guidance to protect 45 WS and remove other protection"/>
    <d v="2025-11-24T00:00:00"/>
    <x v="4"/>
    <n v="4.1598899999999999"/>
    <x v="1"/>
    <s v="Deleted"/>
    <x v="3"/>
    <m/>
  </r>
  <r>
    <n v="80859227"/>
    <s v="REJ DC FRESH SH 170gX24"/>
    <s v="A672"/>
    <x v="4"/>
    <x v="1"/>
    <x v="6"/>
    <n v="2453"/>
    <x v="11"/>
    <x v="4"/>
    <n v="3495904347"/>
    <s v="follow BP guidance to protect 45 WS and remove other protection"/>
    <d v="2025-11-24T00:00:00"/>
    <x v="4"/>
    <n v="3.7793370999999998"/>
    <x v="1"/>
    <s v="Deleted"/>
    <x v="3"/>
    <m/>
  </r>
  <r>
    <n v="80859227"/>
    <s v="REJ DC FRESH SH 170gX24"/>
    <s v="A673"/>
    <x v="4"/>
    <x v="1"/>
    <x v="6"/>
    <n v="4790"/>
    <x v="11"/>
    <x v="4"/>
    <n v="3495904348"/>
    <s v="follow BP guidance to protect 45 WS and remove other protection"/>
    <d v="2025-11-24T00:00:00"/>
    <x v="4"/>
    <n v="7.3799530000000004"/>
    <x v="1"/>
    <s v="Deleted"/>
    <x v="3"/>
    <m/>
  </r>
  <r>
    <n v="80859227"/>
    <s v="REJ DC FRESH SH 170gX24"/>
    <s v="A680"/>
    <x v="4"/>
    <x v="1"/>
    <x v="6"/>
    <n v="669"/>
    <x v="11"/>
    <x v="4"/>
    <n v="3495904349"/>
    <s v="follow BP guidance to protect 45 WS and remove other protection"/>
    <d v="2025-11-24T00:00:00"/>
    <x v="4"/>
    <n v="1.0307283"/>
    <x v="1"/>
    <s v="Deleted"/>
    <x v="3"/>
    <m/>
  </r>
  <r>
    <n v="80859227"/>
    <s v="REJ DC FRESH SH 170gX24"/>
    <s v="A715"/>
    <x v="4"/>
    <x v="1"/>
    <x v="6"/>
    <n v="2265"/>
    <x v="11"/>
    <x v="4"/>
    <n v="3495904350"/>
    <s v="follow BP guidance to protect 45 WS and remove other protection"/>
    <d v="2025-11-24T00:00:00"/>
    <x v="4"/>
    <n v="3.4896855000000002"/>
    <x v="1"/>
    <s v="Deleted"/>
    <x v="3"/>
    <m/>
  </r>
  <r>
    <n v="80859227"/>
    <s v="REJ DC FRESH SH 170gX24"/>
    <s v="C816"/>
    <x v="4"/>
    <x v="1"/>
    <x v="6"/>
    <n v="3829"/>
    <x v="11"/>
    <x v="4"/>
    <n v="3495904351"/>
    <s v="follow BP guidance to protect 45 WS and remove other protection"/>
    <d v="2025-11-24T00:00:00"/>
    <x v="4"/>
    <n v="5.8993403000000004"/>
    <x v="1"/>
    <s v="Deleted"/>
    <x v="3"/>
    <m/>
  </r>
  <r>
    <n v="80859240"/>
    <s v="REJ DC COMFORTING SH 170gX24"/>
    <s v="A672"/>
    <x v="4"/>
    <x v="1"/>
    <x v="6"/>
    <n v="4816"/>
    <x v="11"/>
    <x v="4"/>
    <n v="3495904352"/>
    <s v="follow BP guidance to protect 45 WS and remove other protection"/>
    <d v="2025-11-24T00:00:00"/>
    <x v="4"/>
    <n v="7.4200112000000003"/>
    <x v="1"/>
    <s v="Deleted"/>
    <x v="3"/>
    <m/>
  </r>
  <r>
    <n v="80859240"/>
    <s v="REJ DC COMFORTING SH 170gX24"/>
    <s v="A673"/>
    <x v="4"/>
    <x v="1"/>
    <x v="6"/>
    <n v="4394"/>
    <x v="11"/>
    <x v="4"/>
    <n v="3495904353"/>
    <s v="follow BP guidance to protect 45 WS and remove other protection"/>
    <d v="2025-11-24T00:00:00"/>
    <x v="4"/>
    <n v="6.7698358000000001"/>
    <x v="1"/>
    <s v="Deleted"/>
    <x v="3"/>
    <m/>
  </r>
  <r>
    <n v="80859240"/>
    <s v="REJ DC COMFORTING SH 170gX24"/>
    <s v="A680"/>
    <x v="4"/>
    <x v="1"/>
    <x v="6"/>
    <n v="467"/>
    <x v="11"/>
    <x v="4"/>
    <n v="3495904355"/>
    <s v="follow BP guidance to protect 45 WS and remove other protection"/>
    <d v="2025-11-24T00:00:00"/>
    <x v="4"/>
    <n v="0.71950689999999995"/>
    <x v="1"/>
    <s v="Deleted"/>
    <x v="3"/>
    <m/>
  </r>
  <r>
    <n v="80859240"/>
    <s v="REJ DC COMFORTING SH 170gX24"/>
    <s v="A715"/>
    <x v="4"/>
    <x v="1"/>
    <x v="6"/>
    <n v="1181"/>
    <x v="11"/>
    <x v="4"/>
    <n v="3495904356"/>
    <s v="follow BP guidance to protect 45 WS and remove other protection"/>
    <d v="2025-11-24T00:00:00"/>
    <x v="4"/>
    <n v="1.8195667"/>
    <x v="1"/>
    <s v="Deleted"/>
    <x v="3"/>
    <m/>
  </r>
  <r>
    <n v="80859240"/>
    <s v="REJ DC COMFORTING SH 170gX24"/>
    <s v="C816"/>
    <x v="4"/>
    <x v="1"/>
    <x v="6"/>
    <n v="3031"/>
    <x v="11"/>
    <x v="4"/>
    <n v="3495904357"/>
    <s v="follow BP guidance to protect 45 WS and remove other protection"/>
    <d v="2025-11-24T00:00:00"/>
    <x v="4"/>
    <n v="4.6698617000000002"/>
    <x v="1"/>
    <s v="Deleted"/>
    <x v="3"/>
    <m/>
  </r>
  <r>
    <n v="80859242"/>
    <s v="REJ DC BRIGHTEING SH 170gX24"/>
    <s v="A668"/>
    <x v="4"/>
    <x v="1"/>
    <x v="6"/>
    <n v="156"/>
    <x v="11"/>
    <x v="4"/>
    <n v="3495904358"/>
    <s v="follow BP guidance to protect 45 WS and remove other protection"/>
    <d v="2025-11-24T00:00:00"/>
    <x v="4"/>
    <n v="0.24034920000000001"/>
    <x v="1"/>
    <s v="Deleted"/>
    <x v="3"/>
    <m/>
  </r>
  <r>
    <n v="80859242"/>
    <s v="REJ DC BRIGHTEING SH 170gX24"/>
    <s v="A672"/>
    <x v="4"/>
    <x v="1"/>
    <x v="6"/>
    <n v="1863"/>
    <x v="11"/>
    <x v="4"/>
    <n v="3495904359"/>
    <s v="follow BP guidance to protect 45 WS and remove other protection"/>
    <d v="2025-11-24T00:00:00"/>
    <x v="4"/>
    <n v="2.8703240999999999"/>
    <x v="1"/>
    <s v="Deleted"/>
    <x v="3"/>
    <m/>
  </r>
  <r>
    <n v="80859242"/>
    <s v="REJ DC BRIGHTEING SH 170gX24"/>
    <s v="A673"/>
    <x v="4"/>
    <x v="1"/>
    <x v="6"/>
    <n v="2103"/>
    <x v="11"/>
    <x v="4"/>
    <n v="3495904360"/>
    <s v="follow BP guidance to protect 45 WS and remove other protection"/>
    <d v="2025-11-24T00:00:00"/>
    <x v="4"/>
    <n v="3.2400921"/>
    <x v="1"/>
    <s v="Deleted"/>
    <x v="3"/>
    <m/>
  </r>
  <r>
    <n v="80859242"/>
    <s v="REJ DC BRIGHTEING SH 170gX24"/>
    <s v="A680"/>
    <x v="4"/>
    <x v="1"/>
    <x v="6"/>
    <n v="389"/>
    <x v="11"/>
    <x v="4"/>
    <n v="3495904361"/>
    <s v="follow BP guidance to protect 45 WS and remove other protection"/>
    <d v="2025-11-24T00:00:00"/>
    <x v="4"/>
    <n v="0.59933230000000004"/>
    <x v="1"/>
    <s v="Deleted"/>
    <x v="3"/>
    <m/>
  </r>
  <r>
    <n v="80859242"/>
    <s v="REJ DC BRIGHTEING SH 170gX24"/>
    <s v="A715"/>
    <x v="4"/>
    <x v="1"/>
    <x v="6"/>
    <n v="480"/>
    <x v="11"/>
    <x v="4"/>
    <n v="3495904362"/>
    <s v="follow BP guidance to protect 45 WS and remove other protection"/>
    <d v="2025-11-24T00:00:00"/>
    <x v="4"/>
    <n v="0.73953599999999997"/>
    <x v="1"/>
    <s v="Deleted"/>
    <x v="3"/>
    <m/>
  </r>
  <r>
    <n v="80859242"/>
    <s v="REJ DC BRIGHTEING SH 170gX24"/>
    <s v="C816"/>
    <x v="4"/>
    <x v="1"/>
    <x v="6"/>
    <n v="2473"/>
    <x v="11"/>
    <x v="4"/>
    <n v="3495904363"/>
    <s v="follow BP guidance to protect 45 WS and remove other protection"/>
    <d v="2025-11-24T00:00:00"/>
    <x v="4"/>
    <n v="3.8101511000000001"/>
    <x v="1"/>
    <s v="Deleted"/>
    <x v="3"/>
    <m/>
  </r>
  <r>
    <n v="80859238"/>
    <s v="REJ DC NURISHING SH 170gX24"/>
    <s v="A672"/>
    <x v="4"/>
    <x v="1"/>
    <x v="6"/>
    <n v="2356"/>
    <x v="11"/>
    <x v="4"/>
    <n v="3495904364"/>
    <s v="follow BP guidance to protect 45 WS and remove other protection"/>
    <d v="2025-11-24T00:00:00"/>
    <x v="4"/>
    <n v="3.6298892"/>
    <x v="1"/>
    <s v="Deleted"/>
    <x v="3"/>
    <m/>
  </r>
  <r>
    <n v="80859238"/>
    <s v="REJ DC NURISHING SH 170gX24"/>
    <s v="A673"/>
    <x v="4"/>
    <x v="1"/>
    <x v="6"/>
    <n v="2518"/>
    <x v="11"/>
    <x v="4"/>
    <n v="3495904365"/>
    <s v="follow BP guidance to protect 45 WS and remove other protection"/>
    <d v="2025-11-24T00:00:00"/>
    <x v="4"/>
    <n v="3.8794825999999998"/>
    <x v="1"/>
    <s v="Deleted"/>
    <x v="3"/>
    <m/>
  </r>
  <r>
    <n v="80859238"/>
    <s v="REJ DC NURISHING SH 170gX24"/>
    <s v="A680"/>
    <x v="4"/>
    <x v="1"/>
    <x v="6"/>
    <n v="545"/>
    <x v="11"/>
    <x v="4"/>
    <n v="3495904366"/>
    <s v="follow BP guidance to protect 45 WS and remove other protection"/>
    <d v="2025-11-24T00:00:00"/>
    <x v="4"/>
    <n v="0.83968149999999997"/>
    <x v="1"/>
    <s v="Deleted"/>
    <x v="3"/>
    <m/>
  </r>
  <r>
    <n v="80859238"/>
    <s v="REJ DC NURISHING SH 170gX24"/>
    <s v="A715"/>
    <x v="4"/>
    <x v="1"/>
    <x v="6"/>
    <n v="643"/>
    <x v="11"/>
    <x v="4"/>
    <n v="3495904367"/>
    <s v="follow BP guidance to protect 45 WS and remove other protection"/>
    <d v="2025-11-24T00:00:00"/>
    <x v="4"/>
    <n v="0.9906701"/>
    <x v="1"/>
    <s v="Deleted"/>
    <x v="3"/>
    <m/>
  </r>
  <r>
    <n v="80859238"/>
    <s v="REJ DC NURISHING SH 170gX24"/>
    <s v="C816"/>
    <x v="4"/>
    <x v="1"/>
    <x v="6"/>
    <n v="2174"/>
    <x v="11"/>
    <x v="4"/>
    <n v="3495904368"/>
    <s v="follow BP guidance to protect 45 WS and remove other protection"/>
    <d v="2025-11-24T00:00:00"/>
    <x v="4"/>
    <n v="3.3494818"/>
    <x v="1"/>
    <s v="Deleted"/>
    <x v="3"/>
    <m/>
  </r>
  <r>
    <n v="80814089"/>
    <s v="海飞丝去屑丝质柔滑型洗发露200克"/>
    <s v="C816"/>
    <x v="14"/>
    <x v="4"/>
    <x v="17"/>
    <n v="405"/>
    <x v="12"/>
    <x v="10"/>
    <n v="3496601457"/>
    <m/>
    <d v="2025-11-25T00:00:00"/>
    <x v="11"/>
    <n v="0.73406249999999995"/>
    <x v="2"/>
    <s v="Deleted"/>
    <x v="3"/>
    <m/>
  </r>
  <r>
    <n v="80814098"/>
    <s v="海飞丝去屑怡神冰凉型洗发露200克"/>
    <s v="C816"/>
    <x v="14"/>
    <x v="4"/>
    <x v="17"/>
    <n v="405"/>
    <x v="12"/>
    <x v="10"/>
    <n v="3496601638"/>
    <m/>
    <d v="2025-11-25T00:00:00"/>
    <x v="11"/>
    <n v="0.73406249999999995"/>
    <x v="2"/>
    <s v="Deleted"/>
    <x v="3"/>
    <m/>
  </r>
  <r>
    <n v="80814097"/>
    <s v="海飞丝去屑清爽控油型洗发露200克"/>
    <s v="C816"/>
    <x v="14"/>
    <x v="4"/>
    <x v="17"/>
    <n v="405"/>
    <x v="12"/>
    <x v="10"/>
    <n v="3496601639"/>
    <m/>
    <d v="2025-11-25T00:00:00"/>
    <x v="11"/>
    <n v="0.73406249999999995"/>
    <x v="2"/>
    <s v="Deleted"/>
    <x v="3"/>
    <m/>
  </r>
  <r>
    <n v="80814081"/>
    <s v="海飞丝去屑止痒呵护型洗发露200克"/>
    <s v="C816"/>
    <x v="14"/>
    <x v="4"/>
    <x v="17"/>
    <n v="405"/>
    <x v="12"/>
    <x v="10"/>
    <n v="3496601640"/>
    <m/>
    <d v="2025-11-25T00:00:00"/>
    <x v="11"/>
    <n v="0.73406249999999995"/>
    <x v="2"/>
    <s v="Deleted"/>
    <x v="3"/>
    <m/>
  </r>
  <r>
    <n v="80815648"/>
    <s v="海飞丝去屑丝质柔滑型洗发露430克"/>
    <s v="C816"/>
    <x v="14"/>
    <x v="4"/>
    <x v="17"/>
    <n v="753"/>
    <x v="12"/>
    <x v="10"/>
    <n v="3496601641"/>
    <m/>
    <d v="2025-11-25T00:00:00"/>
    <x v="11"/>
    <n v="1.4672205"/>
    <x v="2"/>
    <s v="Deleted"/>
    <x v="3"/>
    <m/>
  </r>
  <r>
    <n v="80815643"/>
    <s v="海飞丝去屑怡神冰凉型洗发露430克"/>
    <s v="C816"/>
    <x v="14"/>
    <x v="4"/>
    <x v="17"/>
    <n v="753"/>
    <x v="12"/>
    <x v="10"/>
    <n v="3496601644"/>
    <m/>
    <d v="2025-11-25T00:00:00"/>
    <x v="11"/>
    <n v="1.4672205"/>
    <x v="2"/>
    <s v="Deleted"/>
    <x v="3"/>
    <m/>
  </r>
  <r>
    <n v="80815642"/>
    <s v="海飞丝去屑清爽控油型洗发露430克"/>
    <s v="C816"/>
    <x v="14"/>
    <x v="4"/>
    <x v="17"/>
    <n v="753"/>
    <x v="12"/>
    <x v="10"/>
    <n v="3496601645"/>
    <m/>
    <d v="2025-11-25T00:00:00"/>
    <x v="11"/>
    <n v="1.4672205"/>
    <x v="2"/>
    <s v="Deleted"/>
    <x v="3"/>
    <m/>
  </r>
  <r>
    <n v="80815644"/>
    <s v="海飞丝去屑深度洁净型洗发露430克"/>
    <s v="C816"/>
    <x v="14"/>
    <x v="4"/>
    <x v="17"/>
    <n v="377"/>
    <x v="12"/>
    <x v="10"/>
    <n v="3496601646"/>
    <m/>
    <d v="2025-11-25T00:00:00"/>
    <x v="11"/>
    <n v="0.73458449999999997"/>
    <x v="2"/>
    <s v="Deleted"/>
    <x v="3"/>
    <m/>
  </r>
  <r>
    <n v="80815645"/>
    <s v="海飞丝去屑止痒呵护型洗发露430克"/>
    <s v="C816"/>
    <x v="14"/>
    <x v="4"/>
    <x v="17"/>
    <n v="753"/>
    <x v="12"/>
    <x v="10"/>
    <n v="3496601647"/>
    <m/>
    <d v="2025-11-25T00:00:00"/>
    <x v="11"/>
    <n v="1.4672205"/>
    <x v="2"/>
    <s v="Deleted"/>
    <x v="3"/>
    <m/>
  </r>
  <r>
    <n v="80815647"/>
    <s v="海飞丝去屑防断韧发型洗发露430克"/>
    <s v="C816"/>
    <x v="14"/>
    <x v="4"/>
    <x v="17"/>
    <n v="377"/>
    <x v="12"/>
    <x v="10"/>
    <n v="3496601648"/>
    <m/>
    <d v="2025-11-25T00:00:00"/>
    <x v="11"/>
    <n v="0.73458449999999997"/>
    <x v="2"/>
    <s v="Deleted"/>
    <x v="3"/>
    <m/>
  </r>
  <r>
    <n v="80813610"/>
    <s v="潘婷PRO-V乳液修护洗发水200G"/>
    <s v="C816"/>
    <x v="14"/>
    <x v="4"/>
    <x v="17"/>
    <n v="405"/>
    <x v="12"/>
    <x v="10"/>
    <n v="3496601649"/>
    <m/>
    <d v="2025-11-25T00:00:00"/>
    <x v="11"/>
    <n v="0.73410299999999995"/>
    <x v="2"/>
    <s v="Deleted"/>
    <x v="3"/>
    <m/>
  </r>
  <r>
    <n v="80813619"/>
    <s v="潘婷PRO-V丝质顺滑型洗发露200G"/>
    <s v="C816"/>
    <x v="14"/>
    <x v="4"/>
    <x v="17"/>
    <n v="405"/>
    <x v="12"/>
    <x v="10"/>
    <n v="3496601650"/>
    <m/>
    <d v="2025-11-25T00:00:00"/>
    <x v="11"/>
    <n v="0.73410299999999995"/>
    <x v="2"/>
    <s v="Deleted"/>
    <x v="3"/>
    <m/>
  </r>
  <r>
    <n v="80813615"/>
    <s v="潘婷PRO-V乳液修护洗发水400G"/>
    <s v="C816"/>
    <x v="14"/>
    <x v="4"/>
    <x v="17"/>
    <n v="405"/>
    <x v="12"/>
    <x v="10"/>
    <n v="3496601651"/>
    <m/>
    <d v="2025-11-25T00:00:00"/>
    <x v="11"/>
    <n v="0.73410299999999995"/>
    <x v="2"/>
    <s v="Deleted"/>
    <x v="3"/>
    <m/>
  </r>
  <r>
    <n v="80813637"/>
    <s v="潘婷PRO-V丝质顺滑型洗发露400G"/>
    <s v="C816"/>
    <x v="14"/>
    <x v="4"/>
    <x v="17"/>
    <n v="405"/>
    <x v="12"/>
    <x v="10"/>
    <n v="3496601652"/>
    <m/>
    <d v="2025-11-25T00:00:00"/>
    <x v="11"/>
    <n v="0.73410299999999995"/>
    <x v="2"/>
    <s v="Deleted"/>
    <x v="3"/>
    <m/>
  </r>
  <r>
    <n v="80813617"/>
    <s v="潘婷PRO-V丝质顺滑去屑洗发水400g"/>
    <s v="C816"/>
    <x v="14"/>
    <x v="4"/>
    <x v="17"/>
    <n v="405"/>
    <x v="12"/>
    <x v="10"/>
    <n v="3496601653"/>
    <m/>
    <d v="2025-11-25T00:00:00"/>
    <x v="11"/>
    <n v="0.73410299999999995"/>
    <x v="2"/>
    <s v="Deleted"/>
    <x v="3"/>
    <m/>
  </r>
  <r>
    <n v="80813629"/>
    <s v="潘婷PRO-V乳液修护去屑洗发水400g"/>
    <s v="C816"/>
    <x v="14"/>
    <x v="4"/>
    <x v="17"/>
    <n v="405"/>
    <x v="12"/>
    <x v="10"/>
    <n v="3496601654"/>
    <m/>
    <d v="2025-11-25T00:00:00"/>
    <x v="11"/>
    <n v="0.73410299999999995"/>
    <x v="2"/>
    <s v="Deleted"/>
    <x v="3"/>
    <m/>
  </r>
  <r>
    <n v="80820462"/>
    <s v="飘柔滋润去屑洗发露200g"/>
    <s v="C816"/>
    <x v="14"/>
    <x v="4"/>
    <x v="17"/>
    <n v="810"/>
    <x v="12"/>
    <x v="10"/>
    <n v="3496601655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17"/>
    <n v="405"/>
    <x v="12"/>
    <x v="10"/>
    <n v="3496601656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17"/>
    <n v="405"/>
    <x v="12"/>
    <x v="10"/>
    <n v="3496601657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17"/>
    <n v="810"/>
    <x v="12"/>
    <x v="10"/>
    <n v="3496601658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17"/>
    <n v="405"/>
    <x v="12"/>
    <x v="10"/>
    <n v="3496601659"/>
    <s v="past due, 重新放unmet needs after align with BP"/>
    <d v="2025-11-25T00:00:00"/>
    <x v="11"/>
    <n v="0.73406249999999995"/>
    <x v="2"/>
    <s v="Deleted"/>
    <x v="3"/>
    <m/>
  </r>
  <r>
    <n v="80814098"/>
    <s v="海飞丝去屑怡神冰凉型洗发露200克"/>
    <s v="A673"/>
    <x v="14"/>
    <x v="4"/>
    <x v="17"/>
    <n v="405"/>
    <x v="12"/>
    <x v="10"/>
    <n v="3496601660"/>
    <s v="past due, 重新放unmet needs after align with BP"/>
    <d v="2025-11-25T00:00:00"/>
    <x v="11"/>
    <n v="0.73406249999999995"/>
    <x v="2"/>
    <s v="Deleted"/>
    <x v="3"/>
    <m/>
  </r>
  <r>
    <n v="80814097"/>
    <s v="海飞丝去屑清爽控油型洗发露200克"/>
    <s v="A673"/>
    <x v="14"/>
    <x v="4"/>
    <x v="17"/>
    <n v="405"/>
    <x v="12"/>
    <x v="10"/>
    <n v="3496601661"/>
    <s v="past due, 重新放unmet needs after align with BP"/>
    <d v="2025-11-25T00:00:00"/>
    <x v="11"/>
    <n v="0.73406249999999995"/>
    <x v="2"/>
    <s v="Deleted"/>
    <x v="3"/>
    <m/>
  </r>
  <r>
    <n v="80814081"/>
    <s v="海飞丝去屑止痒呵护型洗发露200克"/>
    <s v="A673"/>
    <x v="14"/>
    <x v="4"/>
    <x v="17"/>
    <n v="405"/>
    <x v="12"/>
    <x v="10"/>
    <n v="3496601662"/>
    <s v="past due, 重新放unmet needs after align with BP"/>
    <d v="2025-11-25T00:00:00"/>
    <x v="11"/>
    <n v="0.73406249999999995"/>
    <x v="2"/>
    <s v="Deleted"/>
    <x v="3"/>
    <m/>
  </r>
  <r>
    <n v="80815648"/>
    <s v="海飞丝去屑丝质柔滑型洗发露430克"/>
    <s v="A673"/>
    <x v="14"/>
    <x v="4"/>
    <x v="17"/>
    <n v="753"/>
    <x v="12"/>
    <x v="10"/>
    <n v="3496601663"/>
    <s v="past due, 重新放unmet needs after align with BP"/>
    <d v="2025-11-25T00:00:00"/>
    <x v="11"/>
    <n v="1.4672205"/>
    <x v="2"/>
    <s v="Deleted"/>
    <x v="3"/>
    <m/>
  </r>
  <r>
    <n v="80815643"/>
    <s v="海飞丝去屑怡神冰凉型洗发露430克"/>
    <s v="A673"/>
    <x v="14"/>
    <x v="4"/>
    <x v="17"/>
    <n v="753"/>
    <x v="12"/>
    <x v="10"/>
    <n v="3496601664"/>
    <s v="past due, 重新放unmet needs after align with BP"/>
    <d v="2025-11-25T00:00:00"/>
    <x v="11"/>
    <n v="1.4672205"/>
    <x v="2"/>
    <s v="Deleted"/>
    <x v="3"/>
    <m/>
  </r>
  <r>
    <n v="80815642"/>
    <s v="海飞丝去屑清爽控油型洗发露430克"/>
    <s v="A673"/>
    <x v="14"/>
    <x v="4"/>
    <x v="17"/>
    <n v="753"/>
    <x v="12"/>
    <x v="10"/>
    <n v="3496601665"/>
    <s v="past due, 重新放unmet needs after align with BP"/>
    <d v="2025-11-25T00:00:00"/>
    <x v="11"/>
    <n v="1.4672205"/>
    <x v="2"/>
    <s v="Deleted"/>
    <x v="3"/>
    <m/>
  </r>
  <r>
    <n v="80815644"/>
    <s v="海飞丝去屑深度洁净型洗发露430克"/>
    <s v="A673"/>
    <x v="14"/>
    <x v="4"/>
    <x v="17"/>
    <n v="377"/>
    <x v="12"/>
    <x v="10"/>
    <n v="3496601666"/>
    <s v="past due, 重新放unmet needs after align with BP"/>
    <d v="2025-11-25T00:00:00"/>
    <x v="11"/>
    <n v="0.73458449999999997"/>
    <x v="2"/>
    <s v="Deleted"/>
    <x v="3"/>
    <m/>
  </r>
  <r>
    <n v="80815645"/>
    <s v="海飞丝去屑止痒呵护型洗发露430克"/>
    <s v="A673"/>
    <x v="14"/>
    <x v="4"/>
    <x v="17"/>
    <n v="753"/>
    <x v="12"/>
    <x v="10"/>
    <n v="3496601667"/>
    <s v="past due, 重新放unmet needs after align with BP"/>
    <d v="2025-11-25T00:00:00"/>
    <x v="11"/>
    <n v="1.4672205"/>
    <x v="2"/>
    <s v="Deleted"/>
    <x v="3"/>
    <m/>
  </r>
  <r>
    <n v="80815647"/>
    <s v="海飞丝去屑防断韧发型洗发露430克"/>
    <s v="A673"/>
    <x v="14"/>
    <x v="4"/>
    <x v="17"/>
    <n v="377"/>
    <x v="12"/>
    <x v="10"/>
    <n v="3496601668"/>
    <s v="past due, 重新放unmet needs after align with BP"/>
    <d v="2025-11-25T00:00:00"/>
    <x v="11"/>
    <n v="0.73458449999999997"/>
    <x v="2"/>
    <s v="Deleted"/>
    <x v="3"/>
    <m/>
  </r>
  <r>
    <n v="80813610"/>
    <s v="潘婷PRO-V乳液修护洗发水200G"/>
    <s v="A673"/>
    <x v="14"/>
    <x v="4"/>
    <x v="17"/>
    <n v="405"/>
    <x v="12"/>
    <x v="10"/>
    <n v="3496601671"/>
    <s v="past due, 重新放unmet needs after align with BP"/>
    <d v="2025-11-25T00:00:00"/>
    <x v="11"/>
    <n v="0.73410299999999995"/>
    <x v="2"/>
    <s v="Deleted"/>
    <x v="3"/>
    <m/>
  </r>
  <r>
    <n v="80813619"/>
    <s v="潘婷PRO-V丝质顺滑型洗发露200G"/>
    <s v="A673"/>
    <x v="14"/>
    <x v="4"/>
    <x v="17"/>
    <n v="405"/>
    <x v="12"/>
    <x v="10"/>
    <n v="3496601672"/>
    <s v="past due, 重新放unmet needs after align with BP"/>
    <d v="2025-11-25T00:00:00"/>
    <x v="11"/>
    <n v="0.73410299999999995"/>
    <x v="2"/>
    <s v="Deleted"/>
    <x v="3"/>
    <m/>
  </r>
  <r>
    <n v="80813615"/>
    <s v="潘婷PRO-V乳液修护洗发水400G"/>
    <s v="A673"/>
    <x v="14"/>
    <x v="4"/>
    <x v="17"/>
    <n v="405"/>
    <x v="12"/>
    <x v="10"/>
    <n v="3496601673"/>
    <s v="past due, 重新放unmet needs after align with BP"/>
    <d v="2025-11-25T00:00:00"/>
    <x v="11"/>
    <n v="0.73410299999999995"/>
    <x v="2"/>
    <s v="Deleted"/>
    <x v="3"/>
    <m/>
  </r>
  <r>
    <n v="80813637"/>
    <s v="潘婷PRO-V丝质顺滑型洗发露400G"/>
    <s v="A673"/>
    <x v="14"/>
    <x v="4"/>
    <x v="17"/>
    <n v="405"/>
    <x v="12"/>
    <x v="10"/>
    <n v="3496601674"/>
    <s v="past due, 重新放unmet needs after align with BP"/>
    <d v="2025-11-25T00:00:00"/>
    <x v="11"/>
    <n v="0.73410299999999995"/>
    <x v="2"/>
    <s v="Deleted"/>
    <x v="3"/>
    <m/>
  </r>
  <r>
    <n v="80813617"/>
    <s v="潘婷PRO-V丝质顺滑去屑洗发水400g"/>
    <s v="A673"/>
    <x v="14"/>
    <x v="4"/>
    <x v="17"/>
    <n v="405"/>
    <x v="12"/>
    <x v="10"/>
    <n v="3496601675"/>
    <s v="past due, 重新放unmet needs after align with BP"/>
    <d v="2025-11-25T00:00:00"/>
    <x v="11"/>
    <n v="0.73410299999999995"/>
    <x v="2"/>
    <s v="Deleted"/>
    <x v="3"/>
    <m/>
  </r>
  <r>
    <n v="80813629"/>
    <s v="潘婷PRO-V乳液修护去屑洗发水400g"/>
    <s v="A673"/>
    <x v="14"/>
    <x v="4"/>
    <x v="17"/>
    <n v="405"/>
    <x v="12"/>
    <x v="10"/>
    <n v="3496601676"/>
    <s v="past due, 重新放unmet needs after align with BP"/>
    <d v="2025-11-25T00:00:00"/>
    <x v="11"/>
    <n v="0.73410299999999995"/>
    <x v="2"/>
    <s v="Deleted"/>
    <x v="3"/>
    <m/>
  </r>
  <r>
    <n v="80820462"/>
    <s v="飘柔滋润去屑洗发露200g"/>
    <s v="A673"/>
    <x v="14"/>
    <x v="4"/>
    <x v="17"/>
    <n v="810"/>
    <x v="12"/>
    <x v="10"/>
    <n v="3496601677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17"/>
    <n v="405"/>
    <x v="12"/>
    <x v="10"/>
    <n v="3496601698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17"/>
    <n v="405"/>
    <x v="12"/>
    <x v="10"/>
    <n v="3496601699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17"/>
    <n v="810"/>
    <x v="12"/>
    <x v="10"/>
    <n v="3496601700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17"/>
    <n v="405"/>
    <x v="12"/>
    <x v="10"/>
    <n v="3496601701"/>
    <s v="past due, 重新放unmet needs after align with BP"/>
    <d v="2025-11-25T00:00:00"/>
    <x v="11"/>
    <n v="0.73406249999999995"/>
    <x v="2"/>
    <s v="Deleted"/>
    <x v="3"/>
    <m/>
  </r>
  <r>
    <n v="80814098"/>
    <s v="海飞丝去屑怡神冰凉型洗发露200克"/>
    <s v="A672"/>
    <x v="14"/>
    <x v="4"/>
    <x v="17"/>
    <n v="405"/>
    <x v="12"/>
    <x v="10"/>
    <n v="3496601702"/>
    <s v="past due, 重新放unmet needs after align with BP"/>
    <d v="2025-11-25T00:00:00"/>
    <x v="11"/>
    <n v="0.73406249999999995"/>
    <x v="2"/>
    <s v="Deleted"/>
    <x v="3"/>
    <m/>
  </r>
  <r>
    <n v="80814097"/>
    <s v="海飞丝去屑清爽控油型洗发露200克"/>
    <s v="A672"/>
    <x v="14"/>
    <x v="4"/>
    <x v="17"/>
    <n v="405"/>
    <x v="12"/>
    <x v="10"/>
    <n v="3496601703"/>
    <s v="past due, 重新放unmet needs after align with BP"/>
    <d v="2025-11-25T00:00:00"/>
    <x v="11"/>
    <n v="0.73406249999999995"/>
    <x v="2"/>
    <s v="Deleted"/>
    <x v="3"/>
    <m/>
  </r>
  <r>
    <n v="80814081"/>
    <s v="海飞丝去屑止痒呵护型洗发露200克"/>
    <s v="A672"/>
    <x v="14"/>
    <x v="4"/>
    <x v="17"/>
    <n v="405"/>
    <x v="12"/>
    <x v="10"/>
    <n v="3496601704"/>
    <s v="past due, 重新放unmet needs after align with BP"/>
    <d v="2025-11-25T00:00:00"/>
    <x v="11"/>
    <n v="0.73406249999999995"/>
    <x v="2"/>
    <s v="Deleted"/>
    <x v="3"/>
    <m/>
  </r>
  <r>
    <n v="80815648"/>
    <s v="海飞丝去屑丝质柔滑型洗发露430克"/>
    <s v="A672"/>
    <x v="14"/>
    <x v="4"/>
    <x v="17"/>
    <n v="753"/>
    <x v="12"/>
    <x v="10"/>
    <n v="3496601705"/>
    <s v="past due, 重新放unmet needs after align with BP"/>
    <d v="2025-11-25T00:00:00"/>
    <x v="11"/>
    <n v="1.4672205"/>
    <x v="2"/>
    <s v="Deleted"/>
    <x v="3"/>
    <m/>
  </r>
  <r>
    <n v="80815643"/>
    <s v="海飞丝去屑怡神冰凉型洗发露430克"/>
    <s v="A672"/>
    <x v="14"/>
    <x v="4"/>
    <x v="17"/>
    <n v="753"/>
    <x v="12"/>
    <x v="10"/>
    <n v="3496601706"/>
    <s v="past due, 重新放unmet needs after align with BP"/>
    <d v="2025-11-25T00:00:00"/>
    <x v="11"/>
    <n v="1.4672205"/>
    <x v="2"/>
    <s v="Deleted"/>
    <x v="3"/>
    <m/>
  </r>
  <r>
    <n v="80815642"/>
    <s v="海飞丝去屑清爽控油型洗发露430克"/>
    <s v="A672"/>
    <x v="14"/>
    <x v="4"/>
    <x v="17"/>
    <n v="753"/>
    <x v="12"/>
    <x v="10"/>
    <n v="3496601707"/>
    <s v="past due, 重新放unmet needs after align with BP"/>
    <d v="2025-11-25T00:00:00"/>
    <x v="11"/>
    <n v="1.4672205"/>
    <x v="2"/>
    <s v="Deleted"/>
    <x v="3"/>
    <m/>
  </r>
  <r>
    <n v="80815644"/>
    <s v="海飞丝去屑深度洁净型洗发露430克"/>
    <s v="A672"/>
    <x v="14"/>
    <x v="4"/>
    <x v="17"/>
    <n v="377"/>
    <x v="12"/>
    <x v="10"/>
    <n v="3496601708"/>
    <s v="past due, 重新放unmet needs after align with BP"/>
    <d v="2025-11-25T00:00:00"/>
    <x v="11"/>
    <n v="0.73458449999999997"/>
    <x v="2"/>
    <s v="Deleted"/>
    <x v="3"/>
    <m/>
  </r>
  <r>
    <n v="80815645"/>
    <s v="海飞丝去屑止痒呵护型洗发露430克"/>
    <s v="A672"/>
    <x v="14"/>
    <x v="4"/>
    <x v="17"/>
    <n v="753"/>
    <x v="12"/>
    <x v="10"/>
    <n v="3496601709"/>
    <s v="past due, 重新放unmet needs after align with BP"/>
    <d v="2025-11-25T00:00:00"/>
    <x v="11"/>
    <n v="1.4672205"/>
    <x v="2"/>
    <s v="Deleted"/>
    <x v="3"/>
    <m/>
  </r>
  <r>
    <n v="80815647"/>
    <s v="海飞丝去屑防断韧发型洗发露430克"/>
    <s v="A672"/>
    <x v="14"/>
    <x v="4"/>
    <x v="17"/>
    <n v="377"/>
    <x v="12"/>
    <x v="10"/>
    <n v="3496601710"/>
    <s v="past due, 重新放unmet needs after align with BP"/>
    <d v="2025-11-25T00:00:00"/>
    <x v="11"/>
    <n v="0.73458449999999997"/>
    <x v="2"/>
    <s v="Deleted"/>
    <x v="3"/>
    <m/>
  </r>
  <r>
    <n v="80813610"/>
    <s v="潘婷PRO-V乳液修护洗发水200G"/>
    <s v="A672"/>
    <x v="14"/>
    <x v="4"/>
    <x v="17"/>
    <n v="405"/>
    <x v="12"/>
    <x v="10"/>
    <n v="3496601711"/>
    <s v="past due, 重新放unmet needs after align with BP"/>
    <d v="2025-11-25T00:00:00"/>
    <x v="11"/>
    <n v="0.73410299999999995"/>
    <x v="2"/>
    <s v="Deleted"/>
    <x v="3"/>
    <m/>
  </r>
  <r>
    <n v="80813619"/>
    <s v="潘婷PRO-V丝质顺滑型洗发露200G"/>
    <s v="A672"/>
    <x v="14"/>
    <x v="4"/>
    <x v="17"/>
    <n v="405"/>
    <x v="12"/>
    <x v="10"/>
    <n v="3496601738"/>
    <s v="past due, 重新放unmet needs after align with BP"/>
    <d v="2025-11-25T00:00:00"/>
    <x v="11"/>
    <n v="0.73410299999999995"/>
    <x v="2"/>
    <s v="Deleted"/>
    <x v="3"/>
    <m/>
  </r>
  <r>
    <n v="80813615"/>
    <s v="潘婷PRO-V乳液修护洗发水400G"/>
    <s v="A672"/>
    <x v="14"/>
    <x v="4"/>
    <x v="17"/>
    <n v="405"/>
    <x v="12"/>
    <x v="10"/>
    <n v="3496601739"/>
    <s v="past due, 重新放unmet needs after align with BP"/>
    <d v="2025-11-25T00:00:00"/>
    <x v="11"/>
    <n v="0.73410299999999995"/>
    <x v="2"/>
    <s v="Deleted"/>
    <x v="3"/>
    <m/>
  </r>
  <r>
    <n v="80813637"/>
    <s v="潘婷PRO-V丝质顺滑型洗发露400G"/>
    <s v="A672"/>
    <x v="14"/>
    <x v="4"/>
    <x v="17"/>
    <n v="405"/>
    <x v="12"/>
    <x v="10"/>
    <n v="3496601740"/>
    <s v="past due, 重新放unmet needs after align with BP"/>
    <d v="2025-11-25T00:00:00"/>
    <x v="11"/>
    <n v="0.73410299999999995"/>
    <x v="2"/>
    <s v="Deleted"/>
    <x v="3"/>
    <m/>
  </r>
  <r>
    <n v="80813617"/>
    <s v="潘婷PRO-V丝质顺滑去屑洗发水400g"/>
    <s v="A672"/>
    <x v="14"/>
    <x v="4"/>
    <x v="17"/>
    <n v="405"/>
    <x v="12"/>
    <x v="10"/>
    <n v="3496601741"/>
    <s v="past due, 重新放unmet needs after align with BP"/>
    <d v="2025-11-25T00:00:00"/>
    <x v="11"/>
    <n v="0.73410299999999995"/>
    <x v="2"/>
    <s v="Deleted"/>
    <x v="3"/>
    <m/>
  </r>
  <r>
    <n v="80813629"/>
    <s v="潘婷PRO-V乳液修护去屑洗发水400g"/>
    <s v="A672"/>
    <x v="14"/>
    <x v="4"/>
    <x v="17"/>
    <n v="405"/>
    <x v="12"/>
    <x v="10"/>
    <n v="3496601742"/>
    <s v="past due, 重新放unmet needs after align with BP"/>
    <d v="2025-11-25T00:00:00"/>
    <x v="11"/>
    <n v="0.73410299999999995"/>
    <x v="2"/>
    <s v="Deleted"/>
    <x v="3"/>
    <m/>
  </r>
  <r>
    <n v="80820462"/>
    <s v="飘柔滋润去屑洗发露200g"/>
    <s v="A672"/>
    <x v="14"/>
    <x v="4"/>
    <x v="17"/>
    <n v="810"/>
    <x v="12"/>
    <x v="10"/>
    <n v="3496601743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17"/>
    <n v="405"/>
    <x v="12"/>
    <x v="10"/>
    <n v="3496601744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17"/>
    <n v="405"/>
    <x v="12"/>
    <x v="10"/>
    <n v="3496601745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17"/>
    <n v="810"/>
    <x v="12"/>
    <x v="10"/>
    <n v="3496601746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3"/>
    <n v="405"/>
    <x v="12"/>
    <x v="10"/>
    <n v="3496601747"/>
    <m/>
    <d v="2025-11-25T00:00:00"/>
    <x v="12"/>
    <n v="0.73406249999999995"/>
    <x v="2"/>
    <s v="Deleted"/>
    <x v="3"/>
    <m/>
  </r>
  <r>
    <n v="80814098"/>
    <s v="海飞丝去屑怡神冰凉型洗发露200克"/>
    <s v="C816"/>
    <x v="14"/>
    <x v="4"/>
    <x v="3"/>
    <n v="405"/>
    <x v="12"/>
    <x v="10"/>
    <n v="3496601748"/>
    <m/>
    <d v="2025-11-25T00:00:00"/>
    <x v="12"/>
    <n v="0.73406249999999995"/>
    <x v="2"/>
    <s v="Deleted"/>
    <x v="3"/>
    <m/>
  </r>
  <r>
    <n v="80814097"/>
    <s v="海飞丝去屑清爽控油型洗发露200克"/>
    <s v="C816"/>
    <x v="14"/>
    <x v="4"/>
    <x v="3"/>
    <n v="405"/>
    <x v="12"/>
    <x v="10"/>
    <n v="3496601749"/>
    <m/>
    <d v="2025-11-25T00:00:00"/>
    <x v="12"/>
    <n v="0.73406249999999995"/>
    <x v="2"/>
    <s v="Deleted"/>
    <x v="3"/>
    <m/>
  </r>
  <r>
    <n v="80814081"/>
    <s v="海飞丝去屑止痒呵护型洗发露200克"/>
    <s v="C816"/>
    <x v="14"/>
    <x v="4"/>
    <x v="3"/>
    <n v="405"/>
    <x v="12"/>
    <x v="10"/>
    <n v="3496601750"/>
    <m/>
    <d v="2025-11-25T00:00:00"/>
    <x v="12"/>
    <n v="0.73406249999999995"/>
    <x v="2"/>
    <s v="Deleted"/>
    <x v="3"/>
    <m/>
  </r>
  <r>
    <n v="80815648"/>
    <s v="海飞丝去屑丝质柔滑型洗发露430克"/>
    <s v="C816"/>
    <x v="14"/>
    <x v="4"/>
    <x v="3"/>
    <n v="753"/>
    <x v="12"/>
    <x v="10"/>
    <n v="3496601751"/>
    <m/>
    <d v="2025-11-25T00:00:00"/>
    <x v="12"/>
    <n v="1.4672205"/>
    <x v="2"/>
    <s v="Deleted"/>
    <x v="3"/>
    <m/>
  </r>
  <r>
    <n v="80815643"/>
    <s v="海飞丝去屑怡神冰凉型洗发露430克"/>
    <s v="C816"/>
    <x v="14"/>
    <x v="4"/>
    <x v="3"/>
    <n v="753"/>
    <x v="12"/>
    <x v="10"/>
    <n v="3496601752"/>
    <m/>
    <d v="2025-11-25T00:00:00"/>
    <x v="12"/>
    <n v="1.4672205"/>
    <x v="2"/>
    <s v="Deleted"/>
    <x v="3"/>
    <m/>
  </r>
  <r>
    <n v="80815642"/>
    <s v="海飞丝去屑清爽控油型洗发露430克"/>
    <s v="C816"/>
    <x v="14"/>
    <x v="4"/>
    <x v="3"/>
    <n v="753"/>
    <x v="12"/>
    <x v="10"/>
    <n v="3496601753"/>
    <m/>
    <d v="2025-11-25T00:00:00"/>
    <x v="12"/>
    <n v="1.4672205"/>
    <x v="2"/>
    <s v="Deleted"/>
    <x v="3"/>
    <m/>
  </r>
  <r>
    <n v="80815644"/>
    <s v="海飞丝去屑深度洁净型洗发露430克"/>
    <s v="C816"/>
    <x v="14"/>
    <x v="4"/>
    <x v="3"/>
    <n v="377"/>
    <x v="12"/>
    <x v="10"/>
    <n v="3496601754"/>
    <m/>
    <d v="2025-11-25T00:00:00"/>
    <x v="12"/>
    <n v="0.73458449999999997"/>
    <x v="2"/>
    <s v="Deleted"/>
    <x v="3"/>
    <m/>
  </r>
  <r>
    <n v="80815645"/>
    <s v="海飞丝去屑止痒呵护型洗发露430克"/>
    <s v="C816"/>
    <x v="14"/>
    <x v="4"/>
    <x v="3"/>
    <n v="753"/>
    <x v="12"/>
    <x v="10"/>
    <n v="3496601755"/>
    <m/>
    <d v="2025-11-25T00:00:00"/>
    <x v="12"/>
    <n v="1.4672205"/>
    <x v="2"/>
    <s v="Deleted"/>
    <x v="3"/>
    <m/>
  </r>
  <r>
    <n v="80815647"/>
    <s v="海飞丝去屑防断韧发型洗发露430克"/>
    <s v="C816"/>
    <x v="14"/>
    <x v="4"/>
    <x v="3"/>
    <n v="377"/>
    <x v="12"/>
    <x v="10"/>
    <n v="3496601756"/>
    <m/>
    <d v="2025-11-25T00:00:00"/>
    <x v="12"/>
    <n v="0.73458449999999997"/>
    <x v="2"/>
    <s v="Deleted"/>
    <x v="3"/>
    <m/>
  </r>
  <r>
    <n v="80813610"/>
    <s v="潘婷PRO-V乳液修护洗发水200G"/>
    <s v="C816"/>
    <x v="14"/>
    <x v="4"/>
    <x v="3"/>
    <n v="405"/>
    <x v="12"/>
    <x v="10"/>
    <n v="3496601757"/>
    <m/>
    <d v="2025-11-25T00:00:00"/>
    <x v="12"/>
    <n v="0.73410299999999995"/>
    <x v="2"/>
    <s v="Deleted"/>
    <x v="3"/>
    <m/>
  </r>
  <r>
    <n v="80813619"/>
    <s v="潘婷PRO-V丝质顺滑型洗发露200G"/>
    <s v="C816"/>
    <x v="14"/>
    <x v="4"/>
    <x v="3"/>
    <n v="405"/>
    <x v="12"/>
    <x v="10"/>
    <n v="3496601758"/>
    <m/>
    <d v="2025-11-25T00:00:00"/>
    <x v="12"/>
    <n v="0.73410299999999995"/>
    <x v="2"/>
    <s v="Deleted"/>
    <x v="3"/>
    <m/>
  </r>
  <r>
    <n v="80813615"/>
    <s v="潘婷PRO-V乳液修护洗发水400G"/>
    <s v="C816"/>
    <x v="14"/>
    <x v="4"/>
    <x v="3"/>
    <n v="405"/>
    <x v="12"/>
    <x v="10"/>
    <n v="3496601759"/>
    <m/>
    <d v="2025-11-25T00:00:00"/>
    <x v="12"/>
    <n v="0.73410299999999995"/>
    <x v="2"/>
    <s v="Deleted"/>
    <x v="3"/>
    <m/>
  </r>
  <r>
    <n v="80813637"/>
    <s v="潘婷PRO-V丝质顺滑型洗发露400G"/>
    <s v="C816"/>
    <x v="14"/>
    <x v="4"/>
    <x v="3"/>
    <n v="405"/>
    <x v="12"/>
    <x v="10"/>
    <n v="3496601760"/>
    <m/>
    <d v="2025-11-25T00:00:00"/>
    <x v="12"/>
    <n v="0.73410299999999995"/>
    <x v="2"/>
    <s v="Deleted"/>
    <x v="3"/>
    <m/>
  </r>
  <r>
    <n v="80813617"/>
    <s v="潘婷PRO-V丝质顺滑去屑洗发水400g"/>
    <s v="C816"/>
    <x v="14"/>
    <x v="4"/>
    <x v="3"/>
    <n v="405"/>
    <x v="12"/>
    <x v="10"/>
    <n v="3496601761"/>
    <m/>
    <d v="2025-11-25T00:00:00"/>
    <x v="12"/>
    <n v="0.73410299999999995"/>
    <x v="2"/>
    <s v="Deleted"/>
    <x v="3"/>
    <m/>
  </r>
  <r>
    <n v="80813629"/>
    <s v="潘婷PRO-V乳液修护去屑洗发水400g"/>
    <s v="C816"/>
    <x v="14"/>
    <x v="4"/>
    <x v="3"/>
    <n v="405"/>
    <x v="12"/>
    <x v="10"/>
    <n v="3496601762"/>
    <m/>
    <d v="2025-11-25T00:00:00"/>
    <x v="12"/>
    <n v="0.73410299999999995"/>
    <x v="2"/>
    <s v="Deleted"/>
    <x v="3"/>
    <m/>
  </r>
  <r>
    <n v="80820462"/>
    <s v="飘柔滋润去屑洗发露200g"/>
    <s v="C816"/>
    <x v="14"/>
    <x v="4"/>
    <x v="3"/>
    <n v="810"/>
    <x v="12"/>
    <x v="10"/>
    <n v="3496601763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3"/>
    <n v="405"/>
    <x v="12"/>
    <x v="10"/>
    <n v="3496601764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3"/>
    <n v="405"/>
    <x v="12"/>
    <x v="10"/>
    <n v="3496601765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3"/>
    <n v="810"/>
    <x v="12"/>
    <x v="10"/>
    <n v="3496601766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3"/>
    <n v="405"/>
    <x v="12"/>
    <x v="10"/>
    <n v="3496601767"/>
    <m/>
    <d v="2025-11-25T00:00:00"/>
    <x v="12"/>
    <n v="0.73406249999999995"/>
    <x v="2"/>
    <s v="Deleted"/>
    <x v="3"/>
    <m/>
  </r>
  <r>
    <n v="80814098"/>
    <s v="海飞丝去屑怡神冰凉型洗发露200克"/>
    <s v="A673"/>
    <x v="14"/>
    <x v="4"/>
    <x v="3"/>
    <n v="405"/>
    <x v="12"/>
    <x v="10"/>
    <n v="3496601768"/>
    <m/>
    <d v="2025-11-25T00:00:00"/>
    <x v="12"/>
    <n v="0.73406249999999995"/>
    <x v="2"/>
    <s v="Deleted"/>
    <x v="3"/>
    <m/>
  </r>
  <r>
    <n v="80814097"/>
    <s v="海飞丝去屑清爽控油型洗发露200克"/>
    <s v="A673"/>
    <x v="14"/>
    <x v="4"/>
    <x v="3"/>
    <n v="405"/>
    <x v="12"/>
    <x v="10"/>
    <n v="3496601769"/>
    <m/>
    <d v="2025-11-25T00:00:00"/>
    <x v="12"/>
    <n v="0.73406249999999995"/>
    <x v="2"/>
    <s v="Deleted"/>
    <x v="3"/>
    <m/>
  </r>
  <r>
    <n v="80814081"/>
    <s v="海飞丝去屑止痒呵护型洗发露200克"/>
    <s v="A673"/>
    <x v="14"/>
    <x v="4"/>
    <x v="3"/>
    <n v="405"/>
    <x v="12"/>
    <x v="10"/>
    <n v="3496601770"/>
    <m/>
    <d v="2025-11-25T00:00:00"/>
    <x v="12"/>
    <n v="0.73406249999999995"/>
    <x v="2"/>
    <s v="Deleted"/>
    <x v="3"/>
    <m/>
  </r>
  <r>
    <n v="80815648"/>
    <s v="海飞丝去屑丝质柔滑型洗发露430克"/>
    <s v="A673"/>
    <x v="14"/>
    <x v="4"/>
    <x v="3"/>
    <n v="753"/>
    <x v="12"/>
    <x v="10"/>
    <n v="3496601771"/>
    <m/>
    <d v="2025-11-25T00:00:00"/>
    <x v="12"/>
    <n v="1.4672205"/>
    <x v="2"/>
    <s v="Deleted"/>
    <x v="3"/>
    <m/>
  </r>
  <r>
    <n v="80815643"/>
    <s v="海飞丝去屑怡神冰凉型洗发露430克"/>
    <s v="A673"/>
    <x v="14"/>
    <x v="4"/>
    <x v="3"/>
    <n v="753"/>
    <x v="12"/>
    <x v="10"/>
    <n v="3496601772"/>
    <m/>
    <d v="2025-11-25T00:00:00"/>
    <x v="12"/>
    <n v="1.4672205"/>
    <x v="2"/>
    <s v="Deleted"/>
    <x v="3"/>
    <m/>
  </r>
  <r>
    <n v="80815642"/>
    <s v="海飞丝去屑清爽控油型洗发露430克"/>
    <s v="A673"/>
    <x v="14"/>
    <x v="4"/>
    <x v="3"/>
    <n v="753"/>
    <x v="12"/>
    <x v="10"/>
    <n v="3496601773"/>
    <m/>
    <d v="2025-11-25T00:00:00"/>
    <x v="12"/>
    <n v="1.4672205"/>
    <x v="2"/>
    <s v="Deleted"/>
    <x v="3"/>
    <m/>
  </r>
  <r>
    <n v="80815644"/>
    <s v="海飞丝去屑深度洁净型洗发露430克"/>
    <s v="A673"/>
    <x v="14"/>
    <x v="4"/>
    <x v="3"/>
    <n v="377"/>
    <x v="12"/>
    <x v="10"/>
    <n v="3496601774"/>
    <m/>
    <d v="2025-11-25T00:00:00"/>
    <x v="12"/>
    <n v="0.73458449999999997"/>
    <x v="2"/>
    <s v="Deleted"/>
    <x v="3"/>
    <m/>
  </r>
  <r>
    <n v="80815645"/>
    <s v="海飞丝去屑止痒呵护型洗发露430克"/>
    <s v="A673"/>
    <x v="14"/>
    <x v="4"/>
    <x v="3"/>
    <n v="753"/>
    <x v="12"/>
    <x v="10"/>
    <n v="3496601775"/>
    <m/>
    <d v="2025-11-25T00:00:00"/>
    <x v="12"/>
    <n v="1.4672205"/>
    <x v="2"/>
    <s v="Deleted"/>
    <x v="3"/>
    <m/>
  </r>
  <r>
    <n v="80815647"/>
    <s v="海飞丝去屑防断韧发型洗发露430克"/>
    <s v="A673"/>
    <x v="14"/>
    <x v="4"/>
    <x v="3"/>
    <n v="377"/>
    <x v="12"/>
    <x v="10"/>
    <n v="3496601776"/>
    <m/>
    <d v="2025-11-25T00:00:00"/>
    <x v="12"/>
    <n v="0.73458449999999997"/>
    <x v="2"/>
    <s v="Deleted"/>
    <x v="3"/>
    <m/>
  </r>
  <r>
    <n v="80813610"/>
    <s v="潘婷PRO-V乳液修护洗发水200G"/>
    <s v="A673"/>
    <x v="14"/>
    <x v="4"/>
    <x v="3"/>
    <n v="405"/>
    <x v="12"/>
    <x v="10"/>
    <n v="3496601777"/>
    <m/>
    <d v="2025-11-25T00:00:00"/>
    <x v="12"/>
    <n v="0.73410299999999995"/>
    <x v="2"/>
    <s v="Deleted"/>
    <x v="3"/>
    <m/>
  </r>
  <r>
    <n v="80813619"/>
    <s v="潘婷PRO-V丝质顺滑型洗发露200G"/>
    <s v="A673"/>
    <x v="14"/>
    <x v="4"/>
    <x v="3"/>
    <n v="405"/>
    <x v="12"/>
    <x v="10"/>
    <n v="3496601858"/>
    <m/>
    <d v="2025-11-25T00:00:00"/>
    <x v="12"/>
    <n v="0.73410299999999995"/>
    <x v="2"/>
    <s v="Deleted"/>
    <x v="3"/>
    <m/>
  </r>
  <r>
    <n v="80813615"/>
    <s v="潘婷PRO-V乳液修护洗发水400G"/>
    <s v="A673"/>
    <x v="14"/>
    <x v="4"/>
    <x v="3"/>
    <n v="405"/>
    <x v="12"/>
    <x v="10"/>
    <n v="3496601860"/>
    <m/>
    <d v="2025-11-25T00:00:00"/>
    <x v="12"/>
    <n v="0.73410299999999995"/>
    <x v="2"/>
    <s v="Deleted"/>
    <x v="3"/>
    <m/>
  </r>
  <r>
    <n v="80813637"/>
    <s v="潘婷PRO-V丝质顺滑型洗发露400G"/>
    <s v="A673"/>
    <x v="14"/>
    <x v="4"/>
    <x v="3"/>
    <n v="405"/>
    <x v="12"/>
    <x v="10"/>
    <n v="3496601862"/>
    <m/>
    <d v="2025-11-25T00:00:00"/>
    <x v="12"/>
    <n v="0.73410299999999995"/>
    <x v="2"/>
    <s v="Deleted"/>
    <x v="3"/>
    <m/>
  </r>
  <r>
    <n v="80813617"/>
    <s v="潘婷PRO-V丝质顺滑去屑洗发水400g"/>
    <s v="A673"/>
    <x v="14"/>
    <x v="4"/>
    <x v="3"/>
    <n v="405"/>
    <x v="12"/>
    <x v="10"/>
    <n v="3496601863"/>
    <m/>
    <d v="2025-11-25T00:00:00"/>
    <x v="12"/>
    <n v="0.73410299999999995"/>
    <x v="2"/>
    <s v="Deleted"/>
    <x v="3"/>
    <m/>
  </r>
  <r>
    <n v="80813629"/>
    <s v="潘婷PRO-V乳液修护去屑洗发水400g"/>
    <s v="A673"/>
    <x v="14"/>
    <x v="4"/>
    <x v="3"/>
    <n v="405"/>
    <x v="12"/>
    <x v="10"/>
    <n v="3496601865"/>
    <m/>
    <d v="2025-11-25T00:00:00"/>
    <x v="12"/>
    <n v="0.73410299999999995"/>
    <x v="2"/>
    <s v="Deleted"/>
    <x v="3"/>
    <m/>
  </r>
  <r>
    <n v="80820462"/>
    <s v="飘柔滋润去屑洗发露200g"/>
    <s v="A673"/>
    <x v="14"/>
    <x v="4"/>
    <x v="3"/>
    <n v="810"/>
    <x v="12"/>
    <x v="10"/>
    <n v="3496601867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3"/>
    <n v="405"/>
    <x v="12"/>
    <x v="10"/>
    <n v="3496601868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3"/>
    <n v="405"/>
    <x v="12"/>
    <x v="10"/>
    <n v="3496601869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3"/>
    <n v="810"/>
    <x v="12"/>
    <x v="10"/>
    <n v="3496601872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3"/>
    <n v="405"/>
    <x v="12"/>
    <x v="10"/>
    <n v="3496601873"/>
    <m/>
    <d v="2025-11-25T00:00:00"/>
    <x v="12"/>
    <n v="0.73406249999999995"/>
    <x v="2"/>
    <s v="Deleted"/>
    <x v="3"/>
    <m/>
  </r>
  <r>
    <n v="80814098"/>
    <s v="海飞丝去屑怡神冰凉型洗发露200克"/>
    <s v="A672"/>
    <x v="14"/>
    <x v="4"/>
    <x v="3"/>
    <n v="405"/>
    <x v="12"/>
    <x v="10"/>
    <n v="3496601874"/>
    <m/>
    <d v="2025-11-25T00:00:00"/>
    <x v="12"/>
    <n v="0.73406249999999995"/>
    <x v="2"/>
    <s v="Deleted"/>
    <x v="3"/>
    <m/>
  </r>
  <r>
    <n v="80814097"/>
    <s v="海飞丝去屑清爽控油型洗发露200克"/>
    <s v="A672"/>
    <x v="14"/>
    <x v="4"/>
    <x v="3"/>
    <n v="405"/>
    <x v="12"/>
    <x v="10"/>
    <n v="3496601877"/>
    <m/>
    <d v="2025-11-25T00:00:00"/>
    <x v="12"/>
    <n v="0.73406249999999995"/>
    <x v="2"/>
    <s v="Deleted"/>
    <x v="3"/>
    <m/>
  </r>
  <r>
    <n v="80814081"/>
    <s v="海飞丝去屑止痒呵护型洗发露200克"/>
    <s v="A672"/>
    <x v="14"/>
    <x v="4"/>
    <x v="3"/>
    <n v="405"/>
    <x v="12"/>
    <x v="10"/>
    <n v="3496601898"/>
    <m/>
    <d v="2025-11-25T00:00:00"/>
    <x v="12"/>
    <n v="0.73406249999999995"/>
    <x v="2"/>
    <s v="Deleted"/>
    <x v="3"/>
    <m/>
  </r>
  <r>
    <n v="80815648"/>
    <s v="海飞丝去屑丝质柔滑型洗发露430克"/>
    <s v="A672"/>
    <x v="14"/>
    <x v="4"/>
    <x v="3"/>
    <n v="753"/>
    <x v="12"/>
    <x v="10"/>
    <n v="3496601899"/>
    <m/>
    <d v="2025-11-25T00:00:00"/>
    <x v="12"/>
    <n v="1.4672205"/>
    <x v="2"/>
    <s v="Deleted"/>
    <x v="3"/>
    <m/>
  </r>
  <r>
    <n v="80815643"/>
    <s v="海飞丝去屑怡神冰凉型洗发露430克"/>
    <s v="A672"/>
    <x v="14"/>
    <x v="4"/>
    <x v="3"/>
    <n v="753"/>
    <x v="12"/>
    <x v="10"/>
    <n v="3496601901"/>
    <m/>
    <d v="2025-11-25T00:00:00"/>
    <x v="12"/>
    <n v="1.4672205"/>
    <x v="2"/>
    <s v="Deleted"/>
    <x v="3"/>
    <m/>
  </r>
  <r>
    <n v="80815642"/>
    <s v="海飞丝去屑清爽控油型洗发露430克"/>
    <s v="A672"/>
    <x v="14"/>
    <x v="4"/>
    <x v="3"/>
    <n v="753"/>
    <x v="12"/>
    <x v="10"/>
    <n v="3496601903"/>
    <m/>
    <d v="2025-11-25T00:00:00"/>
    <x v="12"/>
    <n v="1.4672205"/>
    <x v="2"/>
    <s v="Deleted"/>
    <x v="3"/>
    <m/>
  </r>
  <r>
    <n v="80815644"/>
    <s v="海飞丝去屑深度洁净型洗发露430克"/>
    <s v="A672"/>
    <x v="14"/>
    <x v="4"/>
    <x v="3"/>
    <n v="377"/>
    <x v="12"/>
    <x v="10"/>
    <n v="3496601904"/>
    <m/>
    <d v="2025-11-25T00:00:00"/>
    <x v="12"/>
    <n v="0.73458449999999997"/>
    <x v="2"/>
    <s v="Deleted"/>
    <x v="3"/>
    <m/>
  </r>
  <r>
    <n v="80815645"/>
    <s v="海飞丝去屑止痒呵护型洗发露430克"/>
    <s v="A672"/>
    <x v="14"/>
    <x v="4"/>
    <x v="3"/>
    <n v="753"/>
    <x v="12"/>
    <x v="10"/>
    <n v="3496601906"/>
    <m/>
    <d v="2025-11-25T00:00:00"/>
    <x v="12"/>
    <n v="1.4672205"/>
    <x v="2"/>
    <s v="Deleted"/>
    <x v="3"/>
    <m/>
  </r>
  <r>
    <n v="80815647"/>
    <s v="海飞丝去屑防断韧发型洗发露430克"/>
    <s v="A672"/>
    <x v="14"/>
    <x v="4"/>
    <x v="3"/>
    <n v="377"/>
    <x v="12"/>
    <x v="10"/>
    <n v="3496601908"/>
    <m/>
    <d v="2025-11-25T00:00:00"/>
    <x v="12"/>
    <n v="0.73458449999999997"/>
    <x v="2"/>
    <s v="Deleted"/>
    <x v="3"/>
    <m/>
  </r>
  <r>
    <n v="80813610"/>
    <s v="潘婷PRO-V乳液修护洗发水200G"/>
    <s v="A672"/>
    <x v="14"/>
    <x v="4"/>
    <x v="3"/>
    <n v="405"/>
    <x v="12"/>
    <x v="10"/>
    <n v="3496601909"/>
    <m/>
    <d v="2025-11-25T00:00:00"/>
    <x v="12"/>
    <n v="0.73410299999999995"/>
    <x v="2"/>
    <s v="Deleted"/>
    <x v="3"/>
    <m/>
  </r>
  <r>
    <n v="80813619"/>
    <s v="潘婷PRO-V丝质顺滑型洗发露200G"/>
    <s v="A672"/>
    <x v="14"/>
    <x v="4"/>
    <x v="3"/>
    <n v="405"/>
    <x v="12"/>
    <x v="10"/>
    <n v="3496601910"/>
    <m/>
    <d v="2025-11-25T00:00:00"/>
    <x v="12"/>
    <n v="0.73410299999999995"/>
    <x v="2"/>
    <s v="Deleted"/>
    <x v="3"/>
    <m/>
  </r>
  <r>
    <n v="80813615"/>
    <s v="潘婷PRO-V乳液修护洗发水400G"/>
    <s v="A672"/>
    <x v="14"/>
    <x v="4"/>
    <x v="3"/>
    <n v="405"/>
    <x v="12"/>
    <x v="10"/>
    <n v="3496601911"/>
    <m/>
    <d v="2025-11-25T00:00:00"/>
    <x v="12"/>
    <n v="0.73410299999999995"/>
    <x v="2"/>
    <s v="Deleted"/>
    <x v="3"/>
    <m/>
  </r>
  <r>
    <n v="80813637"/>
    <s v="潘婷PRO-V丝质顺滑型洗发露400G"/>
    <s v="A672"/>
    <x v="14"/>
    <x v="4"/>
    <x v="3"/>
    <n v="405"/>
    <x v="12"/>
    <x v="10"/>
    <n v="3496601912"/>
    <m/>
    <d v="2025-11-25T00:00:00"/>
    <x v="12"/>
    <n v="0.73410299999999995"/>
    <x v="2"/>
    <s v="Deleted"/>
    <x v="3"/>
    <m/>
  </r>
  <r>
    <n v="80813617"/>
    <s v="潘婷PRO-V丝质顺滑去屑洗发水400g"/>
    <s v="A672"/>
    <x v="14"/>
    <x v="4"/>
    <x v="3"/>
    <n v="405"/>
    <x v="12"/>
    <x v="10"/>
    <n v="3496601914"/>
    <m/>
    <d v="2025-11-25T00:00:00"/>
    <x v="12"/>
    <n v="0.73410299999999995"/>
    <x v="2"/>
    <s v="Deleted"/>
    <x v="3"/>
    <m/>
  </r>
  <r>
    <n v="80813629"/>
    <s v="潘婷PRO-V乳液修护去屑洗发水400g"/>
    <s v="A672"/>
    <x v="14"/>
    <x v="4"/>
    <x v="3"/>
    <n v="405"/>
    <x v="12"/>
    <x v="10"/>
    <n v="3496601915"/>
    <m/>
    <d v="2025-11-25T00:00:00"/>
    <x v="12"/>
    <n v="0.73410299999999995"/>
    <x v="2"/>
    <s v="Deleted"/>
    <x v="3"/>
    <m/>
  </r>
  <r>
    <n v="80820462"/>
    <s v="飘柔滋润去屑洗发露200g"/>
    <s v="A672"/>
    <x v="14"/>
    <x v="4"/>
    <x v="3"/>
    <n v="810"/>
    <x v="12"/>
    <x v="10"/>
    <n v="3496601916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3"/>
    <n v="405"/>
    <x v="12"/>
    <x v="10"/>
    <n v="3496601917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3"/>
    <n v="405"/>
    <x v="12"/>
    <x v="10"/>
    <n v="3496601918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3"/>
    <n v="810"/>
    <x v="12"/>
    <x v="10"/>
    <n v="3496601919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18"/>
    <n v="405"/>
    <x v="12"/>
    <x v="10"/>
    <n v="3496601920"/>
    <m/>
    <d v="2025-11-25T00:00:00"/>
    <x v="13"/>
    <n v="0.73406249999999995"/>
    <x v="2"/>
    <s v="Deleted"/>
    <x v="3"/>
    <m/>
  </r>
  <r>
    <n v="80814098"/>
    <s v="海飞丝去屑怡神冰凉型洗发露200克"/>
    <s v="C816"/>
    <x v="14"/>
    <x v="4"/>
    <x v="18"/>
    <n v="405"/>
    <x v="12"/>
    <x v="10"/>
    <n v="3496601921"/>
    <m/>
    <d v="2025-11-25T00:00:00"/>
    <x v="13"/>
    <n v="0.73406249999999995"/>
    <x v="2"/>
    <s v="Deleted"/>
    <x v="3"/>
    <m/>
  </r>
  <r>
    <n v="80814097"/>
    <s v="海飞丝去屑清爽控油型洗发露200克"/>
    <s v="C816"/>
    <x v="14"/>
    <x v="4"/>
    <x v="18"/>
    <n v="405"/>
    <x v="12"/>
    <x v="10"/>
    <n v="3496601922"/>
    <m/>
    <d v="2025-11-25T00:00:00"/>
    <x v="13"/>
    <n v="0.73406249999999995"/>
    <x v="2"/>
    <s v="Deleted"/>
    <x v="3"/>
    <m/>
  </r>
  <r>
    <n v="80814081"/>
    <s v="海飞丝去屑止痒呵护型洗发露200克"/>
    <s v="C816"/>
    <x v="14"/>
    <x v="4"/>
    <x v="18"/>
    <n v="405"/>
    <x v="12"/>
    <x v="10"/>
    <n v="3496601923"/>
    <m/>
    <d v="2025-11-25T00:00:00"/>
    <x v="13"/>
    <n v="0.73406249999999995"/>
    <x v="2"/>
    <s v="Deleted"/>
    <x v="3"/>
    <m/>
  </r>
  <r>
    <n v="80815648"/>
    <s v="海飞丝去屑丝质柔滑型洗发露430克"/>
    <s v="C816"/>
    <x v="14"/>
    <x v="4"/>
    <x v="18"/>
    <n v="753"/>
    <x v="12"/>
    <x v="10"/>
    <n v="3496601924"/>
    <m/>
    <d v="2025-11-25T00:00:00"/>
    <x v="13"/>
    <n v="1.4672205"/>
    <x v="2"/>
    <s v="Deleted"/>
    <x v="3"/>
    <m/>
  </r>
  <r>
    <n v="80815643"/>
    <s v="海飞丝去屑怡神冰凉型洗发露430克"/>
    <s v="C816"/>
    <x v="14"/>
    <x v="4"/>
    <x v="18"/>
    <n v="753"/>
    <x v="12"/>
    <x v="10"/>
    <n v="3496601925"/>
    <m/>
    <d v="2025-11-25T00:00:00"/>
    <x v="13"/>
    <n v="1.4672205"/>
    <x v="2"/>
    <s v="Deleted"/>
    <x v="3"/>
    <m/>
  </r>
  <r>
    <n v="80815642"/>
    <s v="海飞丝去屑清爽控油型洗发露430克"/>
    <s v="C816"/>
    <x v="14"/>
    <x v="4"/>
    <x v="18"/>
    <n v="753"/>
    <x v="12"/>
    <x v="10"/>
    <n v="3496601926"/>
    <m/>
    <d v="2025-11-25T00:00:00"/>
    <x v="13"/>
    <n v="1.4672205"/>
    <x v="2"/>
    <s v="Deleted"/>
    <x v="3"/>
    <m/>
  </r>
  <r>
    <n v="80815644"/>
    <s v="海飞丝去屑深度洁净型洗发露430克"/>
    <s v="C816"/>
    <x v="14"/>
    <x v="4"/>
    <x v="18"/>
    <n v="377"/>
    <x v="12"/>
    <x v="10"/>
    <n v="3496601927"/>
    <m/>
    <d v="2025-11-25T00:00:00"/>
    <x v="13"/>
    <n v="0.73458449999999997"/>
    <x v="2"/>
    <s v="Deleted"/>
    <x v="3"/>
    <m/>
  </r>
  <r>
    <n v="80815645"/>
    <s v="海飞丝去屑止痒呵护型洗发露430克"/>
    <s v="C816"/>
    <x v="14"/>
    <x v="4"/>
    <x v="18"/>
    <n v="753"/>
    <x v="12"/>
    <x v="10"/>
    <n v="3496601928"/>
    <m/>
    <d v="2025-11-25T00:00:00"/>
    <x v="13"/>
    <n v="1.4672205"/>
    <x v="2"/>
    <s v="Deleted"/>
    <x v="3"/>
    <m/>
  </r>
  <r>
    <n v="80815647"/>
    <s v="海飞丝去屑防断韧发型洗发露430克"/>
    <s v="C816"/>
    <x v="14"/>
    <x v="4"/>
    <x v="18"/>
    <n v="377"/>
    <x v="12"/>
    <x v="10"/>
    <n v="3496601929"/>
    <m/>
    <d v="2025-11-25T00:00:00"/>
    <x v="13"/>
    <n v="0.73458449999999997"/>
    <x v="2"/>
    <s v="Deleted"/>
    <x v="3"/>
    <m/>
  </r>
  <r>
    <n v="80813610"/>
    <s v="潘婷PRO-V乳液修护洗发水200G"/>
    <s v="C816"/>
    <x v="14"/>
    <x v="4"/>
    <x v="18"/>
    <n v="405"/>
    <x v="12"/>
    <x v="10"/>
    <n v="3496601930"/>
    <m/>
    <d v="2025-11-25T00:00:00"/>
    <x v="13"/>
    <n v="0.73410299999999995"/>
    <x v="2"/>
    <s v="Deleted"/>
    <x v="3"/>
    <m/>
  </r>
  <r>
    <n v="80813619"/>
    <s v="潘婷PRO-V丝质顺滑型洗发露200G"/>
    <s v="C816"/>
    <x v="14"/>
    <x v="4"/>
    <x v="18"/>
    <n v="405"/>
    <x v="12"/>
    <x v="10"/>
    <n v="3496601931"/>
    <m/>
    <d v="2025-11-25T00:00:00"/>
    <x v="13"/>
    <n v="0.73410299999999995"/>
    <x v="2"/>
    <s v="Deleted"/>
    <x v="3"/>
    <m/>
  </r>
  <r>
    <n v="80813615"/>
    <s v="潘婷PRO-V乳液修护洗发水400G"/>
    <s v="C816"/>
    <x v="14"/>
    <x v="4"/>
    <x v="18"/>
    <n v="405"/>
    <x v="12"/>
    <x v="10"/>
    <n v="3496601932"/>
    <m/>
    <d v="2025-11-25T00:00:00"/>
    <x v="13"/>
    <n v="0.73410299999999995"/>
    <x v="2"/>
    <s v="Deleted"/>
    <x v="3"/>
    <m/>
  </r>
  <r>
    <n v="80813637"/>
    <s v="潘婷PRO-V丝质顺滑型洗发露400G"/>
    <s v="C816"/>
    <x v="14"/>
    <x v="4"/>
    <x v="18"/>
    <n v="405"/>
    <x v="12"/>
    <x v="10"/>
    <n v="3496601933"/>
    <m/>
    <d v="2025-11-25T00:00:00"/>
    <x v="13"/>
    <n v="0.73410299999999995"/>
    <x v="2"/>
    <s v="Deleted"/>
    <x v="3"/>
    <m/>
  </r>
  <r>
    <n v="80813617"/>
    <s v="潘婷PRO-V丝质顺滑去屑洗发水400g"/>
    <s v="C816"/>
    <x v="14"/>
    <x v="4"/>
    <x v="18"/>
    <n v="405"/>
    <x v="12"/>
    <x v="10"/>
    <n v="3496601934"/>
    <m/>
    <d v="2025-11-25T00:00:00"/>
    <x v="13"/>
    <n v="0.73410299999999995"/>
    <x v="2"/>
    <s v="Deleted"/>
    <x v="3"/>
    <m/>
  </r>
  <r>
    <n v="80813629"/>
    <s v="潘婷PRO-V乳液修护去屑洗发水400g"/>
    <s v="C816"/>
    <x v="14"/>
    <x v="4"/>
    <x v="18"/>
    <n v="405"/>
    <x v="12"/>
    <x v="10"/>
    <n v="3496601935"/>
    <m/>
    <d v="2025-11-25T00:00:00"/>
    <x v="13"/>
    <n v="0.73410299999999995"/>
    <x v="2"/>
    <s v="Deleted"/>
    <x v="3"/>
    <m/>
  </r>
  <r>
    <n v="80820462"/>
    <s v="飘柔滋润去屑洗发露200g"/>
    <s v="C816"/>
    <x v="14"/>
    <x v="4"/>
    <x v="18"/>
    <n v="810"/>
    <x v="12"/>
    <x v="10"/>
    <n v="3496601998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18"/>
    <n v="405"/>
    <x v="12"/>
    <x v="10"/>
    <n v="3496601999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18"/>
    <n v="405"/>
    <x v="12"/>
    <x v="10"/>
    <n v="3496602000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18"/>
    <n v="810"/>
    <x v="12"/>
    <x v="10"/>
    <n v="3496602001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18"/>
    <n v="405"/>
    <x v="12"/>
    <x v="10"/>
    <n v="3496602002"/>
    <m/>
    <d v="2025-11-25T00:00:00"/>
    <x v="13"/>
    <n v="0.73406249999999995"/>
    <x v="2"/>
    <s v="Deleted"/>
    <x v="3"/>
    <m/>
  </r>
  <r>
    <n v="80814098"/>
    <s v="海飞丝去屑怡神冰凉型洗发露200克"/>
    <s v="A673"/>
    <x v="14"/>
    <x v="4"/>
    <x v="18"/>
    <n v="405"/>
    <x v="12"/>
    <x v="10"/>
    <n v="3496602003"/>
    <m/>
    <d v="2025-11-25T00:00:00"/>
    <x v="13"/>
    <n v="0.73406249999999995"/>
    <x v="2"/>
    <s v="Deleted"/>
    <x v="3"/>
    <m/>
  </r>
  <r>
    <n v="80814097"/>
    <s v="海飞丝去屑清爽控油型洗发露200克"/>
    <s v="A673"/>
    <x v="14"/>
    <x v="4"/>
    <x v="18"/>
    <n v="405"/>
    <x v="12"/>
    <x v="10"/>
    <n v="3496602004"/>
    <m/>
    <d v="2025-11-25T00:00:00"/>
    <x v="13"/>
    <n v="0.73406249999999995"/>
    <x v="2"/>
    <s v="Deleted"/>
    <x v="3"/>
    <m/>
  </r>
  <r>
    <n v="80814081"/>
    <s v="海飞丝去屑止痒呵护型洗发露200克"/>
    <s v="A673"/>
    <x v="14"/>
    <x v="4"/>
    <x v="18"/>
    <n v="405"/>
    <x v="12"/>
    <x v="10"/>
    <n v="3496602005"/>
    <m/>
    <d v="2025-11-25T00:00:00"/>
    <x v="13"/>
    <n v="0.73406249999999995"/>
    <x v="2"/>
    <s v="Deleted"/>
    <x v="3"/>
    <m/>
  </r>
  <r>
    <n v="80815648"/>
    <s v="海飞丝去屑丝质柔滑型洗发露430克"/>
    <s v="A673"/>
    <x v="14"/>
    <x v="4"/>
    <x v="18"/>
    <n v="753"/>
    <x v="12"/>
    <x v="10"/>
    <n v="3496602007"/>
    <m/>
    <d v="2025-11-25T00:00:00"/>
    <x v="13"/>
    <n v="1.4672205"/>
    <x v="2"/>
    <s v="Deleted"/>
    <x v="3"/>
    <m/>
  </r>
  <r>
    <n v="80815643"/>
    <s v="海飞丝去屑怡神冰凉型洗发露430克"/>
    <s v="A673"/>
    <x v="14"/>
    <x v="4"/>
    <x v="18"/>
    <n v="753"/>
    <x v="12"/>
    <x v="10"/>
    <n v="3496602008"/>
    <m/>
    <d v="2025-11-25T00:00:00"/>
    <x v="13"/>
    <n v="1.4672205"/>
    <x v="2"/>
    <s v="Deleted"/>
    <x v="3"/>
    <m/>
  </r>
  <r>
    <n v="80815642"/>
    <s v="海飞丝去屑清爽控油型洗发露430克"/>
    <s v="A673"/>
    <x v="14"/>
    <x v="4"/>
    <x v="18"/>
    <n v="753"/>
    <x v="12"/>
    <x v="10"/>
    <n v="3496602009"/>
    <m/>
    <d v="2025-11-25T00:00:00"/>
    <x v="13"/>
    <n v="1.4672205"/>
    <x v="2"/>
    <s v="Deleted"/>
    <x v="3"/>
    <m/>
  </r>
  <r>
    <n v="80815644"/>
    <s v="海飞丝去屑深度洁净型洗发露430克"/>
    <s v="A673"/>
    <x v="14"/>
    <x v="4"/>
    <x v="18"/>
    <n v="377"/>
    <x v="12"/>
    <x v="10"/>
    <n v="3496602010"/>
    <m/>
    <d v="2025-11-25T00:00:00"/>
    <x v="13"/>
    <n v="0.73458449999999997"/>
    <x v="2"/>
    <s v="Deleted"/>
    <x v="3"/>
    <m/>
  </r>
  <r>
    <n v="80815645"/>
    <s v="海飞丝去屑止痒呵护型洗发露430克"/>
    <s v="A673"/>
    <x v="14"/>
    <x v="4"/>
    <x v="18"/>
    <n v="753"/>
    <x v="12"/>
    <x v="10"/>
    <n v="3496602011"/>
    <m/>
    <d v="2025-11-25T00:00:00"/>
    <x v="13"/>
    <n v="1.4672205"/>
    <x v="2"/>
    <s v="Deleted"/>
    <x v="3"/>
    <m/>
  </r>
  <r>
    <n v="80815647"/>
    <s v="海飞丝去屑防断韧发型洗发露430克"/>
    <s v="A673"/>
    <x v="14"/>
    <x v="4"/>
    <x v="18"/>
    <n v="377"/>
    <x v="12"/>
    <x v="10"/>
    <n v="3496602012"/>
    <m/>
    <d v="2025-11-25T00:00:00"/>
    <x v="13"/>
    <n v="0.73458449999999997"/>
    <x v="2"/>
    <s v="Deleted"/>
    <x v="3"/>
    <m/>
  </r>
  <r>
    <n v="80813610"/>
    <s v="潘婷PRO-V乳液修护洗发水200G"/>
    <s v="A673"/>
    <x v="14"/>
    <x v="4"/>
    <x v="18"/>
    <n v="405"/>
    <x v="12"/>
    <x v="10"/>
    <n v="3496602013"/>
    <m/>
    <d v="2025-11-25T00:00:00"/>
    <x v="13"/>
    <n v="0.73410299999999995"/>
    <x v="2"/>
    <s v="Deleted"/>
    <x v="3"/>
    <m/>
  </r>
  <r>
    <n v="80813619"/>
    <s v="潘婷PRO-V丝质顺滑型洗发露200G"/>
    <s v="A673"/>
    <x v="14"/>
    <x v="4"/>
    <x v="18"/>
    <n v="405"/>
    <x v="12"/>
    <x v="10"/>
    <n v="3496602014"/>
    <m/>
    <d v="2025-11-25T00:00:00"/>
    <x v="13"/>
    <n v="0.73410299999999995"/>
    <x v="2"/>
    <s v="Deleted"/>
    <x v="3"/>
    <m/>
  </r>
  <r>
    <n v="80813615"/>
    <s v="潘婷PRO-V乳液修护洗发水400G"/>
    <s v="A673"/>
    <x v="14"/>
    <x v="4"/>
    <x v="18"/>
    <n v="405"/>
    <x v="12"/>
    <x v="10"/>
    <n v="3496602015"/>
    <m/>
    <d v="2025-11-25T00:00:00"/>
    <x v="13"/>
    <n v="0.73410299999999995"/>
    <x v="2"/>
    <s v="Deleted"/>
    <x v="3"/>
    <m/>
  </r>
  <r>
    <n v="80813637"/>
    <s v="潘婷PRO-V丝质顺滑型洗发露400G"/>
    <s v="A673"/>
    <x v="14"/>
    <x v="4"/>
    <x v="18"/>
    <n v="405"/>
    <x v="12"/>
    <x v="10"/>
    <n v="3496602016"/>
    <m/>
    <d v="2025-11-25T00:00:00"/>
    <x v="13"/>
    <n v="0.73410299999999995"/>
    <x v="2"/>
    <s v="Deleted"/>
    <x v="3"/>
    <m/>
  </r>
  <r>
    <n v="80813617"/>
    <s v="潘婷PRO-V丝质顺滑去屑洗发水400g"/>
    <s v="A673"/>
    <x v="14"/>
    <x v="4"/>
    <x v="18"/>
    <n v="405"/>
    <x v="12"/>
    <x v="10"/>
    <n v="3496602017"/>
    <m/>
    <d v="2025-11-25T00:00:00"/>
    <x v="13"/>
    <n v="0.73410299999999995"/>
    <x v="2"/>
    <s v="Deleted"/>
    <x v="3"/>
    <m/>
  </r>
  <r>
    <n v="80813629"/>
    <s v="潘婷PRO-V乳液修护去屑洗发水400g"/>
    <s v="A673"/>
    <x v="14"/>
    <x v="4"/>
    <x v="18"/>
    <n v="405"/>
    <x v="12"/>
    <x v="10"/>
    <n v="3496602058"/>
    <m/>
    <d v="2025-11-25T00:00:00"/>
    <x v="13"/>
    <n v="0.73410299999999995"/>
    <x v="2"/>
    <s v="Deleted"/>
    <x v="3"/>
    <m/>
  </r>
  <r>
    <n v="80820462"/>
    <s v="飘柔滋润去屑洗发露200g"/>
    <s v="A673"/>
    <x v="14"/>
    <x v="4"/>
    <x v="18"/>
    <n v="810"/>
    <x v="12"/>
    <x v="10"/>
    <n v="3496602059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18"/>
    <n v="405"/>
    <x v="12"/>
    <x v="10"/>
    <n v="3496602060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18"/>
    <n v="405"/>
    <x v="12"/>
    <x v="10"/>
    <n v="3496602061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18"/>
    <n v="810"/>
    <x v="12"/>
    <x v="10"/>
    <n v="3496602062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18"/>
    <n v="405"/>
    <x v="12"/>
    <x v="10"/>
    <n v="3496602063"/>
    <m/>
    <d v="2025-11-25T00:00:00"/>
    <x v="13"/>
    <n v="0.73406249999999995"/>
    <x v="2"/>
    <s v="Deleted"/>
    <x v="3"/>
    <m/>
  </r>
  <r>
    <n v="80814098"/>
    <s v="海飞丝去屑怡神冰凉型洗发露200克"/>
    <s v="A672"/>
    <x v="14"/>
    <x v="4"/>
    <x v="18"/>
    <n v="405"/>
    <x v="12"/>
    <x v="10"/>
    <n v="3496602064"/>
    <m/>
    <d v="2025-11-25T00:00:00"/>
    <x v="13"/>
    <n v="0.73406249999999995"/>
    <x v="2"/>
    <s v="Deleted"/>
    <x v="3"/>
    <m/>
  </r>
  <r>
    <n v="80814097"/>
    <s v="海飞丝去屑清爽控油型洗发露200克"/>
    <s v="A672"/>
    <x v="14"/>
    <x v="4"/>
    <x v="18"/>
    <n v="405"/>
    <x v="12"/>
    <x v="10"/>
    <n v="3496602065"/>
    <m/>
    <d v="2025-11-25T00:00:00"/>
    <x v="13"/>
    <n v="0.73406249999999995"/>
    <x v="2"/>
    <s v="Deleted"/>
    <x v="3"/>
    <m/>
  </r>
  <r>
    <n v="80814081"/>
    <s v="海飞丝去屑止痒呵护型洗发露200克"/>
    <s v="A672"/>
    <x v="14"/>
    <x v="4"/>
    <x v="18"/>
    <n v="405"/>
    <x v="12"/>
    <x v="10"/>
    <n v="3496602066"/>
    <m/>
    <d v="2025-11-25T00:00:00"/>
    <x v="13"/>
    <n v="0.73406249999999995"/>
    <x v="2"/>
    <s v="Deleted"/>
    <x v="3"/>
    <m/>
  </r>
  <r>
    <n v="80815648"/>
    <s v="海飞丝去屑丝质柔滑型洗发露430克"/>
    <s v="A672"/>
    <x v="14"/>
    <x v="4"/>
    <x v="18"/>
    <n v="753"/>
    <x v="12"/>
    <x v="10"/>
    <n v="3496602067"/>
    <m/>
    <d v="2025-11-25T00:00:00"/>
    <x v="13"/>
    <n v="1.4672205"/>
    <x v="2"/>
    <s v="Deleted"/>
    <x v="3"/>
    <m/>
  </r>
  <r>
    <n v="80815643"/>
    <s v="海飞丝去屑怡神冰凉型洗发露430克"/>
    <s v="A672"/>
    <x v="14"/>
    <x v="4"/>
    <x v="18"/>
    <n v="753"/>
    <x v="12"/>
    <x v="10"/>
    <n v="3496602068"/>
    <m/>
    <d v="2025-11-25T00:00:00"/>
    <x v="13"/>
    <n v="1.4672205"/>
    <x v="2"/>
    <s v="Deleted"/>
    <x v="3"/>
    <m/>
  </r>
  <r>
    <n v="80815642"/>
    <s v="海飞丝去屑清爽控油型洗发露430克"/>
    <s v="A672"/>
    <x v="14"/>
    <x v="4"/>
    <x v="18"/>
    <n v="753"/>
    <x v="12"/>
    <x v="10"/>
    <n v="3496602069"/>
    <m/>
    <d v="2025-11-25T00:00:00"/>
    <x v="13"/>
    <n v="1.4672205"/>
    <x v="2"/>
    <s v="Deleted"/>
    <x v="3"/>
    <m/>
  </r>
  <r>
    <n v="80815644"/>
    <s v="海飞丝去屑深度洁净型洗发露430克"/>
    <s v="A672"/>
    <x v="14"/>
    <x v="4"/>
    <x v="18"/>
    <n v="377"/>
    <x v="12"/>
    <x v="10"/>
    <n v="3496602070"/>
    <m/>
    <d v="2025-11-25T00:00:00"/>
    <x v="13"/>
    <n v="0.73458449999999997"/>
    <x v="2"/>
    <s v="Deleted"/>
    <x v="3"/>
    <m/>
  </r>
  <r>
    <n v="80815645"/>
    <s v="海飞丝去屑止痒呵护型洗发露430克"/>
    <s v="A672"/>
    <x v="14"/>
    <x v="4"/>
    <x v="18"/>
    <n v="753"/>
    <x v="12"/>
    <x v="10"/>
    <n v="3496602071"/>
    <m/>
    <d v="2025-11-25T00:00:00"/>
    <x v="13"/>
    <n v="1.4672205"/>
    <x v="2"/>
    <s v="Deleted"/>
    <x v="3"/>
    <m/>
  </r>
  <r>
    <n v="80815647"/>
    <s v="海飞丝去屑防断韧发型洗发露430克"/>
    <s v="A672"/>
    <x v="14"/>
    <x v="4"/>
    <x v="18"/>
    <n v="377"/>
    <x v="12"/>
    <x v="10"/>
    <n v="3496602072"/>
    <m/>
    <d v="2025-11-25T00:00:00"/>
    <x v="13"/>
    <n v="0.73458449999999997"/>
    <x v="2"/>
    <s v="Deleted"/>
    <x v="3"/>
    <m/>
  </r>
  <r>
    <n v="80813610"/>
    <s v="潘婷PRO-V乳液修护洗发水200G"/>
    <s v="A672"/>
    <x v="14"/>
    <x v="4"/>
    <x v="18"/>
    <n v="405"/>
    <x v="12"/>
    <x v="10"/>
    <n v="3496602073"/>
    <m/>
    <d v="2025-11-25T00:00:00"/>
    <x v="13"/>
    <n v="0.73410299999999995"/>
    <x v="2"/>
    <s v="Deleted"/>
    <x v="3"/>
    <m/>
  </r>
  <r>
    <n v="80813619"/>
    <s v="潘婷PRO-V丝质顺滑型洗发露200G"/>
    <s v="A672"/>
    <x v="14"/>
    <x v="4"/>
    <x v="18"/>
    <n v="405"/>
    <x v="12"/>
    <x v="10"/>
    <n v="3496602074"/>
    <m/>
    <d v="2025-11-25T00:00:00"/>
    <x v="13"/>
    <n v="0.73410299999999995"/>
    <x v="2"/>
    <s v="Deleted"/>
    <x v="3"/>
    <m/>
  </r>
  <r>
    <n v="80813615"/>
    <s v="潘婷PRO-V乳液修护洗发水400G"/>
    <s v="A672"/>
    <x v="14"/>
    <x v="4"/>
    <x v="18"/>
    <n v="405"/>
    <x v="12"/>
    <x v="10"/>
    <n v="3496602075"/>
    <m/>
    <d v="2025-11-25T00:00:00"/>
    <x v="13"/>
    <n v="0.73410299999999995"/>
    <x v="2"/>
    <s v="Deleted"/>
    <x v="3"/>
    <m/>
  </r>
  <r>
    <n v="80813637"/>
    <s v="潘婷PRO-V丝质顺滑型洗发露400G"/>
    <s v="A672"/>
    <x v="14"/>
    <x v="4"/>
    <x v="18"/>
    <n v="405"/>
    <x v="12"/>
    <x v="10"/>
    <n v="3496602076"/>
    <m/>
    <d v="2025-11-25T00:00:00"/>
    <x v="13"/>
    <n v="0.73410299999999995"/>
    <x v="2"/>
    <s v="Deleted"/>
    <x v="3"/>
    <m/>
  </r>
  <r>
    <n v="80813617"/>
    <s v="潘婷PRO-V丝质顺滑去屑洗发水400g"/>
    <s v="A672"/>
    <x v="14"/>
    <x v="4"/>
    <x v="18"/>
    <n v="405"/>
    <x v="12"/>
    <x v="10"/>
    <n v="3496602077"/>
    <m/>
    <d v="2025-11-25T00:00:00"/>
    <x v="13"/>
    <n v="0.73410299999999995"/>
    <x v="2"/>
    <s v="Deleted"/>
    <x v="3"/>
    <m/>
  </r>
  <r>
    <n v="80813629"/>
    <s v="潘婷PRO-V乳液修护去屑洗发水400g"/>
    <s v="A672"/>
    <x v="14"/>
    <x v="4"/>
    <x v="18"/>
    <n v="405"/>
    <x v="12"/>
    <x v="10"/>
    <n v="3496602138"/>
    <m/>
    <d v="2025-11-25T00:00:00"/>
    <x v="13"/>
    <n v="0.73410299999999995"/>
    <x v="2"/>
    <s v="Deleted"/>
    <x v="3"/>
    <m/>
  </r>
  <r>
    <n v="80820462"/>
    <s v="飘柔滋润去屑洗发露200g"/>
    <s v="A672"/>
    <x v="14"/>
    <x v="4"/>
    <x v="18"/>
    <n v="810"/>
    <x v="12"/>
    <x v="10"/>
    <n v="3496602139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18"/>
    <n v="405"/>
    <x v="12"/>
    <x v="10"/>
    <n v="3496602140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18"/>
    <n v="405"/>
    <x v="12"/>
    <x v="10"/>
    <n v="3496602141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18"/>
    <n v="810"/>
    <x v="12"/>
    <x v="10"/>
    <n v="3496602142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19"/>
    <n v="405"/>
    <x v="12"/>
    <x v="10"/>
    <n v="3496602143"/>
    <m/>
    <d v="2025-11-25T00:00:00"/>
    <x v="14"/>
    <n v="0.73406249999999995"/>
    <x v="2"/>
    <s v="Deleted"/>
    <x v="3"/>
    <m/>
  </r>
  <r>
    <n v="80814098"/>
    <s v="海飞丝去屑怡神冰凉型洗发露200克"/>
    <s v="C816"/>
    <x v="14"/>
    <x v="4"/>
    <x v="19"/>
    <n v="405"/>
    <x v="12"/>
    <x v="10"/>
    <n v="3496602144"/>
    <m/>
    <d v="2025-11-25T00:00:00"/>
    <x v="14"/>
    <n v="0.73406249999999995"/>
    <x v="2"/>
    <s v="Deleted"/>
    <x v="3"/>
    <m/>
  </r>
  <r>
    <n v="80814097"/>
    <s v="海飞丝去屑清爽控油型洗发露200克"/>
    <s v="C816"/>
    <x v="14"/>
    <x v="4"/>
    <x v="19"/>
    <n v="405"/>
    <x v="12"/>
    <x v="10"/>
    <n v="3496602145"/>
    <m/>
    <d v="2025-11-25T00:00:00"/>
    <x v="14"/>
    <n v="0.73406249999999995"/>
    <x v="2"/>
    <s v="Deleted"/>
    <x v="3"/>
    <m/>
  </r>
  <r>
    <n v="80814081"/>
    <s v="海飞丝去屑止痒呵护型洗发露200克"/>
    <s v="C816"/>
    <x v="14"/>
    <x v="4"/>
    <x v="19"/>
    <n v="405"/>
    <x v="12"/>
    <x v="10"/>
    <n v="3496602146"/>
    <m/>
    <d v="2025-11-25T00:00:00"/>
    <x v="14"/>
    <n v="0.73406249999999995"/>
    <x v="2"/>
    <s v="Deleted"/>
    <x v="3"/>
    <m/>
  </r>
  <r>
    <n v="80815648"/>
    <s v="海飞丝去屑丝质柔滑型洗发露430克"/>
    <s v="C816"/>
    <x v="14"/>
    <x v="4"/>
    <x v="19"/>
    <n v="753"/>
    <x v="12"/>
    <x v="10"/>
    <n v="3496602147"/>
    <m/>
    <d v="2025-11-25T00:00:00"/>
    <x v="14"/>
    <n v="1.4672205"/>
    <x v="2"/>
    <s v="Deleted"/>
    <x v="3"/>
    <m/>
  </r>
  <r>
    <n v="80815643"/>
    <s v="海飞丝去屑怡神冰凉型洗发露430克"/>
    <s v="C816"/>
    <x v="14"/>
    <x v="4"/>
    <x v="19"/>
    <n v="753"/>
    <x v="12"/>
    <x v="10"/>
    <n v="3496602148"/>
    <m/>
    <d v="2025-11-25T00:00:00"/>
    <x v="14"/>
    <n v="1.4672205"/>
    <x v="2"/>
    <s v="Deleted"/>
    <x v="3"/>
    <m/>
  </r>
  <r>
    <n v="80815642"/>
    <s v="海飞丝去屑清爽控油型洗发露430克"/>
    <s v="C816"/>
    <x v="14"/>
    <x v="4"/>
    <x v="19"/>
    <n v="753"/>
    <x v="12"/>
    <x v="10"/>
    <n v="3496602149"/>
    <m/>
    <d v="2025-11-25T00:00:00"/>
    <x v="14"/>
    <n v="1.4672205"/>
    <x v="2"/>
    <s v="Deleted"/>
    <x v="3"/>
    <m/>
  </r>
  <r>
    <n v="80815644"/>
    <s v="海飞丝去屑深度洁净型洗发露430克"/>
    <s v="C816"/>
    <x v="14"/>
    <x v="4"/>
    <x v="19"/>
    <n v="377"/>
    <x v="12"/>
    <x v="10"/>
    <n v="3496602150"/>
    <m/>
    <d v="2025-11-25T00:00:00"/>
    <x v="14"/>
    <n v="0.73458449999999997"/>
    <x v="2"/>
    <s v="Deleted"/>
    <x v="3"/>
    <m/>
  </r>
  <r>
    <n v="80815645"/>
    <s v="海飞丝去屑止痒呵护型洗发露430克"/>
    <s v="C816"/>
    <x v="14"/>
    <x v="4"/>
    <x v="19"/>
    <n v="753"/>
    <x v="12"/>
    <x v="10"/>
    <n v="3496602151"/>
    <m/>
    <d v="2025-11-25T00:00:00"/>
    <x v="14"/>
    <n v="1.4672205"/>
    <x v="2"/>
    <s v="Deleted"/>
    <x v="3"/>
    <m/>
  </r>
  <r>
    <n v="80815647"/>
    <s v="海飞丝去屑防断韧发型洗发露430克"/>
    <s v="C816"/>
    <x v="14"/>
    <x v="4"/>
    <x v="19"/>
    <n v="377"/>
    <x v="12"/>
    <x v="10"/>
    <n v="3496602152"/>
    <m/>
    <d v="2025-11-25T00:00:00"/>
    <x v="14"/>
    <n v="0.73458449999999997"/>
    <x v="2"/>
    <s v="Deleted"/>
    <x v="3"/>
    <m/>
  </r>
  <r>
    <n v="80813610"/>
    <s v="潘婷PRO-V乳液修护洗发水200G"/>
    <s v="C816"/>
    <x v="14"/>
    <x v="4"/>
    <x v="19"/>
    <n v="405"/>
    <x v="12"/>
    <x v="10"/>
    <n v="3496602153"/>
    <m/>
    <d v="2025-11-25T00:00:00"/>
    <x v="14"/>
    <n v="0.73410299999999995"/>
    <x v="2"/>
    <s v="Deleted"/>
    <x v="3"/>
    <m/>
  </r>
  <r>
    <n v="80813619"/>
    <s v="潘婷PRO-V丝质顺滑型洗发露200G"/>
    <s v="C816"/>
    <x v="14"/>
    <x v="4"/>
    <x v="19"/>
    <n v="405"/>
    <x v="12"/>
    <x v="10"/>
    <n v="3496602155"/>
    <m/>
    <d v="2025-11-25T00:00:00"/>
    <x v="14"/>
    <n v="0.73410299999999995"/>
    <x v="2"/>
    <s v="Deleted"/>
    <x v="3"/>
    <m/>
  </r>
  <r>
    <n v="80813615"/>
    <s v="潘婷PRO-V乳液修护洗发水400G"/>
    <s v="C816"/>
    <x v="14"/>
    <x v="4"/>
    <x v="19"/>
    <n v="405"/>
    <x v="12"/>
    <x v="10"/>
    <n v="3496602157"/>
    <m/>
    <d v="2025-11-25T00:00:00"/>
    <x v="14"/>
    <n v="0.73410299999999995"/>
    <x v="2"/>
    <s v="Deleted"/>
    <x v="3"/>
    <m/>
  </r>
  <r>
    <n v="80813637"/>
    <s v="潘婷PRO-V丝质顺滑型洗发露400G"/>
    <s v="C816"/>
    <x v="14"/>
    <x v="4"/>
    <x v="19"/>
    <n v="405"/>
    <x v="12"/>
    <x v="10"/>
    <n v="3496602178"/>
    <m/>
    <d v="2025-11-25T00:00:00"/>
    <x v="14"/>
    <n v="0.73410299999999995"/>
    <x v="2"/>
    <s v="Deleted"/>
    <x v="3"/>
    <m/>
  </r>
  <r>
    <n v="80813617"/>
    <s v="潘婷PRO-V丝质顺滑去屑洗发水400g"/>
    <s v="C816"/>
    <x v="14"/>
    <x v="4"/>
    <x v="19"/>
    <n v="405"/>
    <x v="12"/>
    <x v="10"/>
    <n v="3496602179"/>
    <m/>
    <d v="2025-11-25T00:00:00"/>
    <x v="14"/>
    <n v="0.73410299999999995"/>
    <x v="2"/>
    <s v="Deleted"/>
    <x v="3"/>
    <m/>
  </r>
  <r>
    <n v="80813629"/>
    <s v="潘婷PRO-V乳液修护去屑洗发水400g"/>
    <s v="C816"/>
    <x v="14"/>
    <x v="4"/>
    <x v="19"/>
    <n v="405"/>
    <x v="12"/>
    <x v="10"/>
    <n v="3496602180"/>
    <m/>
    <d v="2025-11-25T00:00:00"/>
    <x v="14"/>
    <n v="0.73410299999999995"/>
    <x v="2"/>
    <s v="Deleted"/>
    <x v="3"/>
    <m/>
  </r>
  <r>
    <n v="80820462"/>
    <s v="飘柔滋润去屑洗发露200g"/>
    <s v="C816"/>
    <x v="14"/>
    <x v="4"/>
    <x v="19"/>
    <n v="810"/>
    <x v="12"/>
    <x v="10"/>
    <n v="349660218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19"/>
    <n v="405"/>
    <x v="12"/>
    <x v="10"/>
    <n v="3496602182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19"/>
    <n v="405"/>
    <x v="12"/>
    <x v="10"/>
    <n v="3496602184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19"/>
    <n v="810"/>
    <x v="12"/>
    <x v="10"/>
    <n v="3496602186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19"/>
    <n v="405"/>
    <x v="12"/>
    <x v="10"/>
    <n v="3496602187"/>
    <m/>
    <d v="2025-11-25T00:00:00"/>
    <x v="14"/>
    <n v="0.73406249999999995"/>
    <x v="2"/>
    <s v="Deleted"/>
    <x v="3"/>
    <m/>
  </r>
  <r>
    <n v="80814098"/>
    <s v="海飞丝去屑怡神冰凉型洗发露200克"/>
    <s v="A673"/>
    <x v="14"/>
    <x v="4"/>
    <x v="19"/>
    <n v="405"/>
    <x v="12"/>
    <x v="10"/>
    <n v="3496602188"/>
    <m/>
    <d v="2025-11-25T00:00:00"/>
    <x v="14"/>
    <n v="0.73406249999999995"/>
    <x v="2"/>
    <s v="Deleted"/>
    <x v="3"/>
    <m/>
  </r>
  <r>
    <n v="80814097"/>
    <s v="海飞丝去屑清爽控油型洗发露200克"/>
    <s v="A673"/>
    <x v="14"/>
    <x v="4"/>
    <x v="19"/>
    <n v="405"/>
    <x v="12"/>
    <x v="10"/>
    <n v="3496602190"/>
    <m/>
    <d v="2025-11-25T00:00:00"/>
    <x v="14"/>
    <n v="0.73406249999999995"/>
    <x v="2"/>
    <s v="Deleted"/>
    <x v="3"/>
    <m/>
  </r>
  <r>
    <n v="80814081"/>
    <s v="海飞丝去屑止痒呵护型洗发露200克"/>
    <s v="A673"/>
    <x v="14"/>
    <x v="4"/>
    <x v="19"/>
    <n v="405"/>
    <x v="12"/>
    <x v="10"/>
    <n v="3496602192"/>
    <m/>
    <d v="2025-11-25T00:00:00"/>
    <x v="14"/>
    <n v="0.73406249999999995"/>
    <x v="2"/>
    <s v="Deleted"/>
    <x v="3"/>
    <m/>
  </r>
  <r>
    <n v="80815648"/>
    <s v="海飞丝去屑丝质柔滑型洗发露430克"/>
    <s v="A673"/>
    <x v="14"/>
    <x v="4"/>
    <x v="19"/>
    <n v="753"/>
    <x v="12"/>
    <x v="10"/>
    <n v="3496602193"/>
    <m/>
    <d v="2025-11-25T00:00:00"/>
    <x v="14"/>
    <n v="1.4672205"/>
    <x v="2"/>
    <s v="Deleted"/>
    <x v="3"/>
    <m/>
  </r>
  <r>
    <n v="80815643"/>
    <s v="海飞丝去屑怡神冰凉型洗发露430克"/>
    <s v="A673"/>
    <x v="14"/>
    <x v="4"/>
    <x v="19"/>
    <n v="753"/>
    <x v="12"/>
    <x v="10"/>
    <n v="3496602195"/>
    <m/>
    <d v="2025-11-25T00:00:00"/>
    <x v="14"/>
    <n v="1.4672205"/>
    <x v="2"/>
    <s v="Deleted"/>
    <x v="3"/>
    <m/>
  </r>
  <r>
    <n v="80815642"/>
    <s v="海飞丝去屑清爽控油型洗发露430克"/>
    <s v="A673"/>
    <x v="14"/>
    <x v="4"/>
    <x v="19"/>
    <n v="753"/>
    <x v="12"/>
    <x v="10"/>
    <n v="3496602197"/>
    <m/>
    <d v="2025-11-25T00:00:00"/>
    <x v="14"/>
    <n v="1.4672205"/>
    <x v="2"/>
    <s v="Deleted"/>
    <x v="3"/>
    <m/>
  </r>
  <r>
    <n v="80815644"/>
    <s v="海飞丝去屑深度洁净型洗发露430克"/>
    <s v="A673"/>
    <x v="14"/>
    <x v="4"/>
    <x v="19"/>
    <n v="377"/>
    <x v="12"/>
    <x v="10"/>
    <n v="3496602218"/>
    <m/>
    <d v="2025-11-25T00:00:00"/>
    <x v="14"/>
    <n v="0.73458449999999997"/>
    <x v="2"/>
    <s v="Deleted"/>
    <x v="3"/>
    <m/>
  </r>
  <r>
    <n v="80815645"/>
    <s v="海飞丝去屑止痒呵护型洗发露430克"/>
    <s v="A673"/>
    <x v="14"/>
    <x v="4"/>
    <x v="19"/>
    <n v="753"/>
    <x v="12"/>
    <x v="10"/>
    <n v="3496602221"/>
    <m/>
    <d v="2025-11-25T00:00:00"/>
    <x v="14"/>
    <n v="1.4672205"/>
    <x v="2"/>
    <s v="Deleted"/>
    <x v="3"/>
    <m/>
  </r>
  <r>
    <n v="80815647"/>
    <s v="海飞丝去屑防断韧发型洗发露430克"/>
    <s v="A673"/>
    <x v="14"/>
    <x v="4"/>
    <x v="19"/>
    <n v="377"/>
    <x v="12"/>
    <x v="10"/>
    <n v="3496602222"/>
    <m/>
    <d v="2025-11-25T00:00:00"/>
    <x v="14"/>
    <n v="0.73458449999999997"/>
    <x v="2"/>
    <s v="Deleted"/>
    <x v="3"/>
    <m/>
  </r>
  <r>
    <n v="80813610"/>
    <s v="潘婷PRO-V乳液修护洗发水200G"/>
    <s v="A673"/>
    <x v="14"/>
    <x v="4"/>
    <x v="19"/>
    <n v="405"/>
    <x v="12"/>
    <x v="10"/>
    <n v="3496602223"/>
    <m/>
    <d v="2025-11-25T00:00:00"/>
    <x v="14"/>
    <n v="0.73410299999999995"/>
    <x v="2"/>
    <s v="Deleted"/>
    <x v="3"/>
    <m/>
  </r>
  <r>
    <n v="80813619"/>
    <s v="潘婷PRO-V丝质顺滑型洗发露200G"/>
    <s v="A673"/>
    <x v="14"/>
    <x v="4"/>
    <x v="19"/>
    <n v="405"/>
    <x v="12"/>
    <x v="10"/>
    <n v="3496602225"/>
    <m/>
    <d v="2025-11-25T00:00:00"/>
    <x v="14"/>
    <n v="0.73410299999999995"/>
    <x v="2"/>
    <s v="Deleted"/>
    <x v="3"/>
    <m/>
  </r>
  <r>
    <n v="80813615"/>
    <s v="潘婷PRO-V乳液修护洗发水400G"/>
    <s v="A673"/>
    <x v="14"/>
    <x v="4"/>
    <x v="19"/>
    <n v="405"/>
    <x v="12"/>
    <x v="10"/>
    <n v="3496602227"/>
    <m/>
    <d v="2025-11-25T00:00:00"/>
    <x v="14"/>
    <n v="0.73410299999999995"/>
    <x v="2"/>
    <s v="Deleted"/>
    <x v="3"/>
    <m/>
  </r>
  <r>
    <n v="80813637"/>
    <s v="潘婷PRO-V丝质顺滑型洗发露400G"/>
    <s v="A673"/>
    <x v="14"/>
    <x v="4"/>
    <x v="19"/>
    <n v="405"/>
    <x v="12"/>
    <x v="10"/>
    <n v="3496602228"/>
    <m/>
    <d v="2025-11-25T00:00:00"/>
    <x v="14"/>
    <n v="0.73410299999999995"/>
    <x v="2"/>
    <s v="Deleted"/>
    <x v="3"/>
    <m/>
  </r>
  <r>
    <n v="80813617"/>
    <s v="潘婷PRO-V丝质顺滑去屑洗发水400g"/>
    <s v="A673"/>
    <x v="14"/>
    <x v="4"/>
    <x v="19"/>
    <n v="405"/>
    <x v="12"/>
    <x v="10"/>
    <n v="3496602229"/>
    <m/>
    <d v="2025-11-25T00:00:00"/>
    <x v="14"/>
    <n v="0.73410299999999995"/>
    <x v="2"/>
    <s v="Deleted"/>
    <x v="3"/>
    <m/>
  </r>
  <r>
    <n v="80813629"/>
    <s v="潘婷PRO-V乳液修护去屑洗发水400g"/>
    <s v="A673"/>
    <x v="14"/>
    <x v="4"/>
    <x v="19"/>
    <n v="405"/>
    <x v="12"/>
    <x v="10"/>
    <n v="3496602230"/>
    <m/>
    <d v="2025-11-25T00:00:00"/>
    <x v="14"/>
    <n v="0.73410299999999995"/>
    <x v="2"/>
    <s v="Deleted"/>
    <x v="3"/>
    <m/>
  </r>
  <r>
    <n v="80820462"/>
    <s v="飘柔滋润去屑洗发露200g"/>
    <s v="A673"/>
    <x v="14"/>
    <x v="4"/>
    <x v="19"/>
    <n v="810"/>
    <x v="12"/>
    <x v="10"/>
    <n v="349660223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19"/>
    <n v="405"/>
    <x v="12"/>
    <x v="10"/>
    <n v="3496602232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19"/>
    <n v="405"/>
    <x v="12"/>
    <x v="10"/>
    <n v="3496602233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19"/>
    <n v="810"/>
    <x v="12"/>
    <x v="10"/>
    <n v="3496602234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19"/>
    <n v="405"/>
    <x v="12"/>
    <x v="10"/>
    <n v="3496602235"/>
    <m/>
    <d v="2025-11-25T00:00:00"/>
    <x v="14"/>
    <n v="0.73406249999999995"/>
    <x v="2"/>
    <s v="Deleted"/>
    <x v="3"/>
    <m/>
  </r>
  <r>
    <n v="80814098"/>
    <s v="海飞丝去屑怡神冰凉型洗发露200克"/>
    <s v="A672"/>
    <x v="14"/>
    <x v="4"/>
    <x v="19"/>
    <n v="405"/>
    <x v="12"/>
    <x v="10"/>
    <n v="3496602236"/>
    <m/>
    <d v="2025-11-25T00:00:00"/>
    <x v="14"/>
    <n v="0.73406249999999995"/>
    <x v="2"/>
    <s v="Deleted"/>
    <x v="3"/>
    <m/>
  </r>
  <r>
    <n v="80814097"/>
    <s v="海飞丝去屑清爽控油型洗发露200克"/>
    <s v="A672"/>
    <x v="14"/>
    <x v="4"/>
    <x v="19"/>
    <n v="405"/>
    <x v="12"/>
    <x v="10"/>
    <n v="3496602237"/>
    <m/>
    <d v="2025-11-25T00:00:00"/>
    <x v="14"/>
    <n v="0.73406249999999995"/>
    <x v="2"/>
    <s v="Deleted"/>
    <x v="3"/>
    <m/>
  </r>
  <r>
    <n v="80814081"/>
    <s v="海飞丝去屑止痒呵护型洗发露200克"/>
    <s v="A672"/>
    <x v="14"/>
    <x v="4"/>
    <x v="19"/>
    <n v="405"/>
    <x v="12"/>
    <x v="10"/>
    <n v="3496602238"/>
    <m/>
    <d v="2025-11-25T00:00:00"/>
    <x v="14"/>
    <n v="0.73406249999999995"/>
    <x v="2"/>
    <s v="Deleted"/>
    <x v="3"/>
    <m/>
  </r>
  <r>
    <n v="80815648"/>
    <s v="海飞丝去屑丝质柔滑型洗发露430克"/>
    <s v="A672"/>
    <x v="14"/>
    <x v="4"/>
    <x v="19"/>
    <n v="753"/>
    <x v="12"/>
    <x v="10"/>
    <n v="3496602239"/>
    <m/>
    <d v="2025-11-25T00:00:00"/>
    <x v="14"/>
    <n v="1.4672205"/>
    <x v="2"/>
    <s v="Deleted"/>
    <x v="3"/>
    <m/>
  </r>
  <r>
    <n v="80815643"/>
    <s v="海飞丝去屑怡神冰凉型洗发露430克"/>
    <s v="A672"/>
    <x v="14"/>
    <x v="4"/>
    <x v="19"/>
    <n v="753"/>
    <x v="12"/>
    <x v="10"/>
    <n v="3496602240"/>
    <m/>
    <d v="2025-11-25T00:00:00"/>
    <x v="14"/>
    <n v="1.4672205"/>
    <x v="2"/>
    <s v="Deleted"/>
    <x v="3"/>
    <m/>
  </r>
  <r>
    <n v="80815642"/>
    <s v="海飞丝去屑清爽控油型洗发露430克"/>
    <s v="A672"/>
    <x v="14"/>
    <x v="4"/>
    <x v="19"/>
    <n v="753"/>
    <x v="12"/>
    <x v="10"/>
    <n v="3496602241"/>
    <m/>
    <d v="2025-11-25T00:00:00"/>
    <x v="14"/>
    <n v="1.4672205"/>
    <x v="2"/>
    <s v="Deleted"/>
    <x v="3"/>
    <m/>
  </r>
  <r>
    <n v="80815644"/>
    <s v="海飞丝去屑深度洁净型洗发露430克"/>
    <s v="A672"/>
    <x v="14"/>
    <x v="4"/>
    <x v="19"/>
    <n v="377"/>
    <x v="12"/>
    <x v="10"/>
    <n v="3496602242"/>
    <m/>
    <d v="2025-11-25T00:00:00"/>
    <x v="14"/>
    <n v="0.73458449999999997"/>
    <x v="2"/>
    <s v="Deleted"/>
    <x v="3"/>
    <m/>
  </r>
  <r>
    <n v="80815645"/>
    <s v="海飞丝去屑止痒呵护型洗发露430克"/>
    <s v="A672"/>
    <x v="14"/>
    <x v="4"/>
    <x v="19"/>
    <n v="753"/>
    <x v="12"/>
    <x v="10"/>
    <n v="3496602243"/>
    <m/>
    <d v="2025-11-25T00:00:00"/>
    <x v="14"/>
    <n v="1.4672205"/>
    <x v="2"/>
    <s v="Deleted"/>
    <x v="3"/>
    <m/>
  </r>
  <r>
    <n v="80815647"/>
    <s v="海飞丝去屑防断韧发型洗发露430克"/>
    <s v="A672"/>
    <x v="14"/>
    <x v="4"/>
    <x v="19"/>
    <n v="377"/>
    <x v="12"/>
    <x v="10"/>
    <n v="3496602244"/>
    <m/>
    <d v="2025-11-25T00:00:00"/>
    <x v="14"/>
    <n v="0.73458449999999997"/>
    <x v="2"/>
    <s v="Deleted"/>
    <x v="3"/>
    <m/>
  </r>
  <r>
    <n v="80813610"/>
    <s v="潘婷PRO-V乳液修护洗发水200G"/>
    <s v="A672"/>
    <x v="14"/>
    <x v="4"/>
    <x v="19"/>
    <n v="405"/>
    <x v="12"/>
    <x v="10"/>
    <n v="3496602245"/>
    <m/>
    <d v="2025-11-25T00:00:00"/>
    <x v="14"/>
    <n v="0.73410299999999995"/>
    <x v="2"/>
    <s v="Deleted"/>
    <x v="3"/>
    <m/>
  </r>
  <r>
    <n v="80813619"/>
    <s v="潘婷PRO-V丝质顺滑型洗发露200G"/>
    <s v="A672"/>
    <x v="14"/>
    <x v="4"/>
    <x v="19"/>
    <n v="405"/>
    <x v="12"/>
    <x v="10"/>
    <n v="3496602246"/>
    <m/>
    <d v="2025-11-25T00:00:00"/>
    <x v="14"/>
    <n v="0.73410299999999995"/>
    <x v="2"/>
    <s v="Deleted"/>
    <x v="3"/>
    <m/>
  </r>
  <r>
    <n v="80813615"/>
    <s v="潘婷PRO-V乳液修护洗发水400G"/>
    <s v="A672"/>
    <x v="14"/>
    <x v="4"/>
    <x v="19"/>
    <n v="405"/>
    <x v="12"/>
    <x v="10"/>
    <n v="3496602247"/>
    <m/>
    <d v="2025-11-25T00:00:00"/>
    <x v="14"/>
    <n v="0.73410299999999995"/>
    <x v="2"/>
    <s v="Deleted"/>
    <x v="3"/>
    <m/>
  </r>
  <r>
    <n v="80813637"/>
    <s v="潘婷PRO-V丝质顺滑型洗发露400G"/>
    <s v="A672"/>
    <x v="14"/>
    <x v="4"/>
    <x v="19"/>
    <n v="405"/>
    <x v="12"/>
    <x v="10"/>
    <n v="3496602248"/>
    <m/>
    <d v="2025-11-25T00:00:00"/>
    <x v="14"/>
    <n v="0.73410299999999995"/>
    <x v="2"/>
    <s v="Deleted"/>
    <x v="3"/>
    <m/>
  </r>
  <r>
    <n v="80813617"/>
    <s v="潘婷PRO-V丝质顺滑去屑洗发水400g"/>
    <s v="A672"/>
    <x v="14"/>
    <x v="4"/>
    <x v="19"/>
    <n v="405"/>
    <x v="12"/>
    <x v="10"/>
    <n v="3496602249"/>
    <m/>
    <d v="2025-11-25T00:00:00"/>
    <x v="14"/>
    <n v="0.73410299999999995"/>
    <x v="2"/>
    <s v="Deleted"/>
    <x v="3"/>
    <m/>
  </r>
  <r>
    <n v="80813629"/>
    <s v="潘婷PRO-V乳液修护去屑洗发水400g"/>
    <s v="A672"/>
    <x v="14"/>
    <x v="4"/>
    <x v="19"/>
    <n v="405"/>
    <x v="12"/>
    <x v="10"/>
    <n v="3496602250"/>
    <m/>
    <d v="2025-11-25T00:00:00"/>
    <x v="14"/>
    <n v="0.73410299999999995"/>
    <x v="2"/>
    <s v="Deleted"/>
    <x v="3"/>
    <m/>
  </r>
  <r>
    <n v="80820462"/>
    <s v="飘柔滋润去屑洗发露200g"/>
    <s v="A672"/>
    <x v="14"/>
    <x v="4"/>
    <x v="19"/>
    <n v="810"/>
    <x v="12"/>
    <x v="10"/>
    <n v="349660225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19"/>
    <n v="405"/>
    <x v="12"/>
    <x v="10"/>
    <n v="3496602260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19"/>
    <n v="405"/>
    <x v="12"/>
    <x v="10"/>
    <n v="3496602308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19"/>
    <n v="810"/>
    <x v="12"/>
    <x v="10"/>
    <n v="3496602329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C816"/>
    <x v="14"/>
    <x v="4"/>
    <x v="20"/>
    <n v="405"/>
    <x v="12"/>
    <x v="10"/>
    <n v="3496602330"/>
    <m/>
    <d v="2025-11-25T00:00:00"/>
    <x v="15"/>
    <n v="0.73406249999999995"/>
    <x v="2"/>
    <s v="Deleted"/>
    <x v="3"/>
    <m/>
  </r>
  <r>
    <n v="80814098"/>
    <s v="海飞丝去屑怡神冰凉型洗发露200克"/>
    <s v="C816"/>
    <x v="14"/>
    <x v="4"/>
    <x v="20"/>
    <n v="405"/>
    <x v="12"/>
    <x v="10"/>
    <n v="3496602331"/>
    <m/>
    <d v="2025-11-25T00:00:00"/>
    <x v="15"/>
    <n v="0.73406249999999995"/>
    <x v="2"/>
    <s v="Deleted"/>
    <x v="3"/>
    <m/>
  </r>
  <r>
    <n v="80814097"/>
    <s v="海飞丝去屑清爽控油型洗发露200克"/>
    <s v="C816"/>
    <x v="14"/>
    <x v="4"/>
    <x v="20"/>
    <n v="405"/>
    <x v="12"/>
    <x v="10"/>
    <n v="3496602332"/>
    <m/>
    <d v="2025-11-25T00:00:00"/>
    <x v="15"/>
    <n v="0.73406249999999995"/>
    <x v="2"/>
    <s v="Deleted"/>
    <x v="3"/>
    <m/>
  </r>
  <r>
    <n v="80814081"/>
    <s v="海飞丝去屑止痒呵护型洗发露200克"/>
    <s v="C816"/>
    <x v="14"/>
    <x v="4"/>
    <x v="20"/>
    <n v="405"/>
    <x v="12"/>
    <x v="10"/>
    <n v="3496602333"/>
    <m/>
    <d v="2025-11-25T00:00:00"/>
    <x v="15"/>
    <n v="0.73406249999999995"/>
    <x v="2"/>
    <s v="Deleted"/>
    <x v="3"/>
    <m/>
  </r>
  <r>
    <n v="80815648"/>
    <s v="海飞丝去屑丝质柔滑型洗发露430克"/>
    <s v="C816"/>
    <x v="14"/>
    <x v="4"/>
    <x v="20"/>
    <n v="753"/>
    <x v="12"/>
    <x v="10"/>
    <n v="3496602339"/>
    <m/>
    <d v="2025-11-25T00:00:00"/>
    <x v="15"/>
    <n v="1.4672205"/>
    <x v="2"/>
    <s v="Deleted"/>
    <x v="3"/>
    <m/>
  </r>
  <r>
    <n v="80815643"/>
    <s v="海飞丝去屑怡神冰凉型洗发露430克"/>
    <s v="C816"/>
    <x v="14"/>
    <x v="4"/>
    <x v="20"/>
    <n v="753"/>
    <x v="12"/>
    <x v="10"/>
    <n v="3496602340"/>
    <m/>
    <d v="2025-11-25T00:00:00"/>
    <x v="15"/>
    <n v="1.4672205"/>
    <x v="2"/>
    <s v="Deleted"/>
    <x v="3"/>
    <m/>
  </r>
  <r>
    <n v="80815642"/>
    <s v="海飞丝去屑清爽控油型洗发露430克"/>
    <s v="C816"/>
    <x v="14"/>
    <x v="4"/>
    <x v="20"/>
    <n v="753"/>
    <x v="12"/>
    <x v="10"/>
    <n v="3496602341"/>
    <m/>
    <d v="2025-11-25T00:00:00"/>
    <x v="15"/>
    <n v="1.4672205"/>
    <x v="2"/>
    <s v="Deleted"/>
    <x v="3"/>
    <m/>
  </r>
  <r>
    <n v="80815644"/>
    <s v="海飞丝去屑深度洁净型洗发露430克"/>
    <s v="C816"/>
    <x v="14"/>
    <x v="4"/>
    <x v="20"/>
    <n v="377"/>
    <x v="12"/>
    <x v="10"/>
    <n v="3496602342"/>
    <m/>
    <d v="2025-11-25T00:00:00"/>
    <x v="15"/>
    <n v="0.73458449999999997"/>
    <x v="2"/>
    <s v="Deleted"/>
    <x v="3"/>
    <m/>
  </r>
  <r>
    <n v="80815645"/>
    <s v="海飞丝去屑止痒呵护型洗发露430克"/>
    <s v="C816"/>
    <x v="14"/>
    <x v="4"/>
    <x v="20"/>
    <n v="753"/>
    <x v="12"/>
    <x v="10"/>
    <n v="3496602343"/>
    <m/>
    <d v="2025-11-25T00:00:00"/>
    <x v="15"/>
    <n v="1.4672205"/>
    <x v="2"/>
    <s v="Deleted"/>
    <x v="3"/>
    <m/>
  </r>
  <r>
    <n v="80815647"/>
    <s v="海飞丝去屑防断韧发型洗发露430克"/>
    <s v="C816"/>
    <x v="14"/>
    <x v="4"/>
    <x v="20"/>
    <n v="377"/>
    <x v="12"/>
    <x v="10"/>
    <n v="3496602344"/>
    <m/>
    <d v="2025-11-25T00:00:00"/>
    <x v="15"/>
    <n v="0.73458449999999997"/>
    <x v="2"/>
    <s v="Deleted"/>
    <x v="3"/>
    <m/>
  </r>
  <r>
    <n v="80813610"/>
    <s v="潘婷PRO-V乳液修护洗发水200G"/>
    <s v="C816"/>
    <x v="14"/>
    <x v="4"/>
    <x v="20"/>
    <n v="405"/>
    <x v="12"/>
    <x v="10"/>
    <n v="3496602345"/>
    <m/>
    <d v="2025-11-25T00:00:00"/>
    <x v="15"/>
    <n v="0.73410299999999995"/>
    <x v="2"/>
    <s v="Deleted"/>
    <x v="3"/>
    <m/>
  </r>
  <r>
    <n v="80813619"/>
    <s v="潘婷PRO-V丝质顺滑型洗发露200G"/>
    <s v="C816"/>
    <x v="14"/>
    <x v="4"/>
    <x v="20"/>
    <n v="405"/>
    <x v="12"/>
    <x v="10"/>
    <n v="3496602346"/>
    <m/>
    <d v="2025-11-25T00:00:00"/>
    <x v="15"/>
    <n v="0.73410299999999995"/>
    <x v="2"/>
    <s v="Deleted"/>
    <x v="3"/>
    <m/>
  </r>
  <r>
    <n v="80813615"/>
    <s v="潘婷PRO-V乳液修护洗发水400G"/>
    <s v="C816"/>
    <x v="14"/>
    <x v="4"/>
    <x v="20"/>
    <n v="405"/>
    <x v="12"/>
    <x v="10"/>
    <n v="3496602347"/>
    <m/>
    <d v="2025-11-25T00:00:00"/>
    <x v="15"/>
    <n v="0.73410299999999995"/>
    <x v="2"/>
    <s v="Deleted"/>
    <x v="3"/>
    <m/>
  </r>
  <r>
    <n v="80813637"/>
    <s v="潘婷PRO-V丝质顺滑型洗发露400G"/>
    <s v="C816"/>
    <x v="14"/>
    <x v="4"/>
    <x v="20"/>
    <n v="405"/>
    <x v="12"/>
    <x v="10"/>
    <n v="3496602348"/>
    <m/>
    <d v="2025-11-25T00:00:00"/>
    <x v="15"/>
    <n v="0.73410299999999995"/>
    <x v="2"/>
    <s v="Deleted"/>
    <x v="3"/>
    <m/>
  </r>
  <r>
    <n v="80813617"/>
    <s v="潘婷PRO-V丝质顺滑去屑洗发水400g"/>
    <s v="C816"/>
    <x v="14"/>
    <x v="4"/>
    <x v="20"/>
    <n v="405"/>
    <x v="12"/>
    <x v="10"/>
    <n v="3496602349"/>
    <m/>
    <d v="2025-11-25T00:00:00"/>
    <x v="15"/>
    <n v="0.73410299999999995"/>
    <x v="2"/>
    <s v="Deleted"/>
    <x v="3"/>
    <m/>
  </r>
  <r>
    <n v="80813629"/>
    <s v="潘婷PRO-V乳液修护去屑洗发水400g"/>
    <s v="C816"/>
    <x v="14"/>
    <x v="4"/>
    <x v="20"/>
    <n v="405"/>
    <x v="12"/>
    <x v="10"/>
    <n v="3496602350"/>
    <m/>
    <d v="2025-11-25T00:00:00"/>
    <x v="15"/>
    <n v="0.73410299999999995"/>
    <x v="2"/>
    <s v="Deleted"/>
    <x v="3"/>
    <m/>
  </r>
  <r>
    <n v="80820462"/>
    <s v="飘柔滋润去屑洗发露200g"/>
    <s v="C816"/>
    <x v="14"/>
    <x v="4"/>
    <x v="20"/>
    <n v="810"/>
    <x v="12"/>
    <x v="10"/>
    <n v="349660235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C816"/>
    <x v="14"/>
    <x v="4"/>
    <x v="20"/>
    <n v="405"/>
    <x v="12"/>
    <x v="10"/>
    <n v="3496602352"/>
    <s v="RJ remove PO and put PI code"/>
    <d v="2025-11-25T00:00:00"/>
    <x v="4"/>
    <n v="0.73410299999999995"/>
    <x v="2"/>
    <s v="Deleted"/>
    <x v="3"/>
    <m/>
  </r>
  <r>
    <n v="80820464"/>
    <s v="飘柔修护去屑洗发露400g"/>
    <s v="C816"/>
    <x v="14"/>
    <x v="4"/>
    <x v="20"/>
    <n v="405"/>
    <x v="12"/>
    <x v="10"/>
    <n v="3496602353"/>
    <s v="RJ remove PO and put PI code"/>
    <d v="2025-11-25T00:00:00"/>
    <x v="4"/>
    <n v="0.73410299999999995"/>
    <x v="2"/>
    <s v="Deleted"/>
    <x v="3"/>
    <m/>
  </r>
  <r>
    <n v="80820469"/>
    <s v="飘柔滋润去屑洗发露400g"/>
    <s v="C816"/>
    <x v="14"/>
    <x v="4"/>
    <x v="20"/>
    <n v="810"/>
    <x v="12"/>
    <x v="10"/>
    <n v="3496602354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3"/>
    <x v="14"/>
    <x v="4"/>
    <x v="20"/>
    <n v="405"/>
    <x v="12"/>
    <x v="10"/>
    <n v="3496602355"/>
    <m/>
    <d v="2025-11-25T00:00:00"/>
    <x v="15"/>
    <n v="0.73406249999999995"/>
    <x v="2"/>
    <s v="Deleted"/>
    <x v="3"/>
    <m/>
  </r>
  <r>
    <n v="80814098"/>
    <s v="海飞丝去屑怡神冰凉型洗发露200克"/>
    <s v="A673"/>
    <x v="14"/>
    <x v="4"/>
    <x v="20"/>
    <n v="405"/>
    <x v="12"/>
    <x v="10"/>
    <n v="3496602356"/>
    <m/>
    <d v="2025-11-25T00:00:00"/>
    <x v="15"/>
    <n v="0.73406249999999995"/>
    <x v="2"/>
    <s v="Deleted"/>
    <x v="3"/>
    <m/>
  </r>
  <r>
    <n v="80814097"/>
    <s v="海飞丝去屑清爽控油型洗发露200克"/>
    <s v="A673"/>
    <x v="14"/>
    <x v="4"/>
    <x v="20"/>
    <n v="405"/>
    <x v="12"/>
    <x v="10"/>
    <n v="3496602357"/>
    <m/>
    <d v="2025-11-25T00:00:00"/>
    <x v="15"/>
    <n v="0.73406249999999995"/>
    <x v="2"/>
    <s v="Deleted"/>
    <x v="3"/>
    <m/>
  </r>
  <r>
    <n v="80814081"/>
    <s v="海飞丝去屑止痒呵护型洗发露200克"/>
    <s v="A673"/>
    <x v="14"/>
    <x v="4"/>
    <x v="20"/>
    <n v="405"/>
    <x v="12"/>
    <x v="10"/>
    <n v="3496602358"/>
    <m/>
    <d v="2025-11-25T00:00:00"/>
    <x v="15"/>
    <n v="0.73406249999999995"/>
    <x v="2"/>
    <s v="Deleted"/>
    <x v="3"/>
    <m/>
  </r>
  <r>
    <n v="80815648"/>
    <s v="海飞丝去屑丝质柔滑型洗发露430克"/>
    <s v="A673"/>
    <x v="14"/>
    <x v="4"/>
    <x v="20"/>
    <n v="753"/>
    <x v="12"/>
    <x v="10"/>
    <n v="3496602359"/>
    <m/>
    <d v="2025-11-25T00:00:00"/>
    <x v="15"/>
    <n v="1.4672205"/>
    <x v="2"/>
    <s v="Deleted"/>
    <x v="3"/>
    <m/>
  </r>
  <r>
    <n v="80815643"/>
    <s v="海飞丝去屑怡神冰凉型洗发露430克"/>
    <s v="A673"/>
    <x v="14"/>
    <x v="4"/>
    <x v="20"/>
    <n v="753"/>
    <x v="12"/>
    <x v="10"/>
    <n v="3496602360"/>
    <m/>
    <d v="2025-11-25T00:00:00"/>
    <x v="15"/>
    <n v="1.4672205"/>
    <x v="2"/>
    <s v="Deleted"/>
    <x v="3"/>
    <m/>
  </r>
  <r>
    <n v="80815642"/>
    <s v="海飞丝去屑清爽控油型洗发露430克"/>
    <s v="A673"/>
    <x v="14"/>
    <x v="4"/>
    <x v="20"/>
    <n v="753"/>
    <x v="12"/>
    <x v="10"/>
    <n v="3496602361"/>
    <m/>
    <d v="2025-11-25T00:00:00"/>
    <x v="15"/>
    <n v="1.4672205"/>
    <x v="2"/>
    <s v="Deleted"/>
    <x v="3"/>
    <m/>
  </r>
  <r>
    <n v="80815644"/>
    <s v="海飞丝去屑深度洁净型洗发露430克"/>
    <s v="A673"/>
    <x v="14"/>
    <x v="4"/>
    <x v="20"/>
    <n v="377"/>
    <x v="12"/>
    <x v="10"/>
    <n v="3496602362"/>
    <m/>
    <d v="2025-11-25T00:00:00"/>
    <x v="15"/>
    <n v="0.73458449999999997"/>
    <x v="2"/>
    <s v="Deleted"/>
    <x v="3"/>
    <m/>
  </r>
  <r>
    <n v="80815645"/>
    <s v="海飞丝去屑止痒呵护型洗发露430克"/>
    <s v="A673"/>
    <x v="14"/>
    <x v="4"/>
    <x v="20"/>
    <n v="753"/>
    <x v="12"/>
    <x v="10"/>
    <n v="3496602363"/>
    <m/>
    <d v="2025-11-25T00:00:00"/>
    <x v="15"/>
    <n v="1.4672205"/>
    <x v="2"/>
    <s v="Deleted"/>
    <x v="3"/>
    <m/>
  </r>
  <r>
    <n v="80815647"/>
    <s v="海飞丝去屑防断韧发型洗发露430克"/>
    <s v="A673"/>
    <x v="14"/>
    <x v="4"/>
    <x v="20"/>
    <n v="377"/>
    <x v="12"/>
    <x v="10"/>
    <n v="3496602364"/>
    <m/>
    <d v="2025-11-25T00:00:00"/>
    <x v="15"/>
    <n v="0.73458449999999997"/>
    <x v="2"/>
    <s v="Deleted"/>
    <x v="3"/>
    <m/>
  </r>
  <r>
    <n v="80813610"/>
    <s v="潘婷PRO-V乳液修护洗发水200G"/>
    <s v="A673"/>
    <x v="14"/>
    <x v="4"/>
    <x v="20"/>
    <n v="405"/>
    <x v="12"/>
    <x v="10"/>
    <n v="3496602365"/>
    <m/>
    <d v="2025-11-25T00:00:00"/>
    <x v="15"/>
    <n v="0.73410299999999995"/>
    <x v="2"/>
    <s v="Deleted"/>
    <x v="3"/>
    <m/>
  </r>
  <r>
    <n v="80813619"/>
    <s v="潘婷PRO-V丝质顺滑型洗发露200G"/>
    <s v="A673"/>
    <x v="14"/>
    <x v="4"/>
    <x v="20"/>
    <n v="405"/>
    <x v="12"/>
    <x v="10"/>
    <n v="3496602366"/>
    <m/>
    <d v="2025-11-25T00:00:00"/>
    <x v="15"/>
    <n v="0.73410299999999995"/>
    <x v="2"/>
    <s v="Deleted"/>
    <x v="3"/>
    <m/>
  </r>
  <r>
    <n v="80813615"/>
    <s v="潘婷PRO-V乳液修护洗发水400G"/>
    <s v="A673"/>
    <x v="14"/>
    <x v="4"/>
    <x v="20"/>
    <n v="405"/>
    <x v="12"/>
    <x v="10"/>
    <n v="3496602367"/>
    <m/>
    <d v="2025-11-25T00:00:00"/>
    <x v="15"/>
    <n v="0.73410299999999995"/>
    <x v="2"/>
    <s v="Deleted"/>
    <x v="3"/>
    <m/>
  </r>
  <r>
    <n v="80813637"/>
    <s v="潘婷PRO-V丝质顺滑型洗发露400G"/>
    <s v="A673"/>
    <x v="14"/>
    <x v="4"/>
    <x v="20"/>
    <n v="405"/>
    <x v="12"/>
    <x v="10"/>
    <n v="3496602368"/>
    <m/>
    <d v="2025-11-25T00:00:00"/>
    <x v="15"/>
    <n v="0.73410299999999995"/>
    <x v="2"/>
    <s v="Deleted"/>
    <x v="3"/>
    <m/>
  </r>
  <r>
    <n v="80813617"/>
    <s v="潘婷PRO-V丝质顺滑去屑洗发水400g"/>
    <s v="A673"/>
    <x v="14"/>
    <x v="4"/>
    <x v="20"/>
    <n v="405"/>
    <x v="12"/>
    <x v="10"/>
    <n v="3496602369"/>
    <m/>
    <d v="2025-11-25T00:00:00"/>
    <x v="15"/>
    <n v="0.73410299999999995"/>
    <x v="2"/>
    <s v="Deleted"/>
    <x v="3"/>
    <m/>
  </r>
  <r>
    <n v="80813629"/>
    <s v="潘婷PRO-V乳液修护去屑洗发水400g"/>
    <s v="A673"/>
    <x v="14"/>
    <x v="4"/>
    <x v="20"/>
    <n v="405"/>
    <x v="12"/>
    <x v="10"/>
    <n v="3496602370"/>
    <m/>
    <d v="2025-11-25T00:00:00"/>
    <x v="15"/>
    <n v="0.73410299999999995"/>
    <x v="2"/>
    <s v="Deleted"/>
    <x v="3"/>
    <m/>
  </r>
  <r>
    <n v="80820462"/>
    <s v="飘柔滋润去屑洗发露200g"/>
    <s v="A673"/>
    <x v="14"/>
    <x v="4"/>
    <x v="20"/>
    <n v="810"/>
    <x v="12"/>
    <x v="10"/>
    <n v="349660237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3"/>
    <x v="14"/>
    <x v="4"/>
    <x v="20"/>
    <n v="405"/>
    <x v="12"/>
    <x v="10"/>
    <n v="3496602372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3"/>
    <x v="14"/>
    <x v="4"/>
    <x v="20"/>
    <n v="405"/>
    <x v="12"/>
    <x v="10"/>
    <n v="3496602373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3"/>
    <x v="14"/>
    <x v="4"/>
    <x v="20"/>
    <n v="810"/>
    <x v="12"/>
    <x v="10"/>
    <n v="3496602374"/>
    <s v="RJ remove PO and put PI code"/>
    <d v="2025-11-25T00:00:00"/>
    <x v="4"/>
    <n v="1.4682059999999999"/>
    <x v="2"/>
    <s v="Deleted"/>
    <x v="3"/>
    <m/>
  </r>
  <r>
    <n v="80814089"/>
    <s v="海飞丝去屑丝质柔滑型洗发露200克"/>
    <s v="A672"/>
    <x v="14"/>
    <x v="4"/>
    <x v="20"/>
    <n v="405"/>
    <x v="12"/>
    <x v="10"/>
    <n v="3496602375"/>
    <m/>
    <d v="2025-11-25T00:00:00"/>
    <x v="15"/>
    <n v="0.73406249999999995"/>
    <x v="2"/>
    <s v="Deleted"/>
    <x v="3"/>
    <m/>
  </r>
  <r>
    <n v="80814098"/>
    <s v="海飞丝去屑怡神冰凉型洗发露200克"/>
    <s v="A672"/>
    <x v="14"/>
    <x v="4"/>
    <x v="20"/>
    <n v="405"/>
    <x v="12"/>
    <x v="10"/>
    <n v="3496602376"/>
    <m/>
    <d v="2025-11-25T00:00:00"/>
    <x v="15"/>
    <n v="0.73406249999999995"/>
    <x v="2"/>
    <s v="Deleted"/>
    <x v="3"/>
    <m/>
  </r>
  <r>
    <n v="80814097"/>
    <s v="海飞丝去屑清爽控油型洗发露200克"/>
    <s v="A672"/>
    <x v="14"/>
    <x v="4"/>
    <x v="20"/>
    <n v="405"/>
    <x v="12"/>
    <x v="10"/>
    <n v="3496602377"/>
    <m/>
    <d v="2025-11-25T00:00:00"/>
    <x v="15"/>
    <n v="0.73406249999999995"/>
    <x v="2"/>
    <s v="Deleted"/>
    <x v="3"/>
    <m/>
  </r>
  <r>
    <n v="80814081"/>
    <s v="海飞丝去屑止痒呵护型洗发露200克"/>
    <s v="A672"/>
    <x v="14"/>
    <x v="4"/>
    <x v="20"/>
    <n v="405"/>
    <x v="12"/>
    <x v="10"/>
    <n v="3496602398"/>
    <m/>
    <d v="2025-11-25T00:00:00"/>
    <x v="15"/>
    <n v="0.73406249999999995"/>
    <x v="2"/>
    <s v="Deleted"/>
    <x v="3"/>
    <m/>
  </r>
  <r>
    <n v="80815648"/>
    <s v="海飞丝去屑丝质柔滑型洗发露430克"/>
    <s v="A672"/>
    <x v="14"/>
    <x v="4"/>
    <x v="20"/>
    <n v="753"/>
    <x v="12"/>
    <x v="10"/>
    <n v="3496602399"/>
    <m/>
    <d v="2025-11-25T00:00:00"/>
    <x v="15"/>
    <n v="1.4672205"/>
    <x v="2"/>
    <s v="Deleted"/>
    <x v="3"/>
    <m/>
  </r>
  <r>
    <n v="80815643"/>
    <s v="海飞丝去屑怡神冰凉型洗发露430克"/>
    <s v="A672"/>
    <x v="14"/>
    <x v="4"/>
    <x v="20"/>
    <n v="753"/>
    <x v="12"/>
    <x v="10"/>
    <n v="3496602400"/>
    <m/>
    <d v="2025-11-25T00:00:00"/>
    <x v="15"/>
    <n v="1.4672205"/>
    <x v="2"/>
    <s v="Deleted"/>
    <x v="3"/>
    <m/>
  </r>
  <r>
    <n v="80815642"/>
    <s v="海飞丝去屑清爽控油型洗发露430克"/>
    <s v="A672"/>
    <x v="14"/>
    <x v="4"/>
    <x v="20"/>
    <n v="753"/>
    <x v="12"/>
    <x v="10"/>
    <n v="3496602401"/>
    <m/>
    <d v="2025-11-25T00:00:00"/>
    <x v="15"/>
    <n v="1.4672205"/>
    <x v="2"/>
    <s v="Deleted"/>
    <x v="3"/>
    <m/>
  </r>
  <r>
    <n v="80815644"/>
    <s v="海飞丝去屑深度洁净型洗发露430克"/>
    <s v="A672"/>
    <x v="14"/>
    <x v="4"/>
    <x v="20"/>
    <n v="377"/>
    <x v="12"/>
    <x v="10"/>
    <n v="3496602402"/>
    <m/>
    <d v="2025-11-25T00:00:00"/>
    <x v="15"/>
    <n v="0.73458449999999997"/>
    <x v="2"/>
    <s v="Deleted"/>
    <x v="3"/>
    <m/>
  </r>
  <r>
    <n v="80815645"/>
    <s v="海飞丝去屑止痒呵护型洗发露430克"/>
    <s v="A672"/>
    <x v="14"/>
    <x v="4"/>
    <x v="20"/>
    <n v="753"/>
    <x v="12"/>
    <x v="10"/>
    <n v="3496602403"/>
    <m/>
    <d v="2025-11-25T00:00:00"/>
    <x v="15"/>
    <n v="1.4672205"/>
    <x v="2"/>
    <s v="Deleted"/>
    <x v="3"/>
    <m/>
  </r>
  <r>
    <n v="80815647"/>
    <s v="海飞丝去屑防断韧发型洗发露430克"/>
    <s v="A672"/>
    <x v="14"/>
    <x v="4"/>
    <x v="20"/>
    <n v="377"/>
    <x v="12"/>
    <x v="10"/>
    <n v="3496602404"/>
    <m/>
    <d v="2025-11-25T00:00:00"/>
    <x v="15"/>
    <n v="0.73458449999999997"/>
    <x v="2"/>
    <s v="Deleted"/>
    <x v="3"/>
    <m/>
  </r>
  <r>
    <n v="80813610"/>
    <s v="潘婷PRO-V乳液修护洗发水200G"/>
    <s v="A672"/>
    <x v="14"/>
    <x v="4"/>
    <x v="20"/>
    <n v="405"/>
    <x v="12"/>
    <x v="10"/>
    <n v="3496602405"/>
    <m/>
    <d v="2025-11-25T00:00:00"/>
    <x v="15"/>
    <n v="0.73410299999999995"/>
    <x v="2"/>
    <s v="Deleted"/>
    <x v="3"/>
    <m/>
  </r>
  <r>
    <n v="80813619"/>
    <s v="潘婷PRO-V丝质顺滑型洗发露200G"/>
    <s v="A672"/>
    <x v="14"/>
    <x v="4"/>
    <x v="20"/>
    <n v="405"/>
    <x v="12"/>
    <x v="10"/>
    <n v="3496602406"/>
    <m/>
    <d v="2025-11-25T00:00:00"/>
    <x v="15"/>
    <n v="0.73410299999999995"/>
    <x v="2"/>
    <s v="Deleted"/>
    <x v="3"/>
    <m/>
  </r>
  <r>
    <n v="80813615"/>
    <s v="潘婷PRO-V乳液修护洗发水400G"/>
    <s v="A672"/>
    <x v="14"/>
    <x v="4"/>
    <x v="20"/>
    <n v="405"/>
    <x v="12"/>
    <x v="10"/>
    <n v="3496602407"/>
    <m/>
    <d v="2025-11-25T00:00:00"/>
    <x v="15"/>
    <n v="0.73410299999999995"/>
    <x v="2"/>
    <s v="Deleted"/>
    <x v="3"/>
    <m/>
  </r>
  <r>
    <n v="80813637"/>
    <s v="潘婷PRO-V丝质顺滑型洗发露400G"/>
    <s v="A672"/>
    <x v="14"/>
    <x v="4"/>
    <x v="20"/>
    <n v="405"/>
    <x v="12"/>
    <x v="10"/>
    <n v="3496602408"/>
    <m/>
    <d v="2025-11-25T00:00:00"/>
    <x v="15"/>
    <n v="0.73410299999999995"/>
    <x v="2"/>
    <s v="Deleted"/>
    <x v="3"/>
    <m/>
  </r>
  <r>
    <n v="80813617"/>
    <s v="潘婷PRO-V丝质顺滑去屑洗发水400g"/>
    <s v="A672"/>
    <x v="14"/>
    <x v="4"/>
    <x v="20"/>
    <n v="405"/>
    <x v="12"/>
    <x v="10"/>
    <n v="3496602409"/>
    <m/>
    <d v="2025-11-25T00:00:00"/>
    <x v="15"/>
    <n v="0.73410299999999995"/>
    <x v="2"/>
    <s v="Deleted"/>
    <x v="3"/>
    <m/>
  </r>
  <r>
    <n v="80813629"/>
    <s v="潘婷PRO-V乳液修护去屑洗发水400g"/>
    <s v="A672"/>
    <x v="14"/>
    <x v="4"/>
    <x v="20"/>
    <n v="405"/>
    <x v="12"/>
    <x v="10"/>
    <n v="3496602410"/>
    <m/>
    <d v="2025-11-25T00:00:00"/>
    <x v="15"/>
    <n v="0.73410299999999995"/>
    <x v="2"/>
    <s v="Deleted"/>
    <x v="3"/>
    <m/>
  </r>
  <r>
    <n v="80820462"/>
    <s v="飘柔滋润去屑洗发露200g"/>
    <s v="A672"/>
    <x v="14"/>
    <x v="4"/>
    <x v="20"/>
    <n v="810"/>
    <x v="12"/>
    <x v="10"/>
    <n v="3496602411"/>
    <s v="RJ remove PO and put PI code"/>
    <d v="2025-11-25T00:00:00"/>
    <x v="4"/>
    <n v="1.4682059999999999"/>
    <x v="2"/>
    <s v="Deleted"/>
    <x v="3"/>
    <m/>
  </r>
  <r>
    <n v="80820459"/>
    <s v="飘柔精萃润泽柔顺洗发露400g"/>
    <s v="A672"/>
    <x v="14"/>
    <x v="4"/>
    <x v="20"/>
    <n v="405"/>
    <x v="12"/>
    <x v="10"/>
    <n v="3496602412"/>
    <s v="RJ remove PO and put PI code"/>
    <d v="2025-11-25T00:00:00"/>
    <x v="4"/>
    <n v="0.73410299999999995"/>
    <x v="2"/>
    <s v="Deleted"/>
    <x v="3"/>
    <m/>
  </r>
  <r>
    <n v="80820464"/>
    <s v="飘柔修护去屑洗发露400g"/>
    <s v="A672"/>
    <x v="14"/>
    <x v="4"/>
    <x v="20"/>
    <n v="405"/>
    <x v="12"/>
    <x v="10"/>
    <n v="3496602413"/>
    <s v="RJ remove PO and put PI code"/>
    <d v="2025-11-25T00:00:00"/>
    <x v="4"/>
    <n v="0.73410299999999995"/>
    <x v="2"/>
    <s v="Deleted"/>
    <x v="3"/>
    <m/>
  </r>
  <r>
    <n v="80820469"/>
    <s v="飘柔滋润去屑洗发露400g"/>
    <s v="A672"/>
    <x v="14"/>
    <x v="4"/>
    <x v="20"/>
    <n v="810"/>
    <x v="12"/>
    <x v="10"/>
    <n v="3496602414"/>
    <s v="RJ remove PO and put PI code"/>
    <d v="2025-11-25T00:00:00"/>
    <x v="4"/>
    <n v="1.4682059999999999"/>
    <x v="2"/>
    <s v="Deleted"/>
    <x v="3"/>
    <m/>
  </r>
  <r>
    <n v="80880191"/>
    <s v="REJ SHM 200GX24 MOISTURE AD"/>
    <s v="C816"/>
    <x v="15"/>
    <x v="4"/>
    <x v="17"/>
    <n v="1214"/>
    <x v="13"/>
    <x v="10"/>
    <n v="3497307647"/>
    <m/>
    <d v="2025-11-26T00:00:00"/>
    <x v="11"/>
    <n v="2.2004964"/>
    <x v="2"/>
    <s v="Deleted"/>
    <x v="3"/>
    <m/>
  </r>
  <r>
    <n v="80880197"/>
    <s v="REJ SHM 400gX12 Moisture AD"/>
    <s v="C816"/>
    <x v="15"/>
    <x v="4"/>
    <x v="17"/>
    <n v="1214"/>
    <x v="13"/>
    <x v="10"/>
    <n v="3497307648"/>
    <m/>
    <d v="2025-11-26T00:00:00"/>
    <x v="11"/>
    <n v="2.2004964"/>
    <x v="2"/>
    <s v="Deleted"/>
    <x v="3"/>
    <m/>
  </r>
  <r>
    <n v="80880191"/>
    <s v="REJ SHM 200GX24 MOISTURE AD"/>
    <s v="C816"/>
    <x v="15"/>
    <x v="4"/>
    <x v="3"/>
    <n v="1214"/>
    <x v="13"/>
    <x v="10"/>
    <n v="3497307649"/>
    <m/>
    <d v="2025-11-26T00:00:00"/>
    <x v="12"/>
    <n v="2.2004964"/>
    <x v="2"/>
    <s v="Deleted"/>
    <x v="3"/>
    <m/>
  </r>
  <r>
    <n v="80880197"/>
    <s v="REJ SHM 400gX12 Moisture AD"/>
    <s v="C816"/>
    <x v="15"/>
    <x v="4"/>
    <x v="3"/>
    <n v="1214"/>
    <x v="13"/>
    <x v="10"/>
    <n v="3497307650"/>
    <m/>
    <d v="2025-11-26T00:00:00"/>
    <x v="12"/>
    <n v="2.2004964"/>
    <x v="2"/>
    <s v="Deleted"/>
    <x v="3"/>
    <m/>
  </r>
  <r>
    <n v="80880191"/>
    <s v="REJ SHM 200GX24 MOISTURE AD"/>
    <s v="C816"/>
    <x v="15"/>
    <x v="4"/>
    <x v="18"/>
    <n v="1214"/>
    <x v="13"/>
    <x v="10"/>
    <n v="3497307651"/>
    <m/>
    <d v="2025-11-26T00:00:00"/>
    <x v="13"/>
    <n v="2.2004964"/>
    <x v="2"/>
    <s v="Deleted"/>
    <x v="3"/>
    <m/>
  </r>
  <r>
    <n v="80880197"/>
    <s v="REJ SHM 400gX12 Moisture AD"/>
    <s v="C816"/>
    <x v="15"/>
    <x v="4"/>
    <x v="18"/>
    <n v="1214"/>
    <x v="13"/>
    <x v="10"/>
    <n v="3497307652"/>
    <m/>
    <d v="2025-11-26T00:00:00"/>
    <x v="13"/>
    <n v="2.2004964"/>
    <x v="2"/>
    <s v="Deleted"/>
    <x v="3"/>
    <m/>
  </r>
  <r>
    <n v="80880191"/>
    <s v="REJ SHM 200GX24 MOISTURE AD"/>
    <s v="C816"/>
    <x v="15"/>
    <x v="4"/>
    <x v="19"/>
    <n v="1214"/>
    <x v="13"/>
    <x v="10"/>
    <n v="3497307653"/>
    <m/>
    <d v="2025-11-26T00:00:00"/>
    <x v="14"/>
    <n v="2.2004964"/>
    <x v="2"/>
    <s v="Deleted"/>
    <x v="3"/>
    <m/>
  </r>
  <r>
    <n v="80880197"/>
    <s v="REJ SHM 400gX12 Moisture AD"/>
    <s v="C816"/>
    <x v="15"/>
    <x v="4"/>
    <x v="19"/>
    <n v="1214"/>
    <x v="13"/>
    <x v="10"/>
    <n v="3497307654"/>
    <m/>
    <d v="2025-11-26T00:00:00"/>
    <x v="14"/>
    <n v="2.2004964"/>
    <x v="2"/>
    <s v="Deleted"/>
    <x v="3"/>
    <m/>
  </r>
  <r>
    <n v="80880191"/>
    <s v="REJ SHM 200GX24 MOISTURE AD"/>
    <s v="C816"/>
    <x v="15"/>
    <x v="4"/>
    <x v="20"/>
    <n v="1214"/>
    <x v="13"/>
    <x v="10"/>
    <n v="3497307655"/>
    <m/>
    <d v="2025-11-26T00:00:00"/>
    <x v="15"/>
    <n v="2.2004964"/>
    <x v="2"/>
    <s v="Deleted"/>
    <x v="3"/>
    <m/>
  </r>
  <r>
    <n v="80880197"/>
    <s v="REJ SHM 400gX12 Moisture AD"/>
    <s v="C816"/>
    <x v="15"/>
    <x v="4"/>
    <x v="20"/>
    <n v="1214"/>
    <x v="13"/>
    <x v="10"/>
    <n v="3497307656"/>
    <m/>
    <d v="2025-11-26T00:00:00"/>
    <x v="15"/>
    <n v="2.2004964"/>
    <x v="2"/>
    <s v="Deleted"/>
    <x v="3"/>
    <m/>
  </r>
  <r>
    <n v="80880191"/>
    <s v="REJ SHM 200GX24 MOISTURE AD"/>
    <s v="A673"/>
    <x v="15"/>
    <x v="4"/>
    <x v="17"/>
    <n v="1214"/>
    <x v="13"/>
    <x v="10"/>
    <n v="3497307657"/>
    <m/>
    <d v="2025-11-26T00:00:00"/>
    <x v="11"/>
    <n v="2.2004964"/>
    <x v="2"/>
    <s v="Deleted"/>
    <x v="3"/>
    <m/>
  </r>
  <r>
    <n v="80880197"/>
    <s v="REJ SHM 400gX12 Moisture AD"/>
    <s v="A673"/>
    <x v="15"/>
    <x v="4"/>
    <x v="17"/>
    <n v="1214"/>
    <x v="13"/>
    <x v="10"/>
    <n v="3497308158"/>
    <m/>
    <d v="2025-11-26T00:00:00"/>
    <x v="11"/>
    <n v="2.2004964"/>
    <x v="2"/>
    <s v="Deleted"/>
    <x v="3"/>
    <m/>
  </r>
  <r>
    <n v="80880191"/>
    <s v="REJ SHM 200GX24 MOISTURE AD"/>
    <s v="A673"/>
    <x v="15"/>
    <x v="4"/>
    <x v="3"/>
    <n v="1214"/>
    <x v="13"/>
    <x v="10"/>
    <n v="3497308159"/>
    <m/>
    <d v="2025-11-26T00:00:00"/>
    <x v="12"/>
    <n v="2.2004964"/>
    <x v="2"/>
    <s v="Deleted"/>
    <x v="3"/>
    <m/>
  </r>
  <r>
    <n v="80880197"/>
    <s v="REJ SHM 400gX12 Moisture AD"/>
    <s v="A673"/>
    <x v="15"/>
    <x v="4"/>
    <x v="3"/>
    <n v="1214"/>
    <x v="13"/>
    <x v="10"/>
    <n v="3497308160"/>
    <m/>
    <d v="2025-11-26T00:00:00"/>
    <x v="12"/>
    <n v="2.2004964"/>
    <x v="2"/>
    <s v="Deleted"/>
    <x v="3"/>
    <m/>
  </r>
  <r>
    <n v="80880191"/>
    <s v="REJ SHM 200GX24 MOISTURE AD"/>
    <s v="A673"/>
    <x v="15"/>
    <x v="4"/>
    <x v="18"/>
    <n v="1214"/>
    <x v="13"/>
    <x v="10"/>
    <n v="3497308161"/>
    <m/>
    <d v="2025-11-26T00:00:00"/>
    <x v="13"/>
    <n v="2.2004964"/>
    <x v="2"/>
    <s v="Deleted"/>
    <x v="3"/>
    <m/>
  </r>
  <r>
    <n v="80880197"/>
    <s v="REJ SHM 400gX12 Moisture AD"/>
    <s v="A673"/>
    <x v="15"/>
    <x v="4"/>
    <x v="18"/>
    <n v="1214"/>
    <x v="13"/>
    <x v="10"/>
    <n v="3497308162"/>
    <m/>
    <d v="2025-11-26T00:00:00"/>
    <x v="13"/>
    <n v="2.2004964"/>
    <x v="2"/>
    <s v="Deleted"/>
    <x v="3"/>
    <m/>
  </r>
  <r>
    <n v="80880191"/>
    <s v="REJ SHM 200GX24 MOISTURE AD"/>
    <s v="A673"/>
    <x v="15"/>
    <x v="4"/>
    <x v="19"/>
    <n v="1214"/>
    <x v="13"/>
    <x v="10"/>
    <n v="3497308163"/>
    <m/>
    <d v="2025-11-26T00:00:00"/>
    <x v="14"/>
    <n v="2.2004964"/>
    <x v="2"/>
    <s v="Deleted"/>
    <x v="3"/>
    <m/>
  </r>
  <r>
    <n v="80880197"/>
    <s v="REJ SHM 400gX12 Moisture AD"/>
    <s v="A673"/>
    <x v="15"/>
    <x v="4"/>
    <x v="19"/>
    <n v="1214"/>
    <x v="13"/>
    <x v="10"/>
    <n v="3497308164"/>
    <m/>
    <d v="2025-11-26T00:00:00"/>
    <x v="14"/>
    <n v="2.2004964"/>
    <x v="2"/>
    <s v="Deleted"/>
    <x v="3"/>
    <m/>
  </r>
  <r>
    <n v="80880191"/>
    <s v="REJ SHM 200GX24 MOISTURE AD"/>
    <s v="A673"/>
    <x v="15"/>
    <x v="4"/>
    <x v="20"/>
    <n v="1214"/>
    <x v="13"/>
    <x v="10"/>
    <n v="3497308165"/>
    <m/>
    <d v="2025-11-26T00:00:00"/>
    <x v="15"/>
    <n v="2.2004964"/>
    <x v="2"/>
    <s v="Deleted"/>
    <x v="3"/>
    <m/>
  </r>
  <r>
    <n v="80880197"/>
    <s v="REJ SHM 400gX12 Moisture AD"/>
    <s v="A673"/>
    <x v="15"/>
    <x v="4"/>
    <x v="20"/>
    <n v="1214"/>
    <x v="13"/>
    <x v="10"/>
    <n v="3497308166"/>
    <m/>
    <d v="2025-11-26T00:00:00"/>
    <x v="15"/>
    <n v="2.2004964"/>
    <x v="2"/>
    <s v="Deleted"/>
    <x v="3"/>
    <m/>
  </r>
  <r>
    <n v="80880191"/>
    <s v="REJ SHM 200GX24 MOISTURE AD"/>
    <s v="A672"/>
    <x v="15"/>
    <x v="4"/>
    <x v="17"/>
    <n v="1214"/>
    <x v="13"/>
    <x v="10"/>
    <n v="3497308167"/>
    <m/>
    <d v="2025-11-26T00:00:00"/>
    <x v="11"/>
    <n v="2.2004964"/>
    <x v="2"/>
    <s v="Deleted"/>
    <x v="3"/>
    <m/>
  </r>
  <r>
    <n v="80880197"/>
    <s v="REJ SHM 400gX12 Moisture AD"/>
    <s v="A672"/>
    <x v="15"/>
    <x v="4"/>
    <x v="17"/>
    <n v="1214"/>
    <x v="13"/>
    <x v="10"/>
    <n v="3497308168"/>
    <m/>
    <d v="2025-11-26T00:00:00"/>
    <x v="11"/>
    <n v="2.2004964"/>
    <x v="2"/>
    <s v="Deleted"/>
    <x v="3"/>
    <m/>
  </r>
  <r>
    <n v="80880191"/>
    <s v="REJ SHM 200GX24 MOISTURE AD"/>
    <s v="A672"/>
    <x v="15"/>
    <x v="4"/>
    <x v="3"/>
    <n v="1214"/>
    <x v="13"/>
    <x v="10"/>
    <n v="3497308169"/>
    <m/>
    <d v="2025-11-26T00:00:00"/>
    <x v="12"/>
    <n v="2.2004964"/>
    <x v="2"/>
    <s v="Deleted"/>
    <x v="3"/>
    <m/>
  </r>
  <r>
    <n v="80880197"/>
    <s v="REJ SHM 400gX12 Moisture AD"/>
    <s v="A672"/>
    <x v="15"/>
    <x v="4"/>
    <x v="3"/>
    <n v="1214"/>
    <x v="13"/>
    <x v="10"/>
    <n v="3497308170"/>
    <m/>
    <d v="2025-11-26T00:00:00"/>
    <x v="12"/>
    <n v="2.2004964"/>
    <x v="2"/>
    <s v="Deleted"/>
    <x v="3"/>
    <m/>
  </r>
  <r>
    <n v="80880191"/>
    <s v="REJ SHM 200GX24 MOISTURE AD"/>
    <s v="A672"/>
    <x v="15"/>
    <x v="4"/>
    <x v="18"/>
    <n v="1214"/>
    <x v="13"/>
    <x v="10"/>
    <n v="3497308171"/>
    <m/>
    <d v="2025-11-26T00:00:00"/>
    <x v="13"/>
    <n v="2.2004964"/>
    <x v="2"/>
    <s v="Deleted"/>
    <x v="3"/>
    <m/>
  </r>
  <r>
    <n v="80880197"/>
    <s v="REJ SHM 400gX12 Moisture AD"/>
    <s v="A672"/>
    <x v="15"/>
    <x v="4"/>
    <x v="18"/>
    <n v="1214"/>
    <x v="13"/>
    <x v="10"/>
    <n v="3497308172"/>
    <m/>
    <d v="2025-11-26T00:00:00"/>
    <x v="13"/>
    <n v="2.2004964"/>
    <x v="2"/>
    <s v="Deleted"/>
    <x v="3"/>
    <m/>
  </r>
  <r>
    <n v="80880191"/>
    <s v="REJ SHM 200GX24 MOISTURE AD"/>
    <s v="A672"/>
    <x v="15"/>
    <x v="4"/>
    <x v="19"/>
    <n v="1214"/>
    <x v="13"/>
    <x v="10"/>
    <n v="3497308173"/>
    <m/>
    <d v="2025-11-26T00:00:00"/>
    <x v="14"/>
    <n v="2.2004964"/>
    <x v="2"/>
    <s v="Deleted"/>
    <x v="3"/>
    <m/>
  </r>
  <r>
    <n v="80880197"/>
    <s v="REJ SHM 400gX12 Moisture AD"/>
    <s v="A672"/>
    <x v="15"/>
    <x v="4"/>
    <x v="19"/>
    <n v="1214"/>
    <x v="13"/>
    <x v="10"/>
    <n v="3497308174"/>
    <m/>
    <d v="2025-11-26T00:00:00"/>
    <x v="14"/>
    <n v="2.2004964"/>
    <x v="2"/>
    <s v="Deleted"/>
    <x v="3"/>
    <m/>
  </r>
  <r>
    <n v="80880191"/>
    <s v="REJ SHM 200GX24 MOISTURE AD"/>
    <s v="A672"/>
    <x v="15"/>
    <x v="4"/>
    <x v="20"/>
    <n v="1214"/>
    <x v="13"/>
    <x v="10"/>
    <n v="3497308175"/>
    <m/>
    <d v="2025-11-26T00:00:00"/>
    <x v="15"/>
    <n v="2.2004964"/>
    <x v="2"/>
    <s v="Deleted"/>
    <x v="3"/>
    <m/>
  </r>
  <r>
    <n v="80880197"/>
    <s v="REJ SHM 400gX12 Moisture AD"/>
    <s v="A672"/>
    <x v="15"/>
    <x v="4"/>
    <x v="20"/>
    <n v="1214"/>
    <x v="13"/>
    <x v="10"/>
    <n v="3497308176"/>
    <m/>
    <d v="2025-11-26T00:00:00"/>
    <x v="15"/>
    <n v="2.2004964"/>
    <x v="2"/>
    <s v="Deleted"/>
    <x v="3"/>
    <m/>
  </r>
  <r>
    <n v="80773752"/>
    <s v="HS SHM 470GX12 PRO OIL CONTROL&amp;DETOX"/>
    <s v="A673"/>
    <x v="10"/>
    <x v="1"/>
    <x v="10"/>
    <n v="4300"/>
    <x v="14"/>
    <x v="6"/>
    <n v="3498675503"/>
    <m/>
    <d v="2025-11-28T00:00:00"/>
    <x v="10"/>
    <n v="9.1581399999999995"/>
    <x v="1"/>
    <s v="Deleted"/>
    <x v="3"/>
    <m/>
  </r>
  <r>
    <n v="80864679"/>
    <s v="HR SHM 530GX9 UKA Anti-breakage"/>
    <s v="A673"/>
    <x v="10"/>
    <x v="1"/>
    <x v="21"/>
    <n v="8900"/>
    <x v="14"/>
    <x v="6"/>
    <n v="3498675504"/>
    <m/>
    <d v="2025-11-28T00:00:00"/>
    <x v="10"/>
    <n v="16.031569999999999"/>
    <x v="1"/>
    <s v="Deleted"/>
    <x v="3"/>
    <m/>
  </r>
  <r>
    <n v="80823133"/>
    <s v="潘婷PRO-V丝质400g洗+200g护优惠装"/>
    <s v="A672"/>
    <x v="16"/>
    <x v="1"/>
    <x v="22"/>
    <n v="2500"/>
    <x v="15"/>
    <x v="7"/>
    <n v="3498675505"/>
    <m/>
    <d v="2025-11-28T00:00:00"/>
    <x v="14"/>
    <n v="6.8652499999999996"/>
    <x v="1"/>
    <s v="Deleted"/>
    <x v="3"/>
    <m/>
  </r>
  <r>
    <n v="80823132"/>
    <s v="潘婷乳液400g洗+200g护优惠装"/>
    <s v="A672"/>
    <x v="16"/>
    <x v="1"/>
    <x v="22"/>
    <n v="3500"/>
    <x v="15"/>
    <x v="7"/>
    <n v="3498675506"/>
    <m/>
    <d v="2025-11-28T00:00:00"/>
    <x v="14"/>
    <n v="9.6113499999999998"/>
    <x v="1"/>
    <s v="Deleted"/>
    <x v="3"/>
    <m/>
  </r>
  <r>
    <n v="80720217"/>
    <s v="海飞丝去屑洗发露恬雅清新型300G_OI"/>
    <s v="A668"/>
    <x v="17"/>
    <x v="1"/>
    <x v="23"/>
    <n v="1500"/>
    <x v="15"/>
    <x v="7"/>
    <n v="3498675507"/>
    <m/>
    <d v="2025-11-28T00:00:00"/>
    <x v="13"/>
    <n v="2.0390999999999999"/>
    <x v="1"/>
    <s v="Deleted"/>
    <x v="3"/>
    <m/>
  </r>
  <r>
    <n v="80720217"/>
    <s v="海飞丝去屑洗发露恬雅清新型300G_OI"/>
    <s v="A672"/>
    <x v="17"/>
    <x v="1"/>
    <x v="23"/>
    <n v="4000"/>
    <x v="15"/>
    <x v="7"/>
    <n v="3498675508"/>
    <m/>
    <d v="2025-11-28T00:00:00"/>
    <x v="13"/>
    <n v="5.4375999999999998"/>
    <x v="1"/>
    <s v="Deleted"/>
    <x v="3"/>
    <m/>
  </r>
  <r>
    <n v="80720217"/>
    <s v="海飞丝去屑洗发露恬雅清新型300G_OI"/>
    <s v="A673"/>
    <x v="17"/>
    <x v="1"/>
    <x v="23"/>
    <n v="3100"/>
    <x v="15"/>
    <x v="7"/>
    <n v="3498675509"/>
    <m/>
    <d v="2025-11-28T00:00:00"/>
    <x v="13"/>
    <n v="4.2141400000000004"/>
    <x v="1"/>
    <s v="Deleted"/>
    <x v="3"/>
    <m/>
  </r>
  <r>
    <n v="80720217"/>
    <s v="海飞丝去屑洗发露恬雅清新型300G_OI"/>
    <s v="A680"/>
    <x v="17"/>
    <x v="1"/>
    <x v="23"/>
    <n v="1200"/>
    <x v="15"/>
    <x v="7"/>
    <n v="3498675510"/>
    <m/>
    <d v="2025-11-28T00:00:00"/>
    <x v="13"/>
    <n v="1.6312800000000001"/>
    <x v="1"/>
    <s v="Deleted"/>
    <x v="3"/>
    <m/>
  </r>
  <r>
    <n v="80720217"/>
    <s v="海飞丝去屑洗发露恬雅清新型300G_OI"/>
    <s v="C816"/>
    <x v="17"/>
    <x v="1"/>
    <x v="23"/>
    <n v="2200"/>
    <x v="15"/>
    <x v="7"/>
    <n v="3498675511"/>
    <m/>
    <d v="2025-11-28T00:00:00"/>
    <x v="13"/>
    <n v="2.9906799999999998"/>
    <x v="1"/>
    <s v="Deleted"/>
    <x v="3"/>
    <m/>
  </r>
  <r>
    <n v="80720217"/>
    <s v="海飞丝去屑洗发露恬雅清新型300G_OI"/>
    <s v="A715"/>
    <x v="17"/>
    <x v="1"/>
    <x v="23"/>
    <n v="100"/>
    <x v="15"/>
    <x v="7"/>
    <n v="3498675517"/>
    <m/>
    <d v="2025-11-28T00:00:00"/>
    <x v="13"/>
    <n v="0.13594000000000001"/>
    <x v="1"/>
    <s v="Deleted"/>
    <x v="3"/>
    <m/>
  </r>
  <r>
    <n v="80720217"/>
    <s v="海飞丝去屑洗发露恬雅清新型300G_OI"/>
    <s v="A716"/>
    <x v="17"/>
    <x v="1"/>
    <x v="23"/>
    <n v="200"/>
    <x v="15"/>
    <x v="7"/>
    <n v="3498675678"/>
    <m/>
    <d v="2025-11-28T00:00:00"/>
    <x v="13"/>
    <n v="0.27188000000000001"/>
    <x v="1"/>
    <s v="Deleted"/>
    <x v="3"/>
    <m/>
  </r>
  <r>
    <n v="80830278"/>
    <s v="海飞丝去屑舒痒水润型洗发露480G"/>
    <s v="A672"/>
    <x v="11"/>
    <x v="1"/>
    <x v="24"/>
    <n v="911"/>
    <x v="15"/>
    <x v="9"/>
    <n v="3498675679"/>
    <m/>
    <d v="2025-11-28T00:00:00"/>
    <x v="10"/>
    <n v="1.9815160999999999"/>
    <x v="1"/>
    <s v="Deleted"/>
    <x v="3"/>
    <m/>
  </r>
  <r>
    <n v="80830278"/>
    <s v="海飞丝去屑舒痒水润型洗发露480G"/>
    <s v="A673"/>
    <x v="11"/>
    <x v="1"/>
    <x v="24"/>
    <n v="869"/>
    <x v="15"/>
    <x v="9"/>
    <n v="3498675680"/>
    <m/>
    <d v="2025-11-28T00:00:00"/>
    <x v="10"/>
    <n v="1.8901619000000001"/>
    <x v="1"/>
    <s v="Deleted"/>
    <x v="3"/>
    <m/>
  </r>
  <r>
    <n v="80830278"/>
    <s v="海飞丝去屑舒痒水润型洗发露480G"/>
    <s v="A668"/>
    <x v="11"/>
    <x v="1"/>
    <x v="24"/>
    <n v="787"/>
    <x v="15"/>
    <x v="9"/>
    <n v="3498675681"/>
    <m/>
    <d v="2025-11-28T00:00:00"/>
    <x v="10"/>
    <n v="1.7118036999999999"/>
    <x v="1"/>
    <s v="Deleted"/>
    <x v="3"/>
    <m/>
  </r>
  <r>
    <n v="80830278"/>
    <s v="海飞丝去屑舒痒水润型洗发露480G"/>
    <s v="A680"/>
    <x v="11"/>
    <x v="1"/>
    <x v="24"/>
    <n v="745"/>
    <x v="15"/>
    <x v="9"/>
    <n v="3498675682"/>
    <m/>
    <d v="2025-11-28T00:00:00"/>
    <x v="10"/>
    <n v="1.6204495000000001"/>
    <x v="1"/>
    <s v="Deleted"/>
    <x v="3"/>
    <m/>
  </r>
  <r>
    <n v="80830278"/>
    <s v="海飞丝去屑舒痒水润型洗发露480G"/>
    <s v="C816"/>
    <x v="11"/>
    <x v="1"/>
    <x v="24"/>
    <n v="828"/>
    <x v="15"/>
    <x v="9"/>
    <n v="3498675683"/>
    <m/>
    <d v="2025-11-28T00:00:00"/>
    <x v="10"/>
    <n v="1.8009828000000001"/>
    <x v="1"/>
    <s v="Deleted"/>
    <x v="3"/>
    <m/>
  </r>
  <r>
    <n v="80879045"/>
    <s v="海飞丝头皮护理控油蓬松型300X3+80X3"/>
    <s v="A672"/>
    <x v="11"/>
    <x v="1"/>
    <x v="24"/>
    <n v="648"/>
    <x v="15"/>
    <x v="9"/>
    <n v="3498675684"/>
    <m/>
    <d v="2025-11-28T00:00:00"/>
    <x v="10"/>
    <n v="1.6737192000000001"/>
    <x v="1"/>
    <s v="Deleted"/>
    <x v="3"/>
    <m/>
  </r>
  <r>
    <n v="80879045"/>
    <s v="海飞丝头皮护理控油蓬松型300X3+80X3"/>
    <s v="A673"/>
    <x v="11"/>
    <x v="1"/>
    <x v="24"/>
    <n v="619"/>
    <x v="15"/>
    <x v="9"/>
    <n v="3498675685"/>
    <m/>
    <d v="2025-11-28T00:00:00"/>
    <x v="10"/>
    <n v="1.5988150999999999"/>
    <x v="1"/>
    <s v="Deleted"/>
    <x v="3"/>
    <m/>
  </r>
  <r>
    <n v="80879045"/>
    <s v="海飞丝头皮护理控油蓬松型300X3+80X3"/>
    <s v="A668"/>
    <x v="11"/>
    <x v="1"/>
    <x v="24"/>
    <n v="560"/>
    <x v="15"/>
    <x v="9"/>
    <n v="3498675686"/>
    <m/>
    <d v="2025-11-28T00:00:00"/>
    <x v="10"/>
    <n v="1.4464239999999999"/>
    <x v="1"/>
    <s v="Deleted"/>
    <x v="3"/>
    <m/>
  </r>
  <r>
    <n v="80879045"/>
    <s v="海飞丝头皮护理控油蓬松型300X3+80X3"/>
    <s v="A680"/>
    <x v="11"/>
    <x v="1"/>
    <x v="24"/>
    <n v="530"/>
    <x v="15"/>
    <x v="9"/>
    <n v="3498675687"/>
    <m/>
    <d v="2025-11-28T00:00:00"/>
    <x v="10"/>
    <n v="1.3689370000000001"/>
    <x v="1"/>
    <s v="Deleted"/>
    <x v="3"/>
    <m/>
  </r>
  <r>
    <n v="80879045"/>
    <s v="海飞丝头皮护理控油蓬松型300X3+80X3"/>
    <s v="C816"/>
    <x v="11"/>
    <x v="1"/>
    <x v="24"/>
    <n v="589"/>
    <x v="15"/>
    <x v="9"/>
    <n v="3498675688"/>
    <m/>
    <d v="2025-11-28T00:00:00"/>
    <x v="10"/>
    <n v="1.5213281000000001"/>
    <x v="1"/>
    <s v="Deleted"/>
    <x v="3"/>
    <m/>
  </r>
  <r>
    <n v="80817094"/>
    <s v="海飞丝清爽控油型洗发露套装500克X2+80克X2"/>
    <s v="A668"/>
    <x v="18"/>
    <x v="3"/>
    <x v="15"/>
    <n v="294"/>
    <x v="15"/>
    <x v="9"/>
    <n v="3498675689"/>
    <m/>
    <d v="2025-11-28T00:00:00"/>
    <x v="11"/>
    <n v="0.77269080000000001"/>
    <x v="2"/>
    <s v="Deleted"/>
    <x v="3"/>
    <m/>
  </r>
  <r>
    <n v="80817094"/>
    <s v="海飞丝清爽控油型洗发露套装500克X2+80克X2"/>
    <s v="A672"/>
    <x v="18"/>
    <x v="3"/>
    <x v="15"/>
    <n v="376"/>
    <x v="15"/>
    <x v="9"/>
    <n v="3498675690"/>
    <m/>
    <d v="2025-11-28T00:00:00"/>
    <x v="11"/>
    <n v="0.98820319999999995"/>
    <x v="2"/>
    <s v="Deleted"/>
    <x v="3"/>
    <m/>
  </r>
  <r>
    <n v="80817094"/>
    <s v="海飞丝清爽控油型洗发露套装500克X2+80克X2"/>
    <s v="A673"/>
    <x v="18"/>
    <x v="3"/>
    <x v="15"/>
    <n v="435"/>
    <x v="15"/>
    <x v="9"/>
    <n v="3498675691"/>
    <m/>
    <d v="2025-11-28T00:00:00"/>
    <x v="11"/>
    <n v="1.143267"/>
    <x v="2"/>
    <s v="Deleted"/>
    <x v="3"/>
    <m/>
  </r>
  <r>
    <n v="80817094"/>
    <s v="海飞丝清爽控油型洗发露套装500克X2+80克X2"/>
    <s v="A680"/>
    <x v="18"/>
    <x v="3"/>
    <x v="15"/>
    <n v="248"/>
    <x v="15"/>
    <x v="9"/>
    <n v="3498675692"/>
    <m/>
    <d v="2025-11-28T00:00:00"/>
    <x v="11"/>
    <n v="0.65179359999999997"/>
    <x v="2"/>
    <s v="Deleted"/>
    <x v="3"/>
    <m/>
  </r>
  <r>
    <n v="80817094"/>
    <s v="海飞丝清爽控油型洗发露套装500克X2+80克X2"/>
    <s v="A715"/>
    <x v="18"/>
    <x v="3"/>
    <x v="15"/>
    <n v="69"/>
    <x v="15"/>
    <x v="9"/>
    <n v="3498675693"/>
    <m/>
    <d v="2025-11-28T00:00:00"/>
    <x v="11"/>
    <n v="0.1813458"/>
    <x v="2"/>
    <s v="Deleted"/>
    <x v="3"/>
    <m/>
  </r>
  <r>
    <n v="80817094"/>
    <s v="海飞丝清爽控油型洗发露套装500克X2+80克X2"/>
    <s v="A716"/>
    <x v="18"/>
    <x v="3"/>
    <x v="15"/>
    <n v="65"/>
    <x v="15"/>
    <x v="9"/>
    <n v="3498675694"/>
    <m/>
    <d v="2025-11-28T00:00:00"/>
    <x v="11"/>
    <n v="0.17083300000000001"/>
    <x v="2"/>
    <s v="Deleted"/>
    <x v="3"/>
    <m/>
  </r>
  <r>
    <n v="80817094"/>
    <s v="海飞丝清爽控油型洗发露套装500克X2+80克X2"/>
    <s v="C810"/>
    <x v="18"/>
    <x v="3"/>
    <x v="15"/>
    <n v="205"/>
    <x v="15"/>
    <x v="9"/>
    <n v="3498675695"/>
    <m/>
    <d v="2025-11-28T00:00:00"/>
    <x v="11"/>
    <n v="0.53878099999999995"/>
    <x v="2"/>
    <s v="Deleted"/>
    <x v="3"/>
    <m/>
  </r>
  <r>
    <n v="80817094"/>
    <s v="海飞丝清爽控油型洗发露套装500克X2+80克X2"/>
    <s v="C816"/>
    <x v="18"/>
    <x v="3"/>
    <x v="15"/>
    <n v="212"/>
    <x v="15"/>
    <x v="9"/>
    <n v="3498675696"/>
    <m/>
    <d v="2025-11-28T00:00:00"/>
    <x v="11"/>
    <n v="0.55717839999999996"/>
    <x v="2"/>
    <s v="Deleted"/>
    <x v="3"/>
    <m/>
  </r>
  <r>
    <n v="80814089"/>
    <s v="海飞丝去屑丝质柔滑型洗发露200克"/>
    <s v="C816"/>
    <x v="14"/>
    <x v="4"/>
    <x v="3"/>
    <n v="810"/>
    <x v="16"/>
    <x v="10"/>
    <n v="3500714675"/>
    <s v="past due, 往后延"/>
    <d v="2025-12-01T00:00:00"/>
    <x v="13"/>
    <n v="1.4681249999999999"/>
    <x v="2"/>
    <s v="Deleted"/>
    <x v="3"/>
    <m/>
  </r>
  <r>
    <n v="80814098"/>
    <s v="海飞丝去屑怡神冰凉型洗发露200克"/>
    <s v="C816"/>
    <x v="14"/>
    <x v="4"/>
    <x v="3"/>
    <n v="810"/>
    <x v="16"/>
    <x v="10"/>
    <n v="3500714676"/>
    <s v="past due, 往后延"/>
    <d v="2025-12-01T00:00:00"/>
    <x v="13"/>
    <n v="1.4681249999999999"/>
    <x v="2"/>
    <s v="Deleted"/>
    <x v="3"/>
    <m/>
  </r>
  <r>
    <n v="80814097"/>
    <s v="海飞丝去屑清爽控油型洗发露200克"/>
    <s v="C816"/>
    <x v="14"/>
    <x v="4"/>
    <x v="3"/>
    <n v="810"/>
    <x v="16"/>
    <x v="10"/>
    <n v="3500714677"/>
    <s v="past due, 往后延"/>
    <d v="2025-12-01T00:00:00"/>
    <x v="13"/>
    <n v="1.4681249999999999"/>
    <x v="2"/>
    <s v="Deleted"/>
    <x v="3"/>
    <m/>
  </r>
  <r>
    <n v="80814081"/>
    <s v="海飞丝去屑止痒呵护型洗发露200克"/>
    <s v="C816"/>
    <x v="14"/>
    <x v="4"/>
    <x v="3"/>
    <n v="810"/>
    <x v="16"/>
    <x v="10"/>
    <n v="3500714978"/>
    <s v="past due, 往后延"/>
    <d v="2025-12-01T00:00:00"/>
    <x v="13"/>
    <n v="1.4681249999999999"/>
    <x v="2"/>
    <s v="Deleted"/>
    <x v="3"/>
    <m/>
  </r>
  <r>
    <n v="80815648"/>
    <s v="海飞丝去屑丝质柔滑型洗发露430克"/>
    <s v="C816"/>
    <x v="14"/>
    <x v="4"/>
    <x v="3"/>
    <n v="1506"/>
    <x v="16"/>
    <x v="10"/>
    <n v="3500714979"/>
    <s v="past due, 往后延"/>
    <d v="2025-12-01T00:00:00"/>
    <x v="13"/>
    <n v="2.9344410000000001"/>
    <x v="2"/>
    <s v="Deleted"/>
    <x v="3"/>
    <m/>
  </r>
  <r>
    <n v="80815643"/>
    <s v="海飞丝去屑怡神冰凉型洗发露430克"/>
    <s v="C816"/>
    <x v="14"/>
    <x v="4"/>
    <x v="3"/>
    <n v="1506"/>
    <x v="16"/>
    <x v="10"/>
    <n v="3500714980"/>
    <s v="past due, 往后延"/>
    <d v="2025-12-01T00:00:00"/>
    <x v="13"/>
    <n v="2.9344410000000001"/>
    <x v="2"/>
    <s v="Deleted"/>
    <x v="3"/>
    <m/>
  </r>
  <r>
    <n v="80815642"/>
    <s v="海飞丝去屑清爽控油型洗发露430克"/>
    <s v="C816"/>
    <x v="14"/>
    <x v="4"/>
    <x v="3"/>
    <n v="1506"/>
    <x v="16"/>
    <x v="10"/>
    <n v="3500714981"/>
    <s v="past due, 往后延"/>
    <d v="2025-12-01T00:00:00"/>
    <x v="13"/>
    <n v="2.9344410000000001"/>
    <x v="2"/>
    <s v="Deleted"/>
    <x v="3"/>
    <m/>
  </r>
  <r>
    <n v="80815644"/>
    <s v="海飞丝去屑深度洁净型洗发露430克"/>
    <s v="C816"/>
    <x v="14"/>
    <x v="4"/>
    <x v="3"/>
    <n v="754"/>
    <x v="16"/>
    <x v="10"/>
    <n v="3500714983"/>
    <s v="past due, 往后延"/>
    <d v="2025-12-01T00:00:00"/>
    <x v="13"/>
    <n v="1.4691689999999999"/>
    <x v="2"/>
    <s v="Deleted"/>
    <x v="3"/>
    <m/>
  </r>
  <r>
    <n v="80815645"/>
    <s v="海飞丝去屑止痒呵护型洗发露430克"/>
    <s v="C816"/>
    <x v="14"/>
    <x v="4"/>
    <x v="3"/>
    <n v="1506"/>
    <x v="16"/>
    <x v="10"/>
    <n v="3500714984"/>
    <s v="past due, 往后延"/>
    <d v="2025-12-01T00:00:00"/>
    <x v="13"/>
    <n v="2.9344410000000001"/>
    <x v="2"/>
    <s v="Deleted"/>
    <x v="3"/>
    <m/>
  </r>
  <r>
    <n v="80815647"/>
    <s v="海飞丝去屑防断韧发型洗发露430克"/>
    <s v="C816"/>
    <x v="14"/>
    <x v="4"/>
    <x v="3"/>
    <n v="754"/>
    <x v="16"/>
    <x v="10"/>
    <n v="3500714985"/>
    <s v="past due, 往后延"/>
    <d v="2025-12-01T00:00:00"/>
    <x v="13"/>
    <n v="1.4691689999999999"/>
    <x v="2"/>
    <s v="Deleted"/>
    <x v="3"/>
    <m/>
  </r>
  <r>
    <n v="80813610"/>
    <s v="潘婷PRO-V乳液修护洗发水200G"/>
    <s v="C816"/>
    <x v="14"/>
    <x v="4"/>
    <x v="3"/>
    <n v="810"/>
    <x v="16"/>
    <x v="10"/>
    <n v="3500714986"/>
    <s v="past due, 往后延"/>
    <d v="2025-12-01T00:00:00"/>
    <x v="13"/>
    <n v="1.4682059999999999"/>
    <x v="2"/>
    <s v="Deleted"/>
    <x v="3"/>
    <m/>
  </r>
  <r>
    <n v="80813619"/>
    <s v="潘婷PRO-V丝质顺滑型洗发露200G"/>
    <s v="C816"/>
    <x v="14"/>
    <x v="4"/>
    <x v="3"/>
    <n v="810"/>
    <x v="16"/>
    <x v="10"/>
    <n v="3500714987"/>
    <s v="past due, 往后延"/>
    <d v="2025-12-01T00:00:00"/>
    <x v="13"/>
    <n v="1.4682059999999999"/>
    <x v="2"/>
    <s v="Deleted"/>
    <x v="3"/>
    <m/>
  </r>
  <r>
    <n v="80813615"/>
    <s v="潘婷PRO-V乳液修护洗发水400G"/>
    <s v="C816"/>
    <x v="14"/>
    <x v="4"/>
    <x v="3"/>
    <n v="810"/>
    <x v="16"/>
    <x v="10"/>
    <n v="3500714988"/>
    <s v="past due, 往后延"/>
    <d v="2025-12-01T00:00:00"/>
    <x v="13"/>
    <n v="1.4682059999999999"/>
    <x v="2"/>
    <s v="Deleted"/>
    <x v="3"/>
    <m/>
  </r>
  <r>
    <n v="80813637"/>
    <s v="潘婷PRO-V丝质顺滑型洗发露400G"/>
    <s v="C816"/>
    <x v="14"/>
    <x v="4"/>
    <x v="3"/>
    <n v="810"/>
    <x v="16"/>
    <x v="10"/>
    <n v="3500714989"/>
    <s v="past due, 往后延"/>
    <d v="2025-12-01T00:00:00"/>
    <x v="13"/>
    <n v="1.4682059999999999"/>
    <x v="2"/>
    <s v="Deleted"/>
    <x v="3"/>
    <m/>
  </r>
  <r>
    <n v="80813617"/>
    <s v="潘婷PRO-V丝质顺滑去屑洗发水400g"/>
    <s v="C816"/>
    <x v="14"/>
    <x v="4"/>
    <x v="3"/>
    <n v="810"/>
    <x v="16"/>
    <x v="10"/>
    <n v="3500714990"/>
    <s v="past due, 往后延"/>
    <d v="2025-12-01T00:00:00"/>
    <x v="13"/>
    <n v="1.4682059999999999"/>
    <x v="2"/>
    <s v="Deleted"/>
    <x v="3"/>
    <m/>
  </r>
  <r>
    <n v="80813629"/>
    <s v="潘婷PRO-V乳液修护去屑洗发水400g"/>
    <s v="C816"/>
    <x v="14"/>
    <x v="4"/>
    <x v="3"/>
    <n v="810"/>
    <x v="16"/>
    <x v="10"/>
    <n v="3500714991"/>
    <s v="past due, 往后延"/>
    <d v="2025-12-01T00:00:00"/>
    <x v="13"/>
    <n v="1.4682059999999999"/>
    <x v="2"/>
    <s v="Deleted"/>
    <x v="3"/>
    <m/>
  </r>
  <r>
    <n v="80820462"/>
    <s v="飘柔滋润去屑洗发露200g"/>
    <s v="C816"/>
    <x v="14"/>
    <x v="4"/>
    <x v="3"/>
    <n v="1620"/>
    <x v="16"/>
    <x v="10"/>
    <n v="3500714992"/>
    <s v="past due, 往后延"/>
    <d v="2025-12-01T00:00:00"/>
    <x v="13"/>
    <n v="2.9364119999999998"/>
    <x v="2"/>
    <s v="Deleted"/>
    <x v="3"/>
    <m/>
  </r>
  <r>
    <n v="80820459"/>
    <s v="飘柔精萃润泽柔顺洗发露400g"/>
    <s v="C816"/>
    <x v="14"/>
    <x v="4"/>
    <x v="3"/>
    <n v="810"/>
    <x v="16"/>
    <x v="10"/>
    <n v="3500714993"/>
    <s v="past due, 往后延"/>
    <d v="2025-12-01T00:00:00"/>
    <x v="13"/>
    <n v="1.4682059999999999"/>
    <x v="2"/>
    <s v="Deleted"/>
    <x v="3"/>
    <m/>
  </r>
  <r>
    <n v="80820464"/>
    <s v="飘柔修护去屑洗发露400g"/>
    <s v="C816"/>
    <x v="14"/>
    <x v="4"/>
    <x v="3"/>
    <n v="810"/>
    <x v="16"/>
    <x v="10"/>
    <n v="3500714994"/>
    <s v="past due, 往后延"/>
    <d v="2025-12-01T00:00:00"/>
    <x v="13"/>
    <n v="1.4682059999999999"/>
    <x v="2"/>
    <s v="Deleted"/>
    <x v="3"/>
    <m/>
  </r>
  <r>
    <n v="80820469"/>
    <s v="飘柔滋润去屑洗发露400g"/>
    <s v="C816"/>
    <x v="14"/>
    <x v="4"/>
    <x v="3"/>
    <n v="1620"/>
    <x v="16"/>
    <x v="10"/>
    <n v="3500714995"/>
    <s v="past due, 往后延"/>
    <d v="2025-12-01T00:00:00"/>
    <x v="13"/>
    <n v="2.9364119999999998"/>
    <x v="2"/>
    <s v="Deleted"/>
    <x v="3"/>
    <m/>
  </r>
  <r>
    <n v="80814089"/>
    <s v="海飞丝去屑丝质柔滑型洗发露200克"/>
    <s v="A673"/>
    <x v="14"/>
    <x v="4"/>
    <x v="3"/>
    <n v="810"/>
    <x v="16"/>
    <x v="10"/>
    <n v="3500714996"/>
    <s v="past due, 往后延"/>
    <d v="2025-12-01T00:00:00"/>
    <x v="13"/>
    <n v="1.4681249999999999"/>
    <x v="2"/>
    <s v="Deleted"/>
    <x v="3"/>
    <m/>
  </r>
  <r>
    <n v="80814098"/>
    <s v="海飞丝去屑怡神冰凉型洗发露200克"/>
    <s v="A673"/>
    <x v="14"/>
    <x v="4"/>
    <x v="3"/>
    <n v="810"/>
    <x v="16"/>
    <x v="10"/>
    <n v="3500714997"/>
    <s v="past due, 往后延"/>
    <d v="2025-12-01T00:00:00"/>
    <x v="13"/>
    <n v="1.4681249999999999"/>
    <x v="2"/>
    <s v="Deleted"/>
    <x v="3"/>
    <m/>
  </r>
  <r>
    <n v="80814097"/>
    <s v="海飞丝去屑清爽控油型洗发露200克"/>
    <s v="A673"/>
    <x v="14"/>
    <x v="4"/>
    <x v="3"/>
    <n v="810"/>
    <x v="16"/>
    <x v="10"/>
    <n v="3500715218"/>
    <s v="past due, 往后延"/>
    <d v="2025-12-01T00:00:00"/>
    <x v="13"/>
    <n v="1.4681249999999999"/>
    <x v="2"/>
    <s v="Deleted"/>
    <x v="3"/>
    <m/>
  </r>
  <r>
    <n v="80814081"/>
    <s v="海飞丝去屑止痒呵护型洗发露200克"/>
    <s v="A673"/>
    <x v="14"/>
    <x v="4"/>
    <x v="3"/>
    <n v="810"/>
    <x v="16"/>
    <x v="10"/>
    <n v="3500715219"/>
    <s v="past due, 往后延"/>
    <d v="2025-12-01T00:00:00"/>
    <x v="13"/>
    <n v="1.4681249999999999"/>
    <x v="2"/>
    <s v="Deleted"/>
    <x v="3"/>
    <m/>
  </r>
  <r>
    <n v="80815648"/>
    <s v="海飞丝去屑丝质柔滑型洗发露430克"/>
    <s v="A673"/>
    <x v="14"/>
    <x v="4"/>
    <x v="3"/>
    <n v="1506"/>
    <x v="16"/>
    <x v="10"/>
    <n v="3500715220"/>
    <s v="past due, 往后延"/>
    <d v="2025-12-01T00:00:00"/>
    <x v="13"/>
    <n v="2.9344410000000001"/>
    <x v="2"/>
    <s v="Deleted"/>
    <x v="3"/>
    <m/>
  </r>
  <r>
    <n v="80815643"/>
    <s v="海飞丝去屑怡神冰凉型洗发露430克"/>
    <s v="A673"/>
    <x v="14"/>
    <x v="4"/>
    <x v="3"/>
    <n v="1506"/>
    <x v="16"/>
    <x v="10"/>
    <n v="3500715221"/>
    <s v="past due, 往后延"/>
    <d v="2025-12-01T00:00:00"/>
    <x v="13"/>
    <n v="2.9344410000000001"/>
    <x v="2"/>
    <s v="Deleted"/>
    <x v="3"/>
    <m/>
  </r>
  <r>
    <n v="80815642"/>
    <s v="海飞丝去屑清爽控油型洗发露430克"/>
    <s v="A673"/>
    <x v="14"/>
    <x v="4"/>
    <x v="3"/>
    <n v="1506"/>
    <x v="16"/>
    <x v="10"/>
    <n v="3500715222"/>
    <s v="past due, 往后延"/>
    <d v="2025-12-01T00:00:00"/>
    <x v="13"/>
    <n v="2.9344410000000001"/>
    <x v="2"/>
    <s v="Deleted"/>
    <x v="3"/>
    <m/>
  </r>
  <r>
    <n v="80815644"/>
    <s v="海飞丝去屑深度洁净型洗发露430克"/>
    <s v="A673"/>
    <x v="14"/>
    <x v="4"/>
    <x v="3"/>
    <n v="754"/>
    <x v="16"/>
    <x v="10"/>
    <n v="3500715223"/>
    <s v="past due, 往后延"/>
    <d v="2025-12-01T00:00:00"/>
    <x v="13"/>
    <n v="1.4691689999999999"/>
    <x v="2"/>
    <s v="Deleted"/>
    <x v="3"/>
    <m/>
  </r>
  <r>
    <n v="80815645"/>
    <s v="海飞丝去屑止痒呵护型洗发露430克"/>
    <s v="A673"/>
    <x v="14"/>
    <x v="4"/>
    <x v="3"/>
    <n v="1506"/>
    <x v="16"/>
    <x v="10"/>
    <n v="3500715224"/>
    <s v="past due, 往后延"/>
    <d v="2025-12-01T00:00:00"/>
    <x v="13"/>
    <n v="2.9344410000000001"/>
    <x v="2"/>
    <s v="Deleted"/>
    <x v="3"/>
    <m/>
  </r>
  <r>
    <n v="80815647"/>
    <s v="海飞丝去屑防断韧发型洗发露430克"/>
    <s v="A673"/>
    <x v="14"/>
    <x v="4"/>
    <x v="3"/>
    <n v="754"/>
    <x v="16"/>
    <x v="10"/>
    <n v="3500715225"/>
    <s v="past due, 往后延"/>
    <d v="2025-12-01T00:00:00"/>
    <x v="13"/>
    <n v="1.4691689999999999"/>
    <x v="2"/>
    <s v="Deleted"/>
    <x v="3"/>
    <m/>
  </r>
  <r>
    <n v="80813610"/>
    <s v="潘婷PRO-V乳液修护洗发水200G"/>
    <s v="A673"/>
    <x v="14"/>
    <x v="4"/>
    <x v="3"/>
    <n v="810"/>
    <x v="16"/>
    <x v="10"/>
    <n v="3500715226"/>
    <s v="past due, 往后延"/>
    <d v="2025-12-01T00:00:00"/>
    <x v="13"/>
    <n v="1.4682059999999999"/>
    <x v="2"/>
    <s v="Deleted"/>
    <x v="3"/>
    <m/>
  </r>
  <r>
    <n v="80813619"/>
    <s v="潘婷PRO-V丝质顺滑型洗发露200G"/>
    <s v="A673"/>
    <x v="14"/>
    <x v="4"/>
    <x v="3"/>
    <n v="810"/>
    <x v="16"/>
    <x v="10"/>
    <n v="3500715227"/>
    <s v="past due, 往后延"/>
    <d v="2025-12-01T00:00:00"/>
    <x v="13"/>
    <n v="1.4682059999999999"/>
    <x v="2"/>
    <s v="Deleted"/>
    <x v="3"/>
    <m/>
  </r>
  <r>
    <n v="80813615"/>
    <s v="潘婷PRO-V乳液修护洗发水400G"/>
    <s v="A673"/>
    <x v="14"/>
    <x v="4"/>
    <x v="3"/>
    <n v="810"/>
    <x v="16"/>
    <x v="10"/>
    <n v="3500715228"/>
    <s v="past due, 往后延"/>
    <d v="2025-12-01T00:00:00"/>
    <x v="13"/>
    <n v="1.4682059999999999"/>
    <x v="2"/>
    <s v="Deleted"/>
    <x v="3"/>
    <m/>
  </r>
  <r>
    <n v="80813637"/>
    <s v="潘婷PRO-V丝质顺滑型洗发露400G"/>
    <s v="A673"/>
    <x v="14"/>
    <x v="4"/>
    <x v="3"/>
    <n v="810"/>
    <x v="16"/>
    <x v="10"/>
    <n v="3500715229"/>
    <s v="past due, 往后延"/>
    <d v="2025-12-01T00:00:00"/>
    <x v="13"/>
    <n v="1.4682059999999999"/>
    <x v="2"/>
    <s v="Deleted"/>
    <x v="3"/>
    <m/>
  </r>
  <r>
    <n v="80813617"/>
    <s v="潘婷PRO-V丝质顺滑去屑洗发水400g"/>
    <s v="A673"/>
    <x v="14"/>
    <x v="4"/>
    <x v="3"/>
    <n v="810"/>
    <x v="16"/>
    <x v="10"/>
    <n v="3500715230"/>
    <s v="past due, 往后延"/>
    <d v="2025-12-01T00:00:00"/>
    <x v="13"/>
    <n v="1.4682059999999999"/>
    <x v="2"/>
    <s v="Deleted"/>
    <x v="3"/>
    <m/>
  </r>
  <r>
    <n v="80813629"/>
    <s v="潘婷PRO-V乳液修护去屑洗发水400g"/>
    <s v="A673"/>
    <x v="14"/>
    <x v="4"/>
    <x v="3"/>
    <n v="810"/>
    <x v="16"/>
    <x v="10"/>
    <n v="3500715231"/>
    <s v="past due, 往后延"/>
    <d v="2025-12-01T00:00:00"/>
    <x v="13"/>
    <n v="1.4682059999999999"/>
    <x v="2"/>
    <s v="Deleted"/>
    <x v="3"/>
    <m/>
  </r>
  <r>
    <n v="80820462"/>
    <s v="飘柔滋润去屑洗发露200g"/>
    <s v="A673"/>
    <x v="14"/>
    <x v="4"/>
    <x v="3"/>
    <n v="1620"/>
    <x v="16"/>
    <x v="10"/>
    <n v="3500715232"/>
    <s v="past due, 往后延"/>
    <d v="2025-12-01T00:00:00"/>
    <x v="13"/>
    <n v="2.9364119999999998"/>
    <x v="2"/>
    <s v="Deleted"/>
    <x v="3"/>
    <m/>
  </r>
  <r>
    <n v="80820459"/>
    <s v="飘柔精萃润泽柔顺洗发露400g"/>
    <s v="A673"/>
    <x v="14"/>
    <x v="4"/>
    <x v="3"/>
    <n v="810"/>
    <x v="16"/>
    <x v="10"/>
    <n v="3500715233"/>
    <s v="past due, 往后延"/>
    <d v="2025-12-01T00:00:00"/>
    <x v="13"/>
    <n v="1.4682059999999999"/>
    <x v="2"/>
    <s v="Deleted"/>
    <x v="3"/>
    <m/>
  </r>
  <r>
    <n v="80820464"/>
    <s v="飘柔修护去屑洗发露400g"/>
    <s v="A673"/>
    <x v="14"/>
    <x v="4"/>
    <x v="3"/>
    <n v="810"/>
    <x v="16"/>
    <x v="10"/>
    <n v="3500715234"/>
    <s v="past due, 往后延"/>
    <d v="2025-12-01T00:00:00"/>
    <x v="13"/>
    <n v="1.4682059999999999"/>
    <x v="2"/>
    <s v="Deleted"/>
    <x v="3"/>
    <m/>
  </r>
  <r>
    <n v="80820469"/>
    <s v="飘柔滋润去屑洗发露400g"/>
    <s v="A673"/>
    <x v="14"/>
    <x v="4"/>
    <x v="3"/>
    <n v="1620"/>
    <x v="16"/>
    <x v="10"/>
    <n v="3500715235"/>
    <s v="past due, 往后延"/>
    <d v="2025-12-01T00:00:00"/>
    <x v="13"/>
    <n v="2.9364119999999998"/>
    <x v="2"/>
    <s v="Deleted"/>
    <x v="3"/>
    <m/>
  </r>
  <r>
    <n v="80814089"/>
    <s v="海飞丝去屑丝质柔滑型洗发露200克"/>
    <s v="A672"/>
    <x v="14"/>
    <x v="4"/>
    <x v="3"/>
    <n v="810"/>
    <x v="16"/>
    <x v="10"/>
    <n v="3500715236"/>
    <s v="past due, 往后延"/>
    <d v="2025-12-01T00:00:00"/>
    <x v="13"/>
    <n v="1.4681249999999999"/>
    <x v="2"/>
    <s v="Deleted"/>
    <x v="3"/>
    <m/>
  </r>
  <r>
    <n v="80814098"/>
    <s v="海飞丝去屑怡神冰凉型洗发露200克"/>
    <s v="A672"/>
    <x v="14"/>
    <x v="4"/>
    <x v="3"/>
    <n v="810"/>
    <x v="16"/>
    <x v="10"/>
    <n v="3500715237"/>
    <s v="past due, 往后延"/>
    <d v="2025-12-01T00:00:00"/>
    <x v="13"/>
    <n v="1.4681249999999999"/>
    <x v="2"/>
    <s v="Deleted"/>
    <x v="3"/>
    <m/>
  </r>
  <r>
    <n v="80814097"/>
    <s v="海飞丝去屑清爽控油型洗发露200克"/>
    <s v="A672"/>
    <x v="14"/>
    <x v="4"/>
    <x v="3"/>
    <n v="810"/>
    <x v="16"/>
    <x v="10"/>
    <n v="3500715358"/>
    <s v="past due, 往后延"/>
    <d v="2025-12-01T00:00:00"/>
    <x v="13"/>
    <n v="1.4681249999999999"/>
    <x v="2"/>
    <s v="Deleted"/>
    <x v="3"/>
    <m/>
  </r>
  <r>
    <n v="80814081"/>
    <s v="海飞丝去屑止痒呵护型洗发露200克"/>
    <s v="A672"/>
    <x v="14"/>
    <x v="4"/>
    <x v="3"/>
    <n v="810"/>
    <x v="16"/>
    <x v="10"/>
    <n v="3500715359"/>
    <s v="past due, 往后延"/>
    <d v="2025-12-01T00:00:00"/>
    <x v="13"/>
    <n v="1.4681249999999999"/>
    <x v="2"/>
    <s v="Deleted"/>
    <x v="3"/>
    <m/>
  </r>
  <r>
    <n v="80815648"/>
    <s v="海飞丝去屑丝质柔滑型洗发露430克"/>
    <s v="A672"/>
    <x v="14"/>
    <x v="4"/>
    <x v="3"/>
    <n v="1506"/>
    <x v="16"/>
    <x v="10"/>
    <n v="3500715360"/>
    <s v="past due, 往后延"/>
    <d v="2025-12-01T00:00:00"/>
    <x v="13"/>
    <n v="2.9344410000000001"/>
    <x v="2"/>
    <s v="Deleted"/>
    <x v="3"/>
    <m/>
  </r>
  <r>
    <n v="80815643"/>
    <s v="海飞丝去屑怡神冰凉型洗发露430克"/>
    <s v="A672"/>
    <x v="14"/>
    <x v="4"/>
    <x v="3"/>
    <n v="1506"/>
    <x v="16"/>
    <x v="10"/>
    <n v="3500715361"/>
    <s v="past due, 往后延"/>
    <d v="2025-12-01T00:00:00"/>
    <x v="13"/>
    <n v="2.9344410000000001"/>
    <x v="2"/>
    <s v="Deleted"/>
    <x v="3"/>
    <m/>
  </r>
  <r>
    <n v="80815642"/>
    <s v="海飞丝去屑清爽控油型洗发露430克"/>
    <s v="A672"/>
    <x v="14"/>
    <x v="4"/>
    <x v="3"/>
    <n v="1506"/>
    <x v="16"/>
    <x v="10"/>
    <n v="3500715362"/>
    <s v="past due, 往后延"/>
    <d v="2025-12-01T00:00:00"/>
    <x v="13"/>
    <n v="2.9344410000000001"/>
    <x v="2"/>
    <s v="Deleted"/>
    <x v="3"/>
    <m/>
  </r>
  <r>
    <n v="80815644"/>
    <s v="海飞丝去屑深度洁净型洗发露430克"/>
    <s v="A672"/>
    <x v="14"/>
    <x v="4"/>
    <x v="3"/>
    <n v="754"/>
    <x v="16"/>
    <x v="10"/>
    <n v="3500715363"/>
    <s v="past due, 往后延"/>
    <d v="2025-12-01T00:00:00"/>
    <x v="13"/>
    <n v="1.4691689999999999"/>
    <x v="2"/>
    <s v="Deleted"/>
    <x v="3"/>
    <m/>
  </r>
  <r>
    <n v="80815645"/>
    <s v="海飞丝去屑止痒呵护型洗发露430克"/>
    <s v="A672"/>
    <x v="14"/>
    <x v="4"/>
    <x v="3"/>
    <n v="1506"/>
    <x v="16"/>
    <x v="10"/>
    <n v="3500715364"/>
    <s v="past due, 往后延"/>
    <d v="2025-12-01T00:00:00"/>
    <x v="13"/>
    <n v="2.9344410000000001"/>
    <x v="2"/>
    <s v="Deleted"/>
    <x v="3"/>
    <m/>
  </r>
  <r>
    <n v="80815647"/>
    <s v="海飞丝去屑防断韧发型洗发露430克"/>
    <s v="A672"/>
    <x v="14"/>
    <x v="4"/>
    <x v="3"/>
    <n v="754"/>
    <x v="16"/>
    <x v="10"/>
    <n v="3500715365"/>
    <s v="past due, 往后延"/>
    <d v="2025-12-01T00:00:00"/>
    <x v="13"/>
    <n v="1.4691689999999999"/>
    <x v="2"/>
    <s v="Deleted"/>
    <x v="3"/>
    <m/>
  </r>
  <r>
    <n v="80813610"/>
    <s v="潘婷PRO-V乳液修护洗发水200G"/>
    <s v="A672"/>
    <x v="14"/>
    <x v="4"/>
    <x v="3"/>
    <n v="810"/>
    <x v="16"/>
    <x v="10"/>
    <n v="3500715366"/>
    <s v="past due, 往后延"/>
    <d v="2025-12-01T00:00:00"/>
    <x v="13"/>
    <n v="1.4682059999999999"/>
    <x v="2"/>
    <s v="Deleted"/>
    <x v="3"/>
    <m/>
  </r>
  <r>
    <n v="80813619"/>
    <s v="潘婷PRO-V丝质顺滑型洗发露200G"/>
    <s v="A672"/>
    <x v="14"/>
    <x v="4"/>
    <x v="3"/>
    <n v="810"/>
    <x v="16"/>
    <x v="10"/>
    <n v="3500715367"/>
    <s v="past due, 往后延"/>
    <d v="2025-12-01T00:00:00"/>
    <x v="13"/>
    <n v="1.4682059999999999"/>
    <x v="2"/>
    <s v="Deleted"/>
    <x v="3"/>
    <m/>
  </r>
  <r>
    <n v="80813615"/>
    <s v="潘婷PRO-V乳液修护洗发水400G"/>
    <s v="A672"/>
    <x v="14"/>
    <x v="4"/>
    <x v="3"/>
    <n v="810"/>
    <x v="16"/>
    <x v="10"/>
    <n v="3500715368"/>
    <s v="past due, 往后延"/>
    <d v="2025-12-01T00:00:00"/>
    <x v="13"/>
    <n v="1.4682059999999999"/>
    <x v="2"/>
    <s v="Deleted"/>
    <x v="3"/>
    <m/>
  </r>
  <r>
    <n v="80813637"/>
    <s v="潘婷PRO-V丝质顺滑型洗发露400G"/>
    <s v="A672"/>
    <x v="14"/>
    <x v="4"/>
    <x v="3"/>
    <n v="810"/>
    <x v="16"/>
    <x v="10"/>
    <n v="3500715370"/>
    <s v="past due, 往后延"/>
    <d v="2025-12-01T00:00:00"/>
    <x v="13"/>
    <n v="1.4682059999999999"/>
    <x v="2"/>
    <s v="Deleted"/>
    <x v="3"/>
    <m/>
  </r>
  <r>
    <n v="80813617"/>
    <s v="潘婷PRO-V丝质顺滑去屑洗发水400g"/>
    <s v="A672"/>
    <x v="14"/>
    <x v="4"/>
    <x v="3"/>
    <n v="810"/>
    <x v="16"/>
    <x v="10"/>
    <n v="3500715371"/>
    <s v="past due, 往后延"/>
    <d v="2025-12-01T00:00:00"/>
    <x v="13"/>
    <n v="1.4682059999999999"/>
    <x v="2"/>
    <s v="Deleted"/>
    <x v="3"/>
    <m/>
  </r>
  <r>
    <n v="80813629"/>
    <s v="潘婷PRO-V乳液修护去屑洗发水400g"/>
    <s v="A672"/>
    <x v="14"/>
    <x v="4"/>
    <x v="3"/>
    <n v="810"/>
    <x v="16"/>
    <x v="10"/>
    <n v="3500715372"/>
    <s v="past due, 往后延"/>
    <d v="2025-12-01T00:00:00"/>
    <x v="13"/>
    <n v="1.4682059999999999"/>
    <x v="2"/>
    <s v="Deleted"/>
    <x v="3"/>
    <m/>
  </r>
  <r>
    <n v="80820462"/>
    <s v="飘柔滋润去屑洗发露200g"/>
    <s v="A672"/>
    <x v="14"/>
    <x v="4"/>
    <x v="3"/>
    <n v="1620"/>
    <x v="16"/>
    <x v="10"/>
    <n v="3500715373"/>
    <s v="past due, 往后延"/>
    <d v="2025-12-01T00:00:00"/>
    <x v="13"/>
    <n v="2.9364119999999998"/>
    <x v="2"/>
    <s v="Deleted"/>
    <x v="3"/>
    <m/>
  </r>
  <r>
    <n v="80820459"/>
    <s v="飘柔精萃润泽柔顺洗发露400g"/>
    <s v="A672"/>
    <x v="14"/>
    <x v="4"/>
    <x v="3"/>
    <n v="810"/>
    <x v="16"/>
    <x v="10"/>
    <n v="3500715375"/>
    <s v="past due, 往后延"/>
    <d v="2025-12-01T00:00:00"/>
    <x v="13"/>
    <n v="1.4682059999999999"/>
    <x v="2"/>
    <s v="Deleted"/>
    <x v="3"/>
    <m/>
  </r>
  <r>
    <n v="80820464"/>
    <s v="飘柔修护去屑洗发露400g"/>
    <s v="A672"/>
    <x v="14"/>
    <x v="4"/>
    <x v="3"/>
    <n v="810"/>
    <x v="16"/>
    <x v="10"/>
    <n v="3500715376"/>
    <s v="past due, 往后延"/>
    <d v="2025-12-01T00:00:00"/>
    <x v="13"/>
    <n v="1.4682059999999999"/>
    <x v="2"/>
    <s v="Deleted"/>
    <x v="3"/>
    <m/>
  </r>
  <r>
    <n v="80820469"/>
    <s v="飘柔滋润去屑洗发露400g"/>
    <s v="A672"/>
    <x v="14"/>
    <x v="4"/>
    <x v="3"/>
    <n v="1620"/>
    <x v="16"/>
    <x v="10"/>
    <n v="3500715377"/>
    <s v="past due, 往后延"/>
    <d v="2025-12-01T00:00:00"/>
    <x v="13"/>
    <n v="2.9364119999999998"/>
    <x v="2"/>
    <s v="Deleted"/>
    <x v="3"/>
    <m/>
  </r>
  <r>
    <n v="80880191"/>
    <s v="REJ SHM 200GX24 MOISTURE AD"/>
    <s v="C816"/>
    <x v="15"/>
    <x v="4"/>
    <x v="3"/>
    <n v="2428"/>
    <x v="16"/>
    <x v="10"/>
    <n v="3500715578"/>
    <s v="past due, 往后延"/>
    <d v="2025-12-01T00:00:00"/>
    <x v="13"/>
    <n v="4.4009928"/>
    <x v="2"/>
    <s v="Deleted"/>
    <x v="3"/>
    <m/>
  </r>
  <r>
    <n v="80880197"/>
    <s v="REJ SHM 400gX12 Moisture AD"/>
    <s v="C816"/>
    <x v="15"/>
    <x v="4"/>
    <x v="3"/>
    <n v="2428"/>
    <x v="16"/>
    <x v="10"/>
    <n v="3500715579"/>
    <s v="past due, 往后延"/>
    <d v="2025-12-01T00:00:00"/>
    <x v="13"/>
    <n v="4.4009928"/>
    <x v="2"/>
    <s v="Deleted"/>
    <x v="3"/>
    <m/>
  </r>
  <r>
    <n v="80880191"/>
    <s v="REJ SHM 200GX24 MOISTURE AD"/>
    <s v="A673"/>
    <x v="15"/>
    <x v="4"/>
    <x v="3"/>
    <n v="2428"/>
    <x v="16"/>
    <x v="10"/>
    <n v="3500715580"/>
    <s v="past due, 往后延"/>
    <d v="2025-12-01T00:00:00"/>
    <x v="13"/>
    <n v="4.4009928"/>
    <x v="2"/>
    <s v="Deleted"/>
    <x v="3"/>
    <m/>
  </r>
  <r>
    <n v="80880197"/>
    <s v="REJ SHM 400gX12 Moisture AD"/>
    <s v="A673"/>
    <x v="15"/>
    <x v="4"/>
    <x v="3"/>
    <n v="2428"/>
    <x v="16"/>
    <x v="10"/>
    <n v="3500715581"/>
    <s v="past due, 往后延"/>
    <d v="2025-12-01T00:00:00"/>
    <x v="13"/>
    <n v="4.4009928"/>
    <x v="2"/>
    <s v="Deleted"/>
    <x v="3"/>
    <m/>
  </r>
  <r>
    <n v="80880191"/>
    <s v="REJ SHM 200GX24 MOISTURE AD"/>
    <s v="A672"/>
    <x v="15"/>
    <x v="4"/>
    <x v="3"/>
    <n v="2428"/>
    <x v="16"/>
    <x v="10"/>
    <n v="3500715582"/>
    <s v="past due, 往后延"/>
    <d v="2025-12-01T00:00:00"/>
    <x v="13"/>
    <n v="4.4009928"/>
    <x v="2"/>
    <s v="Deleted"/>
    <x v="3"/>
    <m/>
  </r>
  <r>
    <n v="80880197"/>
    <s v="REJ SHM 400gX12 Moisture AD"/>
    <s v="A672"/>
    <x v="15"/>
    <x v="4"/>
    <x v="3"/>
    <n v="2428"/>
    <x v="16"/>
    <x v="10"/>
    <n v="3500715583"/>
    <s v="past due, 往后延"/>
    <d v="2025-12-01T00:00:00"/>
    <x v="13"/>
    <n v="4.4009928"/>
    <x v="2"/>
    <s v="Deleted"/>
    <x v="3"/>
    <m/>
  </r>
  <r>
    <n v="80859238"/>
    <s v="飘柔日常护理双效滋润柔顺洗发露170g"/>
    <s v="A672"/>
    <x v="19"/>
    <x v="3"/>
    <x v="6"/>
    <n v="2167"/>
    <x v="17"/>
    <x v="4"/>
    <n v="3501428170"/>
    <s v="delay to 12/12"/>
    <d v="2025-12-02T00:00:00"/>
    <x v="13"/>
    <n v="3.3386969"/>
    <x v="2"/>
    <s v="Deleted"/>
    <x v="3"/>
    <m/>
  </r>
  <r>
    <n v="80859240"/>
    <s v="飘柔日常护理双效滋润舒爽型洗发露170g"/>
    <s v="A672"/>
    <x v="19"/>
    <x v="3"/>
    <x v="6"/>
    <n v="2434"/>
    <x v="17"/>
    <x v="4"/>
    <n v="3501428171"/>
    <s v="delay to 12/12"/>
    <d v="2025-12-02T00:00:00"/>
    <x v="13"/>
    <n v="3.7500637999999999"/>
    <x v="2"/>
    <s v="Deleted"/>
    <x v="3"/>
    <m/>
  </r>
  <r>
    <n v="80859242"/>
    <s v="飘柔日常护理双效滋润亮泽洗发露170g"/>
    <s v="A672"/>
    <x v="19"/>
    <x v="3"/>
    <x v="6"/>
    <n v="1420"/>
    <x v="17"/>
    <x v="4"/>
    <n v="3501428172"/>
    <s v="delay to 12/12"/>
    <d v="2025-12-02T00:00:00"/>
    <x v="13"/>
    <n v="2.1877939999999998"/>
    <x v="2"/>
    <s v="Deleted"/>
    <x v="3"/>
    <m/>
  </r>
  <r>
    <n v="80859226"/>
    <s v="飘柔日常护理双效去屑清爽型洗发露170g"/>
    <s v="A672"/>
    <x v="19"/>
    <x v="3"/>
    <x v="6"/>
    <n v="6002"/>
    <x v="17"/>
    <x v="4"/>
    <n v="3501428173"/>
    <s v="delay to 12/12"/>
    <d v="2025-12-02T00:00:00"/>
    <x v="13"/>
    <n v="9.2472814000000003"/>
    <x v="2"/>
    <s v="Deleted"/>
    <x v="3"/>
    <m/>
  </r>
  <r>
    <n v="80859250"/>
    <s v="飘柔日常护理双效水润洁顺洗发露170g"/>
    <s v="A672"/>
    <x v="19"/>
    <x v="3"/>
    <x v="6"/>
    <n v="4935"/>
    <x v="17"/>
    <x v="4"/>
    <n v="3501428177"/>
    <s v="delay to 12/12"/>
    <d v="2025-12-02T00:00:00"/>
    <x v="13"/>
    <n v="7.6033545"/>
    <x v="2"/>
    <s v="Deleted"/>
    <x v="3"/>
    <m/>
  </r>
  <r>
    <n v="80859227"/>
    <s v="飘柔日常护理双效去油清爽型洗发露170g"/>
    <s v="A672"/>
    <x v="19"/>
    <x v="3"/>
    <x v="6"/>
    <n v="4464"/>
    <x v="17"/>
    <x v="4"/>
    <n v="3501428180"/>
    <s v="delay to 12/12"/>
    <d v="2025-12-02T00:00:00"/>
    <x v="13"/>
    <n v="6.8776847999999999"/>
    <x v="2"/>
    <s v="Deleted"/>
    <x v="3"/>
    <m/>
  </r>
  <r>
    <n v="80859232"/>
    <s v="飘柔日常护理双效去屑清爽型洗发露360g"/>
    <s v="A672"/>
    <x v="19"/>
    <x v="3"/>
    <x v="6"/>
    <n v="5307"/>
    <x v="17"/>
    <x v="4"/>
    <n v="3501428183"/>
    <s v="delay to 12/12"/>
    <d v="2025-12-02T00:00:00"/>
    <x v="13"/>
    <n v="8.6573091000000009"/>
    <x v="2"/>
    <s v="Deleted"/>
    <x v="3"/>
    <m/>
  </r>
  <r>
    <n v="80859233"/>
    <s v="飘柔日常护理双效水润洁顺洗发露360g"/>
    <s v="A672"/>
    <x v="19"/>
    <x v="3"/>
    <x v="6"/>
    <n v="3653"/>
    <x v="17"/>
    <x v="4"/>
    <n v="3501428185"/>
    <s v="delay to 12/12"/>
    <d v="2025-12-02T00:00:00"/>
    <x v="13"/>
    <n v="5.9591389000000001"/>
    <x v="2"/>
    <s v="Deleted"/>
    <x v="3"/>
    <m/>
  </r>
  <r>
    <n v="80859236"/>
    <s v="飘柔日常护理双效滋润柔顺洗发露360g"/>
    <s v="A672"/>
    <x v="19"/>
    <x v="3"/>
    <x v="6"/>
    <n v="2147"/>
    <x v="17"/>
    <x v="4"/>
    <n v="3501428188"/>
    <s v="delay to 12/12"/>
    <d v="2025-12-02T00:00:00"/>
    <x v="13"/>
    <n v="3.5024011000000002"/>
    <x v="2"/>
    <s v="Deleted"/>
    <x v="3"/>
    <m/>
  </r>
  <r>
    <n v="80859241"/>
    <s v="飘柔日常护理双效去油清爽型洗发露360g"/>
    <s v="A672"/>
    <x v="19"/>
    <x v="3"/>
    <x v="6"/>
    <n v="3362"/>
    <x v="17"/>
    <x v="4"/>
    <n v="3501428190"/>
    <s v="delay to 12/12"/>
    <d v="2025-12-02T00:00:00"/>
    <x v="13"/>
    <n v="5.4844305999999996"/>
    <x v="2"/>
    <s v="Deleted"/>
    <x v="3"/>
    <m/>
  </r>
  <r>
    <n v="80859244"/>
    <s v="飘柔日常护理双效滋润亮泽洗发露360g"/>
    <s v="A672"/>
    <x v="19"/>
    <x v="3"/>
    <x v="6"/>
    <n v="897"/>
    <x v="17"/>
    <x v="4"/>
    <n v="3501428193"/>
    <s v="delay to 12/12"/>
    <d v="2025-12-02T00:00:00"/>
    <x v="13"/>
    <n v="1.4632761000000001"/>
    <x v="2"/>
    <s v="Deleted"/>
    <x v="3"/>
    <m/>
  </r>
  <r>
    <n v="80859246"/>
    <s v="飘柔日常护理双效滋润舒爽型洗发露360g"/>
    <s v="A672"/>
    <x v="19"/>
    <x v="3"/>
    <x v="6"/>
    <n v="2721"/>
    <x v="17"/>
    <x v="4"/>
    <n v="3501428196"/>
    <s v="delay to 12/12"/>
    <d v="2025-12-02T00:00:00"/>
    <x v="13"/>
    <n v="4.4387673000000003"/>
    <x v="2"/>
    <s v="Deleted"/>
    <x v="3"/>
    <m/>
  </r>
  <r>
    <n v="80859229"/>
    <s v="飘柔日常护理双效滋润舒爽型洗发露750g"/>
    <s v="A672"/>
    <x v="19"/>
    <x v="3"/>
    <x v="6"/>
    <n v="1637"/>
    <x v="17"/>
    <x v="4"/>
    <n v="3501428198"/>
    <s v="delay to 12/12"/>
    <d v="2025-12-02T00:00:00"/>
    <x v="13"/>
    <n v="5.5635082000000002"/>
    <x v="2"/>
    <s v="Deleted"/>
    <x v="3"/>
    <m/>
  </r>
  <r>
    <n v="80859231"/>
    <s v="飘柔日常护理双效滋润柔顺洗发露750g"/>
    <s v="A672"/>
    <x v="19"/>
    <x v="3"/>
    <x v="6"/>
    <n v="1196"/>
    <x v="17"/>
    <x v="4"/>
    <n v="3501428201"/>
    <s v="delay to 12/12"/>
    <d v="2025-12-02T00:00:00"/>
    <x v="13"/>
    <n v="4.0647256"/>
    <x v="2"/>
    <s v="Deleted"/>
    <x v="3"/>
    <m/>
  </r>
  <r>
    <n v="80859235"/>
    <s v="飘柔日常护理双效水润洁顺洗发露750g"/>
    <s v="A672"/>
    <x v="19"/>
    <x v="3"/>
    <x v="6"/>
    <n v="2129"/>
    <x v="17"/>
    <x v="4"/>
    <n v="3501428204"/>
    <s v="delay to 12/12"/>
    <d v="2025-12-02T00:00:00"/>
    <x v="13"/>
    <n v="7.2356194"/>
    <x v="2"/>
    <s v="Deleted"/>
    <x v="3"/>
    <m/>
  </r>
  <r>
    <n v="80859239"/>
    <s v="飘柔日常护理双效去屑清爽型洗发露750g"/>
    <s v="A672"/>
    <x v="19"/>
    <x v="3"/>
    <x v="6"/>
    <n v="3335"/>
    <x v="17"/>
    <x v="4"/>
    <n v="3501428207"/>
    <s v="delay to 12/12"/>
    <d v="2025-12-02T00:00:00"/>
    <x v="13"/>
    <n v="11.334331000000001"/>
    <x v="2"/>
    <s v="Deleted"/>
    <x v="3"/>
    <m/>
  </r>
  <r>
    <n v="80859243"/>
    <s v="飘柔日常护理双效滋润亮泽洗发露750g"/>
    <s v="A672"/>
    <x v="19"/>
    <x v="3"/>
    <x v="6"/>
    <n v="667"/>
    <x v="17"/>
    <x v="4"/>
    <n v="3501428211"/>
    <s v="delay to 12/12"/>
    <d v="2025-12-02T00:00:00"/>
    <x v="13"/>
    <n v="2.2668661999999999"/>
    <x v="2"/>
    <s v="Deleted"/>
    <x v="3"/>
    <m/>
  </r>
  <r>
    <n v="80859245"/>
    <s v="飘柔日常护理双效去油清爽型洗发露750g"/>
    <s v="A672"/>
    <x v="19"/>
    <x v="3"/>
    <x v="6"/>
    <n v="2069"/>
    <x v="17"/>
    <x v="4"/>
    <n v="3501428213"/>
    <s v="delay to 12/12"/>
    <d v="2025-12-02T00:00:00"/>
    <x v="13"/>
    <n v="7.0317033999999996"/>
    <x v="2"/>
    <s v="Deleted"/>
    <x v="3"/>
    <m/>
  </r>
  <r>
    <n v="80841222"/>
    <s v="HS SHM 750GX12 SILKY SOFT"/>
    <s v="A673"/>
    <x v="20"/>
    <x v="3"/>
    <x v="6"/>
    <n v="1088"/>
    <x v="17"/>
    <x v="4"/>
    <n v="3501428216"/>
    <s v="12/8 reflect in sytem"/>
    <d v="2025-12-02T00:00:00"/>
    <x v="13"/>
    <n v="3.6976768"/>
    <x v="2"/>
    <s v="Deleted"/>
    <x v="3"/>
    <m/>
  </r>
  <r>
    <n v="80841219"/>
    <s v="HS SHM 750GX12 MENTHOL COOLING"/>
    <s v="A673"/>
    <x v="20"/>
    <x v="3"/>
    <x v="6"/>
    <n v="268"/>
    <x v="17"/>
    <x v="4"/>
    <n v="3501428218"/>
    <s v="12/8 reflect in sytem"/>
    <d v="2025-12-02T00:00:00"/>
    <x v="13"/>
    <n v="0.91082479999999999"/>
    <x v="2"/>
    <s v="Deleted"/>
    <x v="3"/>
    <m/>
  </r>
  <r>
    <n v="80841221"/>
    <s v="HS SHM 750GX12 LEMON OIL CTRL"/>
    <s v="A673"/>
    <x v="20"/>
    <x v="3"/>
    <x v="6"/>
    <n v="994"/>
    <x v="17"/>
    <x v="4"/>
    <n v="3501428221"/>
    <s v="12/8 reflect in sytem"/>
    <d v="2025-12-02T00:00:00"/>
    <x v="13"/>
    <n v="3.3782084000000001"/>
    <x v="2"/>
    <s v="Deleted"/>
    <x v="3"/>
    <m/>
  </r>
  <r>
    <n v="80841220"/>
    <s v="HS SHM 750GX12 ANTI ITCH"/>
    <s v="A673"/>
    <x v="20"/>
    <x v="3"/>
    <x v="6"/>
    <n v="423"/>
    <x v="17"/>
    <x v="4"/>
    <n v="3501428223"/>
    <s v="12/8 reflect in sytem"/>
    <d v="2025-12-02T00:00:00"/>
    <x v="13"/>
    <n v="1.4376078000000001"/>
    <x v="2"/>
    <s v="Deleted"/>
    <x v="3"/>
    <m/>
  </r>
  <r>
    <n v="80813608"/>
    <s v="PNT SHM 750GX12 MILKY TREATMENT"/>
    <s v="A673"/>
    <x v="20"/>
    <x v="3"/>
    <x v="6"/>
    <n v="2610"/>
    <x v="17"/>
    <x v="4"/>
    <n v="3501428226"/>
    <s v="12/8 reflect in sytem"/>
    <d v="2025-12-02T00:00:00"/>
    <x v="13"/>
    <n v="8.8703459999999996"/>
    <x v="2"/>
    <s v="Deleted"/>
    <x v="3"/>
    <m/>
  </r>
  <r>
    <n v="80813635"/>
    <s v="PNT SHM 750GX12 SILKY SMOOTH"/>
    <s v="A673"/>
    <x v="20"/>
    <x v="3"/>
    <x v="6"/>
    <n v="2286"/>
    <x v="17"/>
    <x v="4"/>
    <n v="3501428228"/>
    <s v="12/8 reflect in sytem"/>
    <d v="2025-12-02T00:00:00"/>
    <x v="13"/>
    <n v="7.7691996000000003"/>
    <x v="2"/>
    <s v="Deleted"/>
    <x v="3"/>
    <m/>
  </r>
  <r>
    <n v="80813626"/>
    <s v="PNT SHM 750g X12 Silky AD (CLMZ II)"/>
    <s v="A673"/>
    <x v="20"/>
    <x v="3"/>
    <x v="6"/>
    <n v="1647"/>
    <x v="17"/>
    <x v="4"/>
    <n v="3501428231"/>
    <s v="12/8 reflect in sytem"/>
    <d v="2025-12-02T00:00:00"/>
    <x v="13"/>
    <n v="5.5974941999999999"/>
    <x v="2"/>
    <s v="Deleted"/>
    <x v="3"/>
    <m/>
  </r>
  <r>
    <n v="80813618"/>
    <s v="PNT SHM 750g X12 Milky AD (CLMZ II)"/>
    <s v="A673"/>
    <x v="20"/>
    <x v="3"/>
    <x v="6"/>
    <n v="1249"/>
    <x v="17"/>
    <x v="4"/>
    <n v="3501428234"/>
    <s v="12/8 reflect in sytem"/>
    <d v="2025-12-02T00:00:00"/>
    <x v="13"/>
    <n v="4.2448513999999999"/>
    <x v="2"/>
    <s v="Deleted"/>
    <x v="3"/>
    <m/>
  </r>
  <r>
    <n v="80812166"/>
    <s v="PNT SHM 750g X12 Moisture Nourishing II"/>
    <s v="A673"/>
    <x v="20"/>
    <x v="3"/>
    <x v="6"/>
    <n v="543"/>
    <x v="17"/>
    <x v="4"/>
    <n v="3501428237"/>
    <s v="12/8 reflect in sytem"/>
    <d v="2025-12-02T00:00:00"/>
    <x v="13"/>
    <n v="1.8454398000000001"/>
    <x v="2"/>
    <s v="Deleted"/>
    <x v="3"/>
    <m/>
  </r>
  <r>
    <n v="80820455"/>
    <s v="REJ SHM 750GX12 ESS OIL"/>
    <s v="A673"/>
    <x v="20"/>
    <x v="3"/>
    <x v="6"/>
    <n v="1050"/>
    <x v="17"/>
    <x v="4"/>
    <n v="3501428261"/>
    <s v="12/8 reflect in sytem"/>
    <d v="2025-12-02T00:00:00"/>
    <x v="13"/>
    <n v="3.56853"/>
    <x v="2"/>
    <s v="Deleted"/>
    <x v="3"/>
    <m/>
  </r>
  <r>
    <n v="80820463"/>
    <s v="REJ SHM 750GX12 GINSENG MULTI EFFECT AD"/>
    <s v="A673"/>
    <x v="20"/>
    <x v="3"/>
    <x v="6"/>
    <n v="498"/>
    <x v="17"/>
    <x v="4"/>
    <n v="3501428264"/>
    <s v="12/8 reflect in sytem"/>
    <d v="2025-12-02T00:00:00"/>
    <x v="13"/>
    <n v="1.6925028"/>
    <x v="2"/>
    <s v="Deleted"/>
    <x v="3"/>
    <m/>
  </r>
  <r>
    <n v="80820458"/>
    <s v="REJ SHM 750GX12 MOISTURE AD"/>
    <s v="A673"/>
    <x v="20"/>
    <x v="3"/>
    <x v="6"/>
    <n v="1552"/>
    <x v="17"/>
    <x v="4"/>
    <n v="3501428267"/>
    <s v="12/8 reflect in sytem"/>
    <d v="2025-12-02T00:00:00"/>
    <x v="13"/>
    <n v="5.2746272000000003"/>
    <x v="2"/>
    <s v="Deleted"/>
    <x v="3"/>
    <m/>
  </r>
  <r>
    <n v="80820478"/>
    <s v="REJ SHM 750GX12 OIL &amp; CONTROL AD"/>
    <s v="A673"/>
    <x v="20"/>
    <x v="3"/>
    <x v="6"/>
    <n v="562"/>
    <x v="17"/>
    <x v="4"/>
    <n v="3501428269"/>
    <s v="12/8 reflect in sytem"/>
    <d v="2025-12-02T00:00:00"/>
    <x v="13"/>
    <n v="1.9100132000000001"/>
    <x v="2"/>
    <s v="Deleted"/>
    <x v="3"/>
    <m/>
  </r>
  <r>
    <n v="80820490"/>
    <s v="REJ SHM 750GX12 VOLUME AD"/>
    <s v="A673"/>
    <x v="20"/>
    <x v="3"/>
    <x v="6"/>
    <n v="475"/>
    <x v="17"/>
    <x v="4"/>
    <n v="3501428272"/>
    <s v="12/8 reflect in sytem"/>
    <d v="2025-12-02T00:00:00"/>
    <x v="13"/>
    <n v="1.6143350000000001"/>
    <x v="2"/>
    <s v="Deleted"/>
    <x v="3"/>
    <m/>
  </r>
  <r>
    <n v="80869250"/>
    <s v="潘婷乳液修护洗套组"/>
    <s v="A680"/>
    <x v="21"/>
    <x v="3"/>
    <x v="11"/>
    <n v="243"/>
    <x v="17"/>
    <x v="9"/>
    <n v="3501428274"/>
    <s v="Demand reflect system"/>
    <d v="2025-12-02T00:00:00"/>
    <x v="10"/>
    <n v="0.82585980000000003"/>
    <x v="2"/>
    <s v="Deleted"/>
    <x v="3"/>
    <m/>
  </r>
  <r>
    <n v="80869250"/>
    <s v="潘婷乳液修护洗套组"/>
    <s v="C816"/>
    <x v="21"/>
    <x v="3"/>
    <x v="11"/>
    <n v="957"/>
    <x v="17"/>
    <x v="9"/>
    <n v="3501428277"/>
    <s v="Demand reflect system"/>
    <d v="2025-12-02T00:00:00"/>
    <x v="10"/>
    <n v="3.2524601999999998"/>
    <x v="2"/>
    <s v="Deleted"/>
    <x v="3"/>
    <m/>
  </r>
  <r>
    <n v="80869250"/>
    <s v="潘婷乳液修护洗套组"/>
    <s v="A673"/>
    <x v="21"/>
    <x v="3"/>
    <x v="11"/>
    <n v="132"/>
    <x v="17"/>
    <x v="9"/>
    <n v="3501428285"/>
    <s v="Demand reflect system"/>
    <d v="2025-12-02T00:00:00"/>
    <x v="10"/>
    <n v="0.44861519999999999"/>
    <x v="2"/>
    <s v="Deleted"/>
    <x v="3"/>
    <m/>
  </r>
  <r>
    <n v="80869250"/>
    <s v="潘婷乳液修护洗套组"/>
    <s v="A668"/>
    <x v="21"/>
    <x v="3"/>
    <x v="11"/>
    <n v="271"/>
    <x v="17"/>
    <x v="9"/>
    <n v="3501428287"/>
    <s v="Demand reflect system"/>
    <d v="2025-12-02T00:00:00"/>
    <x v="10"/>
    <n v="0.92102059999999997"/>
    <x v="2"/>
    <s v="Deleted"/>
    <x v="3"/>
    <m/>
  </r>
  <r>
    <n v="80869250"/>
    <s v="潘婷乳液修护洗套组"/>
    <s v="A672"/>
    <x v="21"/>
    <x v="3"/>
    <x v="11"/>
    <n v="165"/>
    <x v="17"/>
    <x v="9"/>
    <n v="3501428290"/>
    <s v="Demand reflect system"/>
    <d v="2025-12-02T00:00:00"/>
    <x v="10"/>
    <n v="0.56076899999999996"/>
    <x v="2"/>
    <s v="Deleted"/>
    <x v="3"/>
    <m/>
  </r>
  <r>
    <n v="80869252"/>
    <s v="潘婷乳液修护洗护套"/>
    <s v="A680"/>
    <x v="21"/>
    <x v="3"/>
    <x v="11"/>
    <n v="215"/>
    <x v="17"/>
    <x v="9"/>
    <n v="3501428293"/>
    <s v="Demand reflect system"/>
    <d v="2025-12-02T00:00:00"/>
    <x v="10"/>
    <n v="0.68198000000000003"/>
    <x v="2"/>
    <s v="Deleted"/>
    <x v="3"/>
    <m/>
  </r>
  <r>
    <n v="80869252"/>
    <s v="潘婷乳液修护洗护套"/>
    <s v="C816"/>
    <x v="21"/>
    <x v="3"/>
    <x v="11"/>
    <n v="873"/>
    <x v="17"/>
    <x v="9"/>
    <n v="3501428295"/>
    <s v="Demand reflect system"/>
    <d v="2025-12-02T00:00:00"/>
    <x v="10"/>
    <n v="2.7691560000000002"/>
    <x v="2"/>
    <s v="Deleted"/>
    <x v="3"/>
    <m/>
  </r>
  <r>
    <n v="80869252"/>
    <s v="潘婷乳液修护洗护套"/>
    <s v="A673"/>
    <x v="21"/>
    <x v="3"/>
    <x v="11"/>
    <n v="107"/>
    <x v="17"/>
    <x v="9"/>
    <n v="3501428298"/>
    <s v="Demand reflect system"/>
    <d v="2025-12-02T00:00:00"/>
    <x v="10"/>
    <n v="0.33940399999999998"/>
    <x v="2"/>
    <s v="Deleted"/>
    <x v="3"/>
    <m/>
  </r>
  <r>
    <n v="80869252"/>
    <s v="潘婷乳液修护洗护套"/>
    <s v="A668"/>
    <x v="21"/>
    <x v="3"/>
    <x v="11"/>
    <n v="230"/>
    <x v="17"/>
    <x v="9"/>
    <n v="3501428300"/>
    <s v="Demand reflect system"/>
    <d v="2025-12-02T00:00:00"/>
    <x v="10"/>
    <n v="0.72955999999999999"/>
    <x v="2"/>
    <s v="Deleted"/>
    <x v="3"/>
    <m/>
  </r>
  <r>
    <n v="80869252"/>
    <s v="潘婷乳液修护洗护套"/>
    <s v="A672"/>
    <x v="21"/>
    <x v="3"/>
    <x v="11"/>
    <n v="154"/>
    <x v="17"/>
    <x v="9"/>
    <n v="3501428303"/>
    <s v="Demand reflect system"/>
    <d v="2025-12-02T00:00:00"/>
    <x v="10"/>
    <n v="0.48848799999999998"/>
    <x v="2"/>
    <s v="Deleted"/>
    <x v="3"/>
    <m/>
  </r>
  <r>
    <n v="80864679"/>
    <s v="HR SHM 530GX9 UKA Anti-breakage"/>
    <s v="A673"/>
    <x v="10"/>
    <x v="1"/>
    <x v="25"/>
    <n v="8900"/>
    <x v="18"/>
    <x v="6"/>
    <n v="3505596885"/>
    <m/>
    <d v="2025-12-08T00:00:00"/>
    <x v="0"/>
    <n v="16.031569999999999"/>
    <x v="1"/>
    <s v="Yes"/>
    <x v="2"/>
    <m/>
  </r>
  <r>
    <n v="80823143"/>
    <s v="PNT Milky CN(400X2)GX4"/>
    <s v="A672"/>
    <x v="22"/>
    <x v="3"/>
    <x v="26"/>
    <n v="1600"/>
    <x v="18"/>
    <x v="9"/>
    <n v="3505596886"/>
    <m/>
    <d v="2025-12-08T00:00:00"/>
    <x v="16"/>
    <n v="1.99152"/>
    <x v="2"/>
    <s v="Deleted"/>
    <x v="3"/>
    <m/>
  </r>
  <r>
    <n v="80823143"/>
    <s v="PNT Milky CN(400X2)GX4"/>
    <s v="A680"/>
    <x v="22"/>
    <x v="3"/>
    <x v="26"/>
    <n v="800"/>
    <x v="18"/>
    <x v="9"/>
    <n v="3505596887"/>
    <m/>
    <d v="2025-12-08T00:00:00"/>
    <x v="16"/>
    <n v="0.99575999999999998"/>
    <x v="2"/>
    <s v="Deleted"/>
    <x v="3"/>
    <m/>
  </r>
  <r>
    <n v="80823143"/>
    <s v="PNT Milky CN(400X2)GX4"/>
    <s v="C816"/>
    <x v="22"/>
    <x v="3"/>
    <x v="26"/>
    <n v="4800"/>
    <x v="18"/>
    <x v="9"/>
    <n v="3505596888"/>
    <m/>
    <d v="2025-12-08T00:00:00"/>
    <x v="16"/>
    <n v="5.9745600000000003"/>
    <x v="2"/>
    <s v="Deleted"/>
    <x v="3"/>
    <m/>
  </r>
  <r>
    <n v="80859227"/>
    <s v="飘柔日常护理双效去油清爽型洗发露170g"/>
    <s v="A672"/>
    <x v="19"/>
    <x v="3"/>
    <x v="18"/>
    <n v="4464"/>
    <x v="19"/>
    <x v="10"/>
    <n v="3503529829"/>
    <s v="Delay to 12/19"/>
    <d v="2025-12-05T00:00:00"/>
    <x v="17"/>
    <n v="6.8776847999999999"/>
    <x v="2"/>
    <s v="Deleted"/>
    <x v="3"/>
    <m/>
  </r>
  <r>
    <n v="80859232"/>
    <s v="飘柔日常护理双效去屑清爽型洗发露360g"/>
    <s v="A672"/>
    <x v="19"/>
    <x v="3"/>
    <x v="18"/>
    <n v="5307"/>
    <x v="19"/>
    <x v="10"/>
    <n v="3503529830"/>
    <s v="Delay to 12/19"/>
    <d v="2025-12-05T00:00:00"/>
    <x v="17"/>
    <n v="8.6573091000000009"/>
    <x v="2"/>
    <s v="Deleted"/>
    <x v="3"/>
    <m/>
  </r>
  <r>
    <n v="80859233"/>
    <s v="飘柔日常护理双效水润洁顺洗发露360g"/>
    <s v="A672"/>
    <x v="19"/>
    <x v="3"/>
    <x v="18"/>
    <n v="3653"/>
    <x v="19"/>
    <x v="10"/>
    <n v="3503529831"/>
    <s v="Delay to 12/19"/>
    <d v="2025-12-05T00:00:00"/>
    <x v="17"/>
    <n v="5.9591389000000001"/>
    <x v="2"/>
    <s v="Deleted"/>
    <x v="3"/>
    <m/>
  </r>
  <r>
    <n v="80859236"/>
    <s v="飘柔日常护理双效滋润柔顺洗发露360g"/>
    <s v="A672"/>
    <x v="19"/>
    <x v="3"/>
    <x v="18"/>
    <n v="2147"/>
    <x v="19"/>
    <x v="10"/>
    <n v="3503529832"/>
    <s v="Delay to 12/19"/>
    <d v="2025-12-05T00:00:00"/>
    <x v="17"/>
    <n v="3.5024011000000002"/>
    <x v="2"/>
    <s v="Deleted"/>
    <x v="3"/>
    <m/>
  </r>
  <r>
    <n v="80859241"/>
    <s v="飘柔日常护理双效去油清爽型洗发露360g"/>
    <s v="A672"/>
    <x v="19"/>
    <x v="3"/>
    <x v="18"/>
    <n v="3362"/>
    <x v="19"/>
    <x v="10"/>
    <n v="3503529833"/>
    <s v="Delay to 12/19"/>
    <d v="2025-12-05T00:00:00"/>
    <x v="17"/>
    <n v="5.4844305999999996"/>
    <x v="2"/>
    <s v="Deleted"/>
    <x v="3"/>
    <m/>
  </r>
  <r>
    <n v="80859244"/>
    <s v="飘柔日常护理双效滋润亮泽洗发露360g"/>
    <s v="A672"/>
    <x v="19"/>
    <x v="3"/>
    <x v="18"/>
    <n v="897"/>
    <x v="19"/>
    <x v="10"/>
    <n v="3503529834"/>
    <s v="Delay to 12/19"/>
    <d v="2025-12-05T00:00:00"/>
    <x v="17"/>
    <n v="1.4632761000000001"/>
    <x v="2"/>
    <s v="Deleted"/>
    <x v="3"/>
    <m/>
  </r>
  <r>
    <n v="80859246"/>
    <s v="飘柔日常护理双效滋润舒爽型洗发露360g"/>
    <s v="A672"/>
    <x v="19"/>
    <x v="3"/>
    <x v="18"/>
    <n v="2721"/>
    <x v="19"/>
    <x v="10"/>
    <n v="3503529835"/>
    <s v="Delay to 12/19"/>
    <d v="2025-12-05T00:00:00"/>
    <x v="17"/>
    <n v="4.4387673000000003"/>
    <x v="2"/>
    <s v="Deleted"/>
    <x v="3"/>
    <m/>
  </r>
  <r>
    <n v="80859229"/>
    <s v="飘柔日常护理双效滋润舒爽型洗发露750g"/>
    <s v="A672"/>
    <x v="19"/>
    <x v="3"/>
    <x v="18"/>
    <n v="1637"/>
    <x v="19"/>
    <x v="10"/>
    <n v="3503529836"/>
    <s v="Delay to 12/19"/>
    <d v="2025-12-05T00:00:00"/>
    <x v="17"/>
    <n v="5.5635082000000002"/>
    <x v="2"/>
    <s v="Deleted"/>
    <x v="3"/>
    <m/>
  </r>
  <r>
    <n v="80859231"/>
    <s v="飘柔日常护理双效滋润柔顺洗发露750g"/>
    <s v="A672"/>
    <x v="19"/>
    <x v="3"/>
    <x v="18"/>
    <n v="1196"/>
    <x v="19"/>
    <x v="10"/>
    <n v="3503529837"/>
    <s v="Delay to 12/19"/>
    <d v="2025-12-05T00:00:00"/>
    <x v="17"/>
    <n v="4.0647256"/>
    <x v="2"/>
    <s v="Deleted"/>
    <x v="3"/>
    <m/>
  </r>
  <r>
    <n v="80859235"/>
    <s v="飘柔日常护理双效水润洁顺洗发露750g"/>
    <s v="A672"/>
    <x v="19"/>
    <x v="3"/>
    <x v="18"/>
    <n v="2129"/>
    <x v="19"/>
    <x v="10"/>
    <n v="3503529898"/>
    <s v="Delay to 12/19"/>
    <d v="2025-12-05T00:00:00"/>
    <x v="17"/>
    <n v="7.2356194"/>
    <x v="2"/>
    <s v="Deleted"/>
    <x v="3"/>
    <m/>
  </r>
  <r>
    <n v="80859239"/>
    <s v="飘柔日常护理双效去屑清爽型洗发露750g"/>
    <s v="A672"/>
    <x v="19"/>
    <x v="3"/>
    <x v="18"/>
    <n v="3335"/>
    <x v="19"/>
    <x v="10"/>
    <n v="3503529899"/>
    <s v="Delay to 12/19"/>
    <d v="2025-12-05T00:00:00"/>
    <x v="17"/>
    <n v="11.334331000000001"/>
    <x v="2"/>
    <s v="Deleted"/>
    <x v="3"/>
    <m/>
  </r>
  <r>
    <n v="80859243"/>
    <s v="飘柔日常护理双效滋润亮泽洗发露750g"/>
    <s v="A672"/>
    <x v="19"/>
    <x v="3"/>
    <x v="18"/>
    <n v="667"/>
    <x v="19"/>
    <x v="10"/>
    <n v="3503529900"/>
    <s v="Delay to 12/19"/>
    <d v="2025-12-05T00:00:00"/>
    <x v="17"/>
    <n v="2.2668661999999999"/>
    <x v="2"/>
    <s v="Deleted"/>
    <x v="3"/>
    <m/>
  </r>
  <r>
    <n v="80859245"/>
    <s v="飘柔日常护理双效去油清爽型洗发露750g"/>
    <s v="A672"/>
    <x v="19"/>
    <x v="3"/>
    <x v="18"/>
    <n v="2069"/>
    <x v="19"/>
    <x v="10"/>
    <n v="3503529901"/>
    <s v="Delay to 12/19"/>
    <d v="2025-12-05T00:00:00"/>
    <x v="17"/>
    <n v="7.0317033999999996"/>
    <x v="2"/>
    <s v="Deleted"/>
    <x v="3"/>
    <m/>
  </r>
  <r>
    <n v="80863707"/>
    <s v="HS SH(SILKY 500X2+IRM OC 80)X6"/>
    <s v="A672"/>
    <x v="23"/>
    <x v="3"/>
    <x v="21"/>
    <n v="2449"/>
    <x v="19"/>
    <x v="7"/>
    <n v="3503529902"/>
    <m/>
    <d v="2025-12-05T00:00:00"/>
    <x v="14"/>
    <n v="5.9927029999999997"/>
    <x v="2"/>
    <s v="Deleted"/>
    <x v="3"/>
    <m/>
  </r>
  <r>
    <n v="80863707"/>
    <s v="HS SH(SILKY 500X2+IRM OC 80)X6"/>
    <s v="A673"/>
    <x v="23"/>
    <x v="3"/>
    <x v="21"/>
    <n v="2041"/>
    <x v="19"/>
    <x v="7"/>
    <n v="3503529903"/>
    <m/>
    <d v="2025-12-05T00:00:00"/>
    <x v="14"/>
    <n v="4.9943270000000002"/>
    <x v="2"/>
    <s v="Deleted"/>
    <x v="3"/>
    <m/>
  </r>
  <r>
    <n v="80863707"/>
    <s v="HS SH(SILKY 500X2+IRM OC 80)X6"/>
    <s v="C816"/>
    <x v="23"/>
    <x v="3"/>
    <x v="21"/>
    <n v="2449"/>
    <x v="19"/>
    <x v="7"/>
    <n v="3503529904"/>
    <m/>
    <d v="2025-12-05T00:00:00"/>
    <x v="14"/>
    <n v="5.9927029999999997"/>
    <x v="2"/>
    <s v="Deleted"/>
    <x v="3"/>
    <m/>
  </r>
  <r>
    <n v="80863706"/>
    <s v="HS SH(LEMON 500X2+IRM OC 80)X6"/>
    <s v="A672"/>
    <x v="23"/>
    <x v="3"/>
    <x v="21"/>
    <n v="2449"/>
    <x v="19"/>
    <x v="11"/>
    <n v="3503529905"/>
    <d v="2025-12-05T00:00:00"/>
    <d v="2025-12-05T00:00:00"/>
    <x v="17"/>
    <n v="5.9927029999999997"/>
    <x v="2"/>
    <s v="Deleted"/>
    <x v="3"/>
    <m/>
  </r>
  <r>
    <n v="80863706"/>
    <s v="HS SH(LEMON 500X2+IRM OC 80)X6"/>
    <s v="A673"/>
    <x v="23"/>
    <x v="3"/>
    <x v="21"/>
    <n v="2449"/>
    <x v="19"/>
    <x v="11"/>
    <n v="3503529906"/>
    <d v="2025-12-05T00:00:00"/>
    <d v="2025-12-05T00:00:00"/>
    <x v="17"/>
    <n v="5.9927029999999997"/>
    <x v="2"/>
    <s v="Deleted"/>
    <x v="3"/>
    <m/>
  </r>
  <r>
    <n v="80863706"/>
    <s v="HS SH(LEMON 500X2+IRM OC 80)X6"/>
    <s v="A673"/>
    <x v="23"/>
    <x v="3"/>
    <x v="21"/>
    <n v="2449"/>
    <x v="19"/>
    <x v="11"/>
    <n v="3503529907"/>
    <d v="2025-12-05T00:00:00"/>
    <d v="2025-12-05T00:00:00"/>
    <x v="17"/>
    <n v="5.9927029999999997"/>
    <x v="2"/>
    <s v="Deleted"/>
    <x v="3"/>
    <m/>
  </r>
  <r>
    <n v="80814089"/>
    <s v="海飞丝去屑丝质柔滑型洗发露200克"/>
    <s v="C816"/>
    <x v="14"/>
    <x v="4"/>
    <x v="18"/>
    <n v="810"/>
    <x v="19"/>
    <x v="10"/>
    <n v="3503529908"/>
    <s v="Align with BP to remove"/>
    <d v="2025-12-05T00:00:00"/>
    <x v="14"/>
    <n v="1.4681249999999999"/>
    <x v="2"/>
    <s v="Deleted"/>
    <x v="3"/>
    <m/>
  </r>
  <r>
    <n v="80814098"/>
    <s v="海飞丝去屑怡神冰凉型洗发露200克"/>
    <s v="C816"/>
    <x v="14"/>
    <x v="4"/>
    <x v="18"/>
    <n v="810"/>
    <x v="19"/>
    <x v="10"/>
    <n v="3503529909"/>
    <s v="Align with BP to remove"/>
    <d v="2025-12-05T00:00:00"/>
    <x v="14"/>
    <n v="1.4681249999999999"/>
    <x v="2"/>
    <s v="Deleted"/>
    <x v="3"/>
    <m/>
  </r>
  <r>
    <n v="80814097"/>
    <s v="海飞丝去屑清爽控油型洗发露200克"/>
    <s v="C816"/>
    <x v="14"/>
    <x v="4"/>
    <x v="18"/>
    <n v="810"/>
    <x v="19"/>
    <x v="10"/>
    <n v="3503529910"/>
    <s v="Align with BP to remove"/>
    <d v="2025-12-05T00:00:00"/>
    <x v="14"/>
    <n v="1.4681249999999999"/>
    <x v="2"/>
    <s v="Deleted"/>
    <x v="3"/>
    <m/>
  </r>
  <r>
    <n v="80814081"/>
    <s v="海飞丝去屑止痒呵护型洗发露200克"/>
    <s v="C816"/>
    <x v="14"/>
    <x v="4"/>
    <x v="18"/>
    <n v="810"/>
    <x v="19"/>
    <x v="10"/>
    <n v="3503529911"/>
    <s v="Align with BP to remove"/>
    <d v="2025-12-05T00:00:00"/>
    <x v="14"/>
    <n v="1.4681249999999999"/>
    <x v="2"/>
    <s v="Deleted"/>
    <x v="3"/>
    <m/>
  </r>
  <r>
    <n v="80815648"/>
    <s v="海飞丝去屑丝质柔滑型洗发露430克"/>
    <s v="C816"/>
    <x v="14"/>
    <x v="4"/>
    <x v="18"/>
    <n v="1506"/>
    <x v="19"/>
    <x v="10"/>
    <n v="3503529912"/>
    <s v="Align with BP to remove"/>
    <d v="2025-12-05T00:00:00"/>
    <x v="14"/>
    <n v="2.9344410000000001"/>
    <x v="2"/>
    <s v="Deleted"/>
    <x v="3"/>
    <m/>
  </r>
  <r>
    <n v="80815643"/>
    <s v="海飞丝去屑怡神冰凉型洗发露430克"/>
    <s v="C816"/>
    <x v="14"/>
    <x v="4"/>
    <x v="18"/>
    <n v="1506"/>
    <x v="19"/>
    <x v="10"/>
    <n v="3503529913"/>
    <s v="Align with BP to remove"/>
    <d v="2025-12-05T00:00:00"/>
    <x v="14"/>
    <n v="2.9344410000000001"/>
    <x v="2"/>
    <s v="Deleted"/>
    <x v="3"/>
    <m/>
  </r>
  <r>
    <n v="80815642"/>
    <s v="海飞丝去屑清爽控油型洗发露430克"/>
    <s v="C816"/>
    <x v="14"/>
    <x v="4"/>
    <x v="18"/>
    <n v="1506"/>
    <x v="19"/>
    <x v="10"/>
    <n v="3503529914"/>
    <s v="Align with BP to remove"/>
    <d v="2025-12-05T00:00:00"/>
    <x v="14"/>
    <n v="2.9344410000000001"/>
    <x v="2"/>
    <s v="Deleted"/>
    <x v="3"/>
    <m/>
  </r>
  <r>
    <n v="80815644"/>
    <s v="海飞丝去屑深度洁净型洗发露430克"/>
    <s v="C816"/>
    <x v="14"/>
    <x v="4"/>
    <x v="18"/>
    <n v="754"/>
    <x v="19"/>
    <x v="10"/>
    <n v="3503529915"/>
    <s v="Align with BP to remove"/>
    <d v="2025-12-05T00:00:00"/>
    <x v="14"/>
    <n v="1.4691689999999999"/>
    <x v="2"/>
    <s v="Deleted"/>
    <x v="3"/>
    <m/>
  </r>
  <r>
    <n v="80815645"/>
    <s v="海飞丝去屑止痒呵护型洗发露430克"/>
    <s v="C816"/>
    <x v="14"/>
    <x v="4"/>
    <x v="18"/>
    <n v="1506"/>
    <x v="19"/>
    <x v="10"/>
    <n v="3503529916"/>
    <s v="Align with BP to remove"/>
    <d v="2025-12-05T00:00:00"/>
    <x v="14"/>
    <n v="2.9344410000000001"/>
    <x v="2"/>
    <s v="Deleted"/>
    <x v="3"/>
    <m/>
  </r>
  <r>
    <n v="80815647"/>
    <s v="海飞丝去屑防断韧发型洗发露430克"/>
    <s v="C816"/>
    <x v="14"/>
    <x v="4"/>
    <x v="18"/>
    <n v="754"/>
    <x v="19"/>
    <x v="10"/>
    <n v="3503529917"/>
    <s v="Align with BP to remove"/>
    <d v="2025-12-05T00:00:00"/>
    <x v="14"/>
    <n v="1.4691689999999999"/>
    <x v="2"/>
    <s v="Deleted"/>
    <x v="3"/>
    <m/>
  </r>
  <r>
    <n v="80813610"/>
    <s v="潘婷PRO-V乳液修护洗发水200G"/>
    <s v="C816"/>
    <x v="14"/>
    <x v="4"/>
    <x v="18"/>
    <n v="810"/>
    <x v="19"/>
    <x v="10"/>
    <n v="3503529918"/>
    <s v="Align with BP to remove"/>
    <d v="2025-12-05T00:00:00"/>
    <x v="14"/>
    <n v="1.4682059999999999"/>
    <x v="2"/>
    <s v="Deleted"/>
    <x v="3"/>
    <m/>
  </r>
  <r>
    <n v="80813619"/>
    <s v="潘婷PRO-V丝质顺滑型洗发露200G"/>
    <s v="C816"/>
    <x v="14"/>
    <x v="4"/>
    <x v="18"/>
    <n v="810"/>
    <x v="19"/>
    <x v="10"/>
    <n v="3503529919"/>
    <s v="Align with BP to remove"/>
    <d v="2025-12-05T00:00:00"/>
    <x v="14"/>
    <n v="1.4682059999999999"/>
    <x v="2"/>
    <s v="Deleted"/>
    <x v="3"/>
    <m/>
  </r>
  <r>
    <n v="80813615"/>
    <s v="潘婷PRO-V乳液修护洗发水400G"/>
    <s v="C816"/>
    <x v="14"/>
    <x v="4"/>
    <x v="18"/>
    <n v="810"/>
    <x v="19"/>
    <x v="10"/>
    <n v="3503529920"/>
    <s v="Align with BP to remove"/>
    <d v="2025-12-05T00:00:00"/>
    <x v="14"/>
    <n v="1.4682059999999999"/>
    <x v="2"/>
    <s v="Deleted"/>
    <x v="3"/>
    <m/>
  </r>
  <r>
    <n v="80813637"/>
    <s v="潘婷PRO-V丝质顺滑型洗发露400G"/>
    <s v="C816"/>
    <x v="14"/>
    <x v="4"/>
    <x v="18"/>
    <n v="810"/>
    <x v="19"/>
    <x v="10"/>
    <n v="3503529921"/>
    <s v="Align with BP to remove"/>
    <d v="2025-12-05T00:00:00"/>
    <x v="14"/>
    <n v="1.4682059999999999"/>
    <x v="2"/>
    <s v="Deleted"/>
    <x v="3"/>
    <m/>
  </r>
  <r>
    <n v="80813617"/>
    <s v="潘婷PRO-V丝质顺滑去屑洗发水400g"/>
    <s v="C816"/>
    <x v="14"/>
    <x v="4"/>
    <x v="18"/>
    <n v="810"/>
    <x v="19"/>
    <x v="10"/>
    <n v="3503529922"/>
    <s v="Align with BP to remove"/>
    <d v="2025-12-05T00:00:00"/>
    <x v="14"/>
    <n v="1.4682059999999999"/>
    <x v="2"/>
    <s v="Deleted"/>
    <x v="3"/>
    <m/>
  </r>
  <r>
    <n v="80813629"/>
    <s v="潘婷PRO-V乳液修护去屑洗发水400g"/>
    <s v="C816"/>
    <x v="14"/>
    <x v="4"/>
    <x v="18"/>
    <n v="810"/>
    <x v="19"/>
    <x v="10"/>
    <n v="3503529923"/>
    <s v="Align with BP to remove"/>
    <d v="2025-12-05T00:00:00"/>
    <x v="14"/>
    <n v="1.4682059999999999"/>
    <x v="2"/>
    <s v="Deleted"/>
    <x v="3"/>
    <m/>
  </r>
  <r>
    <n v="80814089"/>
    <s v="海飞丝去屑丝质柔滑型洗发露200克"/>
    <s v="A673"/>
    <x v="14"/>
    <x v="4"/>
    <x v="18"/>
    <n v="810"/>
    <x v="19"/>
    <x v="10"/>
    <n v="3503529924"/>
    <s v="Align with BP to remove"/>
    <d v="2025-12-05T00:00:00"/>
    <x v="14"/>
    <n v="1.4681249999999999"/>
    <x v="2"/>
    <s v="Deleted"/>
    <x v="3"/>
    <m/>
  </r>
  <r>
    <n v="80814098"/>
    <s v="海飞丝去屑怡神冰凉型洗发露200克"/>
    <s v="A673"/>
    <x v="14"/>
    <x v="4"/>
    <x v="18"/>
    <n v="810"/>
    <x v="19"/>
    <x v="10"/>
    <n v="3503529925"/>
    <s v="Align with BP to remove"/>
    <d v="2025-12-05T00:00:00"/>
    <x v="14"/>
    <n v="1.4681249999999999"/>
    <x v="2"/>
    <s v="Deleted"/>
    <x v="3"/>
    <m/>
  </r>
  <r>
    <n v="80814097"/>
    <s v="海飞丝去屑清爽控油型洗发露200克"/>
    <s v="A673"/>
    <x v="14"/>
    <x v="4"/>
    <x v="18"/>
    <n v="810"/>
    <x v="19"/>
    <x v="10"/>
    <n v="3503529926"/>
    <s v="Align with BP to remove"/>
    <d v="2025-12-05T00:00:00"/>
    <x v="14"/>
    <n v="1.4681249999999999"/>
    <x v="2"/>
    <s v="Deleted"/>
    <x v="3"/>
    <m/>
  </r>
  <r>
    <n v="80814081"/>
    <s v="海飞丝去屑止痒呵护型洗发露200克"/>
    <s v="A673"/>
    <x v="14"/>
    <x v="4"/>
    <x v="18"/>
    <n v="810"/>
    <x v="19"/>
    <x v="10"/>
    <n v="3503529927"/>
    <s v="Align with BP to remove"/>
    <d v="2025-12-05T00:00:00"/>
    <x v="14"/>
    <n v="1.4681249999999999"/>
    <x v="2"/>
    <s v="Deleted"/>
    <x v="3"/>
    <m/>
  </r>
  <r>
    <n v="80815648"/>
    <s v="海飞丝去屑丝质柔滑型洗发露430克"/>
    <s v="A673"/>
    <x v="14"/>
    <x v="4"/>
    <x v="18"/>
    <n v="1506"/>
    <x v="19"/>
    <x v="10"/>
    <n v="3503529928"/>
    <s v="Align with BP to remove"/>
    <d v="2025-12-05T00:00:00"/>
    <x v="14"/>
    <n v="2.9344410000000001"/>
    <x v="2"/>
    <s v="Deleted"/>
    <x v="3"/>
    <m/>
  </r>
  <r>
    <n v="80815643"/>
    <s v="海飞丝去屑怡神冰凉型洗发露430克"/>
    <s v="A673"/>
    <x v="14"/>
    <x v="4"/>
    <x v="18"/>
    <n v="1506"/>
    <x v="19"/>
    <x v="10"/>
    <n v="3503529929"/>
    <s v="Align with BP to remove"/>
    <d v="2025-12-05T00:00:00"/>
    <x v="14"/>
    <n v="2.9344410000000001"/>
    <x v="2"/>
    <s v="Deleted"/>
    <x v="3"/>
    <m/>
  </r>
  <r>
    <n v="80815642"/>
    <s v="海飞丝去屑清爽控油型洗发露430克"/>
    <s v="A673"/>
    <x v="14"/>
    <x v="4"/>
    <x v="18"/>
    <n v="1506"/>
    <x v="19"/>
    <x v="10"/>
    <n v="3503529930"/>
    <s v="Align with BP to remove"/>
    <d v="2025-12-05T00:00:00"/>
    <x v="14"/>
    <n v="2.9344410000000001"/>
    <x v="2"/>
    <s v="Deleted"/>
    <x v="3"/>
    <m/>
  </r>
  <r>
    <n v="80815644"/>
    <s v="海飞丝去屑深度洁净型洗发露430克"/>
    <s v="A673"/>
    <x v="14"/>
    <x v="4"/>
    <x v="18"/>
    <n v="754"/>
    <x v="19"/>
    <x v="10"/>
    <n v="3503529931"/>
    <s v="Align with BP to remove"/>
    <d v="2025-12-05T00:00:00"/>
    <x v="14"/>
    <n v="1.4691689999999999"/>
    <x v="2"/>
    <s v="Deleted"/>
    <x v="3"/>
    <m/>
  </r>
  <r>
    <n v="80815645"/>
    <s v="海飞丝去屑止痒呵护型洗发露430克"/>
    <s v="A673"/>
    <x v="14"/>
    <x v="4"/>
    <x v="18"/>
    <n v="1506"/>
    <x v="19"/>
    <x v="10"/>
    <n v="3503529932"/>
    <s v="Align with BP to remove"/>
    <d v="2025-12-05T00:00:00"/>
    <x v="14"/>
    <n v="2.9344410000000001"/>
    <x v="2"/>
    <s v="Deleted"/>
    <x v="3"/>
    <m/>
  </r>
  <r>
    <n v="80815647"/>
    <s v="海飞丝去屑防断韧发型洗发露430克"/>
    <s v="A673"/>
    <x v="14"/>
    <x v="4"/>
    <x v="18"/>
    <n v="754"/>
    <x v="19"/>
    <x v="10"/>
    <n v="3503529933"/>
    <s v="Align with BP to remove"/>
    <d v="2025-12-05T00:00:00"/>
    <x v="14"/>
    <n v="1.4691689999999999"/>
    <x v="2"/>
    <s v="Deleted"/>
    <x v="3"/>
    <m/>
  </r>
  <r>
    <n v="80813610"/>
    <s v="潘婷PRO-V乳液修护洗发水200G"/>
    <s v="A673"/>
    <x v="14"/>
    <x v="4"/>
    <x v="18"/>
    <n v="810"/>
    <x v="19"/>
    <x v="10"/>
    <n v="3503529934"/>
    <s v="Align with BP to remove"/>
    <d v="2025-12-05T00:00:00"/>
    <x v="14"/>
    <n v="1.4682059999999999"/>
    <x v="2"/>
    <s v="Deleted"/>
    <x v="3"/>
    <m/>
  </r>
  <r>
    <n v="80813619"/>
    <s v="潘婷PRO-V丝质顺滑型洗发露200G"/>
    <s v="A673"/>
    <x v="14"/>
    <x v="4"/>
    <x v="18"/>
    <n v="810"/>
    <x v="19"/>
    <x v="10"/>
    <n v="3503529935"/>
    <s v="Align with BP to remove"/>
    <d v="2025-12-05T00:00:00"/>
    <x v="14"/>
    <n v="1.4682059999999999"/>
    <x v="2"/>
    <s v="Deleted"/>
    <x v="3"/>
    <m/>
  </r>
  <r>
    <n v="80813615"/>
    <s v="潘婷PRO-V乳液修护洗发水400G"/>
    <s v="A673"/>
    <x v="14"/>
    <x v="4"/>
    <x v="18"/>
    <n v="810"/>
    <x v="19"/>
    <x v="10"/>
    <n v="3503529936"/>
    <s v="Align with BP to remove"/>
    <d v="2025-12-05T00:00:00"/>
    <x v="14"/>
    <n v="1.4682059999999999"/>
    <x v="2"/>
    <s v="Deleted"/>
    <x v="3"/>
    <m/>
  </r>
  <r>
    <n v="80813637"/>
    <s v="潘婷PRO-V丝质顺滑型洗发露400G"/>
    <s v="A673"/>
    <x v="14"/>
    <x v="4"/>
    <x v="18"/>
    <n v="810"/>
    <x v="19"/>
    <x v="10"/>
    <n v="3503529937"/>
    <s v="Align with BP to remove"/>
    <d v="2025-12-05T00:00:00"/>
    <x v="14"/>
    <n v="1.4682059999999999"/>
    <x v="2"/>
    <s v="Deleted"/>
    <x v="3"/>
    <m/>
  </r>
  <r>
    <n v="80813617"/>
    <s v="潘婷PRO-V丝质顺滑去屑洗发水400g"/>
    <s v="A673"/>
    <x v="14"/>
    <x v="4"/>
    <x v="18"/>
    <n v="810"/>
    <x v="19"/>
    <x v="10"/>
    <n v="3503529938"/>
    <s v="Align with BP to remove"/>
    <d v="2025-12-05T00:00:00"/>
    <x v="14"/>
    <n v="1.4682059999999999"/>
    <x v="2"/>
    <s v="Deleted"/>
    <x v="3"/>
    <m/>
  </r>
  <r>
    <n v="80813629"/>
    <s v="潘婷PRO-V乳液修护去屑洗发水400g"/>
    <s v="A673"/>
    <x v="14"/>
    <x v="4"/>
    <x v="18"/>
    <n v="810"/>
    <x v="19"/>
    <x v="10"/>
    <n v="3503529939"/>
    <s v="Align with BP to remove"/>
    <d v="2025-12-05T00:00:00"/>
    <x v="14"/>
    <n v="1.4682059999999999"/>
    <x v="2"/>
    <s v="Deleted"/>
    <x v="3"/>
    <m/>
  </r>
  <r>
    <n v="80814089"/>
    <s v="海飞丝去屑丝质柔滑型洗发露200克"/>
    <s v="A672"/>
    <x v="14"/>
    <x v="4"/>
    <x v="18"/>
    <n v="810"/>
    <x v="19"/>
    <x v="10"/>
    <n v="3503529940"/>
    <s v="Align with BP to remove"/>
    <d v="2025-12-05T00:00:00"/>
    <x v="14"/>
    <n v="1.4681249999999999"/>
    <x v="2"/>
    <s v="Deleted"/>
    <x v="3"/>
    <m/>
  </r>
  <r>
    <n v="80814098"/>
    <s v="海飞丝去屑怡神冰凉型洗发露200克"/>
    <s v="A672"/>
    <x v="14"/>
    <x v="4"/>
    <x v="18"/>
    <n v="810"/>
    <x v="19"/>
    <x v="10"/>
    <n v="3503529941"/>
    <s v="Align with BP to remove"/>
    <d v="2025-12-05T00:00:00"/>
    <x v="14"/>
    <n v="1.4681249999999999"/>
    <x v="2"/>
    <s v="Deleted"/>
    <x v="3"/>
    <m/>
  </r>
  <r>
    <n v="80814097"/>
    <s v="海飞丝去屑清爽控油型洗发露200克"/>
    <s v="A672"/>
    <x v="14"/>
    <x v="4"/>
    <x v="18"/>
    <n v="810"/>
    <x v="19"/>
    <x v="10"/>
    <n v="3503529942"/>
    <s v="Align with BP to remove"/>
    <d v="2025-12-05T00:00:00"/>
    <x v="14"/>
    <n v="1.4681249999999999"/>
    <x v="2"/>
    <s v="Deleted"/>
    <x v="3"/>
    <m/>
  </r>
  <r>
    <n v="80814081"/>
    <s v="海飞丝去屑止痒呵护型洗发露200克"/>
    <s v="A672"/>
    <x v="14"/>
    <x v="4"/>
    <x v="18"/>
    <n v="810"/>
    <x v="19"/>
    <x v="10"/>
    <n v="3503529943"/>
    <s v="Align with BP to remove"/>
    <d v="2025-12-05T00:00:00"/>
    <x v="14"/>
    <n v="1.4681249999999999"/>
    <x v="2"/>
    <s v="Deleted"/>
    <x v="3"/>
    <m/>
  </r>
  <r>
    <n v="80815648"/>
    <s v="海飞丝去屑丝质柔滑型洗发露430克"/>
    <s v="A672"/>
    <x v="14"/>
    <x v="4"/>
    <x v="18"/>
    <n v="1506"/>
    <x v="19"/>
    <x v="10"/>
    <n v="3503529944"/>
    <s v="Align with BP to remove"/>
    <d v="2025-12-05T00:00:00"/>
    <x v="14"/>
    <n v="2.9344410000000001"/>
    <x v="2"/>
    <s v="Deleted"/>
    <x v="3"/>
    <m/>
  </r>
  <r>
    <n v="80815643"/>
    <s v="海飞丝去屑怡神冰凉型洗发露430克"/>
    <s v="A672"/>
    <x v="14"/>
    <x v="4"/>
    <x v="18"/>
    <n v="1506"/>
    <x v="19"/>
    <x v="10"/>
    <n v="3503529945"/>
    <s v="Align with BP to remove"/>
    <d v="2025-12-05T00:00:00"/>
    <x v="14"/>
    <n v="2.9344410000000001"/>
    <x v="2"/>
    <s v="Deleted"/>
    <x v="3"/>
    <m/>
  </r>
  <r>
    <n v="80815642"/>
    <s v="海飞丝去屑清爽控油型洗发露430克"/>
    <s v="A672"/>
    <x v="14"/>
    <x v="4"/>
    <x v="18"/>
    <n v="1506"/>
    <x v="19"/>
    <x v="10"/>
    <n v="3503529946"/>
    <s v="Align with BP to remove"/>
    <d v="2025-12-05T00:00:00"/>
    <x v="14"/>
    <n v="2.9344410000000001"/>
    <x v="2"/>
    <s v="Deleted"/>
    <x v="3"/>
    <m/>
  </r>
  <r>
    <n v="80815644"/>
    <s v="海飞丝去屑深度洁净型洗发露430克"/>
    <s v="A672"/>
    <x v="14"/>
    <x v="4"/>
    <x v="18"/>
    <n v="754"/>
    <x v="19"/>
    <x v="10"/>
    <n v="3503529947"/>
    <s v="Align with BP to remove"/>
    <d v="2025-12-05T00:00:00"/>
    <x v="14"/>
    <n v="1.4691689999999999"/>
    <x v="2"/>
    <s v="Deleted"/>
    <x v="3"/>
    <m/>
  </r>
  <r>
    <n v="80815645"/>
    <s v="海飞丝去屑止痒呵护型洗发露430克"/>
    <s v="A672"/>
    <x v="14"/>
    <x v="4"/>
    <x v="18"/>
    <n v="1506"/>
    <x v="19"/>
    <x v="10"/>
    <n v="3503529948"/>
    <s v="Align with BP to remove"/>
    <d v="2025-12-05T00:00:00"/>
    <x v="14"/>
    <n v="2.9344410000000001"/>
    <x v="2"/>
    <s v="Deleted"/>
    <x v="3"/>
    <m/>
  </r>
  <r>
    <n v="80815647"/>
    <s v="海飞丝去屑防断韧发型洗发露430克"/>
    <s v="A672"/>
    <x v="14"/>
    <x v="4"/>
    <x v="18"/>
    <n v="754"/>
    <x v="19"/>
    <x v="10"/>
    <n v="3503529949"/>
    <s v="Align with BP to remove"/>
    <d v="2025-12-05T00:00:00"/>
    <x v="14"/>
    <n v="1.4691689999999999"/>
    <x v="2"/>
    <s v="Deleted"/>
    <x v="3"/>
    <m/>
  </r>
  <r>
    <n v="80813610"/>
    <s v="潘婷PRO-V乳液修护洗发水200G"/>
    <s v="A672"/>
    <x v="14"/>
    <x v="4"/>
    <x v="18"/>
    <n v="810"/>
    <x v="19"/>
    <x v="10"/>
    <n v="3503529950"/>
    <s v="Align with BP to remove"/>
    <d v="2025-12-05T00:00:00"/>
    <x v="14"/>
    <n v="1.4682059999999999"/>
    <x v="2"/>
    <s v="Deleted"/>
    <x v="3"/>
    <m/>
  </r>
  <r>
    <n v="80813619"/>
    <s v="潘婷PRO-V丝质顺滑型洗发露200G"/>
    <s v="A672"/>
    <x v="14"/>
    <x v="4"/>
    <x v="18"/>
    <n v="810"/>
    <x v="19"/>
    <x v="10"/>
    <n v="3503529951"/>
    <s v="Align with BP to remove"/>
    <d v="2025-12-05T00:00:00"/>
    <x v="14"/>
    <n v="1.4682059999999999"/>
    <x v="2"/>
    <s v="Deleted"/>
    <x v="3"/>
    <m/>
  </r>
  <r>
    <n v="80813615"/>
    <s v="潘婷PRO-V乳液修护洗发水400G"/>
    <s v="A672"/>
    <x v="14"/>
    <x v="4"/>
    <x v="18"/>
    <n v="810"/>
    <x v="19"/>
    <x v="10"/>
    <n v="3503529952"/>
    <s v="Align with BP to remove"/>
    <d v="2025-12-05T00:00:00"/>
    <x v="14"/>
    <n v="1.4682059999999999"/>
    <x v="2"/>
    <s v="Deleted"/>
    <x v="3"/>
    <m/>
  </r>
  <r>
    <n v="80813637"/>
    <s v="潘婷PRO-V丝质顺滑型洗发露400G"/>
    <s v="A672"/>
    <x v="14"/>
    <x v="4"/>
    <x v="18"/>
    <n v="810"/>
    <x v="19"/>
    <x v="10"/>
    <n v="3503529953"/>
    <s v="Align with BP to remove"/>
    <d v="2025-12-05T00:00:00"/>
    <x v="14"/>
    <n v="1.4682059999999999"/>
    <x v="2"/>
    <s v="Deleted"/>
    <x v="3"/>
    <m/>
  </r>
  <r>
    <n v="80813617"/>
    <s v="潘婷PRO-V丝质顺滑去屑洗发水400g"/>
    <s v="A672"/>
    <x v="14"/>
    <x v="4"/>
    <x v="18"/>
    <n v="810"/>
    <x v="19"/>
    <x v="10"/>
    <n v="3503529954"/>
    <s v="Align with BP to remove"/>
    <d v="2025-12-05T00:00:00"/>
    <x v="14"/>
    <n v="1.4682059999999999"/>
    <x v="2"/>
    <s v="Deleted"/>
    <x v="3"/>
    <m/>
  </r>
  <r>
    <n v="80813629"/>
    <s v="潘婷PRO-V乳液修护去屑洗发水400g"/>
    <s v="A672"/>
    <x v="14"/>
    <x v="4"/>
    <x v="18"/>
    <n v="810"/>
    <x v="19"/>
    <x v="10"/>
    <n v="3503529955"/>
    <s v="Align with BP to remove"/>
    <d v="2025-12-05T00:00:00"/>
    <x v="14"/>
    <n v="1.4682059999999999"/>
    <x v="2"/>
    <s v="Deleted"/>
    <x v="3"/>
    <m/>
  </r>
  <r>
    <n v="80880191"/>
    <s v="REJ SHM 200GX24 MOISTURE AD"/>
    <s v="C816"/>
    <x v="15"/>
    <x v="4"/>
    <x v="18"/>
    <n v="2428"/>
    <x v="19"/>
    <x v="10"/>
    <n v="3503529956"/>
    <s v="Align with BP to remove"/>
    <d v="2025-12-05T00:00:00"/>
    <x v="14"/>
    <n v="4.4009928"/>
    <x v="2"/>
    <s v="Deleted"/>
    <x v="3"/>
    <m/>
  </r>
  <r>
    <n v="80880197"/>
    <s v="REJ SHM 400gX12 Moisture AD"/>
    <s v="C816"/>
    <x v="15"/>
    <x v="4"/>
    <x v="18"/>
    <n v="2428"/>
    <x v="19"/>
    <x v="10"/>
    <n v="3503529957"/>
    <s v="Align with BP to remove"/>
    <d v="2025-12-05T00:00:00"/>
    <x v="14"/>
    <n v="4.4009928"/>
    <x v="2"/>
    <s v="Deleted"/>
    <x v="3"/>
    <m/>
  </r>
  <r>
    <n v="80880191"/>
    <s v="REJ SHM 200GX24 MOISTURE AD"/>
    <s v="A673"/>
    <x v="15"/>
    <x v="4"/>
    <x v="18"/>
    <n v="2428"/>
    <x v="19"/>
    <x v="10"/>
    <n v="3503529998"/>
    <s v="Align with BP to remove"/>
    <d v="2025-12-05T00:00:00"/>
    <x v="14"/>
    <n v="4.4009928"/>
    <x v="2"/>
    <s v="Deleted"/>
    <x v="3"/>
    <m/>
  </r>
  <r>
    <n v="80880197"/>
    <s v="REJ SHM 400gX12 Moisture AD"/>
    <s v="A673"/>
    <x v="15"/>
    <x v="4"/>
    <x v="18"/>
    <n v="2428"/>
    <x v="19"/>
    <x v="10"/>
    <n v="3503529999"/>
    <s v="Align with BP to remove"/>
    <d v="2025-12-05T00:00:00"/>
    <x v="14"/>
    <n v="4.4009928"/>
    <x v="2"/>
    <s v="Deleted"/>
    <x v="3"/>
    <m/>
  </r>
  <r>
    <n v="80880191"/>
    <s v="REJ SHM 200GX24 MOISTURE AD"/>
    <s v="A672"/>
    <x v="15"/>
    <x v="4"/>
    <x v="18"/>
    <n v="2428"/>
    <x v="19"/>
    <x v="10"/>
    <n v="3503530000"/>
    <s v="Align with BP to remove"/>
    <d v="2025-12-05T00:00:00"/>
    <x v="14"/>
    <n v="4.4009928"/>
    <x v="2"/>
    <s v="Deleted"/>
    <x v="3"/>
    <m/>
  </r>
  <r>
    <n v="80880197"/>
    <s v="REJ SHM 400gX12 Moisture AD"/>
    <s v="A672"/>
    <x v="15"/>
    <x v="4"/>
    <x v="18"/>
    <n v="2428"/>
    <x v="19"/>
    <x v="10"/>
    <n v="3503530001"/>
    <s v="Align with BP to remove"/>
    <d v="2025-12-05T00:00:00"/>
    <x v="14"/>
    <n v="4.4009928"/>
    <x v="2"/>
    <s v="Deleted"/>
    <x v="3"/>
    <m/>
  </r>
  <r>
    <n v="80720217"/>
    <s v="海飞丝去屑洗发露恬雅清新型300G_OI"/>
    <s v="A668"/>
    <x v="24"/>
    <x v="4"/>
    <x v="18"/>
    <n v="1000"/>
    <x v="19"/>
    <x v="7"/>
    <n v="3503530002"/>
    <m/>
    <d v="2025-12-05T00:00:00"/>
    <x v="14"/>
    <n v="1.3593999999999999"/>
    <x v="2"/>
    <s v="Deleted"/>
    <x v="3"/>
    <m/>
  </r>
  <r>
    <n v="80720217"/>
    <s v="海飞丝去屑洗发露恬雅清新型300G_OI"/>
    <s v="A672"/>
    <x v="24"/>
    <x v="4"/>
    <x v="18"/>
    <n v="4000"/>
    <x v="19"/>
    <x v="7"/>
    <n v="3503530003"/>
    <m/>
    <d v="2025-12-05T00:00:00"/>
    <x v="14"/>
    <n v="5.4375999999999998"/>
    <x v="2"/>
    <s v="Deleted"/>
    <x v="3"/>
    <m/>
  </r>
  <r>
    <n v="80720217"/>
    <s v="海飞丝去屑洗发露恬雅清新型300G_OI"/>
    <s v="A673"/>
    <x v="24"/>
    <x v="4"/>
    <x v="18"/>
    <n v="2000"/>
    <x v="19"/>
    <x v="7"/>
    <n v="3503530004"/>
    <m/>
    <d v="2025-12-05T00:00:00"/>
    <x v="14"/>
    <n v="2.7187999999999999"/>
    <x v="2"/>
    <s v="Deleted"/>
    <x v="3"/>
    <m/>
  </r>
  <r>
    <n v="80720217"/>
    <s v="海飞丝去屑洗发露恬雅清新型300G_OI"/>
    <s v="A680"/>
    <x v="24"/>
    <x v="4"/>
    <x v="18"/>
    <n v="400"/>
    <x v="19"/>
    <x v="7"/>
    <n v="3503530005"/>
    <m/>
    <d v="2025-12-05T00:00:00"/>
    <x v="14"/>
    <n v="0.54376000000000002"/>
    <x v="2"/>
    <s v="Deleted"/>
    <x v="3"/>
    <m/>
  </r>
  <r>
    <n v="80720217"/>
    <s v="海飞丝去屑洗发露恬雅清新型300G_OI"/>
    <s v="C816"/>
    <x v="24"/>
    <x v="4"/>
    <x v="18"/>
    <n v="1200"/>
    <x v="19"/>
    <x v="7"/>
    <n v="3503530006"/>
    <m/>
    <d v="2025-12-05T00:00:00"/>
    <x v="14"/>
    <n v="1.6312800000000001"/>
    <x v="2"/>
    <s v="Deleted"/>
    <x v="3"/>
    <m/>
  </r>
  <r>
    <n v="80720217"/>
    <s v="海飞丝去屑洗发露恬雅清新型300G_OI"/>
    <s v="A715"/>
    <x v="24"/>
    <x v="4"/>
    <x v="18"/>
    <n v="50"/>
    <x v="19"/>
    <x v="7"/>
    <n v="3503530007"/>
    <m/>
    <d v="2025-12-05T00:00:00"/>
    <x v="14"/>
    <n v="6.7970000000000003E-2"/>
    <x v="2"/>
    <s v="Deleted"/>
    <x v="3"/>
    <m/>
  </r>
  <r>
    <n v="80720217"/>
    <s v="海飞丝去屑洗发露恬雅清新型300G_OI"/>
    <s v="A716"/>
    <x v="24"/>
    <x v="4"/>
    <x v="18"/>
    <n v="150"/>
    <x v="19"/>
    <x v="7"/>
    <n v="3503530008"/>
    <m/>
    <d v="2025-12-05T00:00:00"/>
    <x v="14"/>
    <n v="0.20391000000000001"/>
    <x v="2"/>
    <s v="Deleted"/>
    <x v="3"/>
    <m/>
  </r>
  <r>
    <n v="80864679"/>
    <s v="HR SHM 530GX9 UKA Anti-breakage"/>
    <s v="A673"/>
    <x v="10"/>
    <x v="1"/>
    <x v="25"/>
    <n v="8900"/>
    <x v="18"/>
    <x v="6"/>
    <n v="3505596885"/>
    <m/>
    <d v="2025-12-08T00:00:00"/>
    <x v="0"/>
    <n v="16.031569999999999"/>
    <x v="1"/>
    <s v="Yes"/>
    <x v="2"/>
    <m/>
  </r>
  <r>
    <n v="80823143"/>
    <s v="PNT Milky CN(400X2)GX4"/>
    <s v="A672"/>
    <x v="22"/>
    <x v="3"/>
    <x v="26"/>
    <n v="1600"/>
    <x v="18"/>
    <x v="9"/>
    <n v="3505596886"/>
    <m/>
    <d v="2025-12-08T00:00:00"/>
    <x v="16"/>
    <n v="1.99152"/>
    <x v="2"/>
    <s v="Deleted"/>
    <x v="3"/>
    <m/>
  </r>
  <r>
    <n v="80823143"/>
    <s v="PNT Milky CN(400X2)GX4"/>
    <s v="A680"/>
    <x v="22"/>
    <x v="3"/>
    <x v="26"/>
    <n v="800"/>
    <x v="18"/>
    <x v="9"/>
    <n v="3505596887"/>
    <m/>
    <d v="2025-12-08T00:00:00"/>
    <x v="16"/>
    <n v="0.99575999999999998"/>
    <x v="2"/>
    <s v="Deleted"/>
    <x v="3"/>
    <m/>
  </r>
  <r>
    <n v="80823143"/>
    <s v="PNT Milky CN(400X2)GX4"/>
    <s v="C816"/>
    <x v="22"/>
    <x v="3"/>
    <x v="26"/>
    <n v="4800"/>
    <x v="18"/>
    <x v="9"/>
    <n v="3505596888"/>
    <m/>
    <d v="2025-12-08T00:00:00"/>
    <x v="16"/>
    <n v="5.9745600000000003"/>
    <x v="2"/>
    <s v="Deleted"/>
    <x v="3"/>
    <m/>
  </r>
  <r>
    <n v="80814074"/>
    <s v="海飞丝去屑丝质柔滑型洗发露1.2千克"/>
    <s v="A673"/>
    <x v="25"/>
    <x v="4"/>
    <x v="1"/>
    <n v="2354"/>
    <x v="18"/>
    <x v="10"/>
    <n v="3505596889"/>
    <m/>
    <d v="2025-12-08T00:00:00"/>
    <x v="15"/>
    <n v="6.4002905999999999"/>
    <x v="2"/>
    <s v="Deleted"/>
    <x v="3"/>
    <m/>
  </r>
  <r>
    <n v="80814071"/>
    <s v="海飞丝去屑清爽控油型洗发露1.2千克"/>
    <s v="A673"/>
    <x v="25"/>
    <x v="4"/>
    <x v="1"/>
    <n v="2391"/>
    <x v="18"/>
    <x v="10"/>
    <n v="3505596890"/>
    <m/>
    <d v="2025-12-08T00:00:00"/>
    <x v="15"/>
    <n v="6.5008898999999998"/>
    <x v="2"/>
    <s v="Deleted"/>
    <x v="3"/>
    <m/>
  </r>
  <r>
    <n v="80859237"/>
    <s v="飘柔日常护理双效去屑清爽洗发露1000g"/>
    <s v="A673"/>
    <x v="25"/>
    <x v="4"/>
    <x v="27"/>
    <n v="354"/>
    <x v="18"/>
    <x v="10"/>
    <n v="3505596891"/>
    <m/>
    <d v="2025-12-08T00:00:00"/>
    <x v="0"/>
    <n v="1.6041510000000001"/>
    <x v="2"/>
    <s v="Yes"/>
    <x v="2"/>
    <m/>
  </r>
  <r>
    <n v="80859230"/>
    <s v="飘柔日常护理双效水润洁顺型洗发露1000g"/>
    <s v="A673"/>
    <x v="25"/>
    <x v="4"/>
    <x v="27"/>
    <n v="221"/>
    <x v="18"/>
    <x v="10"/>
    <n v="3505596892"/>
    <m/>
    <d v="2025-12-08T00:00:00"/>
    <x v="0"/>
    <n v="1.0014615"/>
    <x v="2"/>
    <s v="Yes"/>
    <x v="2"/>
    <m/>
  </r>
  <r>
    <n v="80814095"/>
    <s v="海飞丝去屑丝质柔滑型洗发露1千克"/>
    <s v="A673"/>
    <x v="25"/>
    <x v="4"/>
    <x v="27"/>
    <n v="1016"/>
    <x v="18"/>
    <x v="10"/>
    <n v="3505596893"/>
    <m/>
    <d v="2025-12-08T00:00:00"/>
    <x v="0"/>
    <n v="2.3019512"/>
    <x v="2"/>
    <s v="Yes"/>
    <x v="2"/>
    <m/>
  </r>
  <r>
    <n v="80814091"/>
    <s v="海飞丝去屑怡神冰凉型洗发露1千克"/>
    <s v="A673"/>
    <x v="25"/>
    <x v="4"/>
    <x v="27"/>
    <n v="663"/>
    <x v="18"/>
    <x v="10"/>
    <n v="3505596894"/>
    <m/>
    <d v="2025-12-08T00:00:00"/>
    <x v="0"/>
    <n v="1.5021591000000001"/>
    <x v="2"/>
    <s v="Yes"/>
    <x v="2"/>
    <m/>
  </r>
  <r>
    <n v="80814096"/>
    <s v="海飞丝去屑清爽控油型洗发露1千克"/>
    <s v="A673"/>
    <x v="25"/>
    <x v="4"/>
    <x v="27"/>
    <n v="1060"/>
    <x v="18"/>
    <x v="10"/>
    <n v="3505596895"/>
    <m/>
    <d v="2025-12-08T00:00:00"/>
    <x v="0"/>
    <n v="2.4016419999999998"/>
    <x v="2"/>
    <s v="Yes"/>
    <x v="2"/>
    <m/>
  </r>
  <r>
    <n v="80843710"/>
    <s v="海飞丝丝质柔滑型去屑洗发露650克X2"/>
    <s v="A673"/>
    <x v="25"/>
    <x v="4"/>
    <x v="27"/>
    <n v="1325"/>
    <x v="18"/>
    <x v="10"/>
    <n v="3505596896"/>
    <m/>
    <d v="2025-12-08T00:00:00"/>
    <x v="0"/>
    <n v="3.9026550000000002"/>
    <x v="2"/>
    <s v="Yes"/>
    <x v="2"/>
    <m/>
  </r>
  <r>
    <n v="80843705"/>
    <s v="海飞丝清爽控油型去屑洗发露650克×2"/>
    <s v="A673"/>
    <x v="25"/>
    <x v="4"/>
    <x v="27"/>
    <n v="1766"/>
    <x v="18"/>
    <x v="10"/>
    <n v="3505596897"/>
    <m/>
    <d v="2025-12-08T00:00:00"/>
    <x v="0"/>
    <n v="5.2015764000000004"/>
    <x v="2"/>
    <s v="Yes"/>
    <x v="2"/>
    <m/>
  </r>
  <r>
    <n v="80869250"/>
    <s v="潘婷PRO-V乳液修护洗发水650克X2"/>
    <s v="A673"/>
    <x v="25"/>
    <x v="4"/>
    <x v="27"/>
    <n v="1089"/>
    <x v="18"/>
    <x v="10"/>
    <n v="3505596898"/>
    <m/>
    <d v="2025-12-08T00:00:00"/>
    <x v="0"/>
    <n v="3.7010754000000001"/>
    <x v="2"/>
    <s v="Yes"/>
    <x v="2"/>
    <m/>
  </r>
  <r>
    <n v="80869252"/>
    <s v="潘婷乳液修护洗发水+乳液修护护发素650gx2"/>
    <s v="A673"/>
    <x v="25"/>
    <x v="4"/>
    <x v="27"/>
    <n v="946"/>
    <x v="18"/>
    <x v="10"/>
    <n v="3505596899"/>
    <m/>
    <d v="2025-12-08T00:00:00"/>
    <x v="0"/>
    <n v="3.000712"/>
    <x v="2"/>
    <s v="Yes"/>
    <x v="2"/>
    <m/>
  </r>
  <r>
    <n v="80869249"/>
    <s v="潘婷丝质顺滑型洗发露650套组"/>
    <s v="A673"/>
    <x v="25"/>
    <x v="4"/>
    <x v="27"/>
    <n v="408"/>
    <x v="18"/>
    <x v="10"/>
    <n v="3505596900"/>
    <m/>
    <d v="2025-12-08T00:00:00"/>
    <x v="0"/>
    <n v="1.2017640000000001"/>
    <x v="2"/>
    <s v="Yes"/>
    <x v="2"/>
    <m/>
  </r>
  <r>
    <n v="80869255"/>
    <s v="潘婷丝质顺滑型洗护套组650"/>
    <s v="A673"/>
    <x v="25"/>
    <x v="4"/>
    <x v="27"/>
    <n v="408"/>
    <x v="18"/>
    <x v="10"/>
    <n v="3505596901"/>
    <m/>
    <d v="2025-12-08T00:00:00"/>
    <x v="0"/>
    <n v="1.2017640000000001"/>
    <x v="2"/>
    <s v="Yes"/>
    <x v="2"/>
    <m/>
  </r>
  <r>
    <n v="80857339"/>
    <s v="潘婷洗护(丝质顺滑洗500gx2+护三分钟40ml)"/>
    <s v="A672"/>
    <x v="26"/>
    <x v="3"/>
    <x v="28"/>
    <n v="1589"/>
    <x v="20"/>
    <x v="9"/>
    <n v="3506290044"/>
    <d v="2025-12-09T00:00:00"/>
    <d v="2025-12-09T00:00:00"/>
    <x v="17"/>
    <n v="3.7486098999999999"/>
    <x v="2"/>
    <s v="Deleted"/>
    <x v="3"/>
    <m/>
  </r>
  <r>
    <n v="80857339"/>
    <s v="潘婷洗护(丝质顺滑洗500gx2+护三分钟40ml)"/>
    <s v="A673"/>
    <x v="26"/>
    <x v="3"/>
    <x v="28"/>
    <n v="4767"/>
    <x v="20"/>
    <x v="9"/>
    <n v="3506290045"/>
    <d v="2025-12-09T00:00:00"/>
    <d v="2025-12-09T00:00:00"/>
    <x v="17"/>
    <n v="11.2458297"/>
    <x v="2"/>
    <s v="Deleted"/>
    <x v="3"/>
    <m/>
  </r>
  <r>
    <n v="80858361"/>
    <s v="潘婷洗护(乳液洗500g+护500g+三分钟40ml"/>
    <s v="A672"/>
    <x v="26"/>
    <x v="3"/>
    <x v="28"/>
    <n v="2200"/>
    <x v="20"/>
    <x v="9"/>
    <n v="3506290046"/>
    <d v="2025-12-09T00:00:00"/>
    <d v="2025-12-09T00:00:00"/>
    <x v="17"/>
    <n v="5.4111200000000004"/>
    <x v="2"/>
    <s v="Deleted"/>
    <x v="3"/>
    <m/>
  </r>
  <r>
    <n v="80858361"/>
    <s v="潘婷洗护(乳液洗500g+护500g+三分钟40ml"/>
    <s v="A673"/>
    <x v="26"/>
    <x v="3"/>
    <x v="28"/>
    <n v="4000"/>
    <x v="20"/>
    <x v="9"/>
    <n v="3506290048"/>
    <d v="2025-12-09T00:00:00"/>
    <d v="2025-12-09T00:00:00"/>
    <x v="17"/>
    <n v="9.8384"/>
    <x v="2"/>
    <s v="Deleted"/>
    <x v="3"/>
    <m/>
  </r>
  <r>
    <n v="80813621"/>
    <s v="PNT SHM 200g X24 Milky AD (CLMZ II)"/>
    <s v="A672"/>
    <x v="27"/>
    <x v="3"/>
    <x v="18"/>
    <n v="1500"/>
    <x v="20"/>
    <x v="4"/>
    <n v="3506290049"/>
    <s v="No protection needed"/>
    <d v="2025-12-09T00:00:00"/>
    <x v="17"/>
    <n v="2.7189000000000001"/>
    <x v="2"/>
    <s v="Deleted"/>
    <x v="3"/>
    <m/>
  </r>
  <r>
    <n v="21073081"/>
    <s v="GH140oA B3X4000 0.5PO 1.7A 1DC"/>
    <s v="0386"/>
    <x v="28"/>
    <x v="5"/>
    <x v="29"/>
    <n v="192000"/>
    <x v="21"/>
    <x v="12"/>
    <n v="3506956061"/>
    <s v="RM Test MR in SAP"/>
    <d v="2025-12-10T00:00:00"/>
    <x v="0"/>
    <n v="70.400000000000006"/>
    <x v="1"/>
    <s v="Yes"/>
    <x v="2"/>
    <m/>
  </r>
  <r>
    <n v="21294824"/>
    <s v="BC188 S07X4000 0.5PO 1.1Yuja Cha HS"/>
    <s v="0386"/>
    <x v="29"/>
    <x v="5"/>
    <x v="29"/>
    <n v="84000"/>
    <x v="21"/>
    <x v="12"/>
    <n v="3506956063"/>
    <s v="RM Test MR in SAP"/>
    <d v="2025-12-10T00:00:00"/>
    <x v="0"/>
    <n v="30.800000000000004"/>
    <x v="1"/>
    <s v="Yes"/>
    <x v="2"/>
    <m/>
  </r>
  <r>
    <n v="21073081"/>
    <s v="GH140oA B3X4000 0.5PO 1.7A 1DC"/>
    <s v="A868"/>
    <x v="30"/>
    <x v="5"/>
    <x v="30"/>
    <n v="534000"/>
    <x v="21"/>
    <x v="12"/>
    <n v="3507639777"/>
    <s v="RM Test MR in SAP"/>
    <d v="2025-12-11T00:00:00"/>
    <x v="0"/>
    <n v="195.8"/>
    <x v="1"/>
    <s v="Yes"/>
    <x v="2"/>
    <m/>
  </r>
  <r>
    <n v="21294824"/>
    <s v="BC188 S07X4000 0.5PO 1.1Yuja Cha HS"/>
    <s v="A868"/>
    <x v="31"/>
    <x v="5"/>
    <x v="30"/>
    <n v="210000"/>
    <x v="21"/>
    <x v="12"/>
    <n v="3507640018"/>
    <s v="RM Test MR in SAP"/>
    <d v="2025-12-11T00:00:00"/>
    <x v="0"/>
    <n v="77"/>
    <x v="1"/>
    <s v="Yes"/>
    <x v="2"/>
    <m/>
  </r>
  <r>
    <n v="21355402"/>
    <s v="GH140o T+A3XJ1515S1 0.5PO 1.1BO"/>
    <s v="A868"/>
    <x v="32"/>
    <x v="5"/>
    <x v="30"/>
    <n v="42000"/>
    <x v="21"/>
    <x v="12"/>
    <n v="3507640019"/>
    <s v="RM Test MR in SAP"/>
    <d v="2025-12-11T00:00:00"/>
    <x v="0"/>
    <n v="15.400000000000002"/>
    <x v="1"/>
    <s v="Yes"/>
    <x v="2"/>
    <m/>
  </r>
  <r>
    <n v="80864131"/>
    <s v="飘柔日常去屑清爽360g*6+水润洁顺型360g*6"/>
    <s v="A672"/>
    <x v="33"/>
    <x v="3"/>
    <x v="15"/>
    <n v="2700"/>
    <x v="21"/>
    <x v="7"/>
    <n v="3506977410"/>
    <m/>
    <d v="2025-12-10T00:00:00"/>
    <x v="14"/>
    <n v="4.4047799999999997"/>
    <x v="2"/>
    <s v="Deleted"/>
    <x v="3"/>
    <m/>
  </r>
  <r>
    <n v="80864120"/>
    <s v="飘柔日常去屑清爽750g*6+水润洁顺型750g*6"/>
    <s v="A672"/>
    <x v="33"/>
    <x v="3"/>
    <x v="15"/>
    <n v="1150"/>
    <x v="21"/>
    <x v="7"/>
    <n v="3506977412"/>
    <m/>
    <d v="2025-12-10T00:00:00"/>
    <x v="14"/>
    <n v="3.9083899999999998"/>
    <x v="2"/>
    <s v="Deleted"/>
    <x v="3"/>
    <m/>
  </r>
  <r>
    <n v="80864127"/>
    <s v="飘柔日常去屑清爽170g*12+水润洁顺型170*12"/>
    <s v="A672"/>
    <x v="33"/>
    <x v="3"/>
    <x v="15"/>
    <n v="3800"/>
    <x v="21"/>
    <x v="7"/>
    <n v="3506977413"/>
    <m/>
    <d v="2025-12-10T00:00:00"/>
    <x v="14"/>
    <n v="5.8550399999999998"/>
    <x v="2"/>
    <s v="Deleted"/>
    <x v="3"/>
    <m/>
  </r>
  <r>
    <n v="80864120"/>
    <s v="飘柔日常去屑清爽750g*6+水润洁顺型750g*6"/>
    <s v="A673"/>
    <x v="34"/>
    <x v="3"/>
    <x v="15"/>
    <n v="2000"/>
    <x v="21"/>
    <x v="7"/>
    <n v="3506977415"/>
    <m/>
    <d v="2025-12-10T00:00:00"/>
    <x v="14"/>
    <n v="6.7972000000000001"/>
    <x v="2"/>
    <s v="Deleted"/>
    <x v="3"/>
    <m/>
  </r>
  <r>
    <n v="80864127"/>
    <s v="飘柔日常去屑清爽170g*12+水润洁顺型170*12"/>
    <s v="A673"/>
    <x v="34"/>
    <x v="3"/>
    <x v="15"/>
    <n v="3890"/>
    <x v="21"/>
    <x v="7"/>
    <n v="3506977416"/>
    <m/>
    <d v="2025-12-10T00:00:00"/>
    <x v="14"/>
    <n v="5.9937120000000004"/>
    <x v="2"/>
    <s v="Deleted"/>
    <x v="3"/>
    <m/>
  </r>
  <r>
    <n v="80864131"/>
    <s v="飘柔日常去屑清爽360g*6+水润洁顺型360g*6"/>
    <s v="A673"/>
    <x v="34"/>
    <x v="3"/>
    <x v="15"/>
    <n v="2000"/>
    <x v="21"/>
    <x v="7"/>
    <n v="3506977417"/>
    <m/>
    <d v="2025-12-10T00:00:00"/>
    <x v="14"/>
    <n v="3.2627999999999999"/>
    <x v="2"/>
    <s v="Deleted"/>
    <x v="3"/>
    <m/>
  </r>
  <r>
    <n v="80887125"/>
    <s v="飘柔日常去屑360g+水润360g+精洗400g混箱装"/>
    <s v="A673"/>
    <x v="34"/>
    <x v="3"/>
    <x v="15"/>
    <n v="6000"/>
    <x v="21"/>
    <x v="7"/>
    <n v="3506977459"/>
    <m/>
    <d v="2025-12-10T00:00:00"/>
    <x v="14"/>
    <n v="11.601000000000001"/>
    <x v="2"/>
    <s v="Deleted"/>
    <x v="3"/>
    <m/>
  </r>
  <r>
    <n v="80814068"/>
    <s v="海飞丝去屑清爽控油型洗发露200G_OI"/>
    <s v="A668"/>
    <x v="35"/>
    <x v="3"/>
    <x v="15"/>
    <n v="200"/>
    <x v="21"/>
    <x v="7"/>
    <n v="3506977460"/>
    <m/>
    <d v="2025-12-10T00:00:00"/>
    <x v="14"/>
    <n v="0.36252000000000001"/>
    <x v="2"/>
    <s v="Deleted"/>
    <x v="3"/>
    <m/>
  </r>
  <r>
    <n v="80814068"/>
    <s v="海飞丝去屑清爽控油型洗发露200G_OI"/>
    <s v="A716"/>
    <x v="35"/>
    <x v="3"/>
    <x v="15"/>
    <n v="100"/>
    <x v="21"/>
    <x v="7"/>
    <n v="3506977463"/>
    <m/>
    <d v="2025-12-10T00:00:00"/>
    <x v="14"/>
    <n v="0.18126"/>
    <x v="2"/>
    <s v="Deleted"/>
    <x v="3"/>
    <m/>
  </r>
  <r>
    <n v="80814062"/>
    <s v="海飞丝去屑丝质柔滑型洗发露200G_OI"/>
    <s v="A668"/>
    <x v="35"/>
    <x v="3"/>
    <x v="15"/>
    <n v="300"/>
    <x v="21"/>
    <x v="7"/>
    <n v="3506977465"/>
    <m/>
    <d v="2025-12-10T00:00:00"/>
    <x v="14"/>
    <n v="0.54378000000000004"/>
    <x v="2"/>
    <s v="Deleted"/>
    <x v="3"/>
    <m/>
  </r>
  <r>
    <n v="80814062"/>
    <s v="海飞丝去屑丝质柔滑型洗发露200G_OI"/>
    <s v="A672"/>
    <x v="35"/>
    <x v="3"/>
    <x v="15"/>
    <n v="1100"/>
    <x v="21"/>
    <x v="7"/>
    <n v="3506977467"/>
    <m/>
    <d v="2025-12-10T00:00:00"/>
    <x v="14"/>
    <n v="1.99386"/>
    <x v="2"/>
    <s v="Deleted"/>
    <x v="3"/>
    <m/>
  </r>
  <r>
    <n v="80814062"/>
    <s v="海飞丝去屑丝质柔滑型洗发露200G_OI"/>
    <s v="A673"/>
    <x v="35"/>
    <x v="3"/>
    <x v="15"/>
    <n v="500"/>
    <x v="21"/>
    <x v="7"/>
    <n v="3506977468"/>
    <m/>
    <d v="2025-12-10T00:00:00"/>
    <x v="14"/>
    <n v="0.90629999999999999"/>
    <x v="2"/>
    <s v="Deleted"/>
    <x v="3"/>
    <m/>
  </r>
  <r>
    <n v="80814062"/>
    <s v="海飞丝去屑丝质柔滑型洗发露200G_OI"/>
    <s v="A680"/>
    <x v="35"/>
    <x v="3"/>
    <x v="15"/>
    <n v="100"/>
    <x v="21"/>
    <x v="7"/>
    <n v="3506977470"/>
    <m/>
    <d v="2025-12-10T00:00:00"/>
    <x v="14"/>
    <n v="0.18126"/>
    <x v="2"/>
    <s v="Deleted"/>
    <x v="3"/>
    <m/>
  </r>
  <r>
    <n v="80814062"/>
    <s v="海飞丝去屑丝质柔滑型洗发露200G_OI"/>
    <s v="C816"/>
    <x v="35"/>
    <x v="3"/>
    <x v="15"/>
    <n v="500"/>
    <x v="21"/>
    <x v="7"/>
    <n v="3506977471"/>
    <m/>
    <d v="2025-12-10T00:00:00"/>
    <x v="14"/>
    <n v="0.90629999999999999"/>
    <x v="2"/>
    <s v="Deleted"/>
    <x v="3"/>
    <m/>
  </r>
  <r>
    <n v="80814062"/>
    <s v="海飞丝去屑丝质柔滑型洗发露200G_OI"/>
    <s v="A716"/>
    <x v="35"/>
    <x v="3"/>
    <x v="15"/>
    <n v="100"/>
    <x v="21"/>
    <x v="7"/>
    <n v="3506977472"/>
    <m/>
    <d v="2025-12-10T00:00:00"/>
    <x v="14"/>
    <n v="0.18126"/>
    <x v="2"/>
    <s v="Deleted"/>
    <x v="3"/>
    <m/>
  </r>
  <r>
    <n v="80814072"/>
    <s v="海飞丝去屑清爽控油型洗发露80G_OI"/>
    <s v="A673"/>
    <x v="36"/>
    <x v="3"/>
    <x v="15"/>
    <n v="240"/>
    <x v="21"/>
    <x v="7"/>
    <n v="3506977475"/>
    <m/>
    <d v="2025-12-10T00:00:00"/>
    <x v="14"/>
    <n v="0.17399999999999999"/>
    <x v="2"/>
    <s v="Deleted"/>
    <x v="3"/>
    <m/>
  </r>
  <r>
    <n v="80814073"/>
    <s v="海飞丝去屑丝质柔滑型洗发露80G_OI"/>
    <s v="A673"/>
    <x v="36"/>
    <x v="3"/>
    <x v="15"/>
    <n v="105"/>
    <x v="21"/>
    <x v="7"/>
    <n v="3506977476"/>
    <m/>
    <d v="2025-12-10T00:00:00"/>
    <x v="14"/>
    <n v="7.6124999999999998E-2"/>
    <x v="2"/>
    <s v="Deleted"/>
    <x v="3"/>
    <m/>
  </r>
  <r>
    <n v="80814068"/>
    <s v="海飞丝去屑清爽控油型洗发露200G_OI"/>
    <s v="A673"/>
    <x v="36"/>
    <x v="3"/>
    <x v="15"/>
    <n v="1150"/>
    <x v="21"/>
    <x v="7"/>
    <n v="3506977478"/>
    <m/>
    <d v="2025-12-10T00:00:00"/>
    <x v="14"/>
    <n v="2.0844900000000002"/>
    <x v="2"/>
    <s v="Deleted"/>
    <x v="3"/>
    <m/>
  </r>
  <r>
    <n v="80814062"/>
    <s v="海飞丝去屑丝质柔滑型洗发露200G_OI"/>
    <s v="A673"/>
    <x v="36"/>
    <x v="3"/>
    <x v="15"/>
    <n v="430"/>
    <x v="21"/>
    <x v="7"/>
    <n v="3506977479"/>
    <m/>
    <d v="2025-12-10T00:00:00"/>
    <x v="14"/>
    <n v="0.77941800000000006"/>
    <x v="2"/>
    <s v="Deleted"/>
    <x v="3"/>
    <m/>
  </r>
  <r>
    <n v="80720843"/>
    <s v="海飞丝去屑洗发露恬雅清新型80G_OI"/>
    <s v="A673"/>
    <x v="36"/>
    <x v="3"/>
    <x v="15"/>
    <n v="200"/>
    <x v="21"/>
    <x v="7"/>
    <n v="3506977481"/>
    <m/>
    <d v="2025-12-10T00:00:00"/>
    <x v="14"/>
    <n v="0.14499999999999999"/>
    <x v="2"/>
    <s v="Deleted"/>
    <x v="3"/>
    <m/>
  </r>
  <r>
    <n v="80870884"/>
    <s v="海飞丝头皮专研洗发露舒痒锁水抑屑型80G_OI"/>
    <s v="A673"/>
    <x v="36"/>
    <x v="3"/>
    <x v="15"/>
    <n v="30"/>
    <x v="21"/>
    <x v="7"/>
    <n v="3506977482"/>
    <m/>
    <d v="2025-12-10T00:00:00"/>
    <x v="14"/>
    <n v="2.1749999999999999E-2"/>
    <x v="2"/>
    <s v="Deleted"/>
    <x v="3"/>
    <m/>
  </r>
  <r>
    <n v="80830276"/>
    <s v="海飞丝去屑舒痒水润型洗发露200G_OI"/>
    <s v="A673"/>
    <x v="36"/>
    <x v="3"/>
    <x v="15"/>
    <n v="75"/>
    <x v="21"/>
    <x v="7"/>
    <n v="3506977484"/>
    <m/>
    <d v="2025-12-10T00:00:00"/>
    <x v="14"/>
    <n v="0.13594500000000001"/>
    <x v="2"/>
    <s v="Deleted"/>
    <x v="3"/>
    <m/>
  </r>
  <r>
    <n v="80859238"/>
    <s v="飘柔日常护理双效滋润柔顺洗发露170g"/>
    <s v="A672"/>
    <x v="19"/>
    <x v="3"/>
    <x v="19"/>
    <n v="2167"/>
    <x v="22"/>
    <x v="4"/>
    <n v="3508304873"/>
    <s v="JZX WS Cancel"/>
    <d v="2025-12-12T00:00:00"/>
    <x v="18"/>
    <n v="3.3386969"/>
    <x v="2"/>
    <s v="Deleted"/>
    <x v="3"/>
    <m/>
  </r>
  <r>
    <n v="80859240"/>
    <s v="飘柔日常护理双效滋润舒爽型洗发露170g"/>
    <s v="A672"/>
    <x v="19"/>
    <x v="3"/>
    <x v="19"/>
    <n v="2434"/>
    <x v="22"/>
    <x v="4"/>
    <n v="3508304874"/>
    <s v="JZX WS Cancel"/>
    <d v="2025-12-12T00:00:00"/>
    <x v="18"/>
    <n v="3.7500637999999999"/>
    <x v="2"/>
    <s v="Deleted"/>
    <x v="3"/>
    <m/>
  </r>
  <r>
    <n v="80859242"/>
    <s v="飘柔日常护理双效滋润亮泽洗发露170g"/>
    <s v="A672"/>
    <x v="19"/>
    <x v="3"/>
    <x v="19"/>
    <n v="1420"/>
    <x v="22"/>
    <x v="4"/>
    <n v="3508304876"/>
    <s v="JZX WS Cancel"/>
    <d v="2025-12-12T00:00:00"/>
    <x v="18"/>
    <n v="2.1877939999999998"/>
    <x v="2"/>
    <s v="Deleted"/>
    <x v="3"/>
    <m/>
  </r>
  <r>
    <n v="80859226"/>
    <s v="飘柔日常护理双效去屑清爽型洗发露170g"/>
    <s v="A672"/>
    <x v="19"/>
    <x v="3"/>
    <x v="19"/>
    <n v="6002"/>
    <x v="22"/>
    <x v="4"/>
    <n v="3508304877"/>
    <s v="JZX WS Cancel"/>
    <d v="2025-12-12T00:00:00"/>
    <x v="18"/>
    <n v="9.2472814000000003"/>
    <x v="2"/>
    <s v="Deleted"/>
    <x v="3"/>
    <m/>
  </r>
  <r>
    <n v="80859250"/>
    <s v="飘柔日常护理双效水润洁顺洗发露170g"/>
    <s v="A672"/>
    <x v="19"/>
    <x v="3"/>
    <x v="19"/>
    <n v="4935"/>
    <x v="22"/>
    <x v="4"/>
    <n v="3508304898"/>
    <s v="JZX WS Cancel"/>
    <d v="2025-12-12T00:00:00"/>
    <x v="18"/>
    <n v="7.6033545"/>
    <x v="2"/>
    <s v="Deleted"/>
    <x v="3"/>
    <m/>
  </r>
  <r>
    <n v="80859227"/>
    <s v="飘柔日常护理双效去油清爽型洗发露170g"/>
    <s v="A672"/>
    <x v="19"/>
    <x v="3"/>
    <x v="19"/>
    <n v="4464"/>
    <x v="22"/>
    <x v="4"/>
    <n v="3508304900"/>
    <s v="JZX WS Cancel"/>
    <d v="2025-12-12T00:00:00"/>
    <x v="18"/>
    <n v="6.8776847999999999"/>
    <x v="2"/>
    <s v="Deleted"/>
    <x v="3"/>
    <m/>
  </r>
  <r>
    <n v="80859232"/>
    <s v="飘柔日常护理双效去屑清爽型洗发露360g"/>
    <s v="A672"/>
    <x v="19"/>
    <x v="3"/>
    <x v="19"/>
    <n v="5307"/>
    <x v="22"/>
    <x v="4"/>
    <n v="3508304901"/>
    <s v="JZX WS Cancel"/>
    <d v="2025-12-12T00:00:00"/>
    <x v="18"/>
    <n v="8.6573091000000009"/>
    <x v="2"/>
    <s v="Deleted"/>
    <x v="3"/>
    <m/>
  </r>
  <r>
    <n v="80859233"/>
    <s v="飘柔日常护理双效水润洁顺洗发露360g"/>
    <s v="A672"/>
    <x v="19"/>
    <x v="3"/>
    <x v="19"/>
    <n v="3653"/>
    <x v="22"/>
    <x v="4"/>
    <n v="3508304902"/>
    <s v="JZX WS Cancel"/>
    <d v="2025-12-12T00:00:00"/>
    <x v="18"/>
    <n v="5.9591389000000001"/>
    <x v="2"/>
    <s v="Deleted"/>
    <x v="3"/>
    <m/>
  </r>
  <r>
    <n v="80859236"/>
    <s v="飘柔日常护理双效滋润柔顺洗发露360g"/>
    <s v="A672"/>
    <x v="19"/>
    <x v="3"/>
    <x v="19"/>
    <n v="2147"/>
    <x v="22"/>
    <x v="4"/>
    <n v="3508304903"/>
    <s v="JZX WS Cancel"/>
    <d v="2025-12-12T00:00:00"/>
    <x v="18"/>
    <n v="3.5024011000000002"/>
    <x v="2"/>
    <s v="Deleted"/>
    <x v="3"/>
    <m/>
  </r>
  <r>
    <n v="80859241"/>
    <s v="飘柔日常护理双效去油清爽型洗发露360g"/>
    <s v="A672"/>
    <x v="19"/>
    <x v="3"/>
    <x v="19"/>
    <n v="3362"/>
    <x v="22"/>
    <x v="4"/>
    <n v="3508304904"/>
    <s v="JZX WS Cancel"/>
    <d v="2025-12-12T00:00:00"/>
    <x v="18"/>
    <n v="5.4844305999999996"/>
    <x v="2"/>
    <s v="Deleted"/>
    <x v="3"/>
    <m/>
  </r>
  <r>
    <n v="80859244"/>
    <s v="飘柔日常护理双效滋润亮泽洗发露360g"/>
    <s v="A672"/>
    <x v="19"/>
    <x v="3"/>
    <x v="19"/>
    <n v="897"/>
    <x v="22"/>
    <x v="4"/>
    <n v="3508304905"/>
    <s v="JZX WS Cancel"/>
    <d v="2025-12-12T00:00:00"/>
    <x v="18"/>
    <n v="1.4632761000000001"/>
    <x v="2"/>
    <s v="Deleted"/>
    <x v="3"/>
    <m/>
  </r>
  <r>
    <n v="80859246"/>
    <s v="飘柔日常护理双效滋润舒爽型洗发露360g"/>
    <s v="A672"/>
    <x v="19"/>
    <x v="3"/>
    <x v="19"/>
    <n v="2721"/>
    <x v="22"/>
    <x v="4"/>
    <n v="3508304906"/>
    <s v="JZX WS Cancel"/>
    <d v="2025-12-12T00:00:00"/>
    <x v="18"/>
    <n v="4.4387673000000003"/>
    <x v="2"/>
    <s v="Deleted"/>
    <x v="3"/>
    <m/>
  </r>
  <r>
    <n v="80859229"/>
    <s v="飘柔日常护理双效滋润舒爽型洗发露750g"/>
    <s v="A672"/>
    <x v="19"/>
    <x v="3"/>
    <x v="19"/>
    <n v="1637"/>
    <x v="22"/>
    <x v="4"/>
    <n v="3508304907"/>
    <s v="JZX WS Cancel"/>
    <d v="2025-12-12T00:00:00"/>
    <x v="18"/>
    <n v="5.5635082000000002"/>
    <x v="2"/>
    <s v="Deleted"/>
    <x v="3"/>
    <m/>
  </r>
  <r>
    <n v="80859231"/>
    <s v="飘柔日常护理双效滋润柔顺洗发露750g"/>
    <s v="A672"/>
    <x v="19"/>
    <x v="3"/>
    <x v="19"/>
    <n v="1196"/>
    <x v="22"/>
    <x v="4"/>
    <n v="3508304908"/>
    <s v="JZX WS Cancel"/>
    <d v="2025-12-12T00:00:00"/>
    <x v="18"/>
    <n v="4.0647256"/>
    <x v="2"/>
    <s v="Deleted"/>
    <x v="3"/>
    <m/>
  </r>
  <r>
    <n v="80859235"/>
    <s v="飘柔日常护理双效水润洁顺洗发露750g"/>
    <s v="A672"/>
    <x v="19"/>
    <x v="3"/>
    <x v="19"/>
    <n v="2129"/>
    <x v="22"/>
    <x v="4"/>
    <n v="3508304909"/>
    <s v="JZX WS Cancel"/>
    <d v="2025-12-12T00:00:00"/>
    <x v="18"/>
    <n v="7.2356194"/>
    <x v="2"/>
    <s v="Deleted"/>
    <x v="3"/>
    <m/>
  </r>
  <r>
    <n v="80859239"/>
    <s v="飘柔日常护理双效去屑清爽型洗发露750g"/>
    <s v="A672"/>
    <x v="19"/>
    <x v="3"/>
    <x v="19"/>
    <n v="3335"/>
    <x v="22"/>
    <x v="4"/>
    <n v="3508304910"/>
    <s v="JZX WS Cancel"/>
    <d v="2025-12-12T00:00:00"/>
    <x v="18"/>
    <n v="11.334331000000001"/>
    <x v="2"/>
    <s v="Deleted"/>
    <x v="3"/>
    <m/>
  </r>
  <r>
    <n v="80859243"/>
    <s v="飘柔日常护理双效滋润亮泽洗发露750g"/>
    <s v="A672"/>
    <x v="19"/>
    <x v="3"/>
    <x v="19"/>
    <n v="667"/>
    <x v="22"/>
    <x v="4"/>
    <n v="3508304911"/>
    <s v="JZX WS Cancel"/>
    <d v="2025-12-12T00:00:00"/>
    <x v="18"/>
    <n v="2.2668661999999999"/>
    <x v="2"/>
    <s v="Deleted"/>
    <x v="3"/>
    <m/>
  </r>
  <r>
    <n v="80859245"/>
    <s v="飘柔日常护理双效去油清爽型洗发露750g"/>
    <s v="A672"/>
    <x v="19"/>
    <x v="3"/>
    <x v="19"/>
    <n v="2069"/>
    <x v="22"/>
    <x v="4"/>
    <n v="3508304912"/>
    <s v="JZX WS Cancel"/>
    <d v="2025-12-12T00:00:00"/>
    <x v="18"/>
    <n v="7.0317033999999996"/>
    <x v="2"/>
    <s v="Deleted"/>
    <x v="3"/>
    <m/>
  </r>
  <r>
    <n v="80891917"/>
    <s v="PTN ROT 180GX12 MILKY MASK"/>
    <s v="C816"/>
    <x v="37"/>
    <x v="1"/>
    <x v="31"/>
    <n v="1545"/>
    <x v="23"/>
    <x v="13"/>
    <n v="3510995147"/>
    <m/>
    <d v="2025-12-16T00:00:00"/>
    <x v="19"/>
    <n v="1.2602564999999999"/>
    <x v="1"/>
    <s v="Deleted"/>
    <x v="3"/>
    <m/>
  </r>
  <r>
    <n v="80891917"/>
    <s v="PTN ROT 180GX12 MILKY MASK"/>
    <s v="A673"/>
    <x v="37"/>
    <x v="1"/>
    <x v="31"/>
    <n v="2060"/>
    <x v="23"/>
    <x v="13"/>
    <n v="3510995148"/>
    <m/>
    <d v="2025-12-16T00:00:00"/>
    <x v="19"/>
    <n v="1.680342"/>
    <x v="1"/>
    <s v="Deleted"/>
    <x v="3"/>
    <m/>
  </r>
  <r>
    <n v="80891917"/>
    <s v="PTN ROT 180GX12 MILKY MASK"/>
    <s v="A672"/>
    <x v="37"/>
    <x v="1"/>
    <x v="31"/>
    <n v="1545"/>
    <x v="23"/>
    <x v="13"/>
    <n v="3510995149"/>
    <m/>
    <d v="2025-12-16T00:00:00"/>
    <x v="19"/>
    <n v="1.2602564999999999"/>
    <x v="1"/>
    <s v="Deleted"/>
    <x v="3"/>
    <m/>
  </r>
  <r>
    <n v="80891917"/>
    <s v="PTN ROT 180GX12 MILKY MASK"/>
    <s v="C816"/>
    <x v="37"/>
    <x v="1"/>
    <x v="32"/>
    <n v="3567"/>
    <x v="23"/>
    <x v="13"/>
    <n v="3510995150"/>
    <m/>
    <d v="2025-12-16T00:00:00"/>
    <x v="19"/>
    <n v="2.9096019000000002"/>
    <x v="1"/>
    <s v="Deleted"/>
    <x v="3"/>
    <m/>
  </r>
  <r>
    <n v="80891917"/>
    <s v="PTN ROT 180GX12 MILKY MASK"/>
    <s v="A673"/>
    <x v="37"/>
    <x v="1"/>
    <x v="32"/>
    <n v="4757"/>
    <x v="23"/>
    <x v="13"/>
    <n v="3510995151"/>
    <m/>
    <d v="2025-12-16T00:00:00"/>
    <x v="19"/>
    <n v="3.8802848999999999"/>
    <x v="1"/>
    <s v="Deleted"/>
    <x v="3"/>
    <m/>
  </r>
  <r>
    <n v="80891917"/>
    <s v="PTN ROT 180GX12 MILKY MASK"/>
    <s v="A672"/>
    <x v="37"/>
    <x v="1"/>
    <x v="32"/>
    <n v="3567"/>
    <x v="23"/>
    <x v="13"/>
    <n v="3510995152"/>
    <m/>
    <d v="2025-12-16T00:00:00"/>
    <x v="19"/>
    <n v="2.9096019000000002"/>
    <x v="1"/>
    <s v="Deleted"/>
    <x v="3"/>
    <m/>
  </r>
  <r>
    <n v="80891917"/>
    <s v="PTN ROT 180GX12 MILKY MASK"/>
    <s v="C816"/>
    <x v="37"/>
    <x v="1"/>
    <x v="30"/>
    <n v="1214"/>
    <x v="23"/>
    <x v="13"/>
    <n v="3510995153"/>
    <m/>
    <d v="2025-12-16T00:00:00"/>
    <x v="19"/>
    <n v="0.99025980000000002"/>
    <x v="1"/>
    <s v="Deleted"/>
    <x v="3"/>
    <m/>
  </r>
  <r>
    <n v="80891917"/>
    <s v="PTN ROT 180GX12 MILKY MASK"/>
    <s v="A673"/>
    <x v="37"/>
    <x v="1"/>
    <x v="30"/>
    <n v="1618"/>
    <x v="23"/>
    <x v="13"/>
    <n v="3510995154"/>
    <m/>
    <d v="2025-12-16T00:00:00"/>
    <x v="19"/>
    <n v="1.3198026"/>
    <x v="1"/>
    <s v="Deleted"/>
    <x v="3"/>
    <m/>
  </r>
  <r>
    <n v="80891917"/>
    <s v="PTN ROT 180GX12 MILKY MASK"/>
    <s v="A672"/>
    <x v="37"/>
    <x v="1"/>
    <x v="30"/>
    <n v="1214"/>
    <x v="23"/>
    <x v="13"/>
    <n v="3510995155"/>
    <m/>
    <d v="2025-12-16T00:00:00"/>
    <x v="19"/>
    <n v="0.99025980000000002"/>
    <x v="1"/>
    <s v="Deleted"/>
    <x v="3"/>
    <m/>
  </r>
  <r>
    <n v="80814084"/>
    <s v="HS SHM 5GX500 SILKY SOFT"/>
    <s v="A673"/>
    <x v="38"/>
    <x v="4"/>
    <x v="33"/>
    <n v="3086"/>
    <x v="24"/>
    <x v="6"/>
    <n v="3510995156"/>
    <m/>
    <d v="2025-12-16T00:00:00"/>
    <x v="0"/>
    <n v="2.9131840000000002"/>
    <x v="2"/>
    <s v="Yes"/>
    <x v="2"/>
    <m/>
  </r>
  <r>
    <n v="80814084"/>
    <s v="HS SHM 5GX500 SILKY SOFT"/>
    <s v="1864"/>
    <x v="38"/>
    <x v="1"/>
    <x v="33"/>
    <n v="2392"/>
    <x v="24"/>
    <x v="6"/>
    <n v="3510995157"/>
    <m/>
    <d v="2025-12-16T00:00:00"/>
    <x v="0"/>
    <n v="2.2580480000000001"/>
    <x v="1"/>
    <s v="Yes"/>
    <x v="2"/>
    <m/>
  </r>
  <r>
    <n v="83900169"/>
    <s v="H&amp;S SHM 80g*24 IRM Oil Control Rose OI"/>
    <s v="A868"/>
    <x v="39"/>
    <x v="2"/>
    <x v="34"/>
    <n v="3047"/>
    <x v="25"/>
    <x v="1"/>
    <n v="3512260148"/>
    <m/>
    <d v="2025-12-18T00:00:00"/>
    <x v="0"/>
    <n v="2.2090749999999999"/>
    <x v="2"/>
    <s v="Yes"/>
    <x v="2"/>
    <m/>
  </r>
  <r>
    <n v="83900169"/>
    <s v="H&amp;S SHM 80g*24 IRM Oil Control Rose OI"/>
    <s v="A868"/>
    <x v="39"/>
    <x v="2"/>
    <x v="33"/>
    <n v="3047"/>
    <x v="25"/>
    <x v="1"/>
    <n v="3512260149"/>
    <m/>
    <d v="2025-12-18T00:00:00"/>
    <x v="0"/>
    <n v="2.2090749999999999"/>
    <x v="2"/>
    <s v="Yes"/>
    <x v="2"/>
    <m/>
  </r>
  <r>
    <n v="80883601"/>
    <s v="REJ SHM 600GX12 Fresh AD+"/>
    <s v="A868"/>
    <x v="40"/>
    <x v="2"/>
    <x v="35"/>
    <n v="1750"/>
    <x v="26"/>
    <x v="2"/>
    <n v="3512260150"/>
    <m/>
    <d v="2025-12-18T00:00:00"/>
    <x v="0"/>
    <n v="4.7580749999999998"/>
    <x v="2"/>
    <s v="Yes"/>
    <x v="2"/>
    <m/>
  </r>
  <r>
    <n v="80883601"/>
    <s v="REJ SHM 600GX12 Fresh AD+"/>
    <s v="0386"/>
    <x v="40"/>
    <x v="2"/>
    <x v="35"/>
    <n v="1484"/>
    <x v="26"/>
    <x v="2"/>
    <n v="3512260151"/>
    <m/>
    <d v="2025-12-18T00:00:00"/>
    <x v="0"/>
    <n v="4.0348476"/>
    <x v="2"/>
    <s v="Yes"/>
    <x v="2"/>
    <m/>
  </r>
  <r>
    <n v="80883600"/>
    <s v="REJ SHM 1000GX6 Fresh AD+"/>
    <s v="A868"/>
    <x v="40"/>
    <x v="2"/>
    <x v="35"/>
    <n v="661"/>
    <x v="26"/>
    <x v="2"/>
    <n v="3512260152"/>
    <m/>
    <d v="2025-12-18T00:00:00"/>
    <x v="0"/>
    <n v="1.4976277"/>
    <x v="2"/>
    <s v="Yes"/>
    <x v="2"/>
    <m/>
  </r>
  <r>
    <n v="80883600"/>
    <s v="REJ SHM 1000GX6 Fresh AD+"/>
    <s v="1864"/>
    <x v="40"/>
    <x v="2"/>
    <x v="35"/>
    <n v="401"/>
    <x v="26"/>
    <x v="2"/>
    <n v="3512260153"/>
    <m/>
    <d v="2025-12-18T00:00:00"/>
    <x v="0"/>
    <n v="0.90854570000000001"/>
    <x v="2"/>
    <s v="Yes"/>
    <x v="2"/>
    <m/>
  </r>
  <r>
    <n v="80883600"/>
    <s v="REJ SHM 1000GX6 Fresh AD+"/>
    <s v="0386"/>
    <x v="40"/>
    <x v="2"/>
    <x v="35"/>
    <n v="900"/>
    <x v="26"/>
    <x v="2"/>
    <n v="3512260154"/>
    <m/>
    <d v="2025-12-18T00:00:00"/>
    <x v="0"/>
    <n v="2.0391300000000001"/>
    <x v="2"/>
    <s v="Yes"/>
    <x v="2"/>
    <m/>
  </r>
  <r>
    <n v="80883601"/>
    <s v="REJ SHM 600GX12 Fresh AD+"/>
    <s v="A868"/>
    <x v="40"/>
    <x v="1"/>
    <x v="25"/>
    <n v="1385"/>
    <x v="26"/>
    <x v="2"/>
    <n v="3512260155"/>
    <m/>
    <d v="2025-12-18T00:00:00"/>
    <x v="0"/>
    <n v="3.7656765000000001"/>
    <x v="1"/>
    <s v="Yes"/>
    <x v="2"/>
    <m/>
  </r>
  <r>
    <n v="80883601"/>
    <s v="REJ SHM 600GX12 Fresh AD+"/>
    <s v="0386"/>
    <x v="40"/>
    <x v="1"/>
    <x v="25"/>
    <n v="1174"/>
    <x v="26"/>
    <x v="2"/>
    <n v="3512260156"/>
    <m/>
    <d v="2025-12-18T00:00:00"/>
    <x v="0"/>
    <n v="3.1919886000000002"/>
    <x v="1"/>
    <s v="Yes"/>
    <x v="2"/>
    <m/>
  </r>
  <r>
    <n v="80883600"/>
    <s v="REJ SHM 1000GX6 Fresh AD+"/>
    <s v="A868"/>
    <x v="40"/>
    <x v="1"/>
    <x v="25"/>
    <n v="522"/>
    <x v="26"/>
    <x v="2"/>
    <n v="3512260157"/>
    <m/>
    <d v="2025-12-18T00:00:00"/>
    <x v="0"/>
    <n v="1.1826954000000001"/>
    <x v="1"/>
    <s v="Yes"/>
    <x v="2"/>
    <m/>
  </r>
  <r>
    <n v="80883600"/>
    <s v="REJ SHM 1000GX6 Fresh AD+"/>
    <s v="1864"/>
    <x v="40"/>
    <x v="1"/>
    <x v="25"/>
    <n v="318"/>
    <x v="26"/>
    <x v="2"/>
    <n v="3512280238"/>
    <m/>
    <d v="2025-12-18T00:00:00"/>
    <x v="0"/>
    <n v="0.72049260000000004"/>
    <x v="1"/>
    <s v="Yes"/>
    <x v="2"/>
    <m/>
  </r>
  <r>
    <n v="80883600"/>
    <s v="REJ SHM 1000GX6 Fresh AD+"/>
    <s v="0386"/>
    <x v="40"/>
    <x v="1"/>
    <x v="25"/>
    <n v="712"/>
    <x v="26"/>
    <x v="2"/>
    <n v="3512280239"/>
    <m/>
    <d v="2025-12-18T00:00:00"/>
    <x v="0"/>
    <n v="1.6131784"/>
    <x v="1"/>
    <s v="Yes"/>
    <x v="2"/>
    <m/>
  </r>
  <r>
    <n v="80813608"/>
    <s v="潘婷750ML乳液修护洗发露"/>
    <s v="A672"/>
    <x v="41"/>
    <x v="2"/>
    <x v="21"/>
    <n v="600"/>
    <x v="26"/>
    <x v="4"/>
    <n v="3512280240"/>
    <s v="order done"/>
    <d v="2025-12-18T00:00:00"/>
    <x v="15"/>
    <n v="2.0391599999999999"/>
    <x v="2"/>
    <s v="Deleted"/>
    <x v="3"/>
    <m/>
  </r>
  <r>
    <n v="80856843"/>
    <s v="海飞丝670g控油蓬松型去屑头皮护理洗发水"/>
    <s v="A672"/>
    <x v="41"/>
    <x v="2"/>
    <x v="21"/>
    <n v="600"/>
    <x v="26"/>
    <x v="4"/>
    <n v="3512280241"/>
    <s v="order done"/>
    <d v="2025-12-18T00:00:00"/>
    <x v="15"/>
    <n v="1.8216600000000001"/>
    <x v="2"/>
    <s v="Deleted"/>
    <x v="3"/>
    <m/>
  </r>
  <r>
    <n v="83900171"/>
    <s v="H&amp;S SHM 360g*12 IRM Oil Control Rose"/>
    <s v="A673"/>
    <x v="42"/>
    <x v="1"/>
    <x v="36"/>
    <n v="1300"/>
    <x v="27"/>
    <x v="1"/>
    <n v="3513407639"/>
    <m/>
    <d v="2025-12-20T00:00:00"/>
    <x v="0"/>
    <n v="2.1206900000000002"/>
    <x v="1"/>
    <s v="Yes"/>
    <x v="2"/>
    <m/>
  </r>
  <r>
    <n v="83900171"/>
    <s v="H&amp;S SHM 360g*12 IRM Oil Control Rose"/>
    <s v="C816"/>
    <x v="42"/>
    <x v="1"/>
    <x v="36"/>
    <n v="1330"/>
    <x v="27"/>
    <x v="1"/>
    <n v="3513407640"/>
    <m/>
    <d v="2025-12-20T00:00:00"/>
    <x v="0"/>
    <n v="2.169629"/>
    <x v="1"/>
    <s v="Yes"/>
    <x v="2"/>
    <m/>
  </r>
  <r>
    <n v="83900171"/>
    <s v="H&amp;S SHM 360g*12 IRM Oil Control Rose"/>
    <s v="A673"/>
    <x v="43"/>
    <x v="2"/>
    <x v="36"/>
    <n v="1349"/>
    <x v="27"/>
    <x v="1"/>
    <n v="3513407641"/>
    <m/>
    <d v="2025-12-20T00:00:00"/>
    <x v="0"/>
    <n v="2.2006237"/>
    <x v="2"/>
    <s v="Yes"/>
    <x v="2"/>
    <m/>
  </r>
  <r>
    <n v="83900171"/>
    <s v="H&amp;S SHM 360g*12 IRM Oil Control Rose"/>
    <s v="C816"/>
    <x v="43"/>
    <x v="2"/>
    <x v="36"/>
    <n v="1012"/>
    <x v="27"/>
    <x v="1"/>
    <n v="3513407642"/>
    <m/>
    <d v="2025-12-20T00:00:00"/>
    <x v="0"/>
    <n v="1.6508756"/>
    <x v="2"/>
    <s v="Yes"/>
    <x v="2"/>
    <m/>
  </r>
  <r>
    <n v="83900171"/>
    <s v="H&amp;S SHM 360g*12 IRM Oil Control Rose"/>
    <s v="A672"/>
    <x v="43"/>
    <x v="2"/>
    <x v="36"/>
    <n v="1012"/>
    <x v="27"/>
    <x v="1"/>
    <n v="3513407644"/>
    <m/>
    <d v="2025-12-20T00:00:00"/>
    <x v="0"/>
    <n v="1.6508756"/>
    <x v="2"/>
    <s v="Yes"/>
    <x v="2"/>
    <m/>
  </r>
  <r>
    <n v="83900170"/>
    <s v="H&amp;S SHM 670g*12 IRM Oil Control Rose"/>
    <s v="A673"/>
    <x v="43"/>
    <x v="2"/>
    <x v="36"/>
    <n v="369"/>
    <x v="27"/>
    <x v="1"/>
    <n v="3513407645"/>
    <m/>
    <d v="2025-12-20T00:00:00"/>
    <x v="0"/>
    <n v="1.1203209000000001"/>
    <x v="2"/>
    <s v="Yes"/>
    <x v="2"/>
    <m/>
  </r>
  <r>
    <n v="83900170"/>
    <s v="H&amp;S SHM 670g*12 IRM Oil Control Rose"/>
    <s v="C816"/>
    <x v="43"/>
    <x v="2"/>
    <x v="36"/>
    <n v="277"/>
    <x v="27"/>
    <x v="1"/>
    <n v="3513407646"/>
    <m/>
    <d v="2025-12-20T00:00:00"/>
    <x v="0"/>
    <n v="0.84099970000000002"/>
    <x v="2"/>
    <s v="Yes"/>
    <x v="2"/>
    <m/>
  </r>
  <r>
    <n v="83900170"/>
    <s v="H&amp;S SHM 670g*12 IRM Oil Control Rose"/>
    <s v="A672"/>
    <x v="43"/>
    <x v="2"/>
    <x v="36"/>
    <n v="277"/>
    <x v="27"/>
    <x v="1"/>
    <n v="3513407647"/>
    <m/>
    <d v="2025-12-20T00:00:00"/>
    <x v="0"/>
    <n v="0.84099970000000002"/>
    <x v="2"/>
    <s v="Yes"/>
    <x v="2"/>
    <m/>
  </r>
  <r>
    <n v="83900171"/>
    <s v="H&amp;S SHM 360g*12 IRM Oil Control Rose"/>
    <s v="A673"/>
    <x v="43"/>
    <x v="1"/>
    <x v="37"/>
    <n v="515"/>
    <x v="27"/>
    <x v="1"/>
    <n v="3513407648"/>
    <m/>
    <d v="2025-12-20T00:00:00"/>
    <x v="0"/>
    <n v="0.84011950000000002"/>
    <x v="1"/>
    <s v="Yes"/>
    <x v="2"/>
    <m/>
  </r>
  <r>
    <n v="83900171"/>
    <s v="H&amp;S SHM 360g*12 IRM Oil Control Rose"/>
    <s v="C816"/>
    <x v="43"/>
    <x v="1"/>
    <x v="37"/>
    <n v="387"/>
    <x v="27"/>
    <x v="1"/>
    <n v="3513407649"/>
    <m/>
    <d v="2025-12-20T00:00:00"/>
    <x v="0"/>
    <n v="0.63131309999999996"/>
    <x v="1"/>
    <s v="Yes"/>
    <x v="2"/>
    <m/>
  </r>
  <r>
    <n v="83900171"/>
    <s v="H&amp;S SHM 360g*12 IRM Oil Control Rose"/>
    <s v="A672"/>
    <x v="43"/>
    <x v="1"/>
    <x v="37"/>
    <n v="387"/>
    <x v="27"/>
    <x v="1"/>
    <n v="3513407651"/>
    <m/>
    <d v="2025-12-20T00:00:00"/>
    <x v="0"/>
    <n v="0.63131309999999996"/>
    <x v="1"/>
    <s v="Yes"/>
    <x v="2"/>
    <m/>
  </r>
  <r>
    <n v="83900170"/>
    <s v="H&amp;S SHM 670g*12 IRM Oil Control Rose"/>
    <s v="A673"/>
    <x v="43"/>
    <x v="1"/>
    <x v="37"/>
    <n v="145"/>
    <x v="27"/>
    <x v="1"/>
    <n v="3513407652"/>
    <m/>
    <d v="2025-12-20T00:00:00"/>
    <x v="0"/>
    <n v="0.44023449999999997"/>
    <x v="1"/>
    <s v="Yes"/>
    <x v="2"/>
    <m/>
  </r>
  <r>
    <n v="83900170"/>
    <s v="H&amp;S SHM 670g*12 IRM Oil Control Rose"/>
    <s v="C816"/>
    <x v="43"/>
    <x v="1"/>
    <x v="37"/>
    <n v="109"/>
    <x v="27"/>
    <x v="1"/>
    <n v="3513407653"/>
    <m/>
    <d v="2025-12-20T00:00:00"/>
    <x v="0"/>
    <n v="0.33093489999999998"/>
    <x v="1"/>
    <s v="Yes"/>
    <x v="2"/>
    <m/>
  </r>
  <r>
    <n v="83900170"/>
    <s v="H&amp;S SHM 670g*12 IRM Oil Control Rose"/>
    <s v="A672"/>
    <x v="43"/>
    <x v="1"/>
    <x v="37"/>
    <n v="109"/>
    <x v="27"/>
    <x v="1"/>
    <n v="3513407654"/>
    <m/>
    <d v="2025-12-20T00:00:00"/>
    <x v="0"/>
    <n v="0.33093489999999998"/>
    <x v="1"/>
    <s v="Yes"/>
    <x v="2"/>
    <m/>
  </r>
  <r>
    <n v="83900171"/>
    <s v="H&amp;S SHM 360g*12 IRM Oil Control Rose"/>
    <s v="A673"/>
    <x v="43"/>
    <x v="1"/>
    <x v="32"/>
    <n v="197"/>
    <x v="27"/>
    <x v="1"/>
    <n v="3513407655"/>
    <m/>
    <d v="2025-12-20T00:00:00"/>
    <x v="0"/>
    <n v="0.32136609999999999"/>
    <x v="1"/>
    <s v="Yes"/>
    <x v="2"/>
    <m/>
  </r>
  <r>
    <n v="83900171"/>
    <s v="H&amp;S SHM 360g*12 IRM Oil Control Rose"/>
    <s v="C816"/>
    <x v="43"/>
    <x v="1"/>
    <x v="32"/>
    <n v="148"/>
    <x v="27"/>
    <x v="1"/>
    <n v="3513407657"/>
    <m/>
    <d v="2025-12-20T00:00:00"/>
    <x v="0"/>
    <n v="0.24143239999999999"/>
    <x v="1"/>
    <s v="Yes"/>
    <x v="2"/>
    <m/>
  </r>
  <r>
    <n v="83900171"/>
    <s v="H&amp;S SHM 360g*12 IRM Oil Control Rose"/>
    <s v="A672"/>
    <x v="43"/>
    <x v="1"/>
    <x v="32"/>
    <n v="148"/>
    <x v="27"/>
    <x v="1"/>
    <n v="3513407658"/>
    <m/>
    <d v="2025-12-20T00:00:00"/>
    <x v="0"/>
    <n v="0.24143239999999999"/>
    <x v="1"/>
    <s v="Yes"/>
    <x v="2"/>
    <m/>
  </r>
  <r>
    <n v="83900170"/>
    <s v="H&amp;S SHM 670g*12 IRM Oil Control Rose"/>
    <s v="A673"/>
    <x v="43"/>
    <x v="1"/>
    <x v="32"/>
    <n v="53"/>
    <x v="27"/>
    <x v="1"/>
    <n v="3513407659"/>
    <m/>
    <d v="2025-12-20T00:00:00"/>
    <x v="0"/>
    <n v="0.16091330000000001"/>
    <x v="1"/>
    <s v="Yes"/>
    <x v="2"/>
    <m/>
  </r>
  <r>
    <n v="83900170"/>
    <s v="H&amp;S SHM 670g*12 IRM Oil Control Rose"/>
    <s v="C816"/>
    <x v="43"/>
    <x v="1"/>
    <x v="32"/>
    <n v="40"/>
    <x v="27"/>
    <x v="1"/>
    <n v="3513407660"/>
    <m/>
    <d v="2025-12-20T00:00:00"/>
    <x v="0"/>
    <n v="0.121444"/>
    <x v="1"/>
    <s v="Yes"/>
    <x v="2"/>
    <m/>
  </r>
  <r>
    <n v="83900170"/>
    <s v="H&amp;S SHM 670g*12 IRM Oil Control Rose"/>
    <s v="A672"/>
    <x v="43"/>
    <x v="1"/>
    <x v="32"/>
    <n v="40"/>
    <x v="27"/>
    <x v="1"/>
    <n v="3513407661"/>
    <m/>
    <d v="2025-12-20T00:00:00"/>
    <x v="0"/>
    <n v="0.121444"/>
    <x v="1"/>
    <s v="Yes"/>
    <x v="2"/>
    <m/>
  </r>
  <r>
    <n v="21493506"/>
    <s v="GH140o T D2N20S10 0.3PO NaBz 1.0GBG"/>
    <s v="A868"/>
    <x v="44"/>
    <x v="5"/>
    <x v="31"/>
    <n v="18000"/>
    <x v="28"/>
    <x v="14"/>
    <n v="3514538993"/>
    <m/>
    <d v="2025-12-22T00:00:00"/>
    <x v="0"/>
    <n v="6.6000000000000005"/>
    <x v="1"/>
    <s v="Yes"/>
    <x v="2"/>
    <m/>
  </r>
  <r>
    <n v="21493506"/>
    <s v="GH140o T D2N20S10 0.3PO NaBz 1.0GBG"/>
    <s v="A868"/>
    <x v="44"/>
    <x v="5"/>
    <x v="38"/>
    <n v="12000"/>
    <x v="28"/>
    <x v="14"/>
    <n v="3514538994"/>
    <m/>
    <d v="2025-12-22T00:00:00"/>
    <x v="0"/>
    <n v="4.4000000000000004"/>
    <x v="1"/>
    <s v="Yes"/>
    <x v="2"/>
    <m/>
  </r>
  <r>
    <n v="21493506"/>
    <s v="GH140o T D2N20S10 0.3PO NaBz 1.0GBG"/>
    <s v="A868"/>
    <x v="45"/>
    <x v="5"/>
    <x v="31"/>
    <n v="108000"/>
    <x v="28"/>
    <x v="2"/>
    <n v="3514538995"/>
    <m/>
    <d v="2025-12-22T00:00:00"/>
    <x v="0"/>
    <n v="39.6"/>
    <x v="1"/>
    <s v="Yes"/>
    <x v="2"/>
    <m/>
  </r>
  <r>
    <n v="21493506"/>
    <s v="GH140o T D2N20S10 0.3PO NaBz 1.0GBG"/>
    <s v="0386"/>
    <x v="45"/>
    <x v="5"/>
    <x v="31"/>
    <n v="132000"/>
    <x v="28"/>
    <x v="2"/>
    <n v="3514538996"/>
    <m/>
    <d v="2025-12-22T00:00:00"/>
    <x v="0"/>
    <n v="48.400000000000006"/>
    <x v="1"/>
    <s v="Yes"/>
    <x v="2"/>
    <m/>
  </r>
  <r>
    <n v="80865245"/>
    <s v="PTN SHM 470gX12 TDC HKTW"/>
    <s v="0386"/>
    <x v="46"/>
    <x v="1"/>
    <x v="31"/>
    <n v="800"/>
    <x v="28"/>
    <x v="14"/>
    <n v="3514538997"/>
    <m/>
    <d v="2025-12-22T00:00:00"/>
    <x v="0"/>
    <n v="1.70384"/>
    <x v="1"/>
    <s v="Yes"/>
    <x v="2"/>
    <m/>
  </r>
  <r>
    <n v="80865244"/>
    <s v="PTN SHM 470gX12 DMR HKTW"/>
    <s v="0386"/>
    <x v="46"/>
    <x v="1"/>
    <x v="31"/>
    <n v="800"/>
    <x v="28"/>
    <x v="14"/>
    <n v="3514539018"/>
    <m/>
    <d v="2025-12-22T00:00:00"/>
    <x v="0"/>
    <n v="1.70384"/>
    <x v="1"/>
    <s v="Yes"/>
    <x v="2"/>
    <m/>
  </r>
  <r>
    <n v="80868686"/>
    <s v="PTN SHM 470gX12 3MM Jasmine HKTW"/>
    <s v="0386"/>
    <x v="46"/>
    <x v="1"/>
    <x v="31"/>
    <n v="800"/>
    <x v="28"/>
    <x v="14"/>
    <n v="3514539019"/>
    <m/>
    <d v="2025-12-22T00:00:00"/>
    <x v="0"/>
    <n v="1.70384"/>
    <x v="1"/>
    <s v="Yes"/>
    <x v="2"/>
    <m/>
  </r>
  <r>
    <n v="80895890"/>
    <s v="PTN Millie SHM 530GX6 LIGHT TONIC"/>
    <s v="0386"/>
    <x v="47"/>
    <x v="1"/>
    <x v="31"/>
    <n v="200"/>
    <x v="29"/>
    <x v="14"/>
    <n v="3515664652"/>
    <m/>
    <d v="2025-12-24T00:00:00"/>
    <x v="0"/>
    <n v="0.24016000000000001"/>
    <x v="1"/>
    <s v="Yes"/>
    <x v="2"/>
    <m/>
  </r>
  <r>
    <n v="80893119"/>
    <s v="RJC SHM FRH AD MOIS (1kgX10+1kgX2)gX1MIX"/>
    <s v="A672"/>
    <x v="48"/>
    <x v="2"/>
    <x v="24"/>
    <n v="10000"/>
    <x v="30"/>
    <x v="7"/>
    <n v="3515681543"/>
    <s v="已pass CM"/>
    <d v="2025-12-24T00:00:00"/>
    <x v="19"/>
    <n v="45.316000000000003"/>
    <x v="2"/>
    <s v="Deleted"/>
    <x v="3"/>
    <m/>
  </r>
  <r>
    <n v="83900171"/>
    <s v="H&amp;S SHM 360g*12 IRM Oil Control Rose"/>
    <s v="A673"/>
    <x v="43"/>
    <x v="2"/>
    <x v="36"/>
    <n v="1300"/>
    <x v="31"/>
    <x v="1"/>
    <n v="3516756631"/>
    <m/>
    <d v="2025-12-26T00:00:00"/>
    <x v="0"/>
    <n v="2.1206900000000002"/>
    <x v="2"/>
    <s v="Yes"/>
    <x v="2"/>
    <m/>
  </r>
  <r>
    <n v="83900171"/>
    <s v="H&amp;S SHM 360g*12 IRM Oil Control Rose"/>
    <s v="C816"/>
    <x v="43"/>
    <x v="2"/>
    <x v="36"/>
    <n v="1330"/>
    <x v="31"/>
    <x v="1"/>
    <n v="3516756632"/>
    <m/>
    <d v="2025-12-26T00:00:00"/>
    <x v="0"/>
    <n v="2.169629"/>
    <x v="2"/>
    <s v="Yes"/>
    <x v="2"/>
    <m/>
  </r>
  <r>
    <n v="83900171"/>
    <s v="H&amp;S SHM 360g*12 IRM Oil Control Rose"/>
    <s v="A672"/>
    <x v="43"/>
    <x v="2"/>
    <x v="36"/>
    <n v="1303"/>
    <x v="31"/>
    <x v="1"/>
    <n v="3516756633"/>
    <m/>
    <d v="2025-12-26T00:00:00"/>
    <x v="0"/>
    <n v="2.1255839000000001"/>
    <x v="2"/>
    <s v="Yes"/>
    <x v="2"/>
    <m/>
  </r>
  <r>
    <n v="83900171"/>
    <s v="H&amp;S SHM 360g*12 IRM Oil Control Rose"/>
    <s v="A673"/>
    <x v="43"/>
    <x v="2"/>
    <x v="36"/>
    <n v="1300"/>
    <x v="31"/>
    <x v="1"/>
    <n v="3516756634"/>
    <m/>
    <d v="2025-12-26T00:00:00"/>
    <x v="0"/>
    <n v="2.1206900000000002"/>
    <x v="2"/>
    <s v="Yes"/>
    <x v="2"/>
    <m/>
  </r>
  <r>
    <n v="83900171"/>
    <s v="H&amp;S SHM 360g*12 IRM Oil Control Rose"/>
    <s v="C816"/>
    <x v="43"/>
    <x v="2"/>
    <x v="36"/>
    <n v="1330"/>
    <x v="31"/>
    <x v="1"/>
    <n v="3516756635"/>
    <m/>
    <d v="2025-12-26T00:00:00"/>
    <x v="0"/>
    <n v="2.169629"/>
    <x v="2"/>
    <s v="Yes"/>
    <x v="2"/>
    <m/>
  </r>
  <r>
    <n v="80891917"/>
    <s v="PTN ROT 180GX12 MILKY MASK"/>
    <s v="A668"/>
    <x v="37"/>
    <x v="2"/>
    <x v="31"/>
    <n v="1133"/>
    <x v="31"/>
    <x v="13"/>
    <n v="3516765555"/>
    <m/>
    <d v="2025-12-26T00:00:00"/>
    <x v="0"/>
    <n v="0.92418809999999996"/>
    <x v="2"/>
    <s v="Yes"/>
    <x v="2"/>
    <m/>
  </r>
  <r>
    <n v="80891917"/>
    <s v="PTN ROT 180GX12 MILKY MASK"/>
    <s v="A672"/>
    <x v="37"/>
    <x v="2"/>
    <x v="31"/>
    <n v="1423"/>
    <x v="31"/>
    <x v="13"/>
    <n v="3516765556"/>
    <m/>
    <d v="2025-12-26T00:00:00"/>
    <x v="0"/>
    <n v="1.1607411000000001"/>
    <x v="2"/>
    <s v="Yes"/>
    <x v="2"/>
    <m/>
  </r>
  <r>
    <n v="80891917"/>
    <s v="PTN ROT 180GX12 MILKY MASK"/>
    <s v="A673"/>
    <x v="37"/>
    <x v="2"/>
    <x v="31"/>
    <n v="1615"/>
    <x v="31"/>
    <x v="13"/>
    <n v="3516765557"/>
    <m/>
    <d v="2025-12-26T00:00:00"/>
    <x v="0"/>
    <n v="1.3173554999999999"/>
    <x v="2"/>
    <s v="Yes"/>
    <x v="2"/>
    <m/>
  </r>
  <r>
    <n v="80891917"/>
    <s v="PTN ROT 180GX12 MILKY MASK"/>
    <s v="A680"/>
    <x v="37"/>
    <x v="2"/>
    <x v="31"/>
    <n v="1021"/>
    <x v="31"/>
    <x v="13"/>
    <n v="3516765580"/>
    <m/>
    <d v="2025-12-26T00:00:00"/>
    <x v="0"/>
    <n v="0.83282970000000001"/>
    <x v="2"/>
    <s v="Yes"/>
    <x v="2"/>
    <m/>
  </r>
  <r>
    <n v="80891917"/>
    <s v="PTN ROT 180GX12 MILKY MASK"/>
    <s v="A715"/>
    <x v="37"/>
    <x v="2"/>
    <x v="31"/>
    <n v="147"/>
    <x v="31"/>
    <x v="13"/>
    <n v="3516765583"/>
    <m/>
    <d v="2025-12-26T00:00:00"/>
    <x v="0"/>
    <n v="0.1199079"/>
    <x v="2"/>
    <s v="Yes"/>
    <x v="2"/>
    <m/>
  </r>
  <r>
    <n v="80891917"/>
    <s v="PTN ROT 180GX12 MILKY MASK"/>
    <s v="A716"/>
    <x v="37"/>
    <x v="2"/>
    <x v="31"/>
    <n v="124"/>
    <x v="31"/>
    <x v="13"/>
    <n v="3516765587"/>
    <m/>
    <d v="2025-12-26T00:00:00"/>
    <x v="0"/>
    <n v="0.1011468"/>
    <x v="2"/>
    <s v="Yes"/>
    <x v="2"/>
    <m/>
  </r>
  <r>
    <n v="80891917"/>
    <s v="PTN ROT 180GX12 MILKY MASK"/>
    <s v="C816"/>
    <x v="37"/>
    <x v="2"/>
    <x v="31"/>
    <n v="1407"/>
    <x v="31"/>
    <x v="13"/>
    <n v="3516765590"/>
    <m/>
    <d v="2025-12-26T00:00:00"/>
    <x v="0"/>
    <n v="1.1476899"/>
    <x v="2"/>
    <s v="Yes"/>
    <x v="2"/>
    <m/>
  </r>
  <r>
    <n v="80891917"/>
    <s v="PTN ROT 180GX12 MILKY MASK"/>
    <s v="A668"/>
    <x v="37"/>
    <x v="1"/>
    <x v="32"/>
    <n v="340"/>
    <x v="31"/>
    <x v="13"/>
    <n v="3516765593"/>
    <m/>
    <d v="2025-12-26T00:00:00"/>
    <x v="0"/>
    <n v="0.27733799999999997"/>
    <x v="1"/>
    <s v="Yes"/>
    <x v="2"/>
    <m/>
  </r>
  <r>
    <n v="80891917"/>
    <s v="PTN ROT 180GX12 MILKY MASK"/>
    <s v="A672"/>
    <x v="37"/>
    <x v="1"/>
    <x v="32"/>
    <n v="427"/>
    <x v="31"/>
    <x v="13"/>
    <n v="3516765595"/>
    <m/>
    <d v="2025-12-26T00:00:00"/>
    <x v="0"/>
    <n v="0.3483039"/>
    <x v="1"/>
    <s v="Yes"/>
    <x v="2"/>
    <m/>
  </r>
  <r>
    <n v="80891917"/>
    <s v="PTN ROT 180GX12 MILKY MASK"/>
    <s v="A673"/>
    <x v="37"/>
    <x v="1"/>
    <x v="32"/>
    <n v="484"/>
    <x v="31"/>
    <x v="13"/>
    <n v="3516765598"/>
    <m/>
    <d v="2025-12-26T00:00:00"/>
    <x v="0"/>
    <n v="0.39479880000000001"/>
    <x v="1"/>
    <s v="Yes"/>
    <x v="2"/>
    <m/>
  </r>
  <r>
    <n v="80891917"/>
    <s v="PTN ROT 180GX12 MILKY MASK"/>
    <s v="A680"/>
    <x v="37"/>
    <x v="1"/>
    <x v="32"/>
    <n v="305"/>
    <x v="31"/>
    <x v="13"/>
    <n v="3516765600"/>
    <m/>
    <d v="2025-12-26T00:00:00"/>
    <x v="0"/>
    <n v="0.2487885"/>
    <x v="1"/>
    <s v="Yes"/>
    <x v="2"/>
    <m/>
  </r>
  <r>
    <n v="80891917"/>
    <s v="PTN ROT 180GX12 MILKY MASK"/>
    <s v="A715"/>
    <x v="37"/>
    <x v="1"/>
    <x v="32"/>
    <n v="44"/>
    <x v="31"/>
    <x v="13"/>
    <n v="3516765602"/>
    <m/>
    <d v="2025-12-26T00:00:00"/>
    <x v="0"/>
    <n v="3.58908E-2"/>
    <x v="1"/>
    <s v="Yes"/>
    <x v="2"/>
    <m/>
  </r>
  <r>
    <n v="80891917"/>
    <s v="PTN ROT 180GX12 MILKY MASK"/>
    <s v="A716"/>
    <x v="37"/>
    <x v="1"/>
    <x v="32"/>
    <n v="37"/>
    <x v="31"/>
    <x v="13"/>
    <n v="3516765606"/>
    <m/>
    <d v="2025-12-26T00:00:00"/>
    <x v="0"/>
    <n v="3.01809E-2"/>
    <x v="1"/>
    <s v="Yes"/>
    <x v="2"/>
    <m/>
  </r>
  <r>
    <n v="80891917"/>
    <s v="PTN ROT 180GX12 MILKY MASK"/>
    <s v="C816"/>
    <x v="37"/>
    <x v="1"/>
    <x v="32"/>
    <n v="423"/>
    <x v="31"/>
    <x v="13"/>
    <n v="3516765609"/>
    <m/>
    <d v="2025-12-26T00:00:00"/>
    <x v="0"/>
    <n v="0.34504109999999999"/>
    <x v="1"/>
    <s v="Yes"/>
    <x v="2"/>
    <m/>
  </r>
  <r>
    <n v="80891917"/>
    <s v="PTN ROT 180GX12 MILKY MASK"/>
    <s v="A668"/>
    <x v="37"/>
    <x v="1"/>
    <x v="30"/>
    <n v="793"/>
    <x v="31"/>
    <x v="13"/>
    <n v="3516765610"/>
    <m/>
    <d v="2025-12-26T00:00:00"/>
    <x v="0"/>
    <n v="0.64685009999999998"/>
    <x v="1"/>
    <s v="Yes"/>
    <x v="2"/>
    <m/>
  </r>
  <r>
    <n v="80891917"/>
    <s v="PTN ROT 180GX12 MILKY MASK"/>
    <s v="A672"/>
    <x v="37"/>
    <x v="1"/>
    <x v="30"/>
    <n v="997"/>
    <x v="31"/>
    <x v="13"/>
    <n v="3516765611"/>
    <m/>
    <d v="2025-12-26T00:00:00"/>
    <x v="0"/>
    <n v="0.81325289999999995"/>
    <x v="1"/>
    <s v="Yes"/>
    <x v="2"/>
    <m/>
  </r>
  <r>
    <n v="80891917"/>
    <s v="PTN ROT 180GX12 MILKY MASK"/>
    <s v="A673"/>
    <x v="37"/>
    <x v="1"/>
    <x v="30"/>
    <n v="1130"/>
    <x v="31"/>
    <x v="13"/>
    <n v="3516765612"/>
    <m/>
    <d v="2025-12-26T00:00:00"/>
    <x v="0"/>
    <n v="0.92174100000000003"/>
    <x v="1"/>
    <s v="Yes"/>
    <x v="2"/>
    <m/>
  </r>
  <r>
    <n v="80891917"/>
    <s v="PTN ROT 180GX12 MILKY MASK"/>
    <s v="A680"/>
    <x v="37"/>
    <x v="1"/>
    <x v="30"/>
    <n v="715"/>
    <x v="31"/>
    <x v="13"/>
    <n v="3516765613"/>
    <m/>
    <d v="2025-12-26T00:00:00"/>
    <x v="0"/>
    <n v="0.58322549999999995"/>
    <x v="1"/>
    <s v="Yes"/>
    <x v="2"/>
    <m/>
  </r>
  <r>
    <n v="80891917"/>
    <s v="PTN ROT 180GX12 MILKY MASK"/>
    <s v="A715"/>
    <x v="37"/>
    <x v="1"/>
    <x v="30"/>
    <n v="103"/>
    <x v="31"/>
    <x v="13"/>
    <n v="3516765614"/>
    <m/>
    <d v="2025-12-26T00:00:00"/>
    <x v="0"/>
    <n v="8.4017099999999997E-2"/>
    <x v="1"/>
    <s v="Yes"/>
    <x v="2"/>
    <m/>
  </r>
  <r>
    <n v="80891917"/>
    <s v="PTN ROT 180GX12 MILKY MASK"/>
    <s v="A716"/>
    <x v="37"/>
    <x v="1"/>
    <x v="30"/>
    <n v="86"/>
    <x v="31"/>
    <x v="13"/>
    <n v="3516765615"/>
    <m/>
    <d v="2025-12-26T00:00:00"/>
    <x v="0"/>
    <n v="7.0150199999999996E-2"/>
    <x v="1"/>
    <s v="Yes"/>
    <x v="2"/>
    <m/>
  </r>
  <r>
    <n v="80891917"/>
    <s v="PTN ROT 180GX12 MILKY MASK"/>
    <s v="C816"/>
    <x v="37"/>
    <x v="1"/>
    <x v="30"/>
    <n v="986"/>
    <x v="31"/>
    <x v="13"/>
    <n v="3516765616"/>
    <m/>
    <d v="2025-12-26T00:00:00"/>
    <x v="0"/>
    <n v="0.8042802"/>
    <x v="1"/>
    <s v="Yes"/>
    <x v="2"/>
    <m/>
  </r>
  <r>
    <n v="80885105"/>
    <s v="HR COND 510GX9 FIG VOL HKTW"/>
    <s v="0386"/>
    <x v="49"/>
    <x v="1"/>
    <x v="25"/>
    <n v="1090"/>
    <x v="31"/>
    <x v="14"/>
    <n v="3516765617"/>
    <m/>
    <d v="2025-12-26T00:00:00"/>
    <x v="0"/>
    <n v="1.889297"/>
    <x v="1"/>
    <s v="Yes"/>
    <x v="2"/>
    <m/>
  </r>
  <r>
    <n v="80885108"/>
    <s v="HR SHM 510GX9 FIG VOL HKTW"/>
    <s v="0386"/>
    <x v="49"/>
    <x v="1"/>
    <x v="25"/>
    <n v="3494"/>
    <x v="31"/>
    <x v="14"/>
    <n v="3516765618"/>
    <m/>
    <d v="2025-12-26T00:00:00"/>
    <x v="0"/>
    <n v="6.0561502000000003"/>
    <x v="1"/>
    <s v="Yes"/>
    <x v="2"/>
    <m/>
  </r>
  <r>
    <n v="80885101"/>
    <s v="HR SHM 510GX9 ANTI+BREAKAGE UKA HKTW"/>
    <s v="0386"/>
    <x v="49"/>
    <x v="1"/>
    <x v="25"/>
    <n v="2385"/>
    <x v="31"/>
    <x v="14"/>
    <n v="3516765620"/>
    <m/>
    <d v="2025-12-26T00:00:00"/>
    <x v="0"/>
    <n v="4.1339205000000003"/>
    <x v="1"/>
    <s v="Yes"/>
    <x v="2"/>
    <m/>
  </r>
  <r>
    <n v="80885103"/>
    <s v="HR SHM 510GX9 HYDRATING WGS HKTW"/>
    <s v="0386"/>
    <x v="49"/>
    <x v="1"/>
    <x v="25"/>
    <n v="3469"/>
    <x v="31"/>
    <x v="14"/>
    <n v="3516765621"/>
    <m/>
    <d v="2025-12-26T00:00:00"/>
    <x v="0"/>
    <n v="6.0128177000000003"/>
    <x v="1"/>
    <s v="Yes"/>
    <x v="2"/>
    <m/>
  </r>
  <r>
    <n v="80885097"/>
    <s v="HR COND 510GX9 WGS HYDRATING HKTW"/>
    <s v="0386"/>
    <x v="49"/>
    <x v="1"/>
    <x v="25"/>
    <n v="1563"/>
    <x v="31"/>
    <x v="14"/>
    <n v="3516765622"/>
    <m/>
    <d v="2025-12-26T00:00:00"/>
    <x v="0"/>
    <n v="2.7091479000000001"/>
    <x v="1"/>
    <s v="Yes"/>
    <x v="2"/>
    <m/>
  </r>
  <r>
    <n v="80885100"/>
    <s v="HR SHM 280GX12 HYDRATING WGS HKTW"/>
    <s v="0386"/>
    <x v="49"/>
    <x v="1"/>
    <x v="25"/>
    <n v="270"/>
    <x v="31"/>
    <x v="14"/>
    <n v="3516765623"/>
    <m/>
    <d v="2025-12-26T00:00:00"/>
    <x v="0"/>
    <n v="0.34257599999999999"/>
    <x v="1"/>
    <s v="Yes"/>
    <x v="2"/>
    <m/>
  </r>
  <r>
    <n v="80885099"/>
    <s v="HR SHM 280GX12 ANTI+BREAKAGE UKA HKTW"/>
    <s v="0386"/>
    <x v="49"/>
    <x v="1"/>
    <x v="25"/>
    <n v="608"/>
    <x v="31"/>
    <x v="14"/>
    <n v="3516765624"/>
    <m/>
    <d v="2025-12-26T00:00:00"/>
    <x v="0"/>
    <n v="0.77143039999999996"/>
    <x v="1"/>
    <s v="Yes"/>
    <x v="2"/>
    <m/>
  </r>
  <r>
    <n v="80868678"/>
    <s v="PTN CON 180mlX12 3MM Jasmine HKTW"/>
    <s v="0386"/>
    <x v="49"/>
    <x v="1"/>
    <x v="25"/>
    <n v="328"/>
    <x v="31"/>
    <x v="14"/>
    <n v="3516765625"/>
    <m/>
    <d v="2025-12-26T00:00:00"/>
    <x v="0"/>
    <n v="0.27555279999999999"/>
    <x v="1"/>
    <s v="Yes"/>
    <x v="2"/>
    <m/>
  </r>
  <r>
    <n v="80868686"/>
    <s v="PTN SHM 470gX12 3MM Jasmine HKTW"/>
    <s v="0386"/>
    <x v="49"/>
    <x v="1"/>
    <x v="25"/>
    <n v="1831"/>
    <x v="31"/>
    <x v="14"/>
    <n v="3516765627"/>
    <m/>
    <d v="2025-12-26T00:00:00"/>
    <x v="0"/>
    <n v="3.8996637999999999"/>
    <x v="1"/>
    <s v="Yes"/>
    <x v="2"/>
    <m/>
  </r>
  <r>
    <n v="80865245"/>
    <s v="PTN SHM 470gX12 TDC HKTW"/>
    <s v="0386"/>
    <x v="50"/>
    <x v="1"/>
    <x v="25"/>
    <n v="997"/>
    <x v="31"/>
    <x v="14"/>
    <n v="3516765628"/>
    <m/>
    <d v="2025-12-26T00:00:00"/>
    <x v="0"/>
    <n v="2.1234106000000001"/>
    <x v="1"/>
    <s v="Yes"/>
    <x v="2"/>
    <m/>
  </r>
  <r>
    <n v="80865244"/>
    <s v="PTN SHM 470gX12 DMR HKTW"/>
    <s v="0386"/>
    <x v="50"/>
    <x v="1"/>
    <x v="25"/>
    <n v="897"/>
    <x v="31"/>
    <x v="14"/>
    <n v="3516765630"/>
    <m/>
    <d v="2025-12-26T00:00:00"/>
    <x v="0"/>
    <n v="1.9104306"/>
    <x v="1"/>
    <s v="Yes"/>
    <x v="2"/>
    <m/>
  </r>
  <r>
    <m/>
    <m/>
    <m/>
    <x v="0"/>
    <x v="0"/>
    <x v="0"/>
    <m/>
    <x v="0"/>
    <x v="0"/>
    <m/>
    <m/>
    <m/>
    <x v="0"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B1DE-DF98-41BD-9F37-E81576454CD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44:G53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1">
        <item x="11"/>
        <item x="31"/>
        <item x="13"/>
        <item x="18"/>
        <item x="38"/>
        <item x="29"/>
        <item x="28"/>
        <item x="39"/>
        <item x="43"/>
        <item x="42"/>
        <item x="1"/>
        <item x="32"/>
        <item x="35"/>
        <item x="17"/>
        <item x="24"/>
        <item x="6"/>
        <item x="23"/>
        <item x="22"/>
        <item x="19"/>
        <item x="20"/>
        <item x="25"/>
        <item x="30"/>
        <item x="36"/>
        <item x="37"/>
        <item x="9"/>
        <item x="40"/>
        <item x="2"/>
        <item x="41"/>
        <item x="8"/>
        <item x="16"/>
        <item x="10"/>
        <item x="3"/>
        <item x="7"/>
        <item x="26"/>
        <item x="4"/>
        <item x="21"/>
        <item x="5"/>
        <item x="14"/>
        <item x="15"/>
        <item x="27"/>
        <item x="34"/>
        <item x="33"/>
        <item x="12"/>
        <item x="0"/>
        <item x="44"/>
        <item x="45"/>
        <item x="46"/>
        <item x="47"/>
        <item x="48"/>
        <item x="49"/>
        <item x="50"/>
      </items>
    </pivotField>
    <pivotField axis="axisRow" compact="0" outline="0" showAll="0" defaultSubtotal="0">
      <items count="6">
        <item x="4"/>
        <item x="1"/>
        <item x="3"/>
        <item x="2"/>
        <item x="5"/>
        <item x="0"/>
      </items>
    </pivotField>
    <pivotField axis="axisCol" compact="0" outline="0" showAll="0" defaultSubtotal="0">
      <items count="40">
        <item x="4"/>
        <item x="7"/>
        <item x="8"/>
        <item x="9"/>
        <item x="14"/>
        <item x="17"/>
        <item x="5"/>
        <item x="16"/>
        <item x="3"/>
        <item x="23"/>
        <item x="6"/>
        <item x="11"/>
        <item x="18"/>
        <item x="22"/>
        <item x="15"/>
        <item x="26"/>
        <item x="10"/>
        <item x="28"/>
        <item x="19"/>
        <item x="12"/>
        <item x="21"/>
        <item x="20"/>
        <item x="1"/>
        <item x="24"/>
        <item x="35"/>
        <item x="25"/>
        <item x="27"/>
        <item x="34"/>
        <item x="36"/>
        <item x="33"/>
        <item x="13"/>
        <item x="2"/>
        <item x="31"/>
        <item x="37"/>
        <item x="32"/>
        <item x="29"/>
        <item x="30"/>
        <item x="0"/>
        <item x="38"/>
        <item m="1" x="39"/>
      </items>
    </pivotField>
    <pivotField compact="0" outline="0" showAll="0" defaultSubtotal="0"/>
    <pivotField compact="0" outline="0" showAll="0" defaultSubtotal="0">
      <items count="3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0"/>
        <item x="28"/>
        <item x="29"/>
        <item x="30"/>
        <item x="31"/>
        <item m="1" x="32"/>
      </items>
    </pivotField>
    <pivotField axis="axisRow" compact="0" outline="0" showAll="0" defaultSubtotal="0">
      <items count="15">
        <item h="1" x="8"/>
        <item x="12"/>
        <item h="1" x="7"/>
        <item h="1" x="10"/>
        <item h="1" x="1"/>
        <item h="1" x="3"/>
        <item h="1" x="4"/>
        <item h="1" x="13"/>
        <item h="1" x="6"/>
        <item h="1" x="2"/>
        <item h="1" x="5"/>
        <item h="1" x="11"/>
        <item h="1" x="9"/>
        <item h="1" x="0"/>
        <item h="1"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0">
        <item x="2"/>
        <item x="8"/>
        <item x="1"/>
        <item x="6"/>
        <item x="3"/>
        <item x="7"/>
        <item x="5"/>
        <item x="4"/>
        <item x="9"/>
        <item x="11"/>
        <item x="13"/>
        <item x="10"/>
        <item x="14"/>
        <item x="17"/>
        <item x="12"/>
        <item x="16"/>
        <item x="18"/>
        <item x="0"/>
        <item x="15"/>
        <item x="19"/>
      </items>
    </pivotField>
    <pivotField dataField="1"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x="5"/>
      </items>
    </pivotField>
    <pivotField axis="axisCol" compact="0" outline="0" subtotalTop="0" showAll="0" defaultSubtotal="0">
      <items count="4">
        <item sd="0" x="0"/>
        <item x="1"/>
        <item x="2"/>
        <item x="3"/>
      </items>
    </pivotField>
  </pivotFields>
  <rowFields count="4">
    <field x="8"/>
    <field x="4"/>
    <field x="14"/>
    <field x="3"/>
  </rowFields>
  <rowItems count="6">
    <i>
      <x v="1"/>
      <x v="4"/>
      <x v="1"/>
      <x v="1"/>
    </i>
    <i r="3">
      <x v="5"/>
    </i>
    <i r="3">
      <x v="6"/>
    </i>
    <i r="3">
      <x v="11"/>
    </i>
    <i r="3">
      <x v="21"/>
    </i>
    <i t="grand">
      <x/>
    </i>
  </rowItems>
  <colFields count="3">
    <field x="22"/>
    <field x="20"/>
    <field x="5"/>
  </colFields>
  <colItems count="3">
    <i>
      <x v="2"/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8">
      <pivotArea outline="0" collapsedLevelsAreSubtotals="1" fieldPosition="0"/>
    </format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6:F39" firstHeaderRow="1" firstDataRow="2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1">
        <item x="11"/>
        <item x="31"/>
        <item x="13"/>
        <item x="18"/>
        <item x="38"/>
        <item x="29"/>
        <item x="28"/>
        <item x="39"/>
        <item x="43"/>
        <item x="42"/>
        <item x="1"/>
        <item x="32"/>
        <item x="35"/>
        <item x="17"/>
        <item x="24"/>
        <item x="6"/>
        <item x="23"/>
        <item x="22"/>
        <item x="19"/>
        <item x="20"/>
        <item x="25"/>
        <item x="30"/>
        <item x="36"/>
        <item x="37"/>
        <item x="9"/>
        <item x="40"/>
        <item x="2"/>
        <item x="41"/>
        <item x="8"/>
        <item x="16"/>
        <item x="10"/>
        <item x="3"/>
        <item x="7"/>
        <item x="26"/>
        <item x="4"/>
        <item x="21"/>
        <item x="5"/>
        <item x="14"/>
        <item x="15"/>
        <item x="27"/>
        <item x="34"/>
        <item x="33"/>
        <item x="12"/>
        <item x="0"/>
        <item x="44"/>
        <item x="45"/>
        <item x="46"/>
        <item x="47"/>
        <item x="48"/>
        <item x="49"/>
        <item x="50"/>
      </items>
    </pivotField>
    <pivotField axis="axisRow" compact="0" outline="0" showAll="0" defaultSubtotal="0">
      <items count="6">
        <item x="4"/>
        <item x="1"/>
        <item x="3"/>
        <item x="2"/>
        <item x="5"/>
        <item x="0"/>
      </items>
    </pivotField>
    <pivotField axis="axisCol" compact="0" outline="0" showAll="0" defaultSubtotal="0">
      <items count="40">
        <item x="4"/>
        <item x="7"/>
        <item x="8"/>
        <item x="9"/>
        <item x="14"/>
        <item x="17"/>
        <item x="5"/>
        <item x="16"/>
        <item x="3"/>
        <item x="23"/>
        <item x="6"/>
        <item x="11"/>
        <item x="18"/>
        <item x="22"/>
        <item x="15"/>
        <item x="26"/>
        <item x="10"/>
        <item x="28"/>
        <item x="19"/>
        <item x="12"/>
        <item x="21"/>
        <item x="20"/>
        <item x="1"/>
        <item x="24"/>
        <item x="35"/>
        <item x="25"/>
        <item x="27"/>
        <item x="34"/>
        <item x="36"/>
        <item x="33"/>
        <item x="13"/>
        <item x="2"/>
        <item x="31"/>
        <item x="37"/>
        <item x="32"/>
        <item x="29"/>
        <item x="30"/>
        <item x="0"/>
        <item x="38"/>
        <item m="1" x="39"/>
      </items>
    </pivotField>
    <pivotField compact="0" outline="0" showAll="0" defaultSubtotal="0"/>
    <pivotField compact="0" outline="0" showAll="0" defaultSubtotal="0">
      <items count="3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0"/>
        <item x="28"/>
        <item x="29"/>
        <item x="30"/>
        <item x="31"/>
        <item m="1" x="32"/>
      </items>
    </pivotField>
    <pivotField axis="axisRow" compact="0" outline="0" showAll="0" defaultSubtotal="0">
      <items count="15">
        <item x="8"/>
        <item x="12"/>
        <item x="7"/>
        <item x="10"/>
        <item x="1"/>
        <item x="3"/>
        <item x="4"/>
        <item x="13"/>
        <item x="6"/>
        <item x="2"/>
        <item x="5"/>
        <item x="11"/>
        <item x="9"/>
        <item x="0"/>
        <item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howAll="0" defaultSubtotal="0"/>
    <pivotField axis="axisPage" compact="0" outline="0" multipleItemSelectionAllowed="1" showAll="0" defaultSubtotal="0">
      <items count="7">
        <item m="1" x="6"/>
        <item m="1" x="4"/>
        <item m="1" x="5"/>
        <item h="1" x="3"/>
        <item h="1" x="2"/>
        <item h="1" x="0"/>
        <item x="1"/>
      </items>
    </pivotField>
    <pivotField compact="0" outline="0" showAll="0" defaultSubtotal="0"/>
    <pivotField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x="5"/>
      </items>
    </pivotField>
    <pivotField compact="0" outline="0" subtotalTop="0" showAll="0" defaultSubtotal="0">
      <items count="4">
        <item sd="0" x="0"/>
        <item x="1"/>
        <item x="2"/>
        <item x="3"/>
      </items>
    </pivotField>
  </pivotFields>
  <rowFields count="4">
    <field x="8"/>
    <field x="4"/>
    <field x="14"/>
    <field x="3"/>
  </rowFields>
  <rowItems count="2">
    <i>
      <x v="4"/>
      <x v="1"/>
      <x v="1"/>
      <x v="10"/>
    </i>
    <i t="grand">
      <x/>
    </i>
  </rowItems>
  <colFields count="1">
    <field x="5"/>
  </colFields>
  <colItems count="2">
    <i>
      <x v="22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4"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outline="0" fieldPosition="0">
        <references count="1">
          <reference field="5" count="3">
            <x v="20"/>
            <x v="21"/>
            <x v="22"/>
          </reference>
        </references>
      </pivotArea>
    </format>
    <format dxfId="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J26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1">
        <item x="11"/>
        <item x="31"/>
        <item x="13"/>
        <item x="18"/>
        <item x="38"/>
        <item x="29"/>
        <item x="28"/>
        <item x="39"/>
        <item x="43"/>
        <item x="42"/>
        <item x="1"/>
        <item x="32"/>
        <item x="35"/>
        <item x="17"/>
        <item x="24"/>
        <item x="6"/>
        <item x="23"/>
        <item x="22"/>
        <item x="19"/>
        <item x="20"/>
        <item x="25"/>
        <item x="30"/>
        <item x="36"/>
        <item x="37"/>
        <item x="9"/>
        <item x="40"/>
        <item x="2"/>
        <item x="41"/>
        <item x="8"/>
        <item x="16"/>
        <item x="10"/>
        <item x="3"/>
        <item x="7"/>
        <item x="26"/>
        <item x="4"/>
        <item x="21"/>
        <item x="5"/>
        <item x="14"/>
        <item x="15"/>
        <item x="27"/>
        <item x="34"/>
        <item x="33"/>
        <item x="12"/>
        <item x="0"/>
        <item x="44"/>
        <item x="45"/>
        <item x="46"/>
        <item x="47"/>
        <item x="48"/>
        <item x="49"/>
        <item x="50"/>
      </items>
    </pivotField>
    <pivotField axis="axisRow" compact="0" outline="0" showAll="0" defaultSubtotal="0">
      <items count="6">
        <item x="4"/>
        <item x="1"/>
        <item x="3"/>
        <item x="2"/>
        <item x="5"/>
        <item x="0"/>
      </items>
    </pivotField>
    <pivotField axis="axisCol" compact="0" outline="0" showAll="0" defaultSubtotal="0">
      <items count="40">
        <item x="4"/>
        <item x="7"/>
        <item x="8"/>
        <item x="9"/>
        <item x="14"/>
        <item x="17"/>
        <item x="5"/>
        <item x="16"/>
        <item x="3"/>
        <item x="23"/>
        <item x="6"/>
        <item x="11"/>
        <item x="18"/>
        <item x="22"/>
        <item x="15"/>
        <item x="26"/>
        <item x="10"/>
        <item x="28"/>
        <item x="19"/>
        <item x="12"/>
        <item x="21"/>
        <item x="20"/>
        <item x="1"/>
        <item x="24"/>
        <item x="35"/>
        <item x="25"/>
        <item x="27"/>
        <item x="34"/>
        <item x="36"/>
        <item x="33"/>
        <item x="13"/>
        <item x="2"/>
        <item x="31"/>
        <item x="37"/>
        <item x="32"/>
        <item x="29"/>
        <item x="30"/>
        <item x="0"/>
        <item x="38"/>
        <item m="1" x="39"/>
      </items>
    </pivotField>
    <pivotField compact="0" outline="0" showAll="0" defaultSubtotal="0"/>
    <pivotField compact="0" outline="0" showAll="0" defaultSubtotal="0">
      <items count="33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0"/>
        <item x="28"/>
        <item x="29"/>
        <item x="30"/>
        <item x="31"/>
        <item m="1" x="32"/>
      </items>
    </pivotField>
    <pivotField axis="axisRow" compact="0" outline="0" showAll="0" defaultSubtotal="0">
      <items count="15">
        <item x="8"/>
        <item h="1" x="12"/>
        <item x="7"/>
        <item x="10"/>
        <item x="1"/>
        <item x="3"/>
        <item x="4"/>
        <item x="13"/>
        <item x="6"/>
        <item x="2"/>
        <item x="5"/>
        <item x="11"/>
        <item x="9"/>
        <item x="0"/>
        <item x="14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0">
        <item x="2"/>
        <item x="8"/>
        <item x="1"/>
        <item x="6"/>
        <item x="3"/>
        <item x="7"/>
        <item x="5"/>
        <item x="4"/>
        <item x="9"/>
        <item x="11"/>
        <item x="13"/>
        <item x="10"/>
        <item x="14"/>
        <item x="17"/>
        <item x="12"/>
        <item x="16"/>
        <item x="18"/>
        <item x="0"/>
        <item x="15"/>
        <item x="19"/>
      </items>
    </pivotField>
    <pivotField dataField="1" compact="0" outline="0" showAll="0" defaultSubtotal="0"/>
    <pivotField axis="axisRow" compact="0" outline="0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x="5"/>
      </items>
    </pivotField>
    <pivotField axis="axisCol" compact="0" outline="0" subtotalTop="0" showAll="0" defaultSubtotal="0">
      <items count="4">
        <item sd="0" x="0"/>
        <item x="1"/>
        <item x="2"/>
        <item x="3"/>
      </items>
    </pivotField>
  </pivotFields>
  <rowFields count="4">
    <field x="8"/>
    <field x="4"/>
    <field x="14"/>
    <field x="3"/>
  </rowFields>
  <rowItems count="20">
    <i>
      <x v="3"/>
      <x/>
      <x/>
      <x v="20"/>
    </i>
    <i>
      <x v="4"/>
      <x v="1"/>
      <x v="1"/>
      <x v="8"/>
    </i>
    <i r="3">
      <x v="9"/>
    </i>
    <i r="3">
      <x v="10"/>
    </i>
    <i r="1">
      <x v="3"/>
      <x/>
      <x v="7"/>
    </i>
    <i r="3">
      <x v="8"/>
    </i>
    <i>
      <x v="7"/>
      <x v="1"/>
      <x v="1"/>
      <x v="23"/>
    </i>
    <i r="1">
      <x v="3"/>
      <x/>
      <x v="23"/>
    </i>
    <i>
      <x v="8"/>
      <x/>
      <x/>
      <x v="4"/>
    </i>
    <i r="1">
      <x v="1"/>
      <x v="1"/>
      <x v="4"/>
    </i>
    <i r="3">
      <x v="30"/>
    </i>
    <i>
      <x v="9"/>
      <x v="1"/>
      <x v="1"/>
      <x v="25"/>
    </i>
    <i r="1">
      <x v="3"/>
      <x/>
      <x v="25"/>
    </i>
    <i r="1">
      <x v="4"/>
      <x v="1"/>
      <x v="45"/>
    </i>
    <i>
      <x v="14"/>
      <x v="1"/>
      <x v="1"/>
      <x v="46"/>
    </i>
    <i r="3">
      <x v="47"/>
    </i>
    <i r="3">
      <x v="49"/>
    </i>
    <i r="3">
      <x v="50"/>
    </i>
    <i r="1">
      <x v="4"/>
      <x v="1"/>
      <x v="44"/>
    </i>
    <i t="grand">
      <x/>
    </i>
  </rowItems>
  <colFields count="3">
    <field x="22"/>
    <field x="20"/>
    <field x="5"/>
  </colFields>
  <colItems count="6">
    <i>
      <x v="1"/>
      <x v="12"/>
    </i>
    <i>
      <x v="2"/>
      <x v="1"/>
    </i>
    <i r="1">
      <x v="2"/>
    </i>
    <i r="1"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14">
      <pivotArea outline="0" collapsedLevelsAreSubtotals="1" fieldPosition="0"/>
    </format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024" totalsRowShown="0" headerRowDxfId="63" dataDxfId="61" headerRowBorderDxfId="62" tableBorderDxfId="60" totalsRowBorderDxfId="59">
  <tableColumns count="10">
    <tableColumn id="1" xr3:uid="{D37C5CA3-0CFF-4264-8E62-1D8A37E6E403}" name="Material Number" dataDxfId="58"/>
    <tableColumn id="2" xr3:uid="{C53BF0F5-1E55-4018-AB88-C12196DB46F7}" name="Material Description" dataDxfId="57"/>
    <tableColumn id="3" xr3:uid="{4FE2D203-4A30-4063-85C1-75088DDD6F09}" name="Plant" dataDxfId="56"/>
    <tableColumn id="4" xr3:uid="{BE0C3763-46D8-47E0-8473-BBCA85DC932A}" name="MRPElementIndicator" dataDxfId="55"/>
    <tableColumn id="5" xr3:uid="{B543D378-0902-4106-8B0D-CB55C2C777B6}" name="Item Text" dataDxfId="54"/>
    <tableColumn id="6" xr3:uid="{DAB7AF81-F81F-460D-B265-5124F642272A}" name="Availability Date" dataDxfId="53"/>
    <tableColumn id="7" xr3:uid="{4A43AFB5-7A3A-45E4-8A88-A4D61F78F695}" name="Quantity" dataDxfId="52"/>
    <tableColumn id="9" xr3:uid="{7FB57A13-350A-45B2-89BC-496E0D8896C0}" name="Request Date" dataDxfId="51"/>
    <tableColumn id="10" xr3:uid="{92EB740C-780D-45D9-91C7-26B49C83F39E}" name="Requester Email" dataDxfId="50"/>
    <tableColumn id="8" xr3:uid="{632FE930-5FF5-4870-AC62-05FFD4E8E609}" name="Status" dataDxfId="49">
      <calculatedColumnFormula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D62126-87B4-4092-AB9F-B58BD33D71DB}" name="Table2" displayName="Table2" ref="A1:L2024" totalsRowShown="0" headerRowDxfId="46" dataDxfId="44" headerRowBorderDxfId="45" tableBorderDxfId="43" totalsRowBorderDxfId="42">
  <autoFilter ref="A1:L2024" xr:uid="{89D62126-87B4-4092-AB9F-B58BD33D71DB}"/>
  <tableColumns count="12">
    <tableColumn id="1" xr3:uid="{6B5EFF2E-A198-4BEC-B377-5D5CABAAB57D}" name="Material Number" dataDxfId="41"/>
    <tableColumn id="2" xr3:uid="{678B6BB7-F1E3-4AE6-A0F9-09095E9025C8}" name="Material Description" dataDxfId="40"/>
    <tableColumn id="3" xr3:uid="{ECB87618-1836-4D58-8D0E-CE25E4461436}" name="Plant" dataDxfId="39"/>
    <tableColumn id="4" xr3:uid="{D3B95191-ED6E-4445-97A2-BDB024CF160F}" name="MRPElementIndicator" dataDxfId="38"/>
    <tableColumn id="5" xr3:uid="{2348613E-6289-4951-B778-FDEBB046E9B5}" name="Item Text" dataDxfId="37"/>
    <tableColumn id="6" xr3:uid="{2A5A7114-6639-4528-B29C-DD505BF0D63F}" name="Availability Date" dataDxfId="36"/>
    <tableColumn id="7" xr3:uid="{8F49E3C0-B6EC-4C50-AE42-C34CB6D59B43}" name="Quantity" dataDxfId="35"/>
    <tableColumn id="9" xr3:uid="{7211C8DB-42C3-415E-9720-BFDC5AE61C2C}" name="Request Date" dataDxfId="34"/>
    <tableColumn id="10" xr3:uid="{DD6A12E8-CC37-412A-90FA-1849B84B109A}" name="Requester Email" dataDxfId="33"/>
    <tableColumn id="12" xr3:uid="{9D5AC044-0013-4748-99F4-78467CC127B4}" name="Reservation No." dataDxfId="32"/>
    <tableColumn id="13" xr3:uid="{1DDD0CB6-71E9-4579-93FA-0C833512D7A1}" name="Deletion Remark" dataDxfId="31"/>
    <tableColumn id="8" xr3:uid="{23118DAB-A1D0-4C89-B166-0A629AF2DA29}" name="Status" dataDxfId="30">
      <calculatedColumnFormula>_xlfn.LET(
    _xlpm.res_no, J2,
    _xlpm.record_sheet, 'MatRes Record'!J:M,
    _xlpm.AllCellsFilled, COUNTA(A2:K2) = 11,
    _xlpm.QtyIsInt, AND(ISNUMBER(G2), G2=INT(G2)),
    _xlpm.ReqDateIsValid, AND(ISNUMBER(H2), H2&gt;=TODAY()),
    _xlpm.EmailIsValid, RIGHT(I2,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IF(A2="", "", IF(_xlpm.error_messages = "", "Yes", _xlpm.error_messages))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2" insertRow="1" totalsRowShown="0">
  <autoFilter ref="A1:R2" xr:uid="{B5091F2D-17EF-483B-B851-C3C7948E3789}"/>
  <tableColumns count="18">
    <tableColumn id="1" xr3:uid="{1088CE0A-A68A-4895-8AC4-123F71261F15}" name="Material Number"/>
    <tableColumn id="2" xr3:uid="{47DF8D74-AD82-4D3A-8328-1A624C94DAE0}" name="Material Description" dataDxfId="29"/>
    <tableColumn id="3" xr3:uid="{ABB3E271-6DF1-41C5-94B1-4EA271C8249E}" name="Plant" dataDxfId="28"/>
    <tableColumn id="4" xr3:uid="{C167B704-43A3-42C7-8801-FEAAAE47E046}" name="MRP Element Indicator"/>
    <tableColumn id="5" xr3:uid="{0A536D8F-AD28-495D-A9C2-0F5B9811C7E3}" name="Item Text"/>
    <tableColumn id="6" xr3:uid="{216A1EB7-F27B-41B6-8C1E-FA4A2AF25E0A}" name="Availability Date" dataDxfId="27"/>
    <tableColumn id="7" xr3:uid="{2D02D811-C7C0-441B-BC90-F85D664876AD}" name="Quantity" dataDxfId="26"/>
    <tableColumn id="8" xr3:uid="{B829A899-B43B-4D8E-9A9E-5037FD31D64D}" name="Request Date" dataDxfId="25"/>
    <tableColumn id="9" xr3:uid="{9A9FBEA4-78E2-4A77-9DC7-CB9327ADFA22}" name="Requester Email" dataDxfId="24"/>
    <tableColumn id="10" xr3:uid="{6CDC487C-81E6-4FB1-9FFE-0207FAB0F13C}" name="Reservation No" dataDxfId="23"/>
    <tableColumn id="11" xr3:uid="{43900CD2-0637-414C-86F2-F9B7FFC9C986}" name="Deletion Remark" dataDxfId="22"/>
    <tableColumn id="12" xr3:uid="{26E8D54D-020A-4079-BD75-E5209A5E0692}" name="Upload Date" dataDxfId="21"/>
    <tableColumn id="13" xr3:uid="{0E105451-BEE3-4EFD-92DE-39B9FC5576AA}" name="DeleteDate" dataDxfId="20"/>
    <tableColumn id="14" xr3:uid="{98065BF0-B6D8-473A-A322-5BEDCEA76209}" name="MSU" dataDxfId="19"/>
    <tableColumn id="17" xr3:uid="{7F8E87F2-64F1-46B6-9656-06AFB4B01661}" name="Type" dataDxfId="18"/>
    <tableColumn id="15" xr3:uid="{1B229FDD-92C8-48D5-9D07-25B0C748951B}" name="Active in System" dataDxfId="17"/>
    <tableColumn id="18" xr3:uid="{A243A15B-ADA6-41D2-8EEB-30FDBE47E2E0}" name="PDE Checking" dataDxfId="16"/>
    <tableColumn id="16" xr3:uid="{9F58BACC-C331-4628-BF1C-6369C6C859C7}" name="Rolling Checking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5"/>
    <tableColumn id="3" xr3:uid="{1E3E571D-C186-4745-9F5C-CC7A074D4343}" name="Plant" dataDxfId="4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3"/>
    <tableColumn id="7" xr3:uid="{753F7B65-13BF-402E-BBAD-70416EC1CF4A}" name="Quantity"/>
    <tableColumn id="8" xr3:uid="{B799AF7F-352E-409F-B528-C3C445A03017}" name="Request Date" dataDxfId="2"/>
    <tableColumn id="9" xr3:uid="{60C0AC0B-6B03-4F72-B73F-E8A34C1F10F9}" name="Requester Email"/>
    <tableColumn id="10" xr3:uid="{C2F3C7FE-F846-4D13-B565-428E898C1040}" name="Reservation No." dataDxfId="1"/>
    <tableColumn id="12" xr3:uid="{11AEEA7A-85F6-407C-B4AA-B781B6D25101}" name="Upload Date" dataDxfId="0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42578125" style="1" bestFit="1" customWidth="1" collapsed="1"/>
    <col min="2" max="2" width="11" style="2" customWidth="1" collapsed="1"/>
    <col min="3" max="3" width="11.5703125" customWidth="1" collapsed="1"/>
    <col min="4" max="4" width="9.5703125" customWidth="1" collapsed="1"/>
    <col min="5" max="5" width="9.5703125" style="1" customWidth="1" collapsed="1"/>
    <col min="6" max="6" width="73.42578125" bestFit="1" customWidth="1" collapsed="1"/>
    <col min="7" max="7" width="17.5703125" customWidth="1" collapsed="1"/>
    <col min="8" max="8" width="11" style="1" bestFit="1" customWidth="1" collapsed="1"/>
    <col min="9" max="9" width="11.42578125" bestFit="1" customWidth="1" collapsed="1"/>
    <col min="10" max="10" width="36" bestFit="1" customWidth="1" collapsed="1"/>
  </cols>
  <sheetData>
    <row r="1" spans="1:11">
      <c r="A1" s="44" t="s">
        <v>0</v>
      </c>
      <c r="B1" s="45" t="s">
        <v>1</v>
      </c>
      <c r="C1" s="46" t="s">
        <v>2</v>
      </c>
      <c r="D1" s="46" t="s">
        <v>3</v>
      </c>
      <c r="E1" s="44" t="s">
        <v>4</v>
      </c>
      <c r="F1" s="46" t="s">
        <v>5</v>
      </c>
      <c r="G1" s="47" t="s">
        <v>6</v>
      </c>
      <c r="H1" s="48" t="s">
        <v>7</v>
      </c>
      <c r="I1" s="49" t="s">
        <v>8</v>
      </c>
    </row>
    <row r="2" spans="1:11" ht="15.75" thickBot="1">
      <c r="A2" s="10" t="s">
        <v>9</v>
      </c>
      <c r="B2" s="11" t="s">
        <v>10</v>
      </c>
      <c r="C2" s="12">
        <v>292</v>
      </c>
      <c r="D2" t="s">
        <v>11</v>
      </c>
      <c r="E2" s="3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10">
        <v>80696819</v>
      </c>
      <c r="B3" s="11" t="s">
        <v>16</v>
      </c>
      <c r="C3" s="12">
        <v>131</v>
      </c>
      <c r="D3" t="s">
        <v>11</v>
      </c>
      <c r="E3" s="3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10">
        <v>80689291</v>
      </c>
      <c r="B4" s="11" t="s">
        <v>16</v>
      </c>
      <c r="C4" s="12">
        <v>291</v>
      </c>
      <c r="D4" t="s">
        <v>11</v>
      </c>
      <c r="E4" s="3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10">
        <v>80684451</v>
      </c>
      <c r="B5" s="11" t="s">
        <v>16</v>
      </c>
      <c r="C5" s="12">
        <v>994</v>
      </c>
      <c r="D5" t="s">
        <v>11</v>
      </c>
      <c r="E5" s="3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10">
        <v>80688393</v>
      </c>
      <c r="B6" s="11" t="s">
        <v>16</v>
      </c>
      <c r="C6" s="12">
        <v>215</v>
      </c>
      <c r="D6" t="s">
        <v>11</v>
      </c>
      <c r="E6" s="3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10">
        <v>80688155</v>
      </c>
      <c r="B7" s="11" t="s">
        <v>16</v>
      </c>
      <c r="C7" s="12">
        <v>451</v>
      </c>
      <c r="D7" t="s">
        <v>11</v>
      </c>
      <c r="E7" s="3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3"/>
      <c r="G8" s="1"/>
      <c r="I8" s="2"/>
    </row>
    <row r="9" spans="1:11" ht="15.75" thickBot="1">
      <c r="A9" s="4"/>
      <c r="B9" s="6"/>
      <c r="C9" s="5"/>
      <c r="D9" s="5"/>
      <c r="E9" s="7"/>
      <c r="F9" s="5"/>
      <c r="G9" s="5"/>
      <c r="H9" s="48"/>
      <c r="I9" s="50"/>
    </row>
    <row r="10" spans="1:11" ht="15.75" thickBot="1">
      <c r="A10" s="4"/>
      <c r="B10" s="6"/>
      <c r="C10" s="5"/>
      <c r="D10" s="5"/>
      <c r="E10" s="7"/>
      <c r="F10" s="5"/>
      <c r="G10" s="5"/>
      <c r="H10" s="48"/>
      <c r="I10" s="50"/>
    </row>
    <row r="11" spans="1:11" ht="15.75" thickBot="1">
      <c r="A11" s="4"/>
      <c r="B11" s="6"/>
      <c r="C11" s="5"/>
      <c r="D11" s="5"/>
      <c r="E11" s="7"/>
      <c r="F11" s="5"/>
      <c r="G11" s="5"/>
      <c r="H11" s="48"/>
      <c r="I11" s="50"/>
    </row>
    <row r="12" spans="1:11">
      <c r="A12" s="48"/>
      <c r="B12" s="50"/>
      <c r="C12" s="49"/>
      <c r="D12" s="49"/>
      <c r="E12" s="48"/>
      <c r="F12" s="49"/>
      <c r="G12" s="49"/>
      <c r="H12" s="48"/>
      <c r="I12" s="49"/>
    </row>
    <row r="13" spans="1:11">
      <c r="A13" s="48"/>
      <c r="B13" s="50"/>
      <c r="C13" s="49"/>
      <c r="D13" s="49"/>
      <c r="E13" s="48"/>
      <c r="F13" s="49"/>
      <c r="G13" s="49"/>
      <c r="H13" s="48"/>
      <c r="I13" s="49"/>
    </row>
    <row r="14" spans="1:11">
      <c r="A14" s="48"/>
      <c r="B14" s="50"/>
      <c r="C14" s="49"/>
      <c r="D14" s="49"/>
      <c r="E14" s="48"/>
      <c r="F14" s="49"/>
      <c r="G14" s="49"/>
      <c r="H14" s="48"/>
      <c r="I14" s="49"/>
    </row>
    <row r="15" spans="1:11">
      <c r="A15" s="48"/>
      <c r="B15" s="50"/>
      <c r="C15" s="49"/>
      <c r="D15" s="49"/>
      <c r="E15" s="48"/>
      <c r="F15" s="49"/>
      <c r="G15" s="49"/>
      <c r="H15" s="48"/>
      <c r="I15" s="49"/>
    </row>
    <row r="16" spans="1:11">
      <c r="A16" s="48"/>
      <c r="B16" s="50"/>
      <c r="C16" s="49"/>
      <c r="D16" s="49"/>
      <c r="E16" s="48"/>
      <c r="F16" s="49"/>
      <c r="G16" s="49"/>
      <c r="H16" s="48"/>
      <c r="I16" s="49"/>
    </row>
    <row r="17" spans="1:9">
      <c r="A17" s="48"/>
      <c r="B17" s="50"/>
      <c r="C17" s="49"/>
      <c r="D17" s="49"/>
      <c r="E17" s="48"/>
      <c r="F17" s="49"/>
      <c r="G17" s="49"/>
      <c r="H17" s="48"/>
      <c r="I17" s="49"/>
    </row>
    <row r="18" spans="1:9">
      <c r="A18" s="48"/>
      <c r="B18" s="50"/>
      <c r="C18" s="49"/>
      <c r="D18" s="49"/>
      <c r="E18" s="48"/>
      <c r="F18" s="49"/>
      <c r="G18" s="49"/>
      <c r="H18" s="48"/>
      <c r="I18" s="49"/>
    </row>
    <row r="19" spans="1:9">
      <c r="A19" s="48"/>
      <c r="B19" s="50"/>
      <c r="C19" s="49"/>
      <c r="D19" s="49"/>
      <c r="E19" s="48"/>
      <c r="F19" s="49"/>
      <c r="G19" s="49"/>
      <c r="H19" s="48"/>
      <c r="I19" s="49"/>
    </row>
    <row r="20" spans="1:9">
      <c r="A20" s="48"/>
      <c r="B20" s="50"/>
      <c r="C20" s="49"/>
      <c r="D20" s="49"/>
      <c r="E20" s="48"/>
      <c r="F20" s="49"/>
      <c r="G20" s="49"/>
      <c r="H20" s="48"/>
      <c r="I20" s="49"/>
    </row>
    <row r="21" spans="1:9">
      <c r="A21" s="48"/>
      <c r="B21" s="50"/>
      <c r="C21" s="49"/>
      <c r="D21" s="49"/>
      <c r="E21" s="48"/>
      <c r="F21" s="49"/>
      <c r="G21" s="49"/>
      <c r="H21" s="48"/>
      <c r="I21" s="49"/>
    </row>
    <row r="22" spans="1:9">
      <c r="A22" s="48"/>
      <c r="B22" s="50"/>
      <c r="C22" s="49"/>
      <c r="D22" s="49"/>
      <c r="E22" s="48"/>
      <c r="F22" s="49"/>
      <c r="G22" s="49"/>
      <c r="H22" s="48"/>
      <c r="I22" s="49"/>
    </row>
    <row r="23" spans="1:9">
      <c r="A23" s="48"/>
      <c r="B23" s="50"/>
      <c r="C23" s="49"/>
      <c r="D23" s="49"/>
      <c r="E23" s="48"/>
      <c r="F23" s="49"/>
      <c r="G23" s="49"/>
      <c r="H23" s="48"/>
      <c r="I23" s="49"/>
    </row>
    <row r="24" spans="1:9">
      <c r="A24" s="48"/>
      <c r="B24" s="50"/>
      <c r="C24" s="49"/>
      <c r="D24" s="49"/>
      <c r="E24" s="51"/>
      <c r="F24" s="49"/>
      <c r="G24" s="49"/>
      <c r="H24" s="48"/>
      <c r="I24" s="49"/>
    </row>
    <row r="25" spans="1:9">
      <c r="A25" s="48"/>
      <c r="B25" s="50"/>
      <c r="C25" s="49"/>
      <c r="D25" s="49"/>
      <c r="E25" s="51"/>
      <c r="F25" s="49"/>
      <c r="G25" s="49"/>
      <c r="H25" s="48"/>
      <c r="I25" s="49"/>
    </row>
    <row r="26" spans="1:9">
      <c r="A26" s="48"/>
      <c r="B26" s="50"/>
      <c r="C26" s="49"/>
      <c r="D26" s="49"/>
      <c r="E26" s="51"/>
      <c r="F26" s="49"/>
      <c r="G26" s="49"/>
      <c r="H26" s="48"/>
      <c r="I26" s="49"/>
    </row>
    <row r="27" spans="1:9">
      <c r="A27" s="48"/>
      <c r="B27" s="50"/>
      <c r="C27" s="49"/>
      <c r="D27" s="49"/>
      <c r="E27" s="51"/>
      <c r="F27" s="49"/>
      <c r="G27" s="49"/>
      <c r="H27" s="48"/>
      <c r="I27" s="49"/>
    </row>
    <row r="28" spans="1:9">
      <c r="A28" s="48"/>
      <c r="B28" s="50"/>
      <c r="C28" s="49"/>
      <c r="D28" s="49"/>
      <c r="E28" s="51"/>
      <c r="F28" s="49"/>
      <c r="G28" s="49"/>
      <c r="H28" s="48"/>
      <c r="I28" s="49"/>
    </row>
    <row r="29" spans="1:9">
      <c r="A29" s="48"/>
      <c r="B29" s="50"/>
      <c r="C29" s="49"/>
      <c r="D29" s="49"/>
      <c r="E29" s="51"/>
      <c r="F29" s="49"/>
      <c r="G29" s="49"/>
      <c r="H29" s="48"/>
      <c r="I29" s="49"/>
    </row>
    <row r="30" spans="1:9">
      <c r="A30" s="48"/>
      <c r="B30" s="50"/>
      <c r="C30" s="49"/>
      <c r="D30" s="49"/>
      <c r="E30" s="51"/>
      <c r="F30" s="49"/>
      <c r="G30" s="49"/>
      <c r="H30" s="48"/>
      <c r="I30" s="49"/>
    </row>
    <row r="31" spans="1:9">
      <c r="A31" s="48"/>
      <c r="B31" s="50"/>
      <c r="C31" s="49"/>
      <c r="D31" s="49"/>
      <c r="E31" s="51"/>
      <c r="F31" s="49"/>
      <c r="G31" s="49"/>
      <c r="H31" s="48"/>
      <c r="I31" s="49"/>
    </row>
    <row r="32" spans="1:9">
      <c r="A32" s="48"/>
      <c r="B32" s="50"/>
      <c r="C32" s="49"/>
      <c r="D32" s="49"/>
      <c r="E32" s="51"/>
      <c r="F32" s="49"/>
      <c r="G32" s="49"/>
      <c r="H32" s="48"/>
      <c r="I32" s="49"/>
    </row>
    <row r="33" spans="1:9">
      <c r="A33" s="48"/>
      <c r="B33" s="50"/>
      <c r="C33" s="49"/>
      <c r="D33" s="49"/>
      <c r="E33" s="51"/>
      <c r="F33" s="49"/>
      <c r="G33" s="49"/>
      <c r="H33" s="48"/>
      <c r="I33" s="49"/>
    </row>
    <row r="34" spans="1:9">
      <c r="A34" s="48"/>
      <c r="B34" s="50"/>
      <c r="C34" s="49"/>
      <c r="D34" s="49"/>
      <c r="E34" s="51"/>
      <c r="F34" s="49"/>
      <c r="G34" s="49"/>
      <c r="H34" s="48"/>
      <c r="I34" s="49"/>
    </row>
    <row r="35" spans="1:9">
      <c r="E35" s="3"/>
    </row>
    <row r="36" spans="1:9">
      <c r="E36" s="3"/>
    </row>
    <row r="37" spans="1:9">
      <c r="E37" s="3"/>
    </row>
    <row r="38" spans="1:9">
      <c r="E38" s="3"/>
    </row>
    <row r="39" spans="1:9">
      <c r="E39" s="3"/>
    </row>
    <row r="40" spans="1:9">
      <c r="E40" s="3"/>
    </row>
    <row r="41" spans="1:9">
      <c r="E41" s="3"/>
    </row>
    <row r="42" spans="1:9">
      <c r="E42" s="3"/>
    </row>
    <row r="43" spans="1:9">
      <c r="E43" s="3"/>
    </row>
    <row r="44" spans="1:9">
      <c r="E44" s="3"/>
    </row>
    <row r="45" spans="1:9">
      <c r="E45" s="3"/>
    </row>
    <row r="46" spans="1:9">
      <c r="E46" s="3"/>
    </row>
  </sheetData>
  <phoneticPr fontId="2" type="noConversion"/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180975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114300</xdr:rowOff>
                  </from>
                  <to>
                    <xdr:col>9</xdr:col>
                    <xdr:colOff>1619250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180975</xdr:rowOff>
                  </from>
                  <to>
                    <xdr:col>9</xdr:col>
                    <xdr:colOff>1628775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180975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 filterMode="1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5703125" style="1" collapsed="1"/>
    <col min="2" max="2" width="10.5703125" style="2" bestFit="1" customWidth="1" collapsed="1"/>
    <col min="5" max="5" width="8.5703125" style="1" collapsed="1"/>
    <col min="6" max="6" width="47.5703125" bestFit="1" customWidth="1" collapsed="1"/>
    <col min="7" max="7" width="13.5703125" style="1" bestFit="1" customWidth="1" collapsed="1"/>
    <col min="8" max="8" width="10.5703125" style="1" bestFit="1" customWidth="1" collapsed="1"/>
    <col min="9" max="9" width="11.42578125" style="2" bestFit="1" customWidth="1" collapsed="1"/>
    <col min="10" max="10" width="11.42578125" style="2" customWidth="1" collapsed="1"/>
    <col min="11" max="11" width="12.42578125" bestFit="1" customWidth="1" collapsed="1"/>
    <col min="12" max="12" width="21.42578125" bestFit="1" customWidth="1" collapsed="1"/>
  </cols>
  <sheetData>
    <row r="1" spans="1:12">
      <c r="A1" s="52" t="s">
        <v>0</v>
      </c>
      <c r="B1" s="53" t="s">
        <v>1</v>
      </c>
      <c r="C1" s="47" t="s">
        <v>2</v>
      </c>
      <c r="D1" s="47" t="s">
        <v>3</v>
      </c>
      <c r="E1" s="52" t="s">
        <v>4</v>
      </c>
      <c r="F1" s="47" t="s">
        <v>5</v>
      </c>
      <c r="G1" s="47" t="s">
        <v>6</v>
      </c>
      <c r="H1" s="54" t="s">
        <v>7</v>
      </c>
      <c r="I1" s="55" t="s">
        <v>8</v>
      </c>
      <c r="J1" s="55" t="s">
        <v>22</v>
      </c>
      <c r="K1" s="55" t="s">
        <v>23</v>
      </c>
      <c r="L1" s="56" t="s">
        <v>24</v>
      </c>
    </row>
    <row r="2" spans="1:12" hidden="1">
      <c r="A2" s="1">
        <v>80684451</v>
      </c>
      <c r="B2" s="2" t="s">
        <v>25</v>
      </c>
      <c r="C2">
        <v>7838</v>
      </c>
      <c r="D2" t="s">
        <v>11</v>
      </c>
      <c r="E2" s="3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 hidden="1">
      <c r="A3" s="1">
        <v>80685661</v>
      </c>
      <c r="B3" s="2">
        <v>44535</v>
      </c>
      <c r="C3">
        <v>2000</v>
      </c>
      <c r="D3" t="s">
        <v>11</v>
      </c>
      <c r="E3" s="3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 hidden="1">
      <c r="A4" s="1">
        <v>80689291</v>
      </c>
      <c r="B4" s="2" t="s">
        <v>25</v>
      </c>
      <c r="C4">
        <v>255</v>
      </c>
      <c r="D4" t="s">
        <v>11</v>
      </c>
      <c r="E4" s="3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 hidden="1">
      <c r="A5" s="1">
        <v>80689519</v>
      </c>
      <c r="B5" s="2">
        <v>44589</v>
      </c>
      <c r="C5">
        <v>4620</v>
      </c>
      <c r="D5" t="s">
        <v>11</v>
      </c>
      <c r="E5" s="3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8" t="s">
        <v>28</v>
      </c>
      <c r="K5" s="9">
        <v>44515</v>
      </c>
    </row>
    <row r="6" spans="1:12" hidden="1">
      <c r="A6" s="1">
        <v>80689519</v>
      </c>
      <c r="B6" s="2">
        <v>44607</v>
      </c>
      <c r="C6">
        <v>4614</v>
      </c>
      <c r="D6" t="s">
        <v>11</v>
      </c>
      <c r="E6" s="3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8" t="s">
        <v>28</v>
      </c>
      <c r="K6" s="9">
        <v>44515</v>
      </c>
    </row>
    <row r="7" spans="1:12" hidden="1">
      <c r="A7" s="1">
        <v>80689519</v>
      </c>
      <c r="B7" s="2">
        <v>44640</v>
      </c>
      <c r="C7">
        <v>22539</v>
      </c>
      <c r="D7" t="s">
        <v>11</v>
      </c>
      <c r="E7" s="3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8" t="s">
        <v>28</v>
      </c>
      <c r="K7" s="9">
        <v>44515</v>
      </c>
    </row>
    <row r="8" spans="1:12" hidden="1">
      <c r="A8" s="1">
        <v>80689519</v>
      </c>
      <c r="B8" s="2">
        <v>44671</v>
      </c>
      <c r="C8">
        <v>6357</v>
      </c>
      <c r="D8" t="s">
        <v>11</v>
      </c>
      <c r="E8" s="3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8" t="s">
        <v>28</v>
      </c>
      <c r="K8" s="9">
        <v>44515</v>
      </c>
    </row>
    <row r="9" spans="1:12" hidden="1">
      <c r="A9" s="1">
        <v>80689520</v>
      </c>
      <c r="B9" s="2">
        <v>44607</v>
      </c>
      <c r="C9">
        <v>10158</v>
      </c>
      <c r="D9" t="s">
        <v>11</v>
      </c>
      <c r="E9" s="3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8" t="s">
        <v>28</v>
      </c>
      <c r="K9" s="9">
        <v>44515</v>
      </c>
    </row>
    <row r="10" spans="1:12" hidden="1">
      <c r="A10" s="1">
        <v>80689520</v>
      </c>
      <c r="B10" s="2">
        <v>44640</v>
      </c>
      <c r="C10">
        <v>18678</v>
      </c>
      <c r="D10" t="s">
        <v>11</v>
      </c>
      <c r="E10" s="3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8" t="s">
        <v>28</v>
      </c>
      <c r="K10" s="9">
        <v>44515</v>
      </c>
    </row>
    <row r="11" spans="1:12" hidden="1">
      <c r="A11" s="1">
        <v>80689520</v>
      </c>
      <c r="B11" s="2">
        <v>44671</v>
      </c>
      <c r="C11">
        <v>6788</v>
      </c>
      <c r="D11" t="s">
        <v>11</v>
      </c>
      <c r="E11" s="3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8" t="s">
        <v>28</v>
      </c>
      <c r="K11" s="9">
        <v>44515</v>
      </c>
    </row>
    <row r="12" spans="1:12" hidden="1">
      <c r="A12" s="1">
        <v>80689521</v>
      </c>
      <c r="B12" s="2">
        <v>44607</v>
      </c>
      <c r="C12">
        <v>6777</v>
      </c>
      <c r="D12" t="s">
        <v>11</v>
      </c>
      <c r="E12" s="3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8" t="s">
        <v>28</v>
      </c>
      <c r="K12" s="9">
        <v>44515</v>
      </c>
    </row>
    <row r="13" spans="1:12" hidden="1">
      <c r="A13" s="1">
        <v>80689521</v>
      </c>
      <c r="B13" s="2">
        <v>44640</v>
      </c>
      <c r="C13">
        <v>9759</v>
      </c>
      <c r="D13" t="s">
        <v>11</v>
      </c>
      <c r="E13" s="3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8" t="s">
        <v>28</v>
      </c>
      <c r="K13" s="9">
        <v>44515</v>
      </c>
    </row>
    <row r="14" spans="1:12" hidden="1">
      <c r="A14" s="1">
        <v>80689521</v>
      </c>
      <c r="B14" s="2">
        <v>44671</v>
      </c>
      <c r="C14">
        <v>3677</v>
      </c>
      <c r="D14" t="s">
        <v>11</v>
      </c>
      <c r="E14" s="3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8" t="s">
        <v>28</v>
      </c>
      <c r="K14" s="9">
        <v>44515</v>
      </c>
    </row>
    <row r="15" spans="1:12" hidden="1">
      <c r="A15" s="1">
        <v>80696819</v>
      </c>
      <c r="B15" s="2" t="s">
        <v>25</v>
      </c>
      <c r="C15">
        <v>332</v>
      </c>
      <c r="D15" t="s">
        <v>11</v>
      </c>
      <c r="E15" s="3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 hidden="1">
      <c r="A16" s="1">
        <v>82326789</v>
      </c>
      <c r="B16" s="2" t="s">
        <v>25</v>
      </c>
      <c r="C16">
        <v>34</v>
      </c>
      <c r="D16" t="s">
        <v>11</v>
      </c>
      <c r="E16" s="3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3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 hidden="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 hidden="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 hidden="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 hidden="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 hidden="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 hidden="1">
      <c r="A27" s="1">
        <v>80696678</v>
      </c>
      <c r="B27" s="2" t="s">
        <v>54</v>
      </c>
      <c r="C27">
        <v>32323.516082276255</v>
      </c>
      <c r="D27" t="s">
        <v>11</v>
      </c>
      <c r="E27" s="3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 hidden="1">
      <c r="A28" s="1">
        <v>80696679</v>
      </c>
      <c r="B28" s="2" t="s">
        <v>54</v>
      </c>
      <c r="C28">
        <v>11577</v>
      </c>
      <c r="D28" t="s">
        <v>11</v>
      </c>
      <c r="E28" s="3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 hidden="1">
      <c r="A29" s="1">
        <v>80696678</v>
      </c>
      <c r="B29" s="2" t="s">
        <v>59</v>
      </c>
      <c r="C29">
        <v>13450</v>
      </c>
      <c r="D29" t="s">
        <v>11</v>
      </c>
      <c r="E29" s="3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 hidden="1">
      <c r="A30" s="1">
        <v>80696679</v>
      </c>
      <c r="B30" s="2" t="s">
        <v>59</v>
      </c>
      <c r="C30">
        <v>5006</v>
      </c>
      <c r="D30" t="s">
        <v>11</v>
      </c>
      <c r="E30" s="3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3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 hidden="1">
      <c r="A32" s="1" t="s">
        <v>74</v>
      </c>
      <c r="B32" s="2" t="s">
        <v>75</v>
      </c>
      <c r="C32">
        <v>7865</v>
      </c>
      <c r="D32" t="s">
        <v>11</v>
      </c>
      <c r="E32" s="3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 hidden="1">
      <c r="A33" s="1" t="s">
        <v>78</v>
      </c>
      <c r="B33" s="2" t="s">
        <v>75</v>
      </c>
      <c r="C33">
        <v>14024</v>
      </c>
      <c r="D33" t="s">
        <v>11</v>
      </c>
      <c r="E33" s="3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 hidden="1">
      <c r="A34" s="1" t="s">
        <v>81</v>
      </c>
      <c r="B34" s="2" t="s">
        <v>75</v>
      </c>
      <c r="C34">
        <v>9890</v>
      </c>
      <c r="D34" t="s">
        <v>11</v>
      </c>
      <c r="E34" s="3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 hidden="1">
      <c r="A35" s="1">
        <v>80689521</v>
      </c>
      <c r="B35" s="2" t="s">
        <v>84</v>
      </c>
      <c r="C35">
        <v>9427</v>
      </c>
      <c r="D35" t="s">
        <v>11</v>
      </c>
      <c r="E35" s="3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 hidden="1">
      <c r="A36" s="1">
        <v>80689520</v>
      </c>
      <c r="B36" s="2" t="s">
        <v>84</v>
      </c>
      <c r="C36">
        <v>18374</v>
      </c>
      <c r="D36" t="s">
        <v>11</v>
      </c>
      <c r="E36" s="3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 hidden="1">
      <c r="A37" s="1">
        <v>80689519</v>
      </c>
      <c r="B37" s="2" t="s">
        <v>84</v>
      </c>
      <c r="C37">
        <v>22190</v>
      </c>
      <c r="D37" t="s">
        <v>11</v>
      </c>
      <c r="E37" s="3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3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3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3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3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3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3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3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3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3"/>
      <c r="J46"/>
    </row>
    <row r="47" spans="1:10">
      <c r="E47" s="3"/>
      <c r="J47"/>
    </row>
    <row r="48" spans="1:10">
      <c r="E48" s="3"/>
      <c r="J48"/>
    </row>
    <row r="49" spans="5:10">
      <c r="E49" s="3"/>
      <c r="J49"/>
    </row>
    <row r="50" spans="5:10">
      <c r="E50" s="3"/>
      <c r="J50"/>
    </row>
    <row r="51" spans="5:10">
      <c r="E51" s="3"/>
      <c r="J51"/>
    </row>
    <row r="52" spans="5:10">
      <c r="E52" s="3"/>
      <c r="J52"/>
    </row>
    <row r="53" spans="5:10">
      <c r="E53" s="3"/>
      <c r="J53"/>
    </row>
    <row r="54" spans="5:10">
      <c r="E54" s="3"/>
      <c r="J54"/>
    </row>
    <row r="55" spans="5:10">
      <c r="E55" s="3"/>
    </row>
    <row r="56" spans="5:10">
      <c r="E56" s="3"/>
    </row>
    <row r="57" spans="5:10">
      <c r="E57" s="3"/>
    </row>
    <row r="58" spans="5:10">
      <c r="E58" s="3"/>
    </row>
    <row r="59" spans="5:10">
      <c r="E59" s="3"/>
    </row>
    <row r="60" spans="5:10">
      <c r="E60" s="3"/>
    </row>
    <row r="61" spans="5:10">
      <c r="E61" s="3"/>
    </row>
    <row r="62" spans="5:10">
      <c r="E62" s="3"/>
    </row>
    <row r="63" spans="5:10">
      <c r="E63" s="3"/>
    </row>
    <row r="64" spans="5:10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</sheetData>
  <autoFilter ref="A1:L45" xr:uid="{94253562-2BF4-4869-BDDB-B55BDC6EE117}">
    <filterColumn colId="6">
      <filters>
        <filter val="Susie"/>
        <filter val="yongyi for susie"/>
      </filters>
    </filterColumn>
    <filterColumn colId="9">
      <filters blank="1"/>
    </filterColumn>
  </autoFilter>
  <phoneticPr fontId="2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42578125" customWidth="1" collapsed="1"/>
    <col min="3" max="3" width="7.42578125" style="1" customWidth="1" collapsed="1"/>
    <col min="4" max="4" width="12.42578125" bestFit="1" customWidth="1" collapsed="1"/>
    <col min="5" max="5" width="11.42578125" bestFit="1" customWidth="1" collapsed="1"/>
    <col min="6" max="6" width="9.5703125" customWidth="1" collapsed="1"/>
    <col min="7" max="7" width="12" style="2" customWidth="1" collapsed="1"/>
    <col min="8" max="8" width="11.42578125" style="2" bestFit="1" customWidth="1" collapsed="1"/>
    <col min="9" max="9" width="8.5703125" bestFit="1" customWidth="1" collapsed="1"/>
    <col min="10" max="10" width="5.5703125" bestFit="1" customWidth="1" collapsed="1"/>
    <col min="11" max="11" width="8.5703125" customWidth="1" collapsed="1"/>
    <col min="12" max="12" width="32.5703125" bestFit="1" customWidth="1" collapsed="1"/>
    <col min="13" max="13" width="8.42578125" customWidth="1" collapsed="1"/>
    <col min="14" max="14" width="15.42578125" style="1" bestFit="1" customWidth="1" collapsed="1"/>
    <col min="15" max="15" width="12.42578125" bestFit="1" customWidth="1" collapsed="1"/>
    <col min="16" max="16" width="6.5703125" customWidth="1" collapsed="1"/>
  </cols>
  <sheetData>
    <row r="1" spans="1:15" s="13" customFormat="1" ht="30">
      <c r="A1" s="57" t="s">
        <v>91</v>
      </c>
      <c r="B1" s="58" t="s">
        <v>92</v>
      </c>
      <c r="C1" s="57" t="s">
        <v>4</v>
      </c>
      <c r="D1" s="59" t="s">
        <v>93</v>
      </c>
      <c r="E1" s="58" t="s">
        <v>94</v>
      </c>
      <c r="F1" s="59" t="s">
        <v>95</v>
      </c>
      <c r="G1" s="60" t="s">
        <v>96</v>
      </c>
      <c r="H1" s="61" t="s">
        <v>97</v>
      </c>
      <c r="I1" s="59" t="s">
        <v>98</v>
      </c>
      <c r="J1" s="58" t="s">
        <v>99</v>
      </c>
      <c r="K1" s="58" t="s">
        <v>100</v>
      </c>
      <c r="L1" s="58" t="s">
        <v>5</v>
      </c>
      <c r="M1" s="58" t="s">
        <v>101</v>
      </c>
      <c r="N1" s="57" t="s">
        <v>102</v>
      </c>
      <c r="O1" s="58" t="s">
        <v>103</v>
      </c>
    </row>
    <row r="2" spans="1:15" ht="15.75" thickBot="1">
      <c r="A2" s="14"/>
      <c r="B2" s="15"/>
      <c r="C2" s="15"/>
      <c r="D2" s="16"/>
      <c r="E2" s="17"/>
      <c r="F2" s="15"/>
      <c r="G2" s="16"/>
      <c r="H2" s="16"/>
      <c r="I2" s="5"/>
      <c r="J2" s="15"/>
      <c r="K2" s="15"/>
      <c r="L2" s="5"/>
      <c r="M2" s="62"/>
      <c r="N2" s="51"/>
      <c r="O2" s="49"/>
    </row>
    <row r="3" spans="1:15" ht="17.25" thickBot="1">
      <c r="A3" s="14"/>
      <c r="B3" s="15"/>
      <c r="C3" s="15"/>
      <c r="D3" s="16"/>
      <c r="E3" s="15"/>
      <c r="F3" s="15"/>
      <c r="G3" s="16"/>
      <c r="H3" s="16"/>
      <c r="I3" s="5"/>
      <c r="J3" s="15"/>
      <c r="K3" s="15"/>
      <c r="L3" s="18"/>
      <c r="M3" s="62"/>
      <c r="N3" s="51"/>
      <c r="O3" s="49"/>
    </row>
    <row r="4" spans="1:15" ht="15.75" thickBot="1">
      <c r="A4" s="14"/>
      <c r="B4" s="15"/>
      <c r="C4" s="15"/>
      <c r="D4" s="16"/>
      <c r="E4" s="15"/>
      <c r="F4" s="15"/>
      <c r="G4" s="16"/>
      <c r="H4" s="16"/>
      <c r="I4" s="5"/>
      <c r="J4" s="15"/>
      <c r="K4" s="15"/>
      <c r="L4" s="5"/>
      <c r="M4" s="62"/>
      <c r="N4" s="51"/>
      <c r="O4" s="49"/>
    </row>
    <row r="5" spans="1:15" ht="15.75" thickBot="1">
      <c r="A5" s="14"/>
      <c r="B5" s="15"/>
      <c r="C5" s="15"/>
      <c r="D5" s="16"/>
      <c r="E5" s="15"/>
      <c r="F5" s="15"/>
      <c r="G5" s="16"/>
      <c r="H5" s="16"/>
      <c r="I5" s="5"/>
      <c r="J5" s="15"/>
      <c r="K5" s="15"/>
      <c r="L5" s="5"/>
      <c r="M5" s="62"/>
      <c r="N5" s="51"/>
      <c r="O5" s="49"/>
    </row>
    <row r="6" spans="1:15" ht="15.75" thickBot="1">
      <c r="A6" s="14"/>
      <c r="B6" s="15"/>
      <c r="C6" s="15"/>
      <c r="D6" s="16"/>
      <c r="E6" s="17"/>
      <c r="F6" s="15"/>
      <c r="G6" s="16"/>
      <c r="H6" s="16"/>
      <c r="I6" s="5"/>
      <c r="J6" s="15"/>
      <c r="K6" s="15"/>
      <c r="L6" s="5"/>
      <c r="M6" s="62"/>
      <c r="N6" s="51"/>
      <c r="O6" s="49"/>
    </row>
    <row r="7" spans="1:15">
      <c r="A7" s="63"/>
      <c r="B7" s="64"/>
      <c r="C7" s="65"/>
      <c r="D7" s="66"/>
      <c r="E7" s="67"/>
      <c r="F7" s="64"/>
      <c r="G7" s="66"/>
      <c r="H7" s="66"/>
      <c r="I7" s="63"/>
      <c r="J7" s="64"/>
      <c r="K7" s="64"/>
      <c r="L7" s="64"/>
      <c r="M7" s="62"/>
      <c r="N7" s="51"/>
      <c r="O7" s="49"/>
    </row>
    <row r="8" spans="1:15">
      <c r="A8" s="63"/>
      <c r="B8" s="64"/>
      <c r="C8" s="65"/>
      <c r="D8" s="66"/>
      <c r="E8" s="67"/>
      <c r="F8" s="64"/>
      <c r="G8" s="66"/>
      <c r="H8" s="66"/>
      <c r="I8" s="63"/>
      <c r="J8" s="64"/>
      <c r="K8" s="64"/>
      <c r="L8" s="64"/>
      <c r="M8" s="62"/>
      <c r="N8" s="51"/>
      <c r="O8" s="49"/>
    </row>
    <row r="9" spans="1:15">
      <c r="A9" s="63"/>
      <c r="B9" s="64"/>
      <c r="C9" s="65"/>
      <c r="D9" s="66"/>
      <c r="E9" s="67"/>
      <c r="F9" s="64"/>
      <c r="G9" s="66"/>
      <c r="H9" s="66"/>
      <c r="I9" s="63"/>
      <c r="J9" s="64"/>
      <c r="K9" s="64"/>
      <c r="L9" s="64"/>
      <c r="M9" s="62"/>
      <c r="N9" s="51"/>
      <c r="O9" s="49"/>
    </row>
    <row r="10" spans="1:15">
      <c r="A10" s="63"/>
      <c r="B10" s="64"/>
      <c r="C10" s="65"/>
      <c r="D10" s="66"/>
      <c r="E10" s="67"/>
      <c r="F10" s="64"/>
      <c r="G10" s="66"/>
      <c r="H10" s="66"/>
      <c r="I10" s="63"/>
      <c r="J10" s="64"/>
      <c r="K10" s="64"/>
      <c r="L10" s="64"/>
      <c r="M10" s="62"/>
      <c r="N10" s="51"/>
      <c r="O10" s="49"/>
    </row>
    <row r="11" spans="1:15">
      <c r="A11" s="63"/>
      <c r="B11" s="64"/>
      <c r="C11" s="65"/>
      <c r="D11" s="66"/>
      <c r="E11" s="67"/>
      <c r="F11" s="64"/>
      <c r="G11" s="66"/>
      <c r="H11" s="66"/>
      <c r="I11" s="63"/>
      <c r="J11" s="64"/>
      <c r="K11" s="64"/>
      <c r="L11" s="64"/>
      <c r="M11" s="62"/>
      <c r="N11" s="51"/>
      <c r="O11" s="49"/>
    </row>
    <row r="12" spans="1:15">
      <c r="A12" s="63"/>
      <c r="B12" s="64"/>
      <c r="C12" s="65"/>
      <c r="D12" s="66"/>
      <c r="E12" s="64"/>
      <c r="F12" s="64"/>
      <c r="G12" s="66"/>
      <c r="H12" s="66"/>
      <c r="I12" s="63"/>
      <c r="J12" s="64"/>
      <c r="K12" s="64"/>
      <c r="L12" s="64"/>
      <c r="M12" s="64"/>
      <c r="N12" s="51"/>
      <c r="O12" s="49"/>
    </row>
    <row r="13" spans="1:15">
      <c r="A13" s="63"/>
      <c r="B13" s="64"/>
      <c r="C13" s="65"/>
      <c r="D13" s="66"/>
      <c r="E13" s="64"/>
      <c r="F13" s="64"/>
      <c r="G13" s="66"/>
      <c r="H13" s="66"/>
      <c r="I13" s="63"/>
      <c r="J13" s="64"/>
      <c r="K13" s="64"/>
      <c r="L13" s="64"/>
      <c r="M13" s="64"/>
      <c r="N13" s="51"/>
      <c r="O13" s="49"/>
    </row>
    <row r="14" spans="1:15">
      <c r="A14" s="63"/>
      <c r="B14" s="64"/>
      <c r="C14" s="65"/>
      <c r="D14" s="66"/>
      <c r="E14" s="67"/>
      <c r="F14" s="64"/>
      <c r="G14" s="66"/>
      <c r="H14" s="66"/>
      <c r="I14" s="63"/>
      <c r="J14" s="64"/>
      <c r="K14" s="64"/>
      <c r="L14" s="64"/>
      <c r="M14" s="64"/>
      <c r="N14" s="51"/>
      <c r="O14" s="49"/>
    </row>
    <row r="15" spans="1:15">
      <c r="A15" s="63"/>
      <c r="B15" s="64"/>
      <c r="C15" s="65"/>
      <c r="D15" s="66"/>
      <c r="E15" s="67"/>
      <c r="F15" s="64"/>
      <c r="G15" s="66"/>
      <c r="H15" s="66"/>
      <c r="I15" s="63"/>
      <c r="J15" s="64"/>
      <c r="K15" s="64"/>
      <c r="L15" s="64"/>
      <c r="M15" s="62"/>
      <c r="N15" s="48"/>
      <c r="O15" s="49"/>
    </row>
    <row r="16" spans="1:15">
      <c r="A16" s="63"/>
      <c r="B16" s="64"/>
      <c r="C16" s="65"/>
      <c r="D16" s="66"/>
      <c r="E16" s="67"/>
      <c r="F16" s="64"/>
      <c r="G16" s="66"/>
      <c r="H16" s="66"/>
      <c r="I16" s="63"/>
      <c r="J16" s="64"/>
      <c r="K16" s="64"/>
      <c r="L16" s="64"/>
      <c r="M16" s="62"/>
      <c r="N16" s="48"/>
      <c r="O16" s="49"/>
    </row>
    <row r="17" spans="1:15">
      <c r="A17" s="63"/>
      <c r="B17" s="64"/>
      <c r="C17" s="65"/>
      <c r="D17" s="66"/>
      <c r="E17" s="67"/>
      <c r="F17" s="64"/>
      <c r="G17" s="66"/>
      <c r="H17" s="66"/>
      <c r="I17" s="63"/>
      <c r="J17" s="64"/>
      <c r="K17" s="64"/>
      <c r="L17" s="64"/>
      <c r="M17" s="62"/>
      <c r="N17" s="48"/>
      <c r="O17" s="49"/>
    </row>
    <row r="18" spans="1:15">
      <c r="A18" s="63"/>
      <c r="B18" s="64"/>
      <c r="C18" s="65"/>
      <c r="D18" s="66"/>
      <c r="E18" s="67"/>
      <c r="F18" s="64"/>
      <c r="G18" s="66"/>
      <c r="H18" s="66"/>
      <c r="I18" s="63"/>
      <c r="J18" s="64"/>
      <c r="K18" s="64"/>
      <c r="L18" s="64"/>
      <c r="M18" s="62"/>
      <c r="N18" s="48"/>
      <c r="O18" s="49"/>
    </row>
    <row r="19" spans="1:15">
      <c r="A19" s="63"/>
      <c r="B19" s="64"/>
      <c r="C19" s="68"/>
      <c r="D19" s="66"/>
      <c r="E19" s="67"/>
      <c r="F19" s="64"/>
      <c r="G19" s="66"/>
      <c r="H19" s="66"/>
      <c r="I19" s="63"/>
      <c r="J19" s="64"/>
      <c r="K19" s="64"/>
      <c r="L19" s="64"/>
      <c r="M19" s="62"/>
      <c r="N19" s="48"/>
      <c r="O19" s="49"/>
    </row>
    <row r="20" spans="1:15">
      <c r="A20" s="63"/>
      <c r="B20" s="64"/>
      <c r="C20" s="65"/>
      <c r="D20" s="66"/>
      <c r="E20" s="67"/>
      <c r="F20" s="64"/>
      <c r="G20" s="66"/>
      <c r="H20" s="66"/>
      <c r="I20" s="63"/>
      <c r="J20" s="64"/>
      <c r="K20" s="64"/>
      <c r="L20" s="64"/>
      <c r="M20" s="62"/>
      <c r="N20" s="48"/>
      <c r="O20" s="49"/>
    </row>
    <row r="21" spans="1:15">
      <c r="A21" s="63"/>
      <c r="B21" s="64"/>
      <c r="C21" s="65"/>
      <c r="D21" s="66"/>
      <c r="E21" s="67"/>
      <c r="F21" s="64"/>
      <c r="G21" s="66"/>
      <c r="H21" s="66"/>
      <c r="I21" s="63"/>
      <c r="J21" s="64"/>
      <c r="K21" s="64"/>
      <c r="L21" s="64"/>
      <c r="M21" s="62"/>
      <c r="N21" s="48"/>
      <c r="O21" s="49"/>
    </row>
    <row r="22" spans="1:15">
      <c r="A22" s="63"/>
      <c r="B22" s="64"/>
      <c r="C22" s="65"/>
      <c r="D22" s="66"/>
      <c r="E22" s="67"/>
      <c r="F22" s="64"/>
      <c r="G22" s="66"/>
      <c r="H22" s="66"/>
      <c r="I22" s="63"/>
      <c r="J22" s="64"/>
      <c r="K22" s="64"/>
      <c r="L22" s="64"/>
      <c r="M22" s="62"/>
      <c r="N22" s="48"/>
      <c r="O22" s="49"/>
    </row>
    <row r="23" spans="1:15">
      <c r="A23" s="63"/>
      <c r="B23" s="64"/>
      <c r="C23" s="65"/>
      <c r="D23" s="66"/>
      <c r="E23" s="67"/>
      <c r="F23" s="64"/>
      <c r="G23" s="66"/>
      <c r="H23" s="66"/>
      <c r="I23" s="63"/>
      <c r="J23" s="64"/>
      <c r="K23" s="64"/>
      <c r="L23" s="64"/>
      <c r="M23" s="49"/>
      <c r="N23" s="48"/>
      <c r="O23" s="49"/>
    </row>
    <row r="24" spans="1:15">
      <c r="A24" s="63"/>
      <c r="B24" s="64"/>
      <c r="C24" s="65"/>
      <c r="D24" s="66"/>
      <c r="E24" s="67"/>
      <c r="F24" s="64"/>
      <c r="G24" s="66"/>
      <c r="H24" s="66"/>
      <c r="I24" s="63"/>
      <c r="J24" s="64"/>
      <c r="K24" s="64"/>
      <c r="L24" s="64"/>
      <c r="M24" s="49"/>
      <c r="N24" s="48"/>
      <c r="O24" s="49"/>
    </row>
    <row r="25" spans="1:15">
      <c r="A25" s="63"/>
      <c r="B25" s="64"/>
      <c r="C25" s="68"/>
      <c r="D25" s="66"/>
      <c r="E25" s="67"/>
      <c r="F25" s="64"/>
      <c r="G25" s="66"/>
      <c r="H25" s="66"/>
      <c r="I25" s="63"/>
      <c r="J25" s="64"/>
      <c r="K25" s="64"/>
      <c r="L25" s="64"/>
      <c r="M25" s="49"/>
      <c r="N25" s="48"/>
      <c r="O25" s="49"/>
    </row>
    <row r="26" spans="1:15">
      <c r="A26" s="69"/>
      <c r="B26" s="69"/>
      <c r="C26" s="70"/>
      <c r="D26" s="71"/>
      <c r="E26" s="72"/>
      <c r="F26" s="69"/>
      <c r="G26" s="71"/>
      <c r="H26" s="71"/>
      <c r="I26" s="69"/>
      <c r="J26" s="69"/>
      <c r="K26" s="69"/>
      <c r="L26" s="69"/>
      <c r="M26" s="49"/>
      <c r="N26" s="48"/>
      <c r="O26" s="49"/>
    </row>
    <row r="27" spans="1:15">
      <c r="A27" s="69"/>
      <c r="B27" s="69"/>
      <c r="C27" s="70"/>
      <c r="D27" s="71"/>
      <c r="E27" s="72"/>
      <c r="F27" s="69"/>
      <c r="G27" s="71"/>
      <c r="H27" s="71"/>
      <c r="I27" s="69"/>
      <c r="J27" s="69"/>
      <c r="K27" s="69"/>
      <c r="L27" s="69"/>
      <c r="M27" s="49"/>
      <c r="N27" s="48"/>
      <c r="O27" s="49"/>
    </row>
    <row r="28" spans="1:15">
      <c r="A28" s="69"/>
      <c r="B28" s="69"/>
      <c r="C28" s="70"/>
      <c r="D28" s="71"/>
      <c r="E28" s="72"/>
      <c r="F28" s="69"/>
      <c r="G28" s="71"/>
      <c r="H28" s="71"/>
      <c r="I28" s="69"/>
      <c r="J28" s="69"/>
      <c r="K28" s="69"/>
      <c r="L28" s="69"/>
      <c r="M28" s="49"/>
      <c r="N28" s="48"/>
      <c r="O28" s="49"/>
    </row>
    <row r="29" spans="1:15">
      <c r="A29" s="69"/>
      <c r="B29" s="69"/>
      <c r="C29" s="73"/>
      <c r="D29" s="71"/>
      <c r="E29" s="72"/>
      <c r="F29" s="69"/>
      <c r="G29" s="71"/>
      <c r="H29" s="71"/>
      <c r="I29" s="69"/>
      <c r="J29" s="69"/>
      <c r="K29" s="69"/>
      <c r="L29" s="69"/>
      <c r="M29" s="49"/>
      <c r="N29" s="48"/>
      <c r="O29" s="49"/>
    </row>
    <row r="30" spans="1:15">
      <c r="A30" s="69"/>
      <c r="B30" s="69"/>
      <c r="C30" s="70"/>
      <c r="D30" s="71"/>
      <c r="E30" s="72"/>
      <c r="F30" s="69"/>
      <c r="G30" s="71"/>
      <c r="H30" s="71"/>
      <c r="I30" s="69"/>
      <c r="J30" s="69"/>
      <c r="K30" s="69"/>
      <c r="L30" s="69"/>
      <c r="M30" s="49"/>
      <c r="N30" s="48"/>
      <c r="O30" s="49"/>
    </row>
    <row r="31" spans="1:15">
      <c r="A31" s="69"/>
      <c r="B31" s="69"/>
      <c r="C31" s="70"/>
      <c r="D31" s="71"/>
      <c r="E31" s="72"/>
      <c r="F31" s="69"/>
      <c r="G31" s="71"/>
      <c r="H31" s="71"/>
      <c r="I31" s="69"/>
      <c r="J31" s="69"/>
      <c r="K31" s="69"/>
      <c r="L31" s="69"/>
      <c r="M31" s="49"/>
      <c r="N31" s="48"/>
      <c r="O31" s="49"/>
    </row>
    <row r="32" spans="1:15">
      <c r="A32" s="69"/>
      <c r="B32" s="69"/>
      <c r="C32" s="73"/>
      <c r="D32" s="71"/>
      <c r="E32" s="72"/>
      <c r="F32" s="69"/>
      <c r="G32" s="71"/>
      <c r="H32" s="71"/>
      <c r="I32" s="69"/>
      <c r="J32" s="69"/>
      <c r="K32" s="69"/>
      <c r="L32" s="69"/>
      <c r="M32" s="49"/>
      <c r="N32" s="48"/>
      <c r="O32" s="49"/>
    </row>
    <row r="33" spans="1:15">
      <c r="A33" s="69"/>
      <c r="B33" s="69"/>
      <c r="C33" s="73"/>
      <c r="D33" s="71"/>
      <c r="E33" s="72"/>
      <c r="F33" s="69"/>
      <c r="G33" s="71"/>
      <c r="H33" s="71"/>
      <c r="I33" s="69"/>
      <c r="J33" s="69"/>
      <c r="K33" s="69"/>
      <c r="L33" s="69"/>
      <c r="M33" s="49"/>
      <c r="N33" s="48"/>
      <c r="O33" s="49"/>
    </row>
    <row r="34" spans="1:15">
      <c r="A34" s="69"/>
      <c r="B34" s="69"/>
      <c r="C34" s="73"/>
      <c r="D34" s="71"/>
      <c r="E34" s="72"/>
      <c r="F34" s="69"/>
      <c r="G34" s="71"/>
      <c r="H34" s="71"/>
      <c r="I34" s="69"/>
      <c r="J34" s="69"/>
      <c r="K34" s="69"/>
      <c r="L34" s="69"/>
      <c r="M34" s="49"/>
      <c r="N34" s="48"/>
      <c r="O34" s="49"/>
    </row>
    <row r="35" spans="1:15">
      <c r="A35" s="69"/>
      <c r="B35" s="69"/>
      <c r="C35" s="70"/>
      <c r="D35" s="71"/>
      <c r="E35" s="72"/>
      <c r="F35" s="69"/>
      <c r="G35" s="71"/>
      <c r="H35" s="71"/>
      <c r="I35" s="69"/>
      <c r="J35" s="69"/>
      <c r="K35" s="69"/>
      <c r="L35" s="69"/>
      <c r="M35" s="49"/>
      <c r="N35" s="48"/>
      <c r="O35" s="49"/>
    </row>
    <row r="36" spans="1:15">
      <c r="A36" s="69"/>
      <c r="B36" s="69"/>
      <c r="C36" s="73"/>
      <c r="D36" s="71"/>
      <c r="E36" s="72"/>
      <c r="F36" s="69"/>
      <c r="G36" s="71"/>
      <c r="H36" s="71"/>
      <c r="I36" s="69"/>
      <c r="J36" s="69"/>
      <c r="K36" s="69"/>
      <c r="L36" s="69"/>
      <c r="M36" s="49"/>
      <c r="N36" s="48"/>
      <c r="O36" s="49"/>
    </row>
    <row r="37" spans="1:15">
      <c r="A37" s="69"/>
      <c r="B37" s="69"/>
      <c r="C37" s="73"/>
      <c r="D37" s="71"/>
      <c r="E37" s="72"/>
      <c r="F37" s="69"/>
      <c r="G37" s="71"/>
      <c r="H37" s="71"/>
      <c r="I37" s="69"/>
      <c r="J37" s="69"/>
      <c r="K37" s="69"/>
      <c r="L37" s="69"/>
      <c r="M37" s="49"/>
      <c r="N37" s="48"/>
      <c r="O37" s="49"/>
    </row>
    <row r="38" spans="1:15">
      <c r="A38" s="69"/>
      <c r="B38" s="69"/>
      <c r="C38" s="70"/>
      <c r="D38" s="71"/>
      <c r="E38" s="72"/>
      <c r="F38" s="69"/>
      <c r="G38" s="71"/>
      <c r="H38" s="71"/>
      <c r="I38" s="69"/>
      <c r="J38" s="69"/>
      <c r="K38" s="69"/>
      <c r="L38" s="69"/>
      <c r="M38" s="49"/>
      <c r="N38" s="48"/>
      <c r="O38" s="49"/>
    </row>
    <row r="39" spans="1:15">
      <c r="A39" s="69"/>
      <c r="B39" s="69"/>
      <c r="C39" s="70"/>
      <c r="D39" s="71"/>
      <c r="E39" s="72"/>
      <c r="F39" s="69"/>
      <c r="G39" s="71"/>
      <c r="H39" s="71"/>
      <c r="I39" s="69"/>
      <c r="J39" s="69"/>
      <c r="K39" s="69"/>
      <c r="L39" s="69"/>
      <c r="M39" s="49"/>
      <c r="N39" s="48"/>
      <c r="O39" s="49"/>
    </row>
    <row r="40" spans="1:15">
      <c r="A40" s="69"/>
      <c r="B40" s="69"/>
      <c r="C40" s="70"/>
      <c r="D40" s="71"/>
      <c r="E40" s="72"/>
      <c r="F40" s="69"/>
      <c r="G40" s="71"/>
      <c r="H40" s="71"/>
      <c r="I40" s="69"/>
      <c r="J40" s="69"/>
      <c r="K40" s="69"/>
      <c r="L40" s="69"/>
      <c r="M40" s="49"/>
      <c r="N40" s="48"/>
      <c r="O40" s="49"/>
    </row>
    <row r="41" spans="1:15">
      <c r="A41" s="69"/>
      <c r="B41" s="69"/>
      <c r="C41" s="70"/>
      <c r="D41" s="71"/>
      <c r="E41" s="72"/>
      <c r="F41" s="69"/>
      <c r="G41" s="71"/>
      <c r="H41" s="71"/>
      <c r="I41" s="69"/>
      <c r="J41" s="69"/>
      <c r="K41" s="69"/>
      <c r="L41" s="69"/>
      <c r="M41" s="49"/>
      <c r="N41" s="48"/>
      <c r="O41" s="49"/>
    </row>
    <row r="42" spans="1:15">
      <c r="A42" s="69"/>
      <c r="B42" s="69"/>
      <c r="C42" s="70"/>
      <c r="D42" s="71"/>
      <c r="E42" s="72"/>
      <c r="F42" s="69"/>
      <c r="G42" s="71"/>
      <c r="H42" s="71"/>
      <c r="I42" s="69"/>
      <c r="J42" s="69"/>
      <c r="K42" s="69"/>
      <c r="L42" s="69"/>
      <c r="M42" s="49"/>
      <c r="N42" s="48"/>
      <c r="O42" s="49"/>
    </row>
    <row r="43" spans="1:15">
      <c r="A43" s="69"/>
      <c r="B43" s="69"/>
      <c r="C43" s="73"/>
      <c r="D43" s="71"/>
      <c r="E43" s="72"/>
      <c r="F43" s="69"/>
      <c r="G43" s="71"/>
      <c r="H43" s="71"/>
      <c r="I43" s="69"/>
      <c r="J43" s="69"/>
      <c r="K43" s="69"/>
      <c r="L43" s="69"/>
      <c r="M43" s="49"/>
      <c r="N43" s="48"/>
      <c r="O43" s="49"/>
    </row>
    <row r="44" spans="1:15">
      <c r="A44" s="69"/>
      <c r="B44" s="69"/>
      <c r="C44" s="70"/>
      <c r="D44" s="71"/>
      <c r="E44" s="72"/>
      <c r="F44" s="69"/>
      <c r="G44" s="71"/>
      <c r="H44" s="71"/>
      <c r="I44" s="69"/>
      <c r="J44" s="69"/>
      <c r="K44" s="69"/>
      <c r="L44" s="69"/>
      <c r="M44" s="49"/>
      <c r="N44" s="48"/>
      <c r="O44" s="49"/>
    </row>
    <row r="45" spans="1:15">
      <c r="A45" s="69"/>
      <c r="B45" s="69"/>
      <c r="C45" s="70"/>
      <c r="D45" s="71"/>
      <c r="E45" s="72"/>
      <c r="F45" s="69"/>
      <c r="G45" s="71"/>
      <c r="H45" s="71"/>
      <c r="I45" s="69"/>
      <c r="J45" s="69"/>
      <c r="K45" s="69"/>
      <c r="L45" s="69"/>
      <c r="M45" s="49"/>
      <c r="N45" s="48"/>
      <c r="O45" s="49"/>
    </row>
    <row r="46" spans="1:15">
      <c r="A46" s="69"/>
      <c r="B46" s="69"/>
      <c r="C46" s="73"/>
      <c r="D46" s="71"/>
      <c r="E46" s="72"/>
      <c r="F46" s="69"/>
      <c r="G46" s="71"/>
      <c r="H46" s="71"/>
      <c r="I46" s="69"/>
      <c r="J46" s="69"/>
      <c r="K46" s="69"/>
      <c r="L46" s="69"/>
      <c r="M46" s="49"/>
      <c r="N46" s="48"/>
      <c r="O46" s="49"/>
    </row>
    <row r="47" spans="1:15">
      <c r="A47" s="69"/>
      <c r="B47" s="69"/>
      <c r="C47" s="73"/>
      <c r="D47" s="71"/>
      <c r="E47" s="72"/>
      <c r="F47" s="69"/>
      <c r="G47" s="71"/>
      <c r="H47" s="71"/>
      <c r="I47" s="69"/>
      <c r="J47" s="69"/>
      <c r="K47" s="69"/>
      <c r="L47" s="69"/>
      <c r="M47" s="49"/>
      <c r="N47" s="48"/>
      <c r="O47" s="49"/>
    </row>
    <row r="48" spans="1:15">
      <c r="A48" s="69"/>
      <c r="B48" s="69"/>
      <c r="C48" s="70"/>
      <c r="D48" s="71"/>
      <c r="E48" s="72"/>
      <c r="F48" s="69"/>
      <c r="G48" s="71"/>
      <c r="H48" s="71"/>
      <c r="I48" s="69"/>
      <c r="J48" s="69"/>
      <c r="K48" s="69"/>
      <c r="L48" s="69"/>
      <c r="M48" s="49"/>
      <c r="N48" s="48"/>
      <c r="O48" s="49"/>
    </row>
    <row r="49" spans="1:15">
      <c r="A49" s="69"/>
      <c r="B49" s="69"/>
      <c r="C49" s="70"/>
      <c r="D49" s="71"/>
      <c r="E49" s="72"/>
      <c r="F49" s="69"/>
      <c r="G49" s="71"/>
      <c r="H49" s="71"/>
      <c r="I49" s="69"/>
      <c r="J49" s="69"/>
      <c r="K49" s="69"/>
      <c r="L49" s="69"/>
      <c r="M49" s="49"/>
      <c r="N49" s="48"/>
      <c r="O49" s="49"/>
    </row>
    <row r="50" spans="1:15">
      <c r="A50" s="69"/>
      <c r="B50" s="69"/>
      <c r="C50" s="70"/>
      <c r="D50" s="71"/>
      <c r="E50" s="72"/>
      <c r="F50" s="69"/>
      <c r="G50" s="71"/>
      <c r="H50" s="71"/>
      <c r="I50" s="69"/>
      <c r="J50" s="69"/>
      <c r="K50" s="69"/>
      <c r="L50" s="69"/>
      <c r="M50" s="49"/>
      <c r="N50" s="48"/>
      <c r="O50" s="49"/>
    </row>
    <row r="51" spans="1:15">
      <c r="A51" s="69"/>
      <c r="B51" s="69"/>
      <c r="C51" s="73"/>
      <c r="D51" s="71"/>
      <c r="E51" s="72"/>
      <c r="F51" s="69"/>
      <c r="G51" s="71"/>
      <c r="H51" s="71"/>
      <c r="I51" s="69"/>
      <c r="J51" s="69"/>
      <c r="K51" s="69"/>
      <c r="L51" s="69"/>
      <c r="M51" s="49"/>
      <c r="N51" s="48"/>
      <c r="O51" s="49"/>
    </row>
    <row r="52" spans="1:15">
      <c r="A52" s="69"/>
      <c r="B52" s="69"/>
      <c r="C52" s="70"/>
      <c r="D52" s="71"/>
      <c r="E52" s="72"/>
      <c r="F52" s="69"/>
      <c r="G52" s="71"/>
      <c r="H52" s="71"/>
      <c r="I52" s="69"/>
      <c r="J52" s="69"/>
      <c r="K52" s="69"/>
      <c r="L52" s="69"/>
      <c r="M52" s="49"/>
      <c r="N52" s="48"/>
      <c r="O52" s="49"/>
    </row>
    <row r="53" spans="1:15">
      <c r="A53" s="69"/>
      <c r="B53" s="69"/>
      <c r="C53" s="70"/>
      <c r="D53" s="71"/>
      <c r="E53" s="72"/>
      <c r="F53" s="69"/>
      <c r="G53" s="71"/>
      <c r="H53" s="71"/>
      <c r="I53" s="69"/>
      <c r="J53" s="69"/>
      <c r="K53" s="69"/>
      <c r="L53" s="69"/>
      <c r="M53" s="49"/>
      <c r="N53" s="48"/>
      <c r="O53" s="49"/>
    </row>
    <row r="54" spans="1:15">
      <c r="A54" s="69"/>
      <c r="B54" s="69"/>
      <c r="C54" s="73"/>
      <c r="D54" s="71"/>
      <c r="E54" s="72"/>
      <c r="F54" s="69"/>
      <c r="G54" s="71"/>
      <c r="H54" s="71"/>
      <c r="I54" s="69"/>
      <c r="J54" s="69"/>
      <c r="K54" s="69"/>
      <c r="L54" s="69"/>
      <c r="M54" s="49"/>
      <c r="N54" s="48"/>
      <c r="O54" s="49"/>
    </row>
    <row r="55" spans="1:15">
      <c r="A55" s="69"/>
      <c r="B55" s="69"/>
      <c r="C55" s="73"/>
      <c r="D55" s="71"/>
      <c r="E55" s="72"/>
      <c r="F55" s="69"/>
      <c r="G55" s="71"/>
      <c r="H55" s="71"/>
      <c r="I55" s="69"/>
      <c r="J55" s="69"/>
      <c r="K55" s="69"/>
      <c r="L55" s="69"/>
      <c r="M55" s="49"/>
      <c r="N55" s="48"/>
      <c r="O55" s="49"/>
    </row>
    <row r="56" spans="1:15">
      <c r="A56" s="69"/>
      <c r="B56" s="69"/>
      <c r="C56" s="73"/>
      <c r="D56" s="71"/>
      <c r="E56" s="72"/>
      <c r="F56" s="69"/>
      <c r="G56" s="71"/>
      <c r="H56" s="71"/>
      <c r="I56" s="69"/>
      <c r="J56" s="69"/>
      <c r="K56" s="69"/>
      <c r="L56" s="69"/>
      <c r="M56" s="49"/>
      <c r="N56" s="48"/>
      <c r="O56" s="49"/>
    </row>
    <row r="57" spans="1:15">
      <c r="A57" s="69"/>
      <c r="B57" s="69"/>
      <c r="C57" s="70"/>
      <c r="D57" s="71"/>
      <c r="E57" s="72"/>
      <c r="F57" s="69"/>
      <c r="G57" s="71"/>
      <c r="H57" s="71"/>
      <c r="I57" s="69"/>
      <c r="J57" s="69"/>
      <c r="K57" s="69"/>
      <c r="L57" s="69"/>
      <c r="M57" s="49"/>
      <c r="N57" s="48"/>
      <c r="O57" s="49"/>
    </row>
    <row r="58" spans="1:15">
      <c r="A58" s="69"/>
      <c r="B58" s="69"/>
      <c r="C58" s="73"/>
      <c r="D58" s="71"/>
      <c r="E58" s="72"/>
      <c r="F58" s="69"/>
      <c r="G58" s="71"/>
      <c r="H58" s="71"/>
      <c r="I58" s="69"/>
      <c r="J58" s="69"/>
      <c r="K58" s="69"/>
      <c r="L58" s="69"/>
      <c r="M58" s="49"/>
      <c r="N58" s="48"/>
      <c r="O58" s="49"/>
    </row>
    <row r="59" spans="1:15">
      <c r="A59" s="69"/>
      <c r="B59" s="69"/>
      <c r="C59" s="73"/>
      <c r="D59" s="71"/>
      <c r="E59" s="72"/>
      <c r="F59" s="69"/>
      <c r="G59" s="71"/>
      <c r="H59" s="71"/>
      <c r="I59" s="69"/>
      <c r="J59" s="69"/>
      <c r="K59" s="69"/>
      <c r="L59" s="69"/>
      <c r="M59" s="49"/>
      <c r="N59" s="48"/>
      <c r="O59" s="49"/>
    </row>
    <row r="60" spans="1:15">
      <c r="A60" s="69"/>
      <c r="B60" s="69"/>
      <c r="C60" s="70"/>
      <c r="D60" s="71"/>
      <c r="E60" s="72"/>
      <c r="F60" s="69"/>
      <c r="G60" s="71"/>
      <c r="H60" s="71"/>
      <c r="I60" s="69"/>
      <c r="J60" s="69"/>
      <c r="K60" s="69"/>
      <c r="L60" s="69"/>
      <c r="M60" s="49"/>
      <c r="N60" s="48"/>
      <c r="O60" s="49"/>
    </row>
    <row r="61" spans="1:15">
      <c r="A61" s="69"/>
      <c r="B61" s="69"/>
      <c r="C61" s="70"/>
      <c r="D61" s="71"/>
      <c r="E61" s="72"/>
      <c r="F61" s="69"/>
      <c r="G61" s="71"/>
      <c r="H61" s="71"/>
      <c r="I61" s="69"/>
      <c r="J61" s="69"/>
      <c r="K61" s="69"/>
      <c r="L61" s="69"/>
      <c r="M61" s="49"/>
      <c r="N61" s="48"/>
      <c r="O61" s="49"/>
    </row>
    <row r="62" spans="1:15">
      <c r="A62" s="69"/>
      <c r="B62" s="69"/>
      <c r="C62" s="70"/>
      <c r="D62" s="71"/>
      <c r="E62" s="72"/>
      <c r="F62" s="69"/>
      <c r="G62" s="71"/>
      <c r="H62" s="71"/>
      <c r="I62" s="69"/>
      <c r="J62" s="69"/>
      <c r="K62" s="69"/>
      <c r="L62" s="69"/>
      <c r="M62" s="49"/>
      <c r="N62" s="48"/>
      <c r="O62" s="49"/>
    </row>
    <row r="63" spans="1:15">
      <c r="A63" s="69"/>
      <c r="B63" s="69"/>
      <c r="C63" s="70"/>
      <c r="D63" s="71"/>
      <c r="E63" s="72"/>
      <c r="F63" s="69"/>
      <c r="G63" s="71"/>
      <c r="H63" s="71"/>
      <c r="I63" s="69"/>
      <c r="J63" s="69"/>
      <c r="K63" s="69"/>
      <c r="L63" s="69"/>
      <c r="M63" s="49"/>
      <c r="N63" s="48"/>
      <c r="O63" s="49"/>
    </row>
    <row r="64" spans="1:15">
      <c r="A64" s="69"/>
      <c r="B64" s="69"/>
      <c r="C64" s="70"/>
      <c r="D64" s="71"/>
      <c r="E64" s="72"/>
      <c r="F64" s="69"/>
      <c r="G64" s="71"/>
      <c r="H64" s="71"/>
      <c r="I64" s="69"/>
      <c r="J64" s="69"/>
      <c r="K64" s="69"/>
      <c r="L64" s="69"/>
      <c r="M64" s="49"/>
      <c r="N64" s="48"/>
      <c r="O64" s="49"/>
    </row>
    <row r="65" spans="1:15">
      <c r="A65" s="69"/>
      <c r="B65" s="69"/>
      <c r="C65" s="73"/>
      <c r="D65" s="71"/>
      <c r="E65" s="74"/>
      <c r="F65" s="69"/>
      <c r="G65" s="71"/>
      <c r="H65" s="71"/>
      <c r="I65" s="69"/>
      <c r="J65" s="69"/>
      <c r="K65" s="69"/>
      <c r="L65" s="69"/>
      <c r="M65" s="49"/>
      <c r="N65" s="48"/>
      <c r="O65" s="49"/>
    </row>
    <row r="66" spans="1:15">
      <c r="A66" s="69"/>
      <c r="B66" s="69"/>
      <c r="C66" s="70"/>
      <c r="D66" s="71"/>
      <c r="E66" s="74"/>
      <c r="F66" s="69"/>
      <c r="G66" s="71"/>
      <c r="H66" s="71"/>
      <c r="I66" s="69"/>
      <c r="J66" s="69"/>
      <c r="K66" s="69"/>
      <c r="L66" s="69"/>
      <c r="M66" s="49"/>
      <c r="N66" s="48"/>
      <c r="O66" s="49"/>
    </row>
    <row r="67" spans="1:15">
      <c r="A67" s="69"/>
      <c r="B67" s="69"/>
      <c r="C67" s="70"/>
      <c r="D67" s="71"/>
      <c r="E67" s="74"/>
      <c r="F67" s="69"/>
      <c r="G67" s="71"/>
      <c r="H67" s="71"/>
      <c r="I67" s="69"/>
      <c r="J67" s="69"/>
      <c r="K67" s="69"/>
      <c r="L67" s="69"/>
      <c r="M67" s="49"/>
      <c r="N67" s="48"/>
      <c r="O67" s="49"/>
    </row>
    <row r="68" spans="1:15">
      <c r="A68" s="69"/>
      <c r="B68" s="69"/>
      <c r="C68" s="73"/>
      <c r="D68" s="71"/>
      <c r="E68" s="74"/>
      <c r="F68" s="69"/>
      <c r="G68" s="71"/>
      <c r="H68" s="71"/>
      <c r="I68" s="69"/>
      <c r="J68" s="69"/>
      <c r="K68" s="69"/>
      <c r="L68" s="69"/>
      <c r="M68" s="49"/>
      <c r="N68" s="48"/>
      <c r="O68" s="49"/>
    </row>
    <row r="69" spans="1:15">
      <c r="A69" s="69"/>
      <c r="B69" s="69"/>
      <c r="C69" s="73"/>
      <c r="D69" s="71"/>
      <c r="E69" s="74"/>
      <c r="F69" s="69"/>
      <c r="G69" s="71"/>
      <c r="H69" s="71"/>
      <c r="I69" s="69"/>
      <c r="J69" s="69"/>
      <c r="K69" s="69"/>
      <c r="L69" s="69"/>
      <c r="M69" s="49"/>
      <c r="N69" s="48"/>
      <c r="O69" s="49"/>
    </row>
    <row r="70" spans="1:15">
      <c r="A70" s="69"/>
      <c r="B70" s="69"/>
      <c r="C70" s="70"/>
      <c r="D70" s="71"/>
      <c r="E70" s="74"/>
      <c r="F70" s="69"/>
      <c r="G70" s="71"/>
      <c r="H70" s="71"/>
      <c r="I70" s="69"/>
      <c r="J70" s="69"/>
      <c r="K70" s="69"/>
      <c r="L70" s="69"/>
      <c r="M70" s="49"/>
      <c r="N70" s="48"/>
      <c r="O70" s="49"/>
    </row>
    <row r="71" spans="1:15">
      <c r="A71" s="69"/>
      <c r="B71" s="69"/>
      <c r="C71" s="70"/>
      <c r="D71" s="71"/>
      <c r="E71" s="74"/>
      <c r="F71" s="69"/>
      <c r="G71" s="71"/>
      <c r="H71" s="71"/>
      <c r="I71" s="69"/>
      <c r="J71" s="69"/>
      <c r="K71" s="69"/>
      <c r="L71" s="69"/>
      <c r="M71" s="49"/>
      <c r="N71" s="48"/>
      <c r="O71" s="49"/>
    </row>
    <row r="72" spans="1:15">
      <c r="A72" s="69"/>
      <c r="B72" s="69"/>
      <c r="C72" s="70"/>
      <c r="D72" s="71"/>
      <c r="E72" s="74"/>
      <c r="F72" s="69"/>
      <c r="G72" s="71"/>
      <c r="H72" s="71"/>
      <c r="I72" s="69"/>
      <c r="J72" s="69"/>
      <c r="K72" s="69"/>
      <c r="L72" s="69"/>
      <c r="M72" s="49"/>
      <c r="N72" s="48"/>
      <c r="O72" s="49"/>
    </row>
    <row r="73" spans="1:15">
      <c r="A73" s="69"/>
      <c r="B73" s="69"/>
      <c r="C73" s="73"/>
      <c r="D73" s="71"/>
      <c r="E73" s="74"/>
      <c r="F73" s="69"/>
      <c r="G73" s="71"/>
      <c r="H73" s="71"/>
      <c r="I73" s="69"/>
      <c r="J73" s="69"/>
      <c r="K73" s="69"/>
      <c r="L73" s="69"/>
      <c r="M73" s="49"/>
      <c r="N73" s="48"/>
      <c r="O73" s="49"/>
    </row>
    <row r="74" spans="1:15">
      <c r="A74" s="69"/>
      <c r="B74" s="69"/>
      <c r="C74" s="70"/>
      <c r="D74" s="71"/>
      <c r="E74" s="74"/>
      <c r="F74" s="69"/>
      <c r="G74" s="71"/>
      <c r="H74" s="71"/>
      <c r="I74" s="69"/>
      <c r="J74" s="69"/>
      <c r="K74" s="69"/>
      <c r="L74" s="69"/>
      <c r="M74" s="49"/>
      <c r="N74" s="48"/>
      <c r="O74" s="49"/>
    </row>
    <row r="75" spans="1:15">
      <c r="A75" s="69"/>
      <c r="B75" s="69"/>
      <c r="C75" s="70"/>
      <c r="D75" s="71"/>
      <c r="E75" s="74"/>
      <c r="F75" s="69"/>
      <c r="G75" s="71"/>
      <c r="H75" s="71"/>
      <c r="I75" s="69"/>
      <c r="J75" s="69"/>
      <c r="K75" s="69"/>
      <c r="L75" s="69"/>
      <c r="M75" s="49"/>
      <c r="N75" s="48"/>
      <c r="O75" s="49"/>
    </row>
    <row r="76" spans="1:15">
      <c r="A76" s="69"/>
      <c r="B76" s="69"/>
      <c r="C76" s="73"/>
      <c r="D76" s="71"/>
      <c r="E76" s="74"/>
      <c r="F76" s="69"/>
      <c r="G76" s="71"/>
      <c r="H76" s="71"/>
      <c r="I76" s="69"/>
      <c r="J76" s="69"/>
      <c r="K76" s="69"/>
      <c r="L76" s="69"/>
      <c r="M76" s="49"/>
      <c r="N76" s="48"/>
      <c r="O76" s="49"/>
    </row>
    <row r="77" spans="1:15">
      <c r="A77" s="69"/>
      <c r="B77" s="69"/>
      <c r="C77" s="73"/>
      <c r="D77" s="71"/>
      <c r="E77" s="74"/>
      <c r="F77" s="69"/>
      <c r="G77" s="71"/>
      <c r="H77" s="71"/>
      <c r="I77" s="69"/>
      <c r="J77" s="69"/>
      <c r="K77" s="69"/>
      <c r="L77" s="69"/>
      <c r="M77" s="49"/>
      <c r="N77" s="48"/>
      <c r="O77" s="49"/>
    </row>
    <row r="78" spans="1:15">
      <c r="A78" s="69"/>
      <c r="B78" s="69"/>
      <c r="C78" s="73"/>
      <c r="D78" s="71"/>
      <c r="E78" s="74"/>
      <c r="F78" s="69"/>
      <c r="G78" s="71"/>
      <c r="H78" s="71"/>
      <c r="I78" s="69"/>
      <c r="J78" s="69"/>
      <c r="K78" s="69"/>
      <c r="L78" s="69"/>
      <c r="M78" s="49"/>
      <c r="N78" s="48"/>
      <c r="O78" s="49"/>
    </row>
    <row r="79" spans="1:15">
      <c r="A79" s="69"/>
      <c r="B79" s="69"/>
      <c r="C79" s="70"/>
      <c r="D79" s="71"/>
      <c r="E79" s="74"/>
      <c r="F79" s="69"/>
      <c r="G79" s="71"/>
      <c r="H79" s="71"/>
      <c r="I79" s="69"/>
      <c r="J79" s="69"/>
      <c r="K79" s="69"/>
      <c r="L79" s="69"/>
      <c r="M79" s="49"/>
      <c r="N79" s="48"/>
      <c r="O79" s="49"/>
    </row>
    <row r="80" spans="1:15">
      <c r="A80" s="69"/>
      <c r="B80" s="69"/>
      <c r="C80" s="73"/>
      <c r="D80" s="71"/>
      <c r="E80" s="74"/>
      <c r="F80" s="69"/>
      <c r="G80" s="71"/>
      <c r="H80" s="71"/>
      <c r="I80" s="69"/>
      <c r="J80" s="69"/>
      <c r="K80" s="69"/>
      <c r="L80" s="69"/>
      <c r="M80" s="49"/>
      <c r="N80" s="48"/>
      <c r="O80" s="49"/>
    </row>
    <row r="81" spans="1:15">
      <c r="A81" s="69"/>
      <c r="B81" s="69"/>
      <c r="C81" s="73"/>
      <c r="D81" s="71"/>
      <c r="E81" s="74"/>
      <c r="F81" s="69"/>
      <c r="G81" s="71"/>
      <c r="H81" s="71"/>
      <c r="I81" s="69"/>
      <c r="J81" s="69"/>
      <c r="K81" s="69"/>
      <c r="L81" s="69"/>
      <c r="M81" s="49"/>
      <c r="N81" s="48"/>
      <c r="O81" s="49"/>
    </row>
    <row r="82" spans="1:15">
      <c r="A82" s="48"/>
      <c r="B82" s="49"/>
      <c r="C82" s="48"/>
      <c r="D82" s="50"/>
      <c r="E82" s="49"/>
      <c r="F82" s="49"/>
      <c r="G82" s="50"/>
      <c r="H82" s="50"/>
      <c r="I82" s="49"/>
      <c r="J82" s="49"/>
      <c r="K82" s="49"/>
      <c r="L82" s="49"/>
      <c r="M82" s="49"/>
      <c r="N82" s="48"/>
      <c r="O82" s="49"/>
    </row>
    <row r="83" spans="1:15">
      <c r="A83" s="48"/>
      <c r="B83" s="49"/>
      <c r="C83" s="48"/>
      <c r="D83" s="50"/>
      <c r="E83" s="49"/>
      <c r="F83" s="49"/>
      <c r="G83" s="50"/>
      <c r="H83" s="50"/>
      <c r="I83" s="49"/>
      <c r="J83" s="49"/>
      <c r="K83" s="49"/>
      <c r="L83" s="49"/>
      <c r="M83" s="49"/>
      <c r="N83" s="48"/>
      <c r="O83" s="49"/>
    </row>
    <row r="84" spans="1:15">
      <c r="A84" s="48"/>
      <c r="B84" s="49"/>
      <c r="C84" s="48"/>
      <c r="D84" s="50"/>
      <c r="E84" s="49"/>
      <c r="F84" s="49"/>
      <c r="G84" s="50"/>
      <c r="H84" s="50"/>
      <c r="I84" s="49"/>
      <c r="J84" s="49"/>
      <c r="K84" s="49"/>
      <c r="L84" s="49"/>
      <c r="M84" s="49"/>
      <c r="N84" s="48"/>
      <c r="O84" s="49"/>
    </row>
    <row r="85" spans="1:15">
      <c r="A85" s="48"/>
      <c r="B85" s="49"/>
      <c r="C85" s="48"/>
      <c r="D85" s="50"/>
      <c r="E85" s="49"/>
      <c r="F85" s="49"/>
      <c r="G85" s="50"/>
      <c r="H85" s="50"/>
      <c r="I85" s="49"/>
      <c r="J85" s="49"/>
      <c r="K85" s="49"/>
      <c r="L85" s="49"/>
      <c r="M85" s="49"/>
      <c r="N85" s="48"/>
      <c r="O85" s="49"/>
    </row>
    <row r="86" spans="1:15">
      <c r="A86" s="48"/>
      <c r="B86" s="49"/>
      <c r="C86" s="48"/>
      <c r="D86" s="50"/>
      <c r="E86" s="49"/>
      <c r="F86" s="49"/>
      <c r="G86" s="50"/>
      <c r="H86" s="50"/>
      <c r="I86" s="49"/>
      <c r="J86" s="49"/>
      <c r="K86" s="49"/>
      <c r="L86" s="49"/>
      <c r="M86" s="49"/>
      <c r="N86" s="48"/>
      <c r="O86" s="49"/>
    </row>
    <row r="87" spans="1:15">
      <c r="A87" s="48"/>
      <c r="B87" s="49"/>
      <c r="C87" s="48"/>
      <c r="D87" s="50"/>
      <c r="E87" s="49"/>
      <c r="F87" s="49"/>
      <c r="G87" s="50"/>
      <c r="H87" s="50"/>
      <c r="I87" s="49"/>
      <c r="J87" s="49"/>
      <c r="K87" s="49"/>
      <c r="L87" s="49"/>
      <c r="M87" s="49"/>
      <c r="N87" s="48"/>
      <c r="O87" s="49"/>
    </row>
    <row r="88" spans="1:15">
      <c r="A88" s="48"/>
      <c r="B88" s="49"/>
      <c r="C88" s="48"/>
      <c r="D88" s="50"/>
      <c r="E88" s="49"/>
      <c r="F88" s="49"/>
      <c r="G88" s="50"/>
      <c r="H88" s="50"/>
      <c r="I88" s="49"/>
      <c r="J88" s="49"/>
      <c r="K88" s="49"/>
      <c r="L88" s="49"/>
      <c r="M88" s="49"/>
      <c r="N88" s="48"/>
      <c r="O88" s="49"/>
    </row>
    <row r="89" spans="1:15">
      <c r="A89" s="48"/>
      <c r="B89" s="49"/>
      <c r="C89" s="48"/>
      <c r="D89" s="50"/>
      <c r="E89" s="49"/>
      <c r="F89" s="49"/>
      <c r="G89" s="50"/>
      <c r="H89" s="50"/>
      <c r="I89" s="49"/>
      <c r="J89" s="49"/>
      <c r="K89" s="49"/>
      <c r="L89" s="49"/>
      <c r="M89" s="49"/>
      <c r="N89" s="48"/>
      <c r="O89" s="49"/>
    </row>
    <row r="90" spans="1:15">
      <c r="A90" s="48"/>
      <c r="B90" s="49"/>
      <c r="C90" s="48"/>
      <c r="D90" s="50"/>
      <c r="E90" s="49"/>
      <c r="F90" s="49"/>
      <c r="G90" s="50"/>
      <c r="H90" s="50"/>
      <c r="I90" s="49"/>
      <c r="J90" s="49"/>
      <c r="K90" s="49"/>
      <c r="L90" s="49"/>
      <c r="M90" s="49"/>
      <c r="N90" s="48"/>
      <c r="O90" s="49"/>
    </row>
    <row r="91" spans="1:15">
      <c r="A91" s="48"/>
      <c r="B91" s="49"/>
      <c r="C91" s="48"/>
      <c r="D91" s="50"/>
      <c r="E91" s="49"/>
      <c r="F91" s="49"/>
      <c r="G91" s="50"/>
      <c r="H91" s="50"/>
      <c r="I91" s="49"/>
      <c r="J91" s="49"/>
      <c r="K91" s="49"/>
      <c r="L91" s="49"/>
      <c r="M91" s="49"/>
      <c r="N91" s="48"/>
      <c r="O91" s="49"/>
    </row>
    <row r="92" spans="1:15">
      <c r="A92" s="48"/>
      <c r="B92" s="49"/>
      <c r="C92" s="48"/>
      <c r="D92" s="50"/>
      <c r="E92" s="49"/>
      <c r="F92" s="49"/>
      <c r="G92" s="50"/>
      <c r="H92" s="50"/>
      <c r="I92" s="49"/>
      <c r="J92" s="49"/>
      <c r="K92" s="49"/>
      <c r="L92" s="49"/>
      <c r="M92" s="49"/>
      <c r="N92" s="48"/>
      <c r="O92" s="49"/>
    </row>
    <row r="93" spans="1:15">
      <c r="A93" s="48"/>
      <c r="B93" s="49"/>
      <c r="C93" s="48"/>
      <c r="D93" s="50"/>
      <c r="E93" s="49"/>
      <c r="F93" s="49"/>
      <c r="G93" s="50"/>
      <c r="H93" s="50"/>
      <c r="I93" s="49"/>
      <c r="J93" s="49"/>
      <c r="K93" s="49"/>
      <c r="L93" s="49"/>
      <c r="M93" s="49"/>
      <c r="N93" s="48"/>
      <c r="O93" s="49"/>
    </row>
    <row r="94" spans="1:15">
      <c r="A94" s="48"/>
      <c r="B94" s="49"/>
      <c r="C94" s="48"/>
      <c r="D94" s="50"/>
      <c r="E94" s="49"/>
      <c r="F94" s="49"/>
      <c r="G94" s="50"/>
      <c r="H94" s="50"/>
      <c r="I94" s="49"/>
      <c r="J94" s="49"/>
      <c r="K94" s="49"/>
      <c r="L94" s="49"/>
      <c r="M94" s="49"/>
      <c r="N94" s="48"/>
      <c r="O94" s="49"/>
    </row>
    <row r="95" spans="1:15">
      <c r="A95" s="48"/>
      <c r="B95" s="49"/>
      <c r="C95" s="48"/>
      <c r="D95" s="50"/>
      <c r="E95" s="49"/>
      <c r="F95" s="49"/>
      <c r="G95" s="50"/>
      <c r="H95" s="50"/>
      <c r="I95" s="49"/>
      <c r="J95" s="49"/>
      <c r="K95" s="49"/>
      <c r="L95" s="49"/>
      <c r="M95" s="49"/>
      <c r="N95" s="48"/>
      <c r="O95" s="49"/>
    </row>
    <row r="96" spans="1:15">
      <c r="A96" s="48"/>
      <c r="B96" s="49"/>
      <c r="C96" s="48"/>
      <c r="D96" s="50"/>
      <c r="E96" s="49"/>
      <c r="F96" s="49"/>
      <c r="G96" s="50"/>
      <c r="H96" s="50"/>
      <c r="I96" s="49"/>
      <c r="J96" s="49"/>
      <c r="K96" s="49"/>
      <c r="L96" s="49"/>
      <c r="M96" s="49"/>
      <c r="N96" s="48"/>
      <c r="O96" s="49"/>
    </row>
    <row r="97" spans="1:15">
      <c r="A97" s="48"/>
      <c r="B97" s="49"/>
      <c r="C97" s="48"/>
      <c r="D97" s="50"/>
      <c r="E97" s="49"/>
      <c r="F97" s="49"/>
      <c r="G97" s="50"/>
      <c r="H97" s="50"/>
      <c r="I97" s="49"/>
      <c r="J97" s="49"/>
      <c r="K97" s="49"/>
      <c r="L97" s="49"/>
      <c r="M97" s="49"/>
      <c r="N97" s="48"/>
      <c r="O97" s="49"/>
    </row>
    <row r="98" spans="1:15">
      <c r="A98" s="48"/>
      <c r="B98" s="49"/>
      <c r="C98" s="48"/>
      <c r="D98" s="50"/>
      <c r="E98" s="49"/>
      <c r="F98" s="49"/>
      <c r="G98" s="50"/>
      <c r="H98" s="50"/>
      <c r="I98" s="49"/>
      <c r="J98" s="49"/>
      <c r="K98" s="49"/>
      <c r="L98" s="49"/>
      <c r="M98" s="49"/>
      <c r="N98" s="48"/>
      <c r="O98" s="49"/>
    </row>
    <row r="99" spans="1:15">
      <c r="A99" s="48"/>
      <c r="B99" s="49"/>
      <c r="C99" s="48"/>
      <c r="D99" s="50"/>
      <c r="E99" s="49"/>
      <c r="F99" s="49"/>
      <c r="G99" s="50"/>
      <c r="H99" s="50"/>
      <c r="I99" s="49"/>
      <c r="J99" s="49"/>
      <c r="K99" s="49"/>
      <c r="L99" s="49"/>
      <c r="M99" s="49"/>
      <c r="N99" s="48"/>
      <c r="O99" s="49"/>
    </row>
    <row r="100" spans="1:15">
      <c r="A100" s="48"/>
      <c r="B100" s="49"/>
      <c r="C100" s="48"/>
      <c r="D100" s="50"/>
      <c r="E100" s="49"/>
      <c r="F100" s="49"/>
      <c r="G100" s="50"/>
      <c r="H100" s="50"/>
      <c r="I100" s="49"/>
      <c r="J100" s="49"/>
      <c r="K100" s="49"/>
      <c r="L100" s="49"/>
      <c r="M100" s="49"/>
      <c r="N100" s="48"/>
      <c r="O100" s="49"/>
    </row>
    <row r="101" spans="1:15">
      <c r="A101" s="48"/>
      <c r="B101" s="49"/>
      <c r="C101" s="48"/>
      <c r="D101" s="50"/>
      <c r="E101" s="49"/>
      <c r="F101" s="49"/>
      <c r="G101" s="50"/>
      <c r="H101" s="50"/>
      <c r="I101" s="49"/>
      <c r="J101" s="49"/>
      <c r="K101" s="49"/>
      <c r="L101" s="49"/>
      <c r="M101" s="49"/>
      <c r="N101" s="48"/>
      <c r="O101" s="49"/>
    </row>
    <row r="102" spans="1:15">
      <c r="A102" s="48"/>
      <c r="B102" s="49"/>
      <c r="C102" s="48"/>
      <c r="D102" s="50"/>
      <c r="E102" s="49"/>
      <c r="F102" s="49"/>
      <c r="G102" s="50"/>
      <c r="H102" s="50"/>
      <c r="I102" s="49"/>
      <c r="J102" s="49"/>
      <c r="K102" s="49"/>
      <c r="L102" s="49"/>
      <c r="M102" s="49"/>
      <c r="N102" s="48"/>
      <c r="O102" s="49"/>
    </row>
    <row r="103" spans="1:15">
      <c r="A103" s="48"/>
      <c r="B103" s="49"/>
      <c r="C103" s="48"/>
      <c r="D103" s="50"/>
      <c r="E103" s="49"/>
      <c r="F103" s="49"/>
      <c r="G103" s="50"/>
      <c r="H103" s="50"/>
      <c r="I103" s="49"/>
      <c r="J103" s="49"/>
      <c r="K103" s="49"/>
      <c r="L103" s="49"/>
      <c r="M103" s="49"/>
      <c r="N103" s="48"/>
      <c r="O103" s="49"/>
    </row>
    <row r="104" spans="1:15">
      <c r="A104" s="48"/>
      <c r="B104" s="49"/>
      <c r="C104" s="48"/>
      <c r="D104" s="50"/>
      <c r="E104" s="49"/>
      <c r="F104" s="49"/>
      <c r="G104" s="50"/>
      <c r="H104" s="50"/>
      <c r="I104" s="49"/>
      <c r="J104" s="49"/>
      <c r="K104" s="49"/>
      <c r="L104" s="49"/>
      <c r="M104" s="49"/>
      <c r="N104" s="48"/>
      <c r="O104" s="49"/>
    </row>
    <row r="105" spans="1:15">
      <c r="A105" s="48"/>
      <c r="B105" s="49"/>
      <c r="C105" s="48"/>
      <c r="D105" s="50"/>
      <c r="E105" s="49"/>
      <c r="F105" s="49"/>
      <c r="G105" s="50"/>
      <c r="H105" s="50"/>
      <c r="I105" s="49"/>
      <c r="J105" s="49"/>
      <c r="K105" s="49"/>
      <c r="L105" s="49"/>
      <c r="M105" s="49"/>
      <c r="N105" s="48"/>
      <c r="O105" s="49"/>
    </row>
    <row r="106" spans="1:15">
      <c r="A106" s="48"/>
      <c r="B106" s="49"/>
      <c r="C106" s="48"/>
      <c r="D106" s="50"/>
      <c r="E106" s="49"/>
      <c r="F106" s="49"/>
      <c r="G106" s="50"/>
      <c r="H106" s="50"/>
      <c r="I106" s="49"/>
      <c r="J106" s="49"/>
      <c r="K106" s="49"/>
      <c r="L106" s="49"/>
      <c r="M106" s="49"/>
      <c r="N106" s="48"/>
      <c r="O106" s="49"/>
    </row>
    <row r="107" spans="1:15">
      <c r="A107" s="48"/>
      <c r="B107" s="49"/>
      <c r="C107" s="48"/>
      <c r="D107" s="50"/>
      <c r="E107" s="49"/>
      <c r="F107" s="49"/>
      <c r="G107" s="50"/>
      <c r="H107" s="50"/>
      <c r="I107" s="49"/>
      <c r="J107" s="49"/>
      <c r="K107" s="49"/>
      <c r="L107" s="49"/>
      <c r="M107" s="49"/>
      <c r="N107" s="48"/>
      <c r="O107" s="49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76200</xdr:rowOff>
                  </from>
                  <to>
                    <xdr:col>17</xdr:col>
                    <xdr:colOff>28575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76200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85725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76200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5703125" bestFit="1" customWidth="1" collapsed="1"/>
    <col min="3" max="3" width="7.42578125" style="1" customWidth="1" collapsed="1"/>
    <col min="4" max="4" width="12.42578125" bestFit="1" customWidth="1" collapsed="1"/>
    <col min="5" max="5" width="11.42578125" customWidth="1" collapsed="1"/>
    <col min="6" max="6" width="8.5703125" customWidth="1" collapsed="1"/>
    <col min="7" max="7" width="10.42578125" style="2" customWidth="1" collapsed="1"/>
    <col min="8" max="8" width="11.42578125" style="2" bestFit="1" customWidth="1" collapsed="1"/>
    <col min="9" max="9" width="10.5703125" bestFit="1" customWidth="1" collapsed="1"/>
    <col min="10" max="10" width="8.42578125" customWidth="1" collapsed="1"/>
    <col min="11" max="11" width="9.5703125" customWidth="1" collapsed="1"/>
    <col min="12" max="12" width="32.5703125" bestFit="1" customWidth="1" collapsed="1"/>
    <col min="13" max="13" width="10.42578125" bestFit="1" customWidth="1" collapsed="1"/>
    <col min="14" max="14" width="8.42578125" style="1" bestFit="1" customWidth="1" collapsed="1"/>
    <col min="15" max="15" width="12.42578125" bestFit="1" customWidth="1" collapsed="1"/>
  </cols>
  <sheetData>
    <row r="1" spans="1:15" ht="30">
      <c r="A1" s="57" t="s">
        <v>91</v>
      </c>
      <c r="B1" s="58" t="s">
        <v>92</v>
      </c>
      <c r="C1" s="57" t="s">
        <v>4</v>
      </c>
      <c r="D1" s="59" t="s">
        <v>93</v>
      </c>
      <c r="E1" s="58" t="s">
        <v>94</v>
      </c>
      <c r="F1" s="59" t="s">
        <v>95</v>
      </c>
      <c r="G1" s="60" t="s">
        <v>96</v>
      </c>
      <c r="H1" s="61" t="s">
        <v>97</v>
      </c>
      <c r="I1" s="59" t="s">
        <v>98</v>
      </c>
      <c r="J1" s="58" t="s">
        <v>99</v>
      </c>
      <c r="K1" s="58" t="s">
        <v>100</v>
      </c>
      <c r="L1" s="58" t="s">
        <v>5</v>
      </c>
      <c r="M1" s="58" t="s">
        <v>101</v>
      </c>
      <c r="N1" s="57" t="s">
        <v>102</v>
      </c>
      <c r="O1" s="58" t="s">
        <v>8</v>
      </c>
    </row>
    <row r="2" spans="1:15">
      <c r="A2" s="63">
        <v>80686369</v>
      </c>
      <c r="B2" s="64" t="s">
        <v>104</v>
      </c>
      <c r="C2" s="65" t="s">
        <v>105</v>
      </c>
      <c r="D2" s="66">
        <v>44544</v>
      </c>
      <c r="E2" s="67"/>
      <c r="F2" s="64" t="s">
        <v>106</v>
      </c>
      <c r="G2" s="66">
        <v>44627</v>
      </c>
      <c r="H2" s="66"/>
      <c r="I2" s="63">
        <v>34</v>
      </c>
      <c r="J2" s="64" t="s">
        <v>107</v>
      </c>
      <c r="K2" s="64" t="s">
        <v>108</v>
      </c>
      <c r="L2" s="64" t="s">
        <v>109</v>
      </c>
      <c r="M2" s="62" t="s">
        <v>108</v>
      </c>
      <c r="N2" s="51" t="s">
        <v>110</v>
      </c>
      <c r="O2" s="50">
        <v>44544</v>
      </c>
    </row>
    <row r="3" spans="1:15">
      <c r="A3" s="63">
        <v>80693638</v>
      </c>
      <c r="B3" s="64" t="s">
        <v>111</v>
      </c>
      <c r="C3" s="65" t="s">
        <v>112</v>
      </c>
      <c r="D3" s="66">
        <v>44544</v>
      </c>
      <c r="E3" s="67"/>
      <c r="F3" s="64" t="s">
        <v>106</v>
      </c>
      <c r="G3" s="66">
        <v>44627</v>
      </c>
      <c r="H3" s="66"/>
      <c r="I3" s="63">
        <v>25</v>
      </c>
      <c r="J3" s="64" t="s">
        <v>107</v>
      </c>
      <c r="K3" s="64" t="s">
        <v>108</v>
      </c>
      <c r="L3" s="64" t="s">
        <v>109</v>
      </c>
      <c r="M3" s="62" t="s">
        <v>108</v>
      </c>
      <c r="N3" s="51" t="s">
        <v>110</v>
      </c>
      <c r="O3" s="50">
        <v>44544</v>
      </c>
    </row>
    <row r="4" spans="1:15">
      <c r="A4" s="63">
        <v>80702230</v>
      </c>
      <c r="B4" s="64" t="s">
        <v>113</v>
      </c>
      <c r="C4" s="65" t="s">
        <v>105</v>
      </c>
      <c r="D4" s="66">
        <v>44544</v>
      </c>
      <c r="E4" s="67"/>
      <c r="F4" s="64" t="s">
        <v>106</v>
      </c>
      <c r="G4" s="66">
        <v>44627</v>
      </c>
      <c r="H4" s="66"/>
      <c r="I4" s="63">
        <v>584</v>
      </c>
      <c r="J4" s="64" t="s">
        <v>107</v>
      </c>
      <c r="K4" s="64" t="s">
        <v>108</v>
      </c>
      <c r="L4" s="64" t="s">
        <v>109</v>
      </c>
      <c r="M4" s="62" t="s">
        <v>108</v>
      </c>
      <c r="N4" s="51" t="s">
        <v>110</v>
      </c>
      <c r="O4" s="50">
        <v>44544</v>
      </c>
    </row>
    <row r="5" spans="1:15">
      <c r="A5" s="63">
        <v>80686369</v>
      </c>
      <c r="B5" s="64" t="s">
        <v>104</v>
      </c>
      <c r="C5" s="65">
        <v>9264</v>
      </c>
      <c r="D5" s="66">
        <v>44544</v>
      </c>
      <c r="E5" s="67"/>
      <c r="F5" s="64" t="s">
        <v>106</v>
      </c>
      <c r="G5" s="66">
        <v>44658</v>
      </c>
      <c r="H5" s="66"/>
      <c r="I5" s="63">
        <v>45</v>
      </c>
      <c r="J5" s="64" t="s">
        <v>107</v>
      </c>
      <c r="K5" s="64" t="s">
        <v>108</v>
      </c>
      <c r="L5" s="64" t="s">
        <v>114</v>
      </c>
      <c r="M5" s="62" t="s">
        <v>108</v>
      </c>
      <c r="N5" s="51" t="s">
        <v>110</v>
      </c>
      <c r="O5" s="50">
        <v>44544</v>
      </c>
    </row>
    <row r="6" spans="1:15">
      <c r="A6" s="63">
        <v>80693638</v>
      </c>
      <c r="B6" s="64" t="s">
        <v>111</v>
      </c>
      <c r="C6" s="65" t="s">
        <v>112</v>
      </c>
      <c r="D6" s="66">
        <v>44544</v>
      </c>
      <c r="E6" s="67"/>
      <c r="F6" s="64" t="s">
        <v>106</v>
      </c>
      <c r="G6" s="66">
        <v>44658</v>
      </c>
      <c r="H6" s="66"/>
      <c r="I6" s="63">
        <v>20</v>
      </c>
      <c r="J6" s="64" t="s">
        <v>107</v>
      </c>
      <c r="K6" s="64" t="s">
        <v>108</v>
      </c>
      <c r="L6" s="64" t="s">
        <v>114</v>
      </c>
      <c r="M6" s="62" t="s">
        <v>108</v>
      </c>
      <c r="N6" s="51" t="s">
        <v>110</v>
      </c>
      <c r="O6" s="50">
        <v>44544</v>
      </c>
    </row>
    <row r="7" spans="1:15">
      <c r="A7" s="63">
        <v>80702230</v>
      </c>
      <c r="B7" s="64" t="s">
        <v>113</v>
      </c>
      <c r="C7" s="65">
        <v>9264</v>
      </c>
      <c r="D7" s="66">
        <v>44544</v>
      </c>
      <c r="E7" s="67"/>
      <c r="F7" s="64" t="s">
        <v>106</v>
      </c>
      <c r="G7" s="66">
        <v>44658</v>
      </c>
      <c r="H7" s="66"/>
      <c r="I7" s="63">
        <v>480</v>
      </c>
      <c r="J7" s="64" t="s">
        <v>107</v>
      </c>
      <c r="K7" s="64" t="s">
        <v>108</v>
      </c>
      <c r="L7" s="64" t="s">
        <v>114</v>
      </c>
      <c r="M7" s="62" t="s">
        <v>108</v>
      </c>
      <c r="N7" s="51" t="s">
        <v>110</v>
      </c>
      <c r="O7" s="50">
        <v>44544</v>
      </c>
    </row>
    <row r="8" spans="1:15">
      <c r="A8" s="63">
        <v>80686369</v>
      </c>
      <c r="B8" s="64" t="s">
        <v>104</v>
      </c>
      <c r="C8" s="65">
        <v>9264</v>
      </c>
      <c r="D8" s="66">
        <v>44544</v>
      </c>
      <c r="E8" s="67"/>
      <c r="F8" s="64" t="s">
        <v>106</v>
      </c>
      <c r="G8" s="66">
        <v>44688</v>
      </c>
      <c r="H8" s="66"/>
      <c r="I8" s="63">
        <v>34</v>
      </c>
      <c r="J8" s="64" t="s">
        <v>107</v>
      </c>
      <c r="K8" s="64" t="s">
        <v>108</v>
      </c>
      <c r="L8" s="64" t="s">
        <v>115</v>
      </c>
      <c r="M8" s="62" t="s">
        <v>108</v>
      </c>
      <c r="N8" s="51" t="s">
        <v>110</v>
      </c>
      <c r="O8" s="50">
        <v>44544</v>
      </c>
    </row>
    <row r="9" spans="1:15">
      <c r="A9" s="63">
        <v>80693638</v>
      </c>
      <c r="B9" s="64" t="s">
        <v>111</v>
      </c>
      <c r="C9" s="65" t="s">
        <v>112</v>
      </c>
      <c r="D9" s="66">
        <v>44544</v>
      </c>
      <c r="E9" s="67"/>
      <c r="F9" s="64" t="s">
        <v>106</v>
      </c>
      <c r="G9" s="66">
        <v>44688</v>
      </c>
      <c r="H9" s="66"/>
      <c r="I9" s="63">
        <v>18</v>
      </c>
      <c r="J9" s="64" t="s">
        <v>107</v>
      </c>
      <c r="K9" s="64" t="s">
        <v>108</v>
      </c>
      <c r="L9" s="64" t="s">
        <v>115</v>
      </c>
      <c r="M9" s="62" t="s">
        <v>108</v>
      </c>
      <c r="N9" s="51" t="s">
        <v>110</v>
      </c>
      <c r="O9" s="50">
        <v>44544</v>
      </c>
    </row>
    <row r="10" spans="1:15">
      <c r="A10" s="63">
        <v>80702230</v>
      </c>
      <c r="B10" s="64" t="s">
        <v>113</v>
      </c>
      <c r="C10" s="65">
        <v>9264</v>
      </c>
      <c r="D10" s="66">
        <v>44544</v>
      </c>
      <c r="E10" s="67"/>
      <c r="F10" s="64" t="s">
        <v>106</v>
      </c>
      <c r="G10" s="66">
        <v>44688</v>
      </c>
      <c r="H10" s="66"/>
      <c r="I10" s="63">
        <v>397</v>
      </c>
      <c r="J10" s="64" t="s">
        <v>107</v>
      </c>
      <c r="K10" s="64" t="s">
        <v>108</v>
      </c>
      <c r="L10" s="64" t="s">
        <v>115</v>
      </c>
      <c r="M10" s="62" t="s">
        <v>108</v>
      </c>
      <c r="N10" s="51" t="s">
        <v>110</v>
      </c>
      <c r="O10" s="50">
        <v>44544</v>
      </c>
    </row>
    <row r="11" spans="1:15">
      <c r="A11" s="63"/>
      <c r="B11" s="64"/>
      <c r="C11" s="65"/>
      <c r="D11" s="66"/>
      <c r="E11" s="67"/>
      <c r="F11" s="64"/>
      <c r="G11" s="66"/>
      <c r="H11" s="66"/>
      <c r="I11" s="63"/>
      <c r="J11" s="64"/>
      <c r="K11" s="64"/>
      <c r="L11" s="64"/>
      <c r="M11" s="62"/>
      <c r="N11" s="51"/>
      <c r="O11" s="50"/>
    </row>
    <row r="12" spans="1:15">
      <c r="A12" s="63"/>
      <c r="B12" s="64"/>
      <c r="C12" s="65"/>
      <c r="D12" s="66"/>
      <c r="E12" s="67"/>
      <c r="F12" s="64"/>
      <c r="G12" s="66"/>
      <c r="H12" s="66"/>
      <c r="I12" s="63"/>
      <c r="J12" s="64"/>
      <c r="K12" s="64"/>
      <c r="L12" s="64"/>
      <c r="M12" s="62"/>
      <c r="N12" s="51"/>
      <c r="O12" s="50"/>
    </row>
    <row r="13" spans="1:15">
      <c r="A13" s="63"/>
      <c r="B13" s="64"/>
      <c r="C13" s="65"/>
      <c r="D13" s="66"/>
      <c r="E13" s="67"/>
      <c r="F13" s="64"/>
      <c r="G13" s="66"/>
      <c r="H13" s="66"/>
      <c r="I13" s="63"/>
      <c r="J13" s="64"/>
      <c r="K13" s="64"/>
      <c r="L13" s="64"/>
      <c r="M13" s="62"/>
      <c r="N13" s="51"/>
      <c r="O13" s="50"/>
    </row>
    <row r="14" spans="1:15">
      <c r="A14" s="63"/>
      <c r="B14" s="64"/>
      <c r="C14" s="65"/>
      <c r="D14" s="66"/>
      <c r="E14" s="67"/>
      <c r="F14" s="64"/>
      <c r="G14" s="66"/>
      <c r="H14" s="66"/>
      <c r="I14" s="63"/>
      <c r="J14" s="64"/>
      <c r="K14" s="64"/>
      <c r="L14" s="64"/>
      <c r="M14" s="62"/>
      <c r="N14" s="51"/>
      <c r="O14" s="50"/>
    </row>
    <row r="15" spans="1:15">
      <c r="A15" s="63"/>
      <c r="B15" s="64"/>
      <c r="C15" s="65"/>
      <c r="D15" s="66"/>
      <c r="E15" s="67"/>
      <c r="F15" s="64"/>
      <c r="G15" s="66"/>
      <c r="H15" s="66"/>
      <c r="I15" s="63"/>
      <c r="J15" s="64"/>
      <c r="K15" s="64"/>
      <c r="L15" s="64"/>
      <c r="M15" s="62"/>
      <c r="N15" s="51"/>
      <c r="O15" s="50"/>
    </row>
    <row r="16" spans="1:15">
      <c r="A16" s="63"/>
      <c r="B16" s="64"/>
      <c r="C16" s="65"/>
      <c r="D16" s="66"/>
      <c r="E16" s="67"/>
      <c r="F16" s="64"/>
      <c r="G16" s="66"/>
      <c r="H16" s="66"/>
      <c r="I16" s="63"/>
      <c r="J16" s="64"/>
      <c r="K16" s="64"/>
      <c r="L16" s="64"/>
      <c r="M16" s="62"/>
      <c r="N16" s="51"/>
      <c r="O16" s="50"/>
    </row>
    <row r="17" spans="1:15">
      <c r="A17" s="63"/>
      <c r="B17" s="64"/>
      <c r="C17" s="65"/>
      <c r="D17" s="66"/>
      <c r="E17" s="67"/>
      <c r="F17" s="64"/>
      <c r="G17" s="66"/>
      <c r="H17" s="66"/>
      <c r="I17" s="63"/>
      <c r="J17" s="64"/>
      <c r="K17" s="64"/>
      <c r="L17" s="64"/>
      <c r="M17" s="62"/>
      <c r="N17" s="51"/>
      <c r="O17" s="50"/>
    </row>
    <row r="18" spans="1:15">
      <c r="A18" s="63"/>
      <c r="B18" s="64"/>
      <c r="C18" s="65"/>
      <c r="D18" s="66"/>
      <c r="E18" s="67"/>
      <c r="F18" s="64"/>
      <c r="G18" s="66"/>
      <c r="H18" s="66"/>
      <c r="I18" s="63"/>
      <c r="J18" s="64"/>
      <c r="K18" s="64"/>
      <c r="L18" s="64"/>
      <c r="M18" s="62"/>
      <c r="N18" s="51"/>
      <c r="O18" s="50"/>
    </row>
    <row r="19" spans="1:15">
      <c r="A19" s="63"/>
      <c r="B19" s="64"/>
      <c r="C19" s="65"/>
      <c r="D19" s="66"/>
      <c r="E19" s="67"/>
      <c r="F19" s="64"/>
      <c r="G19" s="66"/>
      <c r="H19" s="66"/>
      <c r="I19" s="63"/>
      <c r="J19" s="64"/>
      <c r="K19" s="64"/>
      <c r="L19" s="64"/>
      <c r="M19" s="62"/>
      <c r="N19" s="51"/>
      <c r="O19" s="50"/>
    </row>
    <row r="20" spans="1:15">
      <c r="A20" s="63"/>
      <c r="B20" s="64"/>
      <c r="C20" s="65"/>
      <c r="D20" s="66"/>
      <c r="E20" s="67"/>
      <c r="F20" s="64"/>
      <c r="G20" s="66"/>
      <c r="H20" s="66"/>
      <c r="I20" s="63"/>
      <c r="J20" s="64"/>
      <c r="K20" s="64"/>
      <c r="L20" s="64"/>
      <c r="M20" s="62"/>
      <c r="N20" s="51"/>
      <c r="O20" s="50"/>
    </row>
    <row r="21" spans="1:15">
      <c r="A21" s="63"/>
      <c r="B21" s="64"/>
      <c r="C21" s="65"/>
      <c r="D21" s="66"/>
      <c r="E21" s="67"/>
      <c r="F21" s="64"/>
      <c r="G21" s="66"/>
      <c r="H21" s="66"/>
      <c r="I21" s="63"/>
      <c r="J21" s="64"/>
      <c r="K21" s="64"/>
      <c r="L21" s="64"/>
      <c r="M21" s="62"/>
      <c r="N21" s="51"/>
      <c r="O21" s="50"/>
    </row>
    <row r="22" spans="1:15">
      <c r="A22" s="63"/>
      <c r="B22" s="64"/>
      <c r="C22" s="65"/>
      <c r="D22" s="66"/>
      <c r="E22" s="67"/>
      <c r="F22" s="64"/>
      <c r="G22" s="66"/>
      <c r="H22" s="66"/>
      <c r="I22" s="63"/>
      <c r="J22" s="64"/>
      <c r="K22" s="64"/>
      <c r="L22" s="64"/>
      <c r="M22" s="62"/>
      <c r="N22" s="51"/>
      <c r="O22" s="50"/>
    </row>
    <row r="23" spans="1:15">
      <c r="A23" s="63"/>
      <c r="B23" s="64"/>
      <c r="C23" s="65"/>
      <c r="D23" s="66"/>
      <c r="E23" s="67"/>
      <c r="F23" s="64"/>
      <c r="G23" s="66"/>
      <c r="H23" s="66"/>
      <c r="I23" s="63"/>
      <c r="J23" s="64"/>
      <c r="K23" s="64"/>
      <c r="L23" s="64"/>
      <c r="M23" s="62"/>
      <c r="N23" s="51"/>
      <c r="O23" s="50"/>
    </row>
    <row r="24" spans="1:15">
      <c r="A24" s="63"/>
      <c r="B24" s="64"/>
      <c r="C24" s="65"/>
      <c r="D24" s="66"/>
      <c r="E24" s="67"/>
      <c r="F24" s="64"/>
      <c r="G24" s="66"/>
      <c r="H24" s="66"/>
      <c r="I24" s="63"/>
      <c r="J24" s="64"/>
      <c r="K24" s="64"/>
      <c r="L24" s="64"/>
      <c r="M24" s="62"/>
      <c r="N24" s="51"/>
      <c r="O24" s="50"/>
    </row>
    <row r="25" spans="1:15">
      <c r="A25" s="63"/>
      <c r="B25" s="64"/>
      <c r="C25" s="65"/>
      <c r="D25" s="66"/>
      <c r="E25" s="67"/>
      <c r="F25" s="64"/>
      <c r="G25" s="66"/>
      <c r="H25" s="66"/>
      <c r="I25" s="63"/>
      <c r="J25" s="64"/>
      <c r="K25" s="64"/>
      <c r="L25" s="64"/>
      <c r="M25" s="62"/>
      <c r="N25" s="51"/>
      <c r="O25" s="50"/>
    </row>
    <row r="26" spans="1:15">
      <c r="A26" s="63"/>
      <c r="B26" s="64"/>
      <c r="C26" s="65"/>
      <c r="D26" s="66"/>
      <c r="E26" s="67"/>
      <c r="F26" s="64"/>
      <c r="G26" s="66"/>
      <c r="H26" s="66"/>
      <c r="I26" s="63"/>
      <c r="J26" s="64"/>
      <c r="K26" s="64"/>
      <c r="L26" s="64"/>
      <c r="M26" s="62"/>
      <c r="N26" s="51"/>
      <c r="O26" s="50"/>
    </row>
    <row r="27" spans="1:15">
      <c r="A27" s="63"/>
      <c r="B27" s="64"/>
      <c r="C27" s="65"/>
      <c r="D27" s="66"/>
      <c r="E27" s="67"/>
      <c r="F27" s="64"/>
      <c r="G27" s="66"/>
      <c r="H27" s="66"/>
      <c r="I27" s="63"/>
      <c r="J27" s="64"/>
      <c r="K27" s="64"/>
      <c r="L27" s="64"/>
      <c r="M27" s="62"/>
      <c r="N27" s="51"/>
      <c r="O27" s="50"/>
    </row>
    <row r="28" spans="1:15">
      <c r="A28" s="63"/>
      <c r="B28" s="64"/>
      <c r="C28" s="65"/>
      <c r="D28" s="66"/>
      <c r="E28" s="67"/>
      <c r="F28" s="64"/>
      <c r="G28" s="66"/>
      <c r="H28" s="66"/>
      <c r="I28" s="63"/>
      <c r="J28" s="64"/>
      <c r="K28" s="64"/>
      <c r="L28" s="64"/>
      <c r="M28" s="62"/>
      <c r="N28" s="51"/>
      <c r="O28" s="50"/>
    </row>
    <row r="29" spans="1:15">
      <c r="A29" s="63"/>
      <c r="B29" s="64"/>
      <c r="C29" s="65"/>
      <c r="D29" s="66"/>
      <c r="E29" s="67"/>
      <c r="F29" s="64"/>
      <c r="G29" s="66"/>
      <c r="H29" s="66"/>
      <c r="I29" s="63"/>
      <c r="J29" s="64"/>
      <c r="K29" s="64"/>
      <c r="L29" s="64"/>
      <c r="M29" s="62"/>
      <c r="N29" s="51"/>
      <c r="O29" s="50"/>
    </row>
    <row r="30" spans="1:15">
      <c r="A30" s="69"/>
      <c r="B30" s="69"/>
      <c r="C30" s="70"/>
      <c r="D30" s="71"/>
      <c r="E30" s="72"/>
      <c r="F30" s="69"/>
      <c r="G30" s="71"/>
      <c r="H30" s="71"/>
      <c r="I30" s="69"/>
      <c r="J30" s="69"/>
      <c r="K30" s="69"/>
      <c r="L30" s="69"/>
      <c r="M30" s="49"/>
      <c r="N30" s="48"/>
      <c r="O30" s="49"/>
    </row>
    <row r="31" spans="1:15">
      <c r="A31" s="69"/>
      <c r="B31" s="69"/>
      <c r="C31" s="70"/>
      <c r="D31" s="71"/>
      <c r="E31" s="72"/>
      <c r="F31" s="69"/>
      <c r="G31" s="71"/>
      <c r="H31" s="71"/>
      <c r="I31" s="69"/>
      <c r="J31" s="69"/>
      <c r="K31" s="69"/>
      <c r="L31" s="69"/>
      <c r="M31" s="49"/>
      <c r="N31" s="48"/>
      <c r="O31" s="49"/>
    </row>
    <row r="32" spans="1:15">
      <c r="A32" s="69"/>
      <c r="B32" s="69"/>
      <c r="C32" s="73"/>
      <c r="D32" s="71"/>
      <c r="E32" s="72"/>
      <c r="F32" s="69"/>
      <c r="G32" s="71"/>
      <c r="H32" s="71"/>
      <c r="I32" s="69"/>
      <c r="J32" s="69"/>
      <c r="K32" s="69"/>
      <c r="L32" s="69"/>
      <c r="M32" s="49"/>
      <c r="N32" s="48"/>
      <c r="O32" s="49"/>
    </row>
    <row r="33" spans="1:15">
      <c r="A33" s="69"/>
      <c r="B33" s="69"/>
      <c r="C33" s="73"/>
      <c r="D33" s="71"/>
      <c r="E33" s="72"/>
      <c r="F33" s="69"/>
      <c r="G33" s="71"/>
      <c r="H33" s="71"/>
      <c r="I33" s="69"/>
      <c r="J33" s="69"/>
      <c r="K33" s="69"/>
      <c r="L33" s="69"/>
      <c r="M33" s="49"/>
      <c r="N33" s="48"/>
      <c r="O33" s="49"/>
    </row>
    <row r="34" spans="1:15">
      <c r="A34" s="69"/>
      <c r="B34" s="69"/>
      <c r="C34" s="73"/>
      <c r="D34" s="71"/>
      <c r="E34" s="72"/>
      <c r="F34" s="69"/>
      <c r="G34" s="71"/>
      <c r="H34" s="71"/>
      <c r="I34" s="69"/>
      <c r="J34" s="69"/>
      <c r="K34" s="69"/>
      <c r="L34" s="69"/>
      <c r="M34" s="49"/>
      <c r="N34" s="48"/>
      <c r="O34" s="49"/>
    </row>
    <row r="35" spans="1:15">
      <c r="A35" s="69"/>
      <c r="B35" s="69"/>
      <c r="C35" s="70"/>
      <c r="D35" s="71"/>
      <c r="E35" s="72"/>
      <c r="F35" s="69"/>
      <c r="G35" s="71"/>
      <c r="H35" s="71"/>
      <c r="I35" s="69"/>
      <c r="J35" s="69"/>
      <c r="K35" s="69"/>
      <c r="L35" s="69"/>
      <c r="M35" s="49"/>
      <c r="N35" s="48"/>
      <c r="O35" s="49"/>
    </row>
    <row r="36" spans="1:15">
      <c r="A36" s="69"/>
      <c r="B36" s="69"/>
      <c r="C36" s="73"/>
      <c r="D36" s="71"/>
      <c r="E36" s="72"/>
      <c r="F36" s="69"/>
      <c r="G36" s="71"/>
      <c r="H36" s="71"/>
      <c r="I36" s="69"/>
      <c r="J36" s="69"/>
      <c r="K36" s="69"/>
      <c r="L36" s="69"/>
      <c r="M36" s="49"/>
      <c r="N36" s="48"/>
      <c r="O36" s="49"/>
    </row>
    <row r="37" spans="1:15">
      <c r="A37" s="69"/>
      <c r="B37" s="69"/>
      <c r="C37" s="73"/>
      <c r="D37" s="71"/>
      <c r="E37" s="72"/>
      <c r="F37" s="69"/>
      <c r="G37" s="71"/>
      <c r="H37" s="71"/>
      <c r="I37" s="69"/>
      <c r="J37" s="69"/>
      <c r="K37" s="69"/>
      <c r="L37" s="69"/>
      <c r="M37" s="49"/>
      <c r="N37" s="48"/>
      <c r="O37" s="49"/>
    </row>
    <row r="38" spans="1:15">
      <c r="A38" s="69"/>
      <c r="B38" s="69"/>
      <c r="C38" s="70"/>
      <c r="D38" s="71"/>
      <c r="E38" s="72"/>
      <c r="F38" s="69"/>
      <c r="G38" s="71"/>
      <c r="H38" s="71"/>
      <c r="I38" s="69"/>
      <c r="J38" s="69"/>
      <c r="K38" s="69"/>
      <c r="L38" s="69"/>
      <c r="M38" s="49"/>
      <c r="N38" s="48"/>
      <c r="O38" s="49"/>
    </row>
    <row r="39" spans="1:15">
      <c r="A39" s="69"/>
      <c r="B39" s="69"/>
      <c r="C39" s="70"/>
      <c r="D39" s="71"/>
      <c r="E39" s="72"/>
      <c r="F39" s="69"/>
      <c r="G39" s="71"/>
      <c r="H39" s="71"/>
      <c r="I39" s="69"/>
      <c r="J39" s="69"/>
      <c r="K39" s="69"/>
      <c r="L39" s="69"/>
      <c r="M39" s="49"/>
      <c r="N39" s="48"/>
      <c r="O39" s="49"/>
    </row>
    <row r="40" spans="1:15">
      <c r="A40" s="69"/>
      <c r="B40" s="69"/>
      <c r="C40" s="70"/>
      <c r="D40" s="71"/>
      <c r="E40" s="72"/>
      <c r="F40" s="69"/>
      <c r="G40" s="71"/>
      <c r="H40" s="71"/>
      <c r="I40" s="69"/>
      <c r="J40" s="69"/>
      <c r="K40" s="69"/>
      <c r="L40" s="69"/>
      <c r="M40" s="49"/>
      <c r="N40" s="48"/>
      <c r="O40" s="49"/>
    </row>
    <row r="41" spans="1:15">
      <c r="A41" s="69"/>
      <c r="B41" s="69"/>
      <c r="C41" s="70"/>
      <c r="D41" s="71"/>
      <c r="E41" s="72"/>
      <c r="F41" s="69"/>
      <c r="G41" s="71"/>
      <c r="H41" s="71"/>
      <c r="I41" s="69"/>
      <c r="J41" s="69"/>
      <c r="K41" s="69"/>
      <c r="L41" s="69"/>
      <c r="M41" s="49"/>
      <c r="N41" s="48"/>
      <c r="O41" s="49"/>
    </row>
    <row r="42" spans="1:15">
      <c r="A42" s="69"/>
      <c r="B42" s="69"/>
      <c r="C42" s="70"/>
      <c r="D42" s="71"/>
      <c r="E42" s="72"/>
      <c r="F42" s="69"/>
      <c r="G42" s="71"/>
      <c r="H42" s="71"/>
      <c r="I42" s="69"/>
      <c r="J42" s="69"/>
      <c r="K42" s="69"/>
      <c r="L42" s="69"/>
      <c r="M42" s="49"/>
      <c r="N42" s="48"/>
      <c r="O42" s="49"/>
    </row>
    <row r="43" spans="1:15">
      <c r="A43" s="69"/>
      <c r="B43" s="69"/>
      <c r="C43" s="73"/>
      <c r="D43" s="71"/>
      <c r="E43" s="72"/>
      <c r="F43" s="69"/>
      <c r="G43" s="71"/>
      <c r="H43" s="71"/>
      <c r="I43" s="69"/>
      <c r="J43" s="69"/>
      <c r="K43" s="69"/>
      <c r="L43" s="69"/>
      <c r="M43" s="49"/>
      <c r="N43" s="48"/>
      <c r="O43" s="49"/>
    </row>
    <row r="44" spans="1:15">
      <c r="A44" s="69"/>
      <c r="B44" s="69"/>
      <c r="C44" s="70"/>
      <c r="D44" s="71"/>
      <c r="E44" s="72"/>
      <c r="F44" s="69"/>
      <c r="G44" s="71"/>
      <c r="H44" s="71"/>
      <c r="I44" s="69"/>
      <c r="J44" s="69"/>
      <c r="K44" s="69"/>
      <c r="L44" s="69"/>
      <c r="M44" s="49"/>
      <c r="N44" s="48"/>
      <c r="O44" s="49"/>
    </row>
    <row r="45" spans="1:15">
      <c r="A45" s="69"/>
      <c r="B45" s="69"/>
      <c r="C45" s="70"/>
      <c r="D45" s="71"/>
      <c r="E45" s="72"/>
      <c r="F45" s="69"/>
      <c r="G45" s="71"/>
      <c r="H45" s="71"/>
      <c r="I45" s="69"/>
      <c r="J45" s="69"/>
      <c r="K45" s="69"/>
      <c r="L45" s="69"/>
      <c r="M45" s="49"/>
      <c r="N45" s="48"/>
      <c r="O45" s="49"/>
    </row>
    <row r="46" spans="1:15">
      <c r="A46" s="69"/>
      <c r="B46" s="69"/>
      <c r="C46" s="73"/>
      <c r="D46" s="71"/>
      <c r="E46" s="72"/>
      <c r="F46" s="69"/>
      <c r="G46" s="71"/>
      <c r="H46" s="71"/>
      <c r="I46" s="69"/>
      <c r="J46" s="69"/>
      <c r="K46" s="69"/>
      <c r="L46" s="69"/>
      <c r="M46" s="49"/>
      <c r="N46" s="48"/>
      <c r="O46" s="49"/>
    </row>
    <row r="47" spans="1:15">
      <c r="A47" s="69"/>
      <c r="B47" s="69"/>
      <c r="C47" s="73"/>
      <c r="D47" s="71"/>
      <c r="E47" s="72"/>
      <c r="F47" s="69"/>
      <c r="G47" s="71"/>
      <c r="H47" s="71"/>
      <c r="I47" s="69"/>
      <c r="J47" s="69"/>
      <c r="K47" s="69"/>
      <c r="L47" s="69"/>
      <c r="M47" s="49"/>
      <c r="N47" s="48"/>
      <c r="O47" s="49"/>
    </row>
    <row r="48" spans="1:15">
      <c r="A48" s="69"/>
      <c r="B48" s="69"/>
      <c r="C48" s="70"/>
      <c r="D48" s="71"/>
      <c r="E48" s="72"/>
      <c r="F48" s="69"/>
      <c r="G48" s="71"/>
      <c r="H48" s="71"/>
      <c r="I48" s="69"/>
      <c r="J48" s="69"/>
      <c r="K48" s="69"/>
      <c r="L48" s="69"/>
      <c r="M48" s="49"/>
      <c r="N48" s="48"/>
      <c r="O48" s="49"/>
    </row>
    <row r="49" spans="1:15">
      <c r="A49" s="69"/>
      <c r="B49" s="69"/>
      <c r="C49" s="70"/>
      <c r="D49" s="71"/>
      <c r="E49" s="72"/>
      <c r="F49" s="69"/>
      <c r="G49" s="71"/>
      <c r="H49" s="71"/>
      <c r="I49" s="69"/>
      <c r="J49" s="69"/>
      <c r="K49" s="69"/>
      <c r="L49" s="69"/>
      <c r="M49" s="49"/>
      <c r="N49" s="48"/>
      <c r="O49" s="49"/>
    </row>
    <row r="50" spans="1:15">
      <c r="A50" s="69"/>
      <c r="B50" s="69"/>
      <c r="C50" s="70"/>
      <c r="D50" s="71"/>
      <c r="E50" s="72"/>
      <c r="F50" s="69"/>
      <c r="G50" s="71"/>
      <c r="H50" s="71"/>
      <c r="I50" s="69"/>
      <c r="J50" s="69"/>
      <c r="K50" s="69"/>
      <c r="L50" s="69"/>
      <c r="M50" s="49"/>
      <c r="N50" s="48"/>
      <c r="O50" s="49"/>
    </row>
    <row r="51" spans="1:15">
      <c r="A51" s="69"/>
      <c r="B51" s="69"/>
      <c r="C51" s="73"/>
      <c r="D51" s="71"/>
      <c r="E51" s="72"/>
      <c r="F51" s="69"/>
      <c r="G51" s="71"/>
      <c r="H51" s="71"/>
      <c r="I51" s="69"/>
      <c r="J51" s="69"/>
      <c r="K51" s="69"/>
      <c r="L51" s="69"/>
      <c r="M51" s="49"/>
      <c r="N51" s="48"/>
      <c r="O51" s="49"/>
    </row>
    <row r="52" spans="1:15">
      <c r="A52" s="69"/>
      <c r="B52" s="69"/>
      <c r="C52" s="70"/>
      <c r="D52" s="71"/>
      <c r="E52" s="72"/>
      <c r="F52" s="69"/>
      <c r="G52" s="71"/>
      <c r="H52" s="71"/>
      <c r="I52" s="69"/>
      <c r="J52" s="69"/>
      <c r="K52" s="69"/>
      <c r="L52" s="69"/>
      <c r="M52" s="49"/>
      <c r="N52" s="48"/>
      <c r="O52" s="49"/>
    </row>
    <row r="53" spans="1:15">
      <c r="A53" s="69"/>
      <c r="B53" s="69"/>
      <c r="C53" s="70"/>
      <c r="D53" s="71"/>
      <c r="E53" s="72"/>
      <c r="F53" s="69"/>
      <c r="G53" s="71"/>
      <c r="H53" s="71"/>
      <c r="I53" s="69"/>
      <c r="J53" s="69"/>
      <c r="K53" s="69"/>
      <c r="L53" s="69"/>
      <c r="M53" s="49"/>
      <c r="N53" s="48"/>
      <c r="O53" s="49"/>
    </row>
    <row r="54" spans="1:15">
      <c r="A54" s="69"/>
      <c r="B54" s="69"/>
      <c r="C54" s="73"/>
      <c r="D54" s="71"/>
      <c r="E54" s="72"/>
      <c r="F54" s="69"/>
      <c r="G54" s="71"/>
      <c r="H54" s="71"/>
      <c r="I54" s="69"/>
      <c r="J54" s="69"/>
      <c r="K54" s="69"/>
      <c r="L54" s="69"/>
      <c r="M54" s="49"/>
      <c r="N54" s="48"/>
      <c r="O54" s="49"/>
    </row>
    <row r="55" spans="1:15">
      <c r="A55" s="69"/>
      <c r="B55" s="69"/>
      <c r="C55" s="73"/>
      <c r="D55" s="71"/>
      <c r="E55" s="72"/>
      <c r="F55" s="69"/>
      <c r="G55" s="71"/>
      <c r="H55" s="71"/>
      <c r="I55" s="69"/>
      <c r="J55" s="69"/>
      <c r="K55" s="69"/>
      <c r="L55" s="69"/>
      <c r="M55" s="49"/>
      <c r="N55" s="48"/>
      <c r="O55" s="49"/>
    </row>
    <row r="56" spans="1:15">
      <c r="A56" s="69"/>
      <c r="B56" s="69"/>
      <c r="C56" s="73"/>
      <c r="D56" s="71"/>
      <c r="E56" s="72"/>
      <c r="F56" s="69"/>
      <c r="G56" s="71"/>
      <c r="H56" s="71"/>
      <c r="I56" s="69"/>
      <c r="J56" s="69"/>
      <c r="K56" s="69"/>
      <c r="L56" s="69"/>
      <c r="M56" s="49"/>
      <c r="N56" s="48"/>
      <c r="O56" s="49"/>
    </row>
    <row r="57" spans="1:15">
      <c r="A57" s="69"/>
      <c r="B57" s="69"/>
      <c r="C57" s="70"/>
      <c r="D57" s="71"/>
      <c r="E57" s="72"/>
      <c r="F57" s="69"/>
      <c r="G57" s="71"/>
      <c r="H57" s="71"/>
      <c r="I57" s="69"/>
      <c r="J57" s="69"/>
      <c r="K57" s="69"/>
      <c r="L57" s="69"/>
      <c r="M57" s="49"/>
      <c r="N57" s="48"/>
      <c r="O57" s="49"/>
    </row>
    <row r="58" spans="1:15">
      <c r="A58" s="69"/>
      <c r="B58" s="69"/>
      <c r="C58" s="73"/>
      <c r="D58" s="71"/>
      <c r="E58" s="72"/>
      <c r="F58" s="69"/>
      <c r="G58" s="71"/>
      <c r="H58" s="71"/>
      <c r="I58" s="69"/>
      <c r="J58" s="69"/>
      <c r="K58" s="69"/>
      <c r="L58" s="69"/>
      <c r="M58" s="49"/>
      <c r="N58" s="48"/>
      <c r="O58" s="49"/>
    </row>
    <row r="59" spans="1:15">
      <c r="A59" s="69"/>
      <c r="B59" s="69"/>
      <c r="C59" s="73"/>
      <c r="D59" s="71"/>
      <c r="E59" s="72"/>
      <c r="F59" s="69"/>
      <c r="G59" s="71"/>
      <c r="H59" s="71"/>
      <c r="I59" s="69"/>
      <c r="J59" s="69"/>
      <c r="K59" s="69"/>
      <c r="L59" s="69"/>
      <c r="M59" s="49"/>
      <c r="N59" s="48"/>
      <c r="O59" s="49"/>
    </row>
    <row r="60" spans="1:15">
      <c r="A60" s="69"/>
      <c r="B60" s="69"/>
      <c r="C60" s="70"/>
      <c r="D60" s="71"/>
      <c r="E60" s="72"/>
      <c r="F60" s="69"/>
      <c r="G60" s="71"/>
      <c r="H60" s="71"/>
      <c r="I60" s="69"/>
      <c r="J60" s="69"/>
      <c r="K60" s="69"/>
      <c r="L60" s="69"/>
      <c r="M60" s="49"/>
      <c r="N60" s="48"/>
      <c r="O60" s="49"/>
    </row>
    <row r="61" spans="1:15">
      <c r="A61" s="69"/>
      <c r="B61" s="69"/>
      <c r="C61" s="70"/>
      <c r="D61" s="71"/>
      <c r="E61" s="72"/>
      <c r="F61" s="69"/>
      <c r="G61" s="71"/>
      <c r="H61" s="71"/>
      <c r="I61" s="69"/>
      <c r="J61" s="69"/>
      <c r="K61" s="69"/>
      <c r="L61" s="69"/>
      <c r="M61" s="49"/>
      <c r="N61" s="48"/>
      <c r="O61" s="49"/>
    </row>
    <row r="62" spans="1:15">
      <c r="A62" s="69"/>
      <c r="B62" s="69"/>
      <c r="C62" s="70"/>
      <c r="D62" s="71"/>
      <c r="E62" s="72"/>
      <c r="F62" s="69"/>
      <c r="G62" s="71"/>
      <c r="H62" s="71"/>
      <c r="I62" s="69"/>
      <c r="J62" s="69"/>
      <c r="K62" s="69"/>
      <c r="L62" s="69"/>
      <c r="M62" s="49"/>
      <c r="N62" s="48"/>
      <c r="O62" s="49"/>
    </row>
    <row r="63" spans="1:15">
      <c r="A63" s="69"/>
      <c r="B63" s="69"/>
      <c r="C63" s="70"/>
      <c r="D63" s="71"/>
      <c r="E63" s="72"/>
      <c r="F63" s="69"/>
      <c r="G63" s="71"/>
      <c r="H63" s="71"/>
      <c r="I63" s="69"/>
      <c r="J63" s="69"/>
      <c r="K63" s="69"/>
      <c r="L63" s="69"/>
      <c r="M63" s="49"/>
      <c r="N63" s="48"/>
      <c r="O63" s="49"/>
    </row>
    <row r="64" spans="1:15">
      <c r="A64" s="69"/>
      <c r="B64" s="69"/>
      <c r="C64" s="70"/>
      <c r="D64" s="71"/>
      <c r="E64" s="72"/>
      <c r="F64" s="69"/>
      <c r="G64" s="71"/>
      <c r="H64" s="71"/>
      <c r="I64" s="69"/>
      <c r="J64" s="69"/>
      <c r="K64" s="69"/>
      <c r="L64" s="69"/>
      <c r="M64" s="49"/>
      <c r="N64" s="48"/>
      <c r="O64" s="49"/>
    </row>
    <row r="65" spans="1:15">
      <c r="A65" s="69"/>
      <c r="B65" s="69"/>
      <c r="C65" s="73"/>
      <c r="D65" s="71"/>
      <c r="E65" s="74"/>
      <c r="F65" s="69"/>
      <c r="G65" s="71"/>
      <c r="H65" s="71"/>
      <c r="I65" s="69"/>
      <c r="J65" s="69"/>
      <c r="K65" s="69"/>
      <c r="L65" s="69"/>
      <c r="M65" s="49"/>
      <c r="N65" s="48"/>
      <c r="O65" s="49"/>
    </row>
    <row r="66" spans="1:15">
      <c r="A66" s="69"/>
      <c r="B66" s="69"/>
      <c r="C66" s="70"/>
      <c r="D66" s="71"/>
      <c r="E66" s="74"/>
      <c r="F66" s="69"/>
      <c r="G66" s="71"/>
      <c r="H66" s="71"/>
      <c r="I66" s="69"/>
      <c r="J66" s="69"/>
      <c r="K66" s="69"/>
      <c r="L66" s="69"/>
      <c r="M66" s="49"/>
      <c r="N66" s="48"/>
      <c r="O66" s="49"/>
    </row>
    <row r="67" spans="1:15">
      <c r="A67" s="69"/>
      <c r="B67" s="69"/>
      <c r="C67" s="70"/>
      <c r="D67" s="71"/>
      <c r="E67" s="74"/>
      <c r="F67" s="69"/>
      <c r="G67" s="71"/>
      <c r="H67" s="71"/>
      <c r="I67" s="69"/>
      <c r="J67" s="69"/>
      <c r="K67" s="69"/>
      <c r="L67" s="69"/>
      <c r="M67" s="49"/>
      <c r="N67" s="48"/>
      <c r="O67" s="49"/>
    </row>
    <row r="68" spans="1:15">
      <c r="A68" s="69"/>
      <c r="B68" s="69"/>
      <c r="C68" s="73"/>
      <c r="D68" s="71"/>
      <c r="E68" s="74"/>
      <c r="F68" s="69"/>
      <c r="G68" s="71"/>
      <c r="H68" s="71"/>
      <c r="I68" s="69"/>
      <c r="J68" s="69"/>
      <c r="K68" s="69"/>
      <c r="L68" s="69"/>
      <c r="M68" s="49"/>
      <c r="N68" s="48"/>
      <c r="O68" s="49"/>
    </row>
    <row r="69" spans="1:15">
      <c r="A69" s="69"/>
      <c r="B69" s="69"/>
      <c r="C69" s="73"/>
      <c r="D69" s="71"/>
      <c r="E69" s="74"/>
      <c r="F69" s="69"/>
      <c r="G69" s="71"/>
      <c r="H69" s="71"/>
      <c r="I69" s="69"/>
      <c r="J69" s="69"/>
      <c r="K69" s="69"/>
      <c r="L69" s="69"/>
      <c r="M69" s="49"/>
      <c r="N69" s="48"/>
      <c r="O69" s="49"/>
    </row>
    <row r="70" spans="1:15">
      <c r="A70" s="69"/>
      <c r="B70" s="69"/>
      <c r="C70" s="70"/>
      <c r="D70" s="71"/>
      <c r="E70" s="74"/>
      <c r="F70" s="69"/>
      <c r="G70" s="71"/>
      <c r="H70" s="71"/>
      <c r="I70" s="69"/>
      <c r="J70" s="69"/>
      <c r="K70" s="69"/>
      <c r="L70" s="69"/>
      <c r="M70" s="49"/>
      <c r="N70" s="48"/>
      <c r="O70" s="49"/>
    </row>
    <row r="71" spans="1:15">
      <c r="A71" s="69"/>
      <c r="B71" s="69"/>
      <c r="C71" s="70"/>
      <c r="D71" s="71"/>
      <c r="E71" s="74"/>
      <c r="F71" s="69"/>
      <c r="G71" s="71"/>
      <c r="H71" s="71"/>
      <c r="I71" s="69"/>
      <c r="J71" s="69"/>
      <c r="K71" s="69"/>
      <c r="L71" s="69"/>
      <c r="M71" s="49"/>
      <c r="N71" s="48"/>
      <c r="O71" s="49"/>
    </row>
    <row r="72" spans="1:15">
      <c r="A72" s="69"/>
      <c r="B72" s="69"/>
      <c r="C72" s="70"/>
      <c r="D72" s="71"/>
      <c r="E72" s="74"/>
      <c r="F72" s="69"/>
      <c r="G72" s="71"/>
      <c r="H72" s="71"/>
      <c r="I72" s="69"/>
      <c r="J72" s="69"/>
      <c r="K72" s="69"/>
      <c r="L72" s="69"/>
      <c r="M72" s="49"/>
      <c r="N72" s="48"/>
      <c r="O72" s="49"/>
    </row>
    <row r="73" spans="1:15">
      <c r="A73" s="69"/>
      <c r="B73" s="69"/>
      <c r="C73" s="73"/>
      <c r="D73" s="71"/>
      <c r="E73" s="74"/>
      <c r="F73" s="69"/>
      <c r="G73" s="71"/>
      <c r="H73" s="71"/>
      <c r="I73" s="69"/>
      <c r="J73" s="69"/>
      <c r="K73" s="69"/>
      <c r="L73" s="69"/>
      <c r="M73" s="49"/>
      <c r="N73" s="48"/>
      <c r="O73" s="49"/>
    </row>
    <row r="74" spans="1:15">
      <c r="A74" s="69"/>
      <c r="B74" s="69"/>
      <c r="C74" s="70"/>
      <c r="D74" s="71"/>
      <c r="E74" s="74"/>
      <c r="F74" s="69"/>
      <c r="G74" s="71"/>
      <c r="H74" s="71"/>
      <c r="I74" s="69"/>
      <c r="J74" s="69"/>
      <c r="K74" s="69"/>
      <c r="L74" s="69"/>
      <c r="M74" s="49"/>
      <c r="N74" s="48"/>
      <c r="O74" s="49"/>
    </row>
    <row r="75" spans="1:15">
      <c r="A75" s="69"/>
      <c r="B75" s="69"/>
      <c r="C75" s="70"/>
      <c r="D75" s="71"/>
      <c r="E75" s="74"/>
      <c r="F75" s="69"/>
      <c r="G75" s="71"/>
      <c r="H75" s="71"/>
      <c r="I75" s="69"/>
      <c r="J75" s="69"/>
      <c r="K75" s="69"/>
      <c r="L75" s="69"/>
      <c r="M75" s="49"/>
      <c r="N75" s="48"/>
      <c r="O75" s="49"/>
    </row>
    <row r="76" spans="1:15">
      <c r="A76" s="69"/>
      <c r="B76" s="69"/>
      <c r="C76" s="73"/>
      <c r="D76" s="71"/>
      <c r="E76" s="74"/>
      <c r="F76" s="69"/>
      <c r="G76" s="71"/>
      <c r="H76" s="71"/>
      <c r="I76" s="69"/>
      <c r="J76" s="69"/>
      <c r="K76" s="69"/>
      <c r="L76" s="69"/>
      <c r="M76" s="49"/>
      <c r="N76" s="48"/>
      <c r="O76" s="49"/>
    </row>
    <row r="77" spans="1:15">
      <c r="A77" s="69"/>
      <c r="B77" s="69"/>
      <c r="C77" s="73"/>
      <c r="D77" s="71"/>
      <c r="E77" s="74"/>
      <c r="F77" s="69"/>
      <c r="G77" s="71"/>
      <c r="H77" s="71"/>
      <c r="I77" s="69"/>
      <c r="J77" s="69"/>
      <c r="K77" s="69"/>
      <c r="L77" s="69"/>
      <c r="M77" s="49"/>
      <c r="N77" s="48"/>
      <c r="O77" s="49"/>
    </row>
    <row r="78" spans="1:15">
      <c r="A78" s="69"/>
      <c r="B78" s="69"/>
      <c r="C78" s="73"/>
      <c r="D78" s="71"/>
      <c r="E78" s="74"/>
      <c r="F78" s="69"/>
      <c r="G78" s="71"/>
      <c r="H78" s="71"/>
      <c r="I78" s="69"/>
      <c r="J78" s="69"/>
      <c r="K78" s="69"/>
      <c r="L78" s="69"/>
      <c r="M78" s="49"/>
      <c r="N78" s="48"/>
      <c r="O78" s="49"/>
    </row>
    <row r="79" spans="1:15">
      <c r="A79" s="69"/>
      <c r="B79" s="69"/>
      <c r="C79" s="70"/>
      <c r="D79" s="71"/>
      <c r="E79" s="74"/>
      <c r="F79" s="69"/>
      <c r="G79" s="71"/>
      <c r="H79" s="71"/>
      <c r="I79" s="69"/>
      <c r="J79" s="69"/>
      <c r="K79" s="69"/>
      <c r="L79" s="69"/>
      <c r="M79" s="49"/>
      <c r="N79" s="48"/>
      <c r="O79" s="49"/>
    </row>
    <row r="80" spans="1:15">
      <c r="A80" s="69"/>
      <c r="B80" s="69"/>
      <c r="C80" s="73"/>
      <c r="D80" s="71"/>
      <c r="E80" s="74"/>
      <c r="F80" s="69"/>
      <c r="G80" s="71"/>
      <c r="H80" s="71"/>
      <c r="I80" s="69"/>
      <c r="J80" s="69"/>
      <c r="K80" s="69"/>
      <c r="L80" s="69"/>
      <c r="M80" s="49"/>
      <c r="N80" s="48"/>
      <c r="O80" s="49"/>
    </row>
    <row r="81" spans="1:15">
      <c r="A81" s="69"/>
      <c r="B81" s="69"/>
      <c r="C81" s="73"/>
      <c r="D81" s="71"/>
      <c r="E81" s="74"/>
      <c r="F81" s="69"/>
      <c r="G81" s="71"/>
      <c r="H81" s="71"/>
      <c r="I81" s="69"/>
      <c r="J81" s="69"/>
      <c r="K81" s="69"/>
      <c r="L81" s="69"/>
      <c r="M81" s="49"/>
      <c r="N81" s="48"/>
      <c r="O81" s="49"/>
    </row>
    <row r="82" spans="1:15">
      <c r="A82" s="48"/>
      <c r="B82" s="49"/>
      <c r="C82" s="48"/>
      <c r="D82" s="50"/>
      <c r="E82" s="49"/>
      <c r="F82" s="49"/>
      <c r="G82" s="50"/>
      <c r="H82" s="50"/>
      <c r="I82" s="49"/>
      <c r="J82" s="49"/>
      <c r="K82" s="49"/>
      <c r="L82" s="49"/>
      <c r="M82" s="49"/>
      <c r="N82" s="48"/>
      <c r="O82" s="49"/>
    </row>
    <row r="83" spans="1:15">
      <c r="A83" s="48"/>
      <c r="B83" s="49"/>
      <c r="C83" s="48"/>
      <c r="D83" s="50"/>
      <c r="E83" s="49"/>
      <c r="F83" s="49"/>
      <c r="G83" s="50"/>
      <c r="H83" s="50"/>
      <c r="I83" s="49"/>
      <c r="J83" s="49"/>
      <c r="K83" s="49"/>
      <c r="L83" s="49"/>
      <c r="M83" s="49"/>
      <c r="N83" s="48"/>
      <c r="O83" s="49"/>
    </row>
    <row r="84" spans="1:15">
      <c r="A84" s="48"/>
      <c r="B84" s="49"/>
      <c r="C84" s="48"/>
      <c r="D84" s="50"/>
      <c r="E84" s="49"/>
      <c r="F84" s="49"/>
      <c r="G84" s="50"/>
      <c r="H84" s="50"/>
      <c r="I84" s="49"/>
      <c r="J84" s="49"/>
      <c r="K84" s="49"/>
      <c r="L84" s="49"/>
      <c r="M84" s="49"/>
      <c r="N84" s="48"/>
      <c r="O84" s="49"/>
    </row>
    <row r="85" spans="1:15">
      <c r="A85" s="48"/>
      <c r="B85" s="49"/>
      <c r="C85" s="48"/>
      <c r="D85" s="50"/>
      <c r="E85" s="49"/>
      <c r="F85" s="49"/>
      <c r="G85" s="50"/>
      <c r="H85" s="50"/>
      <c r="I85" s="49"/>
      <c r="J85" s="49"/>
      <c r="K85" s="49"/>
      <c r="L85" s="49"/>
      <c r="M85" s="49"/>
      <c r="N85" s="48"/>
      <c r="O85" s="49"/>
    </row>
    <row r="86" spans="1:15">
      <c r="A86" s="48"/>
      <c r="B86" s="49"/>
      <c r="C86" s="48"/>
      <c r="D86" s="50"/>
      <c r="E86" s="49"/>
      <c r="F86" s="49"/>
      <c r="G86" s="50"/>
      <c r="H86" s="50"/>
      <c r="I86" s="49"/>
      <c r="J86" s="49"/>
      <c r="K86" s="49"/>
      <c r="L86" s="49"/>
      <c r="M86" s="49"/>
      <c r="N86" s="48"/>
      <c r="O86" s="49"/>
    </row>
    <row r="87" spans="1:15">
      <c r="A87" s="48"/>
      <c r="B87" s="49"/>
      <c r="C87" s="48"/>
      <c r="D87" s="50"/>
      <c r="E87" s="49"/>
      <c r="F87" s="49"/>
      <c r="G87" s="50"/>
      <c r="H87" s="50"/>
      <c r="I87" s="49"/>
      <c r="J87" s="49"/>
      <c r="K87" s="49"/>
      <c r="L87" s="49"/>
      <c r="M87" s="49"/>
      <c r="N87" s="48"/>
      <c r="O87" s="49"/>
    </row>
    <row r="88" spans="1:15">
      <c r="A88" s="48"/>
      <c r="B88" s="49"/>
      <c r="C88" s="48"/>
      <c r="D88" s="50"/>
      <c r="E88" s="49"/>
      <c r="F88" s="49"/>
      <c r="G88" s="50"/>
      <c r="H88" s="50"/>
      <c r="I88" s="49"/>
      <c r="J88" s="49"/>
      <c r="K88" s="49"/>
      <c r="L88" s="49"/>
      <c r="M88" s="49"/>
      <c r="N88" s="48"/>
      <c r="O88" s="49"/>
    </row>
    <row r="89" spans="1:15">
      <c r="A89" s="48"/>
      <c r="B89" s="49"/>
      <c r="C89" s="48"/>
      <c r="D89" s="50"/>
      <c r="E89" s="49"/>
      <c r="F89" s="49"/>
      <c r="G89" s="50"/>
      <c r="H89" s="50"/>
      <c r="I89" s="49"/>
      <c r="J89" s="49"/>
      <c r="K89" s="49"/>
      <c r="L89" s="49"/>
      <c r="M89" s="49"/>
      <c r="N89" s="48"/>
      <c r="O89" s="49"/>
    </row>
    <row r="90" spans="1:15">
      <c r="A90" s="48"/>
      <c r="B90" s="49"/>
      <c r="C90" s="48"/>
      <c r="D90" s="50"/>
      <c r="E90" s="49"/>
      <c r="F90" s="49"/>
      <c r="G90" s="50"/>
      <c r="H90" s="50"/>
      <c r="I90" s="49"/>
      <c r="J90" s="49"/>
      <c r="K90" s="49"/>
      <c r="L90" s="49"/>
      <c r="M90" s="49"/>
      <c r="N90" s="48"/>
      <c r="O90" s="49"/>
    </row>
    <row r="91" spans="1:15">
      <c r="A91" s="48"/>
      <c r="B91" s="49"/>
      <c r="C91" s="48"/>
      <c r="D91" s="50"/>
      <c r="E91" s="49"/>
      <c r="F91" s="49"/>
      <c r="G91" s="50"/>
      <c r="H91" s="50"/>
      <c r="I91" s="49"/>
      <c r="J91" s="49"/>
      <c r="K91" s="49"/>
      <c r="L91" s="49"/>
      <c r="M91" s="49"/>
      <c r="N91" s="48"/>
      <c r="O91" s="49"/>
    </row>
    <row r="92" spans="1:15">
      <c r="A92" s="48"/>
      <c r="B92" s="49"/>
      <c r="C92" s="48"/>
      <c r="D92" s="50"/>
      <c r="E92" s="49"/>
      <c r="F92" s="49"/>
      <c r="G92" s="50"/>
      <c r="H92" s="50"/>
      <c r="I92" s="49"/>
      <c r="J92" s="49"/>
      <c r="K92" s="49"/>
      <c r="L92" s="49"/>
      <c r="M92" s="49"/>
      <c r="N92" s="48"/>
      <c r="O92" s="49"/>
    </row>
    <row r="93" spans="1:15">
      <c r="A93" s="48"/>
      <c r="B93" s="49"/>
      <c r="C93" s="48"/>
      <c r="D93" s="50"/>
      <c r="E93" s="49"/>
      <c r="F93" s="49"/>
      <c r="G93" s="50"/>
      <c r="H93" s="50"/>
      <c r="I93" s="49"/>
      <c r="J93" s="49"/>
      <c r="K93" s="49"/>
      <c r="L93" s="49"/>
      <c r="M93" s="49"/>
      <c r="N93" s="48"/>
      <c r="O93" s="49"/>
    </row>
    <row r="94" spans="1:15">
      <c r="A94" s="48"/>
      <c r="B94" s="49"/>
      <c r="C94" s="48"/>
      <c r="D94" s="50"/>
      <c r="E94" s="49"/>
      <c r="F94" s="49"/>
      <c r="G94" s="50"/>
      <c r="H94" s="50"/>
      <c r="I94" s="49"/>
      <c r="J94" s="49"/>
      <c r="K94" s="49"/>
      <c r="L94" s="49"/>
      <c r="M94" s="49"/>
      <c r="N94" s="48"/>
      <c r="O94" s="49"/>
    </row>
    <row r="95" spans="1:15">
      <c r="A95" s="48"/>
      <c r="B95" s="49"/>
      <c r="C95" s="48"/>
      <c r="D95" s="50"/>
      <c r="E95" s="49"/>
      <c r="F95" s="49"/>
      <c r="G95" s="50"/>
      <c r="H95" s="50"/>
      <c r="I95" s="49"/>
      <c r="J95" s="49"/>
      <c r="K95" s="49"/>
      <c r="L95" s="49"/>
      <c r="M95" s="49"/>
      <c r="N95" s="48"/>
      <c r="O95" s="49"/>
    </row>
    <row r="96" spans="1:15">
      <c r="A96" s="48"/>
      <c r="B96" s="49"/>
      <c r="C96" s="48"/>
      <c r="D96" s="50"/>
      <c r="E96" s="49"/>
      <c r="F96" s="49"/>
      <c r="G96" s="50"/>
      <c r="H96" s="50"/>
      <c r="I96" s="49"/>
      <c r="J96" s="49"/>
      <c r="K96" s="49"/>
      <c r="L96" s="49"/>
      <c r="M96" s="49"/>
      <c r="N96" s="48"/>
      <c r="O96" s="49"/>
    </row>
    <row r="97" spans="1:15">
      <c r="A97" s="48"/>
      <c r="B97" s="49"/>
      <c r="C97" s="48"/>
      <c r="D97" s="50"/>
      <c r="E97" s="49"/>
      <c r="F97" s="49"/>
      <c r="G97" s="50"/>
      <c r="H97" s="50"/>
      <c r="I97" s="49"/>
      <c r="J97" s="49"/>
      <c r="K97" s="49"/>
      <c r="L97" s="49"/>
      <c r="M97" s="49"/>
      <c r="N97" s="48"/>
      <c r="O97" s="49"/>
    </row>
    <row r="98" spans="1:15">
      <c r="A98" s="48"/>
      <c r="B98" s="49"/>
      <c r="C98" s="48"/>
      <c r="D98" s="50"/>
      <c r="E98" s="49"/>
      <c r="F98" s="49"/>
      <c r="G98" s="50"/>
      <c r="H98" s="50"/>
      <c r="I98" s="49"/>
      <c r="J98" s="49"/>
      <c r="K98" s="49"/>
      <c r="L98" s="49"/>
      <c r="M98" s="49"/>
      <c r="N98" s="48"/>
      <c r="O98" s="49"/>
    </row>
    <row r="99" spans="1:15">
      <c r="A99" s="48"/>
      <c r="B99" s="49"/>
      <c r="C99" s="48"/>
      <c r="D99" s="50"/>
      <c r="E99" s="49"/>
      <c r="F99" s="49"/>
      <c r="G99" s="50"/>
      <c r="H99" s="50"/>
      <c r="I99" s="49"/>
      <c r="J99" s="49"/>
      <c r="K99" s="49"/>
      <c r="L99" s="49"/>
      <c r="M99" s="49"/>
      <c r="N99" s="48"/>
      <c r="O99" s="49"/>
    </row>
    <row r="100" spans="1:15">
      <c r="A100" s="48"/>
      <c r="B100" s="49"/>
      <c r="C100" s="48"/>
      <c r="D100" s="50"/>
      <c r="E100" s="49"/>
      <c r="F100" s="49"/>
      <c r="G100" s="50"/>
      <c r="H100" s="50"/>
      <c r="I100" s="49"/>
      <c r="J100" s="49"/>
      <c r="K100" s="49"/>
      <c r="L100" s="49"/>
      <c r="M100" s="49"/>
      <c r="N100" s="48"/>
      <c r="O100" s="49"/>
    </row>
    <row r="101" spans="1:15">
      <c r="A101" s="48"/>
      <c r="B101" s="49"/>
      <c r="C101" s="48"/>
      <c r="D101" s="50"/>
      <c r="E101" s="49"/>
      <c r="F101" s="49"/>
      <c r="G101" s="50"/>
      <c r="H101" s="50"/>
      <c r="I101" s="49"/>
      <c r="J101" s="49"/>
      <c r="K101" s="49"/>
      <c r="L101" s="49"/>
      <c r="M101" s="49"/>
      <c r="N101" s="48"/>
      <c r="O101" s="49"/>
    </row>
    <row r="102" spans="1:15">
      <c r="A102" s="48"/>
      <c r="B102" s="49"/>
      <c r="C102" s="48"/>
      <c r="D102" s="50"/>
      <c r="E102" s="49"/>
      <c r="F102" s="49"/>
      <c r="G102" s="50"/>
      <c r="H102" s="50"/>
      <c r="I102" s="49"/>
      <c r="J102" s="49"/>
      <c r="K102" s="49"/>
      <c r="L102" s="49"/>
      <c r="M102" s="49"/>
      <c r="N102" s="48"/>
      <c r="O102" s="49"/>
    </row>
    <row r="103" spans="1:15">
      <c r="A103" s="48"/>
      <c r="B103" s="49"/>
      <c r="C103" s="48"/>
      <c r="D103" s="50"/>
      <c r="E103" s="49"/>
      <c r="F103" s="49"/>
      <c r="G103" s="50"/>
      <c r="H103" s="50"/>
      <c r="I103" s="49"/>
      <c r="J103" s="49"/>
      <c r="K103" s="49"/>
      <c r="L103" s="49"/>
      <c r="M103" s="49"/>
      <c r="N103" s="48"/>
      <c r="O103" s="49"/>
    </row>
    <row r="104" spans="1:15">
      <c r="A104" s="48"/>
      <c r="B104" s="49"/>
      <c r="C104" s="48"/>
      <c r="D104" s="50"/>
      <c r="E104" s="49"/>
      <c r="F104" s="49"/>
      <c r="G104" s="50"/>
      <c r="H104" s="50"/>
      <c r="I104" s="49"/>
      <c r="J104" s="49"/>
      <c r="K104" s="49"/>
      <c r="L104" s="49"/>
      <c r="M104" s="49"/>
      <c r="N104" s="48"/>
      <c r="O104" s="49"/>
    </row>
    <row r="105" spans="1:15">
      <c r="A105" s="48"/>
      <c r="B105" s="49"/>
      <c r="C105" s="48"/>
      <c r="D105" s="50"/>
      <c r="E105" s="49"/>
      <c r="F105" s="49"/>
      <c r="G105" s="50"/>
      <c r="H105" s="50"/>
      <c r="I105" s="49"/>
      <c r="J105" s="49"/>
      <c r="K105" s="49"/>
      <c r="L105" s="49"/>
      <c r="M105" s="49"/>
      <c r="N105" s="48"/>
      <c r="O105" s="49"/>
    </row>
    <row r="106" spans="1:15">
      <c r="A106" s="48"/>
      <c r="B106" s="49"/>
      <c r="C106" s="48"/>
      <c r="D106" s="50"/>
      <c r="E106" s="49"/>
      <c r="F106" s="49"/>
      <c r="G106" s="50"/>
      <c r="H106" s="50"/>
      <c r="I106" s="49"/>
      <c r="J106" s="49"/>
      <c r="K106" s="49"/>
      <c r="L106" s="49"/>
      <c r="M106" s="49"/>
      <c r="N106" s="48"/>
      <c r="O106" s="49"/>
    </row>
    <row r="107" spans="1:15">
      <c r="A107" s="48"/>
      <c r="B107" s="49"/>
      <c r="C107" s="48"/>
      <c r="D107" s="50"/>
      <c r="E107" s="49"/>
      <c r="F107" s="49"/>
      <c r="G107" s="50"/>
      <c r="H107" s="50"/>
      <c r="I107" s="49"/>
      <c r="J107" s="49"/>
      <c r="K107" s="49"/>
      <c r="L107" s="49"/>
      <c r="M107" s="49"/>
      <c r="N107" s="48"/>
      <c r="O107" s="49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570312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J2024"/>
  <sheetViews>
    <sheetView zoomScale="85" zoomScaleNormal="85" workbookViewId="0">
      <selection activeCell="O693" sqref="O693"/>
    </sheetView>
  </sheetViews>
  <sheetFormatPr defaultRowHeight="15"/>
  <cols>
    <col min="1" max="1" width="11.7109375" style="89" customWidth="1" collapsed="1"/>
    <col min="2" max="2" width="33.42578125" style="89" customWidth="1" collapsed="1"/>
    <col min="3" max="3" width="8.42578125" style="89" customWidth="1" collapsed="1"/>
    <col min="4" max="4" width="25" style="89" customWidth="1" collapsed="1"/>
    <col min="5" max="5" width="12.42578125" style="93" bestFit="1" customWidth="1" collapsed="1"/>
    <col min="6" max="6" width="19.42578125" style="90" customWidth="1" collapsed="1"/>
    <col min="7" max="7" width="13.42578125" style="89" customWidth="1" collapsed="1"/>
    <col min="8" max="8" width="19" style="90" bestFit="1" customWidth="1" collapsed="1"/>
    <col min="9" max="9" width="30.42578125" style="89" bestFit="1" customWidth="1" collapsed="1"/>
    <col min="10" max="10" width="33.140625" style="40" customWidth="1"/>
    <col min="11" max="16384" width="9.140625" style="89"/>
  </cols>
  <sheetData>
    <row r="1" spans="1:10">
      <c r="A1" s="100" t="s">
        <v>126</v>
      </c>
      <c r="B1" s="84" t="s">
        <v>92</v>
      </c>
      <c r="C1" s="85" t="s">
        <v>4</v>
      </c>
      <c r="D1" s="86" t="s">
        <v>127</v>
      </c>
      <c r="E1" s="93" t="s">
        <v>128</v>
      </c>
      <c r="F1" s="87" t="s">
        <v>129</v>
      </c>
      <c r="G1" s="86" t="s">
        <v>98</v>
      </c>
      <c r="H1" s="88" t="s">
        <v>93</v>
      </c>
      <c r="I1" s="84" t="s">
        <v>130</v>
      </c>
      <c r="J1" s="98" t="s">
        <v>131</v>
      </c>
    </row>
    <row r="2" spans="1:10">
      <c r="A2" s="123"/>
      <c r="B2" s="113"/>
      <c r="C2" s="124"/>
      <c r="D2" s="125"/>
      <c r="E2" s="125"/>
      <c r="F2" s="126"/>
      <c r="G2" s="113"/>
      <c r="H2" s="112"/>
      <c r="I2" s="140"/>
      <c r="J2" s="101" t="str">
        <f t="shared" ref="J2:J66" ca="1" si="0"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f>
        <v/>
      </c>
    </row>
    <row r="3" spans="1:10">
      <c r="A3" s="119"/>
      <c r="B3" s="118"/>
      <c r="C3" s="120"/>
      <c r="D3" s="121"/>
      <c r="E3" s="121"/>
      <c r="F3" s="122"/>
      <c r="G3" s="118"/>
      <c r="H3" s="117"/>
      <c r="I3" s="141"/>
      <c r="J3" s="101" t="str">
        <f t="shared" ca="1" si="0"/>
        <v/>
      </c>
    </row>
    <row r="4" spans="1:10">
      <c r="A4" s="123"/>
      <c r="B4" s="113"/>
      <c r="C4" s="124"/>
      <c r="D4" s="125"/>
      <c r="E4" s="125"/>
      <c r="F4" s="126"/>
      <c r="G4" s="113"/>
      <c r="H4" s="112"/>
      <c r="I4" s="140"/>
      <c r="J4" s="101" t="str">
        <f t="shared" ca="1" si="0"/>
        <v/>
      </c>
    </row>
    <row r="5" spans="1:10">
      <c r="A5" s="119"/>
      <c r="B5" s="118"/>
      <c r="C5" s="120"/>
      <c r="D5" s="121"/>
      <c r="E5" s="121"/>
      <c r="F5" s="122"/>
      <c r="G5" s="118"/>
      <c r="H5" s="117"/>
      <c r="I5" s="141"/>
      <c r="J5" s="101" t="str">
        <f t="shared" ca="1" si="0"/>
        <v/>
      </c>
    </row>
    <row r="6" spans="1:10">
      <c r="A6" s="123"/>
      <c r="B6" s="113"/>
      <c r="C6" s="124"/>
      <c r="D6" s="125"/>
      <c r="E6" s="125"/>
      <c r="F6" s="126"/>
      <c r="G6" s="113"/>
      <c r="H6" s="112"/>
      <c r="I6" s="140"/>
      <c r="J6" s="101" t="str">
        <f t="shared" ca="1" si="0"/>
        <v/>
      </c>
    </row>
    <row r="7" spans="1:10">
      <c r="A7" s="119"/>
      <c r="B7" s="118"/>
      <c r="C7" s="120"/>
      <c r="D7" s="121"/>
      <c r="E7" s="121"/>
      <c r="F7" s="122"/>
      <c r="G7" s="118"/>
      <c r="H7" s="117"/>
      <c r="I7" s="141"/>
      <c r="J7" s="101" t="str">
        <f t="shared" ca="1" si="0"/>
        <v/>
      </c>
    </row>
    <row r="8" spans="1:10">
      <c r="A8" s="123"/>
      <c r="B8" s="113"/>
      <c r="C8" s="124"/>
      <c r="D8" s="125"/>
      <c r="E8" s="125"/>
      <c r="F8" s="126"/>
      <c r="G8" s="113"/>
      <c r="H8" s="112"/>
      <c r="I8" s="140"/>
      <c r="J8" s="101" t="str">
        <f t="shared" ca="1" si="0"/>
        <v/>
      </c>
    </row>
    <row r="9" spans="1:10">
      <c r="A9" s="119"/>
      <c r="B9" s="118"/>
      <c r="C9" s="120"/>
      <c r="D9" s="121"/>
      <c r="E9" s="121"/>
      <c r="F9" s="122"/>
      <c r="G9" s="118"/>
      <c r="H9" s="117"/>
      <c r="I9" s="141"/>
      <c r="J9" s="101" t="str">
        <f t="shared" ca="1" si="0"/>
        <v/>
      </c>
    </row>
    <row r="10" spans="1:10">
      <c r="A10" s="123"/>
      <c r="B10" s="113"/>
      <c r="C10" s="124"/>
      <c r="D10" s="125"/>
      <c r="E10" s="125"/>
      <c r="F10" s="126"/>
      <c r="G10" s="113"/>
      <c r="H10" s="112"/>
      <c r="I10" s="140"/>
      <c r="J10" s="101" t="str">
        <f t="shared" ca="1" si="0"/>
        <v/>
      </c>
    </row>
    <row r="11" spans="1:10">
      <c r="A11" s="119"/>
      <c r="B11" s="118"/>
      <c r="C11" s="120"/>
      <c r="D11" s="121"/>
      <c r="E11" s="121"/>
      <c r="F11" s="122"/>
      <c r="G11" s="118"/>
      <c r="H11" s="117"/>
      <c r="I11" s="141"/>
      <c r="J11" s="101" t="str">
        <f t="shared" ca="1" si="0"/>
        <v/>
      </c>
    </row>
    <row r="12" spans="1:10">
      <c r="A12" s="123"/>
      <c r="B12" s="113"/>
      <c r="C12" s="124"/>
      <c r="D12" s="125"/>
      <c r="E12" s="125"/>
      <c r="F12" s="126"/>
      <c r="G12" s="113"/>
      <c r="H12" s="112"/>
      <c r="I12" s="140"/>
      <c r="J12" s="101" t="str">
        <f t="shared" ca="1" si="0"/>
        <v/>
      </c>
    </row>
    <row r="13" spans="1:10">
      <c r="A13" s="119"/>
      <c r="B13" s="118"/>
      <c r="C13" s="120"/>
      <c r="D13" s="121"/>
      <c r="E13" s="121"/>
      <c r="F13" s="122"/>
      <c r="G13" s="118"/>
      <c r="H13" s="117"/>
      <c r="I13" s="141"/>
      <c r="J13" s="101" t="str">
        <f t="shared" ca="1" si="0"/>
        <v/>
      </c>
    </row>
    <row r="14" spans="1:10">
      <c r="A14" s="123"/>
      <c r="B14" s="113"/>
      <c r="C14" s="124"/>
      <c r="D14" s="125"/>
      <c r="E14" s="125"/>
      <c r="F14" s="126"/>
      <c r="G14" s="113"/>
      <c r="H14" s="112"/>
      <c r="I14" s="140"/>
      <c r="J14" s="101" t="str">
        <f t="shared" ca="1" si="0"/>
        <v/>
      </c>
    </row>
    <row r="15" spans="1:10">
      <c r="A15" s="119"/>
      <c r="B15" s="118"/>
      <c r="C15" s="120"/>
      <c r="D15" s="121"/>
      <c r="E15" s="121"/>
      <c r="F15" s="122"/>
      <c r="G15" s="118"/>
      <c r="H15" s="117"/>
      <c r="I15" s="141"/>
      <c r="J15" s="101" t="str">
        <f t="shared" ca="1" si="0"/>
        <v/>
      </c>
    </row>
    <row r="16" spans="1:10">
      <c r="A16" s="123"/>
      <c r="B16" s="113"/>
      <c r="C16" s="124"/>
      <c r="D16" s="125"/>
      <c r="E16" s="125"/>
      <c r="F16" s="126"/>
      <c r="G16" s="113"/>
      <c r="H16" s="112"/>
      <c r="I16" s="140"/>
      <c r="J16" s="101" t="str">
        <f t="shared" ca="1" si="0"/>
        <v/>
      </c>
    </row>
    <row r="17" spans="1:10">
      <c r="A17" s="119"/>
      <c r="B17" s="118"/>
      <c r="C17" s="120"/>
      <c r="D17" s="121"/>
      <c r="E17" s="121"/>
      <c r="F17" s="122"/>
      <c r="G17" s="118"/>
      <c r="H17" s="117"/>
      <c r="I17" s="141"/>
      <c r="J17" s="101" t="str">
        <f t="shared" ca="1" si="0"/>
        <v/>
      </c>
    </row>
    <row r="18" spans="1:10">
      <c r="A18" s="123"/>
      <c r="B18" s="113"/>
      <c r="C18" s="124"/>
      <c r="D18" s="125"/>
      <c r="E18" s="125"/>
      <c r="F18" s="126"/>
      <c r="G18" s="113"/>
      <c r="H18" s="112"/>
      <c r="I18" s="140"/>
      <c r="J18" s="101" t="str">
        <f t="shared" ca="1" si="0"/>
        <v/>
      </c>
    </row>
    <row r="19" spans="1:10">
      <c r="A19" s="119"/>
      <c r="B19" s="118"/>
      <c r="C19" s="120"/>
      <c r="D19" s="121"/>
      <c r="E19" s="121"/>
      <c r="F19" s="122"/>
      <c r="G19" s="118"/>
      <c r="H19" s="117"/>
      <c r="I19" s="141"/>
      <c r="J19" s="101" t="str">
        <f t="shared" ca="1" si="0"/>
        <v/>
      </c>
    </row>
    <row r="20" spans="1:10">
      <c r="A20" s="123"/>
      <c r="B20" s="113"/>
      <c r="C20" s="124"/>
      <c r="D20" s="125"/>
      <c r="E20" s="125"/>
      <c r="F20" s="126"/>
      <c r="G20" s="113"/>
      <c r="H20" s="112"/>
      <c r="I20" s="140"/>
      <c r="J20" s="101" t="str">
        <f t="shared" ca="1" si="0"/>
        <v/>
      </c>
    </row>
    <row r="21" spans="1:10">
      <c r="A21" s="119"/>
      <c r="B21" s="118"/>
      <c r="C21" s="120"/>
      <c r="D21" s="121"/>
      <c r="E21" s="121"/>
      <c r="F21" s="122"/>
      <c r="G21" s="118"/>
      <c r="H21" s="117"/>
      <c r="I21" s="141"/>
      <c r="J21" s="101" t="str">
        <f t="shared" ca="1" si="0"/>
        <v/>
      </c>
    </row>
    <row r="22" spans="1:10">
      <c r="A22" s="123"/>
      <c r="B22" s="113"/>
      <c r="C22" s="124"/>
      <c r="D22" s="125"/>
      <c r="E22" s="125"/>
      <c r="F22" s="126"/>
      <c r="G22" s="113"/>
      <c r="H22" s="112"/>
      <c r="I22" s="140"/>
      <c r="J22" s="101" t="str">
        <f t="shared" ca="1" si="0"/>
        <v/>
      </c>
    </row>
    <row r="23" spans="1:10">
      <c r="A23" s="119"/>
      <c r="B23" s="118"/>
      <c r="C23" s="120"/>
      <c r="D23" s="121"/>
      <c r="E23" s="121"/>
      <c r="F23" s="122"/>
      <c r="G23" s="118"/>
      <c r="H23" s="117"/>
      <c r="I23" s="141"/>
      <c r="J23" s="101" t="str">
        <f t="shared" ca="1" si="0"/>
        <v/>
      </c>
    </row>
    <row r="24" spans="1:10">
      <c r="A24" s="123"/>
      <c r="B24" s="113"/>
      <c r="C24" s="124"/>
      <c r="D24" s="125"/>
      <c r="E24" s="125"/>
      <c r="F24" s="126"/>
      <c r="G24" s="113"/>
      <c r="H24" s="112"/>
      <c r="I24" s="140"/>
      <c r="J24" s="101" t="str">
        <f t="shared" ca="1" si="0"/>
        <v/>
      </c>
    </row>
    <row r="25" spans="1:10">
      <c r="A25" s="119"/>
      <c r="B25" s="118"/>
      <c r="C25" s="120"/>
      <c r="D25" s="121"/>
      <c r="E25" s="121"/>
      <c r="F25" s="122"/>
      <c r="G25" s="118"/>
      <c r="H25" s="117"/>
      <c r="I25" s="141"/>
      <c r="J25" s="101" t="str">
        <f t="shared" ca="1" si="0"/>
        <v/>
      </c>
    </row>
    <row r="26" spans="1:10">
      <c r="A26" s="123"/>
      <c r="B26" s="113"/>
      <c r="C26" s="124"/>
      <c r="D26" s="125"/>
      <c r="E26" s="125"/>
      <c r="F26" s="126"/>
      <c r="G26" s="113"/>
      <c r="H26" s="112"/>
      <c r="I26" s="140"/>
      <c r="J26" s="101" t="str">
        <f t="shared" ca="1" si="0"/>
        <v/>
      </c>
    </row>
    <row r="27" spans="1:10">
      <c r="A27" s="119"/>
      <c r="B27" s="118"/>
      <c r="C27" s="120"/>
      <c r="D27" s="121"/>
      <c r="E27" s="121"/>
      <c r="F27" s="122"/>
      <c r="G27" s="118"/>
      <c r="H27" s="117"/>
      <c r="I27" s="141"/>
      <c r="J27" s="101" t="str">
        <f t="shared" ca="1" si="0"/>
        <v/>
      </c>
    </row>
    <row r="28" spans="1:10">
      <c r="A28" s="123"/>
      <c r="B28" s="113"/>
      <c r="C28" s="124"/>
      <c r="D28" s="125"/>
      <c r="E28" s="125"/>
      <c r="F28" s="126"/>
      <c r="G28" s="113"/>
      <c r="H28" s="112"/>
      <c r="I28" s="140"/>
      <c r="J28" s="101" t="str">
        <f t="shared" ca="1" si="0"/>
        <v/>
      </c>
    </row>
    <row r="29" spans="1:10">
      <c r="A29" s="119"/>
      <c r="B29" s="118"/>
      <c r="C29" s="120"/>
      <c r="D29" s="121"/>
      <c r="E29" s="121"/>
      <c r="F29" s="122"/>
      <c r="G29" s="118"/>
      <c r="H29" s="117"/>
      <c r="I29" s="141"/>
      <c r="J29" s="101" t="str">
        <f t="shared" ca="1" si="0"/>
        <v/>
      </c>
    </row>
    <row r="30" spans="1:10">
      <c r="A30" s="123"/>
      <c r="B30" s="113"/>
      <c r="C30" s="124"/>
      <c r="D30" s="125"/>
      <c r="E30" s="125"/>
      <c r="F30" s="126"/>
      <c r="G30" s="113"/>
      <c r="H30" s="112"/>
      <c r="I30" s="140"/>
      <c r="J30" s="101" t="str">
        <f t="shared" ca="1" si="0"/>
        <v/>
      </c>
    </row>
    <row r="31" spans="1:10">
      <c r="A31" s="119"/>
      <c r="B31" s="118"/>
      <c r="C31" s="120"/>
      <c r="D31" s="121"/>
      <c r="E31" s="121"/>
      <c r="F31" s="122"/>
      <c r="G31" s="118"/>
      <c r="H31" s="117"/>
      <c r="I31" s="141"/>
      <c r="J31" s="101" t="str">
        <f t="shared" ca="1" si="0"/>
        <v/>
      </c>
    </row>
    <row r="32" spans="1:10">
      <c r="A32" s="123"/>
      <c r="B32" s="113"/>
      <c r="C32" s="124"/>
      <c r="D32" s="125"/>
      <c r="E32" s="125"/>
      <c r="F32" s="126"/>
      <c r="G32" s="113"/>
      <c r="H32" s="112"/>
      <c r="I32" s="140"/>
      <c r="J32" s="101" t="str">
        <f t="shared" ca="1" si="0"/>
        <v/>
      </c>
    </row>
    <row r="33" spans="1:10">
      <c r="A33" s="119"/>
      <c r="B33" s="118"/>
      <c r="C33" s="120"/>
      <c r="D33" s="121"/>
      <c r="E33" s="121"/>
      <c r="F33" s="122"/>
      <c r="G33" s="118"/>
      <c r="H33" s="117"/>
      <c r="I33" s="141"/>
      <c r="J33" s="101" t="str">
        <f t="shared" ca="1" si="0"/>
        <v/>
      </c>
    </row>
    <row r="34" spans="1:10">
      <c r="A34" s="123"/>
      <c r="B34" s="113"/>
      <c r="C34" s="124"/>
      <c r="D34" s="125"/>
      <c r="E34" s="125"/>
      <c r="F34" s="126"/>
      <c r="G34" s="113"/>
      <c r="H34" s="112"/>
      <c r="I34" s="140"/>
      <c r="J34" s="101" t="str">
        <f t="shared" ca="1" si="0"/>
        <v/>
      </c>
    </row>
    <row r="35" spans="1:10">
      <c r="A35" s="119"/>
      <c r="B35" s="118"/>
      <c r="C35" s="120"/>
      <c r="D35" s="121"/>
      <c r="E35" s="121"/>
      <c r="F35" s="122"/>
      <c r="G35" s="118"/>
      <c r="H35" s="117"/>
      <c r="I35" s="141"/>
      <c r="J35" s="101" t="str">
        <f t="shared" ca="1" si="0"/>
        <v/>
      </c>
    </row>
    <row r="36" spans="1:10">
      <c r="A36" s="123"/>
      <c r="B36" s="113"/>
      <c r="C36" s="124"/>
      <c r="D36" s="125"/>
      <c r="E36" s="125"/>
      <c r="F36" s="126"/>
      <c r="G36" s="113"/>
      <c r="H36" s="112"/>
      <c r="I36" s="140"/>
      <c r="J36" s="101" t="str">
        <f t="shared" ca="1" si="0"/>
        <v/>
      </c>
    </row>
    <row r="37" spans="1:10">
      <c r="A37" s="119"/>
      <c r="B37" s="118"/>
      <c r="C37" s="120"/>
      <c r="D37" s="121"/>
      <c r="E37" s="121"/>
      <c r="F37" s="122"/>
      <c r="G37" s="118"/>
      <c r="H37" s="117"/>
      <c r="I37" s="141"/>
      <c r="J37" s="101" t="str">
        <f t="shared" ca="1" si="0"/>
        <v/>
      </c>
    </row>
    <row r="38" spans="1:10">
      <c r="A38" s="123"/>
      <c r="B38" s="113"/>
      <c r="C38" s="124"/>
      <c r="D38" s="125"/>
      <c r="E38" s="125"/>
      <c r="F38" s="126"/>
      <c r="G38" s="113"/>
      <c r="H38" s="112"/>
      <c r="I38" s="140"/>
      <c r="J38" s="101" t="str">
        <f t="shared" ca="1" si="0"/>
        <v/>
      </c>
    </row>
    <row r="39" spans="1:10">
      <c r="A39" s="119"/>
      <c r="B39" s="118"/>
      <c r="C39" s="120"/>
      <c r="D39" s="121"/>
      <c r="E39" s="121"/>
      <c r="F39" s="122"/>
      <c r="G39" s="118"/>
      <c r="H39" s="117"/>
      <c r="I39" s="141"/>
      <c r="J39" s="101" t="str">
        <f t="shared" ca="1" si="0"/>
        <v/>
      </c>
    </row>
    <row r="40" spans="1:10">
      <c r="A40" s="123"/>
      <c r="B40" s="113"/>
      <c r="C40" s="124"/>
      <c r="D40" s="125"/>
      <c r="E40" s="125"/>
      <c r="F40" s="126"/>
      <c r="G40" s="113"/>
      <c r="H40" s="112"/>
      <c r="I40" s="140"/>
      <c r="J40" s="101" t="str">
        <f t="shared" ca="1" si="0"/>
        <v/>
      </c>
    </row>
    <row r="41" spans="1:10">
      <c r="A41" s="119"/>
      <c r="B41" s="118"/>
      <c r="C41" s="120"/>
      <c r="D41" s="121"/>
      <c r="E41" s="121"/>
      <c r="F41" s="122"/>
      <c r="G41" s="118"/>
      <c r="H41" s="117"/>
      <c r="I41" s="141"/>
      <c r="J41" s="101" t="str">
        <f t="shared" ca="1" si="0"/>
        <v/>
      </c>
    </row>
    <row r="42" spans="1:10">
      <c r="A42" s="123"/>
      <c r="B42" s="113"/>
      <c r="C42" s="124"/>
      <c r="D42" s="125"/>
      <c r="E42" s="125"/>
      <c r="F42" s="126"/>
      <c r="G42" s="113"/>
      <c r="H42" s="112"/>
      <c r="I42" s="140"/>
      <c r="J42" s="101" t="str">
        <f t="shared" ca="1" si="0"/>
        <v/>
      </c>
    </row>
    <row r="43" spans="1:10">
      <c r="A43" s="119"/>
      <c r="B43" s="118"/>
      <c r="C43" s="120"/>
      <c r="D43" s="121"/>
      <c r="E43" s="121"/>
      <c r="F43" s="122"/>
      <c r="G43" s="118"/>
      <c r="H43" s="117"/>
      <c r="I43" s="141"/>
      <c r="J43" s="101" t="str">
        <f t="shared" ca="1" si="0"/>
        <v/>
      </c>
    </row>
    <row r="44" spans="1:10">
      <c r="A44" s="123"/>
      <c r="B44" s="113"/>
      <c r="C44" s="124"/>
      <c r="D44" s="125"/>
      <c r="E44" s="125"/>
      <c r="F44" s="126"/>
      <c r="G44" s="113"/>
      <c r="H44" s="112"/>
      <c r="I44" s="140"/>
      <c r="J44" s="101" t="str">
        <f t="shared" ca="1" si="0"/>
        <v/>
      </c>
    </row>
    <row r="45" spans="1:10">
      <c r="A45" s="128"/>
      <c r="B45" s="118"/>
      <c r="C45" s="120"/>
      <c r="D45" s="121"/>
      <c r="E45" s="121"/>
      <c r="F45" s="122"/>
      <c r="G45" s="118"/>
      <c r="H45" s="117"/>
      <c r="I45" s="141"/>
      <c r="J45" s="101" t="str">
        <f t="shared" ca="1" si="0"/>
        <v/>
      </c>
    </row>
    <row r="46" spans="1:10">
      <c r="A46" s="127"/>
      <c r="B46" s="113"/>
      <c r="C46" s="124"/>
      <c r="D46" s="125"/>
      <c r="E46" s="125"/>
      <c r="F46" s="126"/>
      <c r="G46" s="113"/>
      <c r="H46" s="112"/>
      <c r="I46" s="140"/>
      <c r="J46" s="101" t="str">
        <f t="shared" ca="1" si="0"/>
        <v/>
      </c>
    </row>
    <row r="47" spans="1:10">
      <c r="A47" s="128"/>
      <c r="B47" s="118"/>
      <c r="C47" s="120"/>
      <c r="D47" s="121"/>
      <c r="E47" s="121"/>
      <c r="F47" s="122"/>
      <c r="G47" s="118"/>
      <c r="H47" s="117"/>
      <c r="I47" s="141"/>
      <c r="J47" s="101" t="str">
        <f t="shared" ca="1" si="0"/>
        <v/>
      </c>
    </row>
    <row r="48" spans="1:10">
      <c r="A48" s="127"/>
      <c r="B48" s="113"/>
      <c r="C48" s="124"/>
      <c r="D48" s="125"/>
      <c r="E48" s="125"/>
      <c r="F48" s="126"/>
      <c r="G48" s="113"/>
      <c r="H48" s="112"/>
      <c r="I48" s="140"/>
      <c r="J48" s="101" t="str">
        <f t="shared" ca="1" si="0"/>
        <v/>
      </c>
    </row>
    <row r="49" spans="1:10">
      <c r="A49" s="128"/>
      <c r="B49" s="118"/>
      <c r="C49" s="120"/>
      <c r="D49" s="121"/>
      <c r="E49" s="121"/>
      <c r="F49" s="122"/>
      <c r="G49" s="118"/>
      <c r="H49" s="117"/>
      <c r="I49" s="141"/>
      <c r="J49" s="101" t="str">
        <f t="shared" ca="1" si="0"/>
        <v/>
      </c>
    </row>
    <row r="50" spans="1:10">
      <c r="A50" s="127"/>
      <c r="B50" s="113"/>
      <c r="C50" s="124"/>
      <c r="D50" s="125"/>
      <c r="E50" s="125"/>
      <c r="F50" s="126"/>
      <c r="G50" s="113"/>
      <c r="H50" s="112"/>
      <c r="I50" s="140"/>
      <c r="J50" s="101" t="str">
        <f t="shared" ca="1" si="0"/>
        <v/>
      </c>
    </row>
    <row r="51" spans="1:10">
      <c r="A51" s="128"/>
      <c r="B51" s="118"/>
      <c r="C51" s="120"/>
      <c r="D51" s="121"/>
      <c r="E51" s="121"/>
      <c r="F51" s="122"/>
      <c r="G51" s="118"/>
      <c r="H51" s="117"/>
      <c r="I51" s="141"/>
      <c r="J51" s="101" t="str">
        <f t="shared" ca="1" si="0"/>
        <v/>
      </c>
    </row>
    <row r="52" spans="1:10">
      <c r="A52" s="127"/>
      <c r="B52" s="113"/>
      <c r="C52" s="124"/>
      <c r="D52" s="125"/>
      <c r="E52" s="125"/>
      <c r="F52" s="126"/>
      <c r="G52" s="113"/>
      <c r="H52" s="112"/>
      <c r="I52" s="140"/>
      <c r="J52" s="101" t="str">
        <f t="shared" ca="1" si="0"/>
        <v/>
      </c>
    </row>
    <row r="53" spans="1:10">
      <c r="A53" s="128"/>
      <c r="B53" s="118"/>
      <c r="C53" s="120"/>
      <c r="D53" s="121"/>
      <c r="E53" s="121"/>
      <c r="F53" s="122"/>
      <c r="G53" s="118"/>
      <c r="H53" s="117"/>
      <c r="I53" s="141"/>
      <c r="J53" s="101" t="str">
        <f t="shared" ca="1" si="0"/>
        <v/>
      </c>
    </row>
    <row r="54" spans="1:10">
      <c r="A54" s="127"/>
      <c r="B54" s="113"/>
      <c r="C54" s="124"/>
      <c r="D54" s="125"/>
      <c r="E54" s="125"/>
      <c r="F54" s="126"/>
      <c r="G54" s="113"/>
      <c r="H54" s="112"/>
      <c r="I54" s="140"/>
      <c r="J54" s="101" t="str">
        <f t="shared" ca="1" si="0"/>
        <v/>
      </c>
    </row>
    <row r="55" spans="1:10">
      <c r="A55" s="128"/>
      <c r="B55" s="118"/>
      <c r="C55" s="120"/>
      <c r="D55" s="121"/>
      <c r="E55" s="121"/>
      <c r="F55" s="122"/>
      <c r="G55" s="118"/>
      <c r="H55" s="117"/>
      <c r="I55" s="141"/>
      <c r="J55" s="101" t="str">
        <f t="shared" ca="1" si="0"/>
        <v/>
      </c>
    </row>
    <row r="56" spans="1:10">
      <c r="A56" s="127"/>
      <c r="B56" s="113"/>
      <c r="C56" s="124"/>
      <c r="D56" s="125"/>
      <c r="E56" s="125"/>
      <c r="F56" s="126"/>
      <c r="G56" s="113"/>
      <c r="H56" s="112"/>
      <c r="I56" s="140"/>
      <c r="J56" s="101" t="str">
        <f t="shared" ca="1" si="0"/>
        <v/>
      </c>
    </row>
    <row r="57" spans="1:10">
      <c r="A57" s="142"/>
      <c r="B57" s="143"/>
      <c r="C57" s="144"/>
      <c r="D57" s="121"/>
      <c r="E57" s="121"/>
      <c r="F57" s="122"/>
      <c r="G57" s="143"/>
      <c r="H57" s="117"/>
      <c r="I57" s="141"/>
      <c r="J57" s="101" t="str">
        <f t="shared" ca="1" si="0"/>
        <v/>
      </c>
    </row>
    <row r="58" spans="1:10">
      <c r="A58" s="123"/>
      <c r="B58" s="113"/>
      <c r="C58" s="124"/>
      <c r="D58" s="125"/>
      <c r="E58" s="125"/>
      <c r="F58" s="126"/>
      <c r="G58" s="113"/>
      <c r="H58" s="112"/>
      <c r="I58" s="140"/>
      <c r="J58" s="101" t="str">
        <f t="shared" ca="1" si="0"/>
        <v/>
      </c>
    </row>
    <row r="59" spans="1:10">
      <c r="A59" s="119"/>
      <c r="B59" s="118"/>
      <c r="C59" s="120"/>
      <c r="D59" s="121"/>
      <c r="E59" s="121"/>
      <c r="F59" s="122"/>
      <c r="G59" s="118"/>
      <c r="H59" s="117"/>
      <c r="I59" s="141"/>
      <c r="J59" s="101" t="str">
        <f t="shared" ca="1" si="0"/>
        <v/>
      </c>
    </row>
    <row r="60" spans="1:10">
      <c r="A60" s="123"/>
      <c r="B60" s="113"/>
      <c r="C60" s="124"/>
      <c r="D60" s="125"/>
      <c r="E60" s="125"/>
      <c r="F60" s="126"/>
      <c r="G60" s="113"/>
      <c r="H60" s="112"/>
      <c r="I60" s="140"/>
      <c r="J60" s="101" t="str">
        <f t="shared" ca="1" si="0"/>
        <v/>
      </c>
    </row>
    <row r="61" spans="1:10">
      <c r="A61" s="119"/>
      <c r="B61" s="118"/>
      <c r="C61" s="120"/>
      <c r="D61" s="121"/>
      <c r="E61" s="121"/>
      <c r="F61" s="122"/>
      <c r="G61" s="118"/>
      <c r="H61" s="117"/>
      <c r="I61" s="141"/>
      <c r="J61" s="101" t="str">
        <f t="shared" ca="1" si="0"/>
        <v/>
      </c>
    </row>
    <row r="62" spans="1:10">
      <c r="A62" s="145"/>
      <c r="B62" s="131"/>
      <c r="C62" s="130"/>
      <c r="D62" s="125"/>
      <c r="E62" s="125"/>
      <c r="F62" s="126"/>
      <c r="G62" s="131"/>
      <c r="H62" s="112"/>
      <c r="I62" s="140"/>
      <c r="J62" s="101" t="str">
        <f t="shared" ca="1" si="0"/>
        <v/>
      </c>
    </row>
    <row r="63" spans="1:10">
      <c r="A63" s="119"/>
      <c r="B63" s="118"/>
      <c r="C63" s="120"/>
      <c r="D63" s="121"/>
      <c r="E63" s="121"/>
      <c r="F63" s="122"/>
      <c r="G63" s="118"/>
      <c r="H63" s="117"/>
      <c r="I63" s="141"/>
      <c r="J63" s="101" t="str">
        <f t="shared" ca="1" si="0"/>
        <v/>
      </c>
    </row>
    <row r="64" spans="1:10">
      <c r="A64" s="123"/>
      <c r="B64" s="113"/>
      <c r="C64" s="124"/>
      <c r="D64" s="125"/>
      <c r="E64" s="125"/>
      <c r="F64" s="126"/>
      <c r="G64" s="113"/>
      <c r="H64" s="112"/>
      <c r="I64" s="140"/>
      <c r="J64" s="101" t="str">
        <f t="shared" ca="1" si="0"/>
        <v/>
      </c>
    </row>
    <row r="65" spans="1:10">
      <c r="A65" s="119"/>
      <c r="B65" s="118"/>
      <c r="C65" s="120"/>
      <c r="D65" s="121"/>
      <c r="E65" s="121"/>
      <c r="F65" s="122"/>
      <c r="G65" s="118"/>
      <c r="H65" s="117"/>
      <c r="I65" s="141"/>
      <c r="J65" s="101" t="str">
        <f t="shared" ca="1" si="0"/>
        <v/>
      </c>
    </row>
    <row r="66" spans="1:10">
      <c r="A66" s="123"/>
      <c r="B66" s="113"/>
      <c r="C66" s="124"/>
      <c r="D66" s="125"/>
      <c r="E66" s="125"/>
      <c r="F66" s="126"/>
      <c r="G66" s="113"/>
      <c r="H66" s="112"/>
      <c r="I66" s="140"/>
      <c r="J66" s="101" t="str">
        <f t="shared" ca="1" si="0"/>
        <v/>
      </c>
    </row>
    <row r="67" spans="1:10">
      <c r="A67" s="119"/>
      <c r="B67" s="118"/>
      <c r="C67" s="120"/>
      <c r="D67" s="121"/>
      <c r="E67" s="121"/>
      <c r="F67" s="122"/>
      <c r="G67" s="118"/>
      <c r="H67" s="117"/>
      <c r="I67" s="141"/>
      <c r="J67" s="101" t="str">
        <f t="shared" ref="J67:J130" ca="1" si="1">_xlfn.LET(
    _xlpm.AllCellsFilled, COUNTA(A67:I67) = 9,
    _xlpm.QtyIsInt, AND(ISNUMBER(G67), G67=INT(G67)),
    _xlpm.AvailDateIsValid, AND(ISNUMBER(F67), F67&gt;=TODAY()),
    _xlpm.ReqDateIsValid, AND(ISNUMBER(H67), H67&gt;=TODAY()),
    _xlpm.EmailIsValid, RIGHT(I67,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IF(A67="", "", IF(_xlpm.error_messages = "", "Yes", _xlpm.error_messages))
)</f>
        <v/>
      </c>
    </row>
    <row r="68" spans="1:10">
      <c r="A68" s="123"/>
      <c r="B68" s="113"/>
      <c r="C68" s="124"/>
      <c r="D68" s="125"/>
      <c r="E68" s="125"/>
      <c r="F68" s="126"/>
      <c r="G68" s="113"/>
      <c r="H68" s="112"/>
      <c r="I68" s="140"/>
      <c r="J68" s="101" t="str">
        <f t="shared" ca="1" si="1"/>
        <v/>
      </c>
    </row>
    <row r="69" spans="1:10">
      <c r="A69" s="119"/>
      <c r="B69" s="118"/>
      <c r="C69" s="120"/>
      <c r="D69" s="121"/>
      <c r="E69" s="121"/>
      <c r="F69" s="122"/>
      <c r="G69" s="118"/>
      <c r="H69" s="117"/>
      <c r="I69" s="141"/>
      <c r="J69" s="101" t="str">
        <f t="shared" ca="1" si="1"/>
        <v/>
      </c>
    </row>
    <row r="70" spans="1:10">
      <c r="A70" s="123"/>
      <c r="B70" s="113"/>
      <c r="C70" s="124"/>
      <c r="D70" s="125"/>
      <c r="E70" s="125"/>
      <c r="F70" s="126"/>
      <c r="G70" s="113"/>
      <c r="H70" s="112"/>
      <c r="I70" s="140"/>
      <c r="J70" s="101" t="str">
        <f t="shared" ca="1" si="1"/>
        <v/>
      </c>
    </row>
    <row r="71" spans="1:10">
      <c r="A71" s="119"/>
      <c r="B71" s="118"/>
      <c r="C71" s="120"/>
      <c r="D71" s="121"/>
      <c r="E71" s="121"/>
      <c r="F71" s="122"/>
      <c r="G71" s="118"/>
      <c r="H71" s="117"/>
      <c r="I71" s="141"/>
      <c r="J71" s="101" t="str">
        <f t="shared" ca="1" si="1"/>
        <v/>
      </c>
    </row>
    <row r="72" spans="1:10">
      <c r="A72" s="123"/>
      <c r="B72" s="113"/>
      <c r="C72" s="124"/>
      <c r="D72" s="125"/>
      <c r="E72" s="125"/>
      <c r="F72" s="126"/>
      <c r="G72" s="113"/>
      <c r="H72" s="112"/>
      <c r="I72" s="140"/>
      <c r="J72" s="101" t="str">
        <f t="shared" ca="1" si="1"/>
        <v/>
      </c>
    </row>
    <row r="73" spans="1:10">
      <c r="A73" s="119"/>
      <c r="B73" s="118"/>
      <c r="C73" s="120"/>
      <c r="D73" s="121"/>
      <c r="E73" s="121"/>
      <c r="F73" s="122"/>
      <c r="G73" s="118"/>
      <c r="H73" s="117"/>
      <c r="I73" s="141"/>
      <c r="J73" s="101" t="str">
        <f t="shared" ca="1" si="1"/>
        <v/>
      </c>
    </row>
    <row r="74" spans="1:10">
      <c r="A74" s="123"/>
      <c r="B74" s="113"/>
      <c r="C74" s="124"/>
      <c r="D74" s="125"/>
      <c r="E74" s="125"/>
      <c r="F74" s="126"/>
      <c r="G74" s="113"/>
      <c r="H74" s="112"/>
      <c r="I74" s="140"/>
      <c r="J74" s="101" t="str">
        <f t="shared" ca="1" si="1"/>
        <v/>
      </c>
    </row>
    <row r="75" spans="1:10">
      <c r="A75" s="119"/>
      <c r="B75" s="118"/>
      <c r="C75" s="120"/>
      <c r="D75" s="121"/>
      <c r="E75" s="121"/>
      <c r="F75" s="122"/>
      <c r="G75" s="118"/>
      <c r="H75" s="117"/>
      <c r="I75" s="141"/>
      <c r="J75" s="101" t="str">
        <f t="shared" ca="1" si="1"/>
        <v/>
      </c>
    </row>
    <row r="76" spans="1:10">
      <c r="A76" s="123"/>
      <c r="B76" s="113"/>
      <c r="C76" s="124"/>
      <c r="D76" s="125"/>
      <c r="E76" s="125"/>
      <c r="F76" s="126"/>
      <c r="G76" s="113"/>
      <c r="H76" s="112"/>
      <c r="I76" s="140"/>
      <c r="J76" s="101" t="str">
        <f t="shared" ca="1" si="1"/>
        <v/>
      </c>
    </row>
    <row r="77" spans="1:10">
      <c r="A77" s="119"/>
      <c r="B77" s="118"/>
      <c r="C77" s="120"/>
      <c r="D77" s="121"/>
      <c r="E77" s="121"/>
      <c r="F77" s="122"/>
      <c r="G77" s="118"/>
      <c r="H77" s="117"/>
      <c r="I77" s="141"/>
      <c r="J77" s="101" t="str">
        <f t="shared" ca="1" si="1"/>
        <v/>
      </c>
    </row>
    <row r="78" spans="1:10">
      <c r="A78" s="123"/>
      <c r="B78" s="113"/>
      <c r="C78" s="124"/>
      <c r="D78" s="125"/>
      <c r="E78" s="125"/>
      <c r="F78" s="126"/>
      <c r="G78" s="113"/>
      <c r="H78" s="112"/>
      <c r="I78" s="140"/>
      <c r="J78" s="101" t="str">
        <f t="shared" ca="1" si="1"/>
        <v/>
      </c>
    </row>
    <row r="79" spans="1:10">
      <c r="A79" s="119"/>
      <c r="B79" s="118"/>
      <c r="C79" s="120"/>
      <c r="D79" s="121"/>
      <c r="E79" s="121"/>
      <c r="F79" s="122"/>
      <c r="G79" s="118"/>
      <c r="H79" s="117"/>
      <c r="I79" s="141"/>
      <c r="J79" s="101" t="str">
        <f t="shared" ca="1" si="1"/>
        <v/>
      </c>
    </row>
    <row r="80" spans="1:10">
      <c r="A80" s="123"/>
      <c r="B80" s="113"/>
      <c r="C80" s="124"/>
      <c r="D80" s="125"/>
      <c r="E80" s="125"/>
      <c r="F80" s="126"/>
      <c r="G80" s="113"/>
      <c r="H80" s="112"/>
      <c r="I80" s="140"/>
      <c r="J80" s="101" t="str">
        <f t="shared" ca="1" si="1"/>
        <v/>
      </c>
    </row>
    <row r="81" spans="1:10">
      <c r="A81" s="119"/>
      <c r="B81" s="118"/>
      <c r="C81" s="120"/>
      <c r="D81" s="121"/>
      <c r="E81" s="121"/>
      <c r="F81" s="122"/>
      <c r="G81" s="118"/>
      <c r="H81" s="117"/>
      <c r="I81" s="141"/>
      <c r="J81" s="101" t="str">
        <f t="shared" ca="1" si="1"/>
        <v/>
      </c>
    </row>
    <row r="82" spans="1:10">
      <c r="A82" s="123"/>
      <c r="B82" s="113"/>
      <c r="C82" s="124"/>
      <c r="D82" s="125"/>
      <c r="E82" s="125"/>
      <c r="F82" s="126"/>
      <c r="G82" s="113"/>
      <c r="H82" s="112"/>
      <c r="I82" s="140"/>
      <c r="J82" s="101" t="str">
        <f t="shared" ca="1" si="1"/>
        <v/>
      </c>
    </row>
    <row r="83" spans="1:10">
      <c r="A83" s="119"/>
      <c r="B83" s="118"/>
      <c r="C83" s="120"/>
      <c r="D83" s="121"/>
      <c r="E83" s="121"/>
      <c r="F83" s="122"/>
      <c r="G83" s="118"/>
      <c r="H83" s="117"/>
      <c r="I83" s="141"/>
      <c r="J83" s="101" t="str">
        <f t="shared" ca="1" si="1"/>
        <v/>
      </c>
    </row>
    <row r="84" spans="1:10">
      <c r="A84" s="123"/>
      <c r="B84" s="113"/>
      <c r="C84" s="124"/>
      <c r="D84" s="125"/>
      <c r="E84" s="125"/>
      <c r="F84" s="126"/>
      <c r="G84" s="113"/>
      <c r="H84" s="112"/>
      <c r="I84" s="140"/>
      <c r="J84" s="101" t="str">
        <f t="shared" ca="1" si="1"/>
        <v/>
      </c>
    </row>
    <row r="85" spans="1:10">
      <c r="A85" s="119"/>
      <c r="B85" s="118"/>
      <c r="C85" s="120"/>
      <c r="D85" s="121"/>
      <c r="E85" s="121"/>
      <c r="F85" s="122"/>
      <c r="G85" s="118"/>
      <c r="H85" s="117"/>
      <c r="I85" s="141"/>
      <c r="J85" s="101" t="str">
        <f t="shared" ca="1" si="1"/>
        <v/>
      </c>
    </row>
    <row r="86" spans="1:10">
      <c r="A86" s="123"/>
      <c r="B86" s="113"/>
      <c r="C86" s="124"/>
      <c r="D86" s="125"/>
      <c r="E86" s="125"/>
      <c r="F86" s="126"/>
      <c r="G86" s="113"/>
      <c r="H86" s="112"/>
      <c r="I86" s="140"/>
      <c r="J86" s="101" t="str">
        <f t="shared" ca="1" si="1"/>
        <v/>
      </c>
    </row>
    <row r="87" spans="1:10">
      <c r="A87" s="119"/>
      <c r="B87" s="118"/>
      <c r="C87" s="120"/>
      <c r="D87" s="121"/>
      <c r="E87" s="121"/>
      <c r="F87" s="122"/>
      <c r="G87" s="118"/>
      <c r="H87" s="117"/>
      <c r="I87" s="141"/>
      <c r="J87" s="101" t="str">
        <f t="shared" ca="1" si="1"/>
        <v/>
      </c>
    </row>
    <row r="88" spans="1:10">
      <c r="A88" s="123"/>
      <c r="B88" s="113"/>
      <c r="C88" s="124"/>
      <c r="D88" s="125"/>
      <c r="E88" s="125"/>
      <c r="F88" s="126"/>
      <c r="G88" s="113"/>
      <c r="H88" s="112"/>
      <c r="I88" s="140"/>
      <c r="J88" s="101" t="str">
        <f t="shared" ca="1" si="1"/>
        <v/>
      </c>
    </row>
    <row r="89" spans="1:10">
      <c r="A89" s="119"/>
      <c r="B89" s="118"/>
      <c r="C89" s="120"/>
      <c r="D89" s="121"/>
      <c r="E89" s="121"/>
      <c r="F89" s="122"/>
      <c r="G89" s="118"/>
      <c r="H89" s="117"/>
      <c r="I89" s="141"/>
      <c r="J89" s="101" t="str">
        <f t="shared" ca="1" si="1"/>
        <v/>
      </c>
    </row>
    <row r="90" spans="1:10">
      <c r="A90" s="123"/>
      <c r="B90" s="113"/>
      <c r="C90" s="124"/>
      <c r="D90" s="125"/>
      <c r="E90" s="125"/>
      <c r="F90" s="126"/>
      <c r="G90" s="113"/>
      <c r="H90" s="112"/>
      <c r="I90" s="140"/>
      <c r="J90" s="101" t="str">
        <f t="shared" ca="1" si="1"/>
        <v/>
      </c>
    </row>
    <row r="91" spans="1:10">
      <c r="A91" s="119"/>
      <c r="B91" s="118"/>
      <c r="C91" s="120"/>
      <c r="D91" s="121"/>
      <c r="E91" s="121"/>
      <c r="F91" s="122"/>
      <c r="G91" s="118"/>
      <c r="H91" s="117"/>
      <c r="I91" s="141"/>
      <c r="J91" s="101" t="str">
        <f t="shared" ca="1" si="1"/>
        <v/>
      </c>
    </row>
    <row r="92" spans="1:10">
      <c r="A92" s="123"/>
      <c r="B92" s="113"/>
      <c r="C92" s="124"/>
      <c r="D92" s="125"/>
      <c r="E92" s="125"/>
      <c r="F92" s="126"/>
      <c r="G92" s="113"/>
      <c r="H92" s="112"/>
      <c r="I92" s="140"/>
      <c r="J92" s="101" t="str">
        <f t="shared" ca="1" si="1"/>
        <v/>
      </c>
    </row>
    <row r="93" spans="1:10">
      <c r="A93" s="119"/>
      <c r="B93" s="118"/>
      <c r="C93" s="120"/>
      <c r="D93" s="121"/>
      <c r="E93" s="121"/>
      <c r="F93" s="122"/>
      <c r="G93" s="118"/>
      <c r="H93" s="117"/>
      <c r="I93" s="141"/>
      <c r="J93" s="101" t="str">
        <f t="shared" ca="1" si="1"/>
        <v/>
      </c>
    </row>
    <row r="94" spans="1:10">
      <c r="A94" s="123"/>
      <c r="B94" s="113"/>
      <c r="C94" s="124"/>
      <c r="D94" s="125"/>
      <c r="E94" s="125"/>
      <c r="F94" s="126"/>
      <c r="G94" s="113"/>
      <c r="H94" s="112"/>
      <c r="I94" s="140"/>
      <c r="J94" s="101" t="str">
        <f t="shared" ca="1" si="1"/>
        <v/>
      </c>
    </row>
    <row r="95" spans="1:10">
      <c r="A95" s="119"/>
      <c r="B95" s="118"/>
      <c r="C95" s="120"/>
      <c r="D95" s="121"/>
      <c r="E95" s="121"/>
      <c r="F95" s="122"/>
      <c r="G95" s="118"/>
      <c r="H95" s="117"/>
      <c r="I95" s="141"/>
      <c r="J95" s="101" t="str">
        <f t="shared" ca="1" si="1"/>
        <v/>
      </c>
    </row>
    <row r="96" spans="1:10">
      <c r="A96" s="123"/>
      <c r="B96" s="113"/>
      <c r="C96" s="124"/>
      <c r="D96" s="125"/>
      <c r="E96" s="125"/>
      <c r="F96" s="126"/>
      <c r="G96" s="113"/>
      <c r="H96" s="112"/>
      <c r="I96" s="140"/>
      <c r="J96" s="101" t="str">
        <f t="shared" ca="1" si="1"/>
        <v/>
      </c>
    </row>
    <row r="97" spans="1:10">
      <c r="A97" s="119"/>
      <c r="B97" s="118"/>
      <c r="C97" s="120"/>
      <c r="D97" s="121"/>
      <c r="E97" s="121"/>
      <c r="F97" s="122"/>
      <c r="G97" s="118"/>
      <c r="H97" s="117"/>
      <c r="I97" s="141"/>
      <c r="J97" s="101" t="str">
        <f t="shared" ca="1" si="1"/>
        <v/>
      </c>
    </row>
    <row r="98" spans="1:10">
      <c r="A98" s="123"/>
      <c r="B98" s="113"/>
      <c r="C98" s="124"/>
      <c r="D98" s="125"/>
      <c r="E98" s="125"/>
      <c r="F98" s="126"/>
      <c r="G98" s="113"/>
      <c r="H98" s="112"/>
      <c r="I98" s="140"/>
      <c r="J98" s="101" t="str">
        <f t="shared" ca="1" si="1"/>
        <v/>
      </c>
    </row>
    <row r="99" spans="1:10">
      <c r="A99" s="119"/>
      <c r="B99" s="118"/>
      <c r="C99" s="120"/>
      <c r="D99" s="121"/>
      <c r="E99" s="121"/>
      <c r="F99" s="122"/>
      <c r="G99" s="118"/>
      <c r="H99" s="117"/>
      <c r="I99" s="141"/>
      <c r="J99" s="101" t="str">
        <f t="shared" ca="1" si="1"/>
        <v/>
      </c>
    </row>
    <row r="100" spans="1:10">
      <c r="A100" s="123"/>
      <c r="B100" s="113"/>
      <c r="C100" s="124"/>
      <c r="D100" s="125"/>
      <c r="E100" s="125"/>
      <c r="F100" s="126"/>
      <c r="G100" s="113"/>
      <c r="H100" s="112"/>
      <c r="I100" s="140"/>
      <c r="J100" s="101" t="str">
        <f t="shared" ca="1" si="1"/>
        <v/>
      </c>
    </row>
    <row r="101" spans="1:10">
      <c r="A101" s="119"/>
      <c r="B101" s="118"/>
      <c r="C101" s="120"/>
      <c r="D101" s="121"/>
      <c r="E101" s="121"/>
      <c r="F101" s="122"/>
      <c r="G101" s="118"/>
      <c r="H101" s="117"/>
      <c r="I101" s="141"/>
      <c r="J101" s="101" t="str">
        <f t="shared" ca="1" si="1"/>
        <v/>
      </c>
    </row>
    <row r="102" spans="1:10">
      <c r="A102" s="123"/>
      <c r="B102" s="113"/>
      <c r="C102" s="124"/>
      <c r="D102" s="125"/>
      <c r="E102" s="125"/>
      <c r="F102" s="126"/>
      <c r="G102" s="113"/>
      <c r="H102" s="112"/>
      <c r="I102" s="140"/>
      <c r="J102" s="101" t="str">
        <f t="shared" ca="1" si="1"/>
        <v/>
      </c>
    </row>
    <row r="103" spans="1:10">
      <c r="A103" s="119"/>
      <c r="B103" s="118"/>
      <c r="C103" s="120"/>
      <c r="D103" s="121"/>
      <c r="E103" s="121"/>
      <c r="F103" s="122"/>
      <c r="G103" s="118"/>
      <c r="H103" s="117"/>
      <c r="I103" s="141"/>
      <c r="J103" s="101" t="str">
        <f t="shared" ca="1" si="1"/>
        <v/>
      </c>
    </row>
    <row r="104" spans="1:10">
      <c r="A104" s="123"/>
      <c r="B104" s="113"/>
      <c r="C104" s="124"/>
      <c r="D104" s="125"/>
      <c r="E104" s="125"/>
      <c r="F104" s="126"/>
      <c r="G104" s="113"/>
      <c r="H104" s="112"/>
      <c r="I104" s="140"/>
      <c r="J104" s="101" t="str">
        <f t="shared" ca="1" si="1"/>
        <v/>
      </c>
    </row>
    <row r="105" spans="1:10">
      <c r="A105" s="119"/>
      <c r="B105" s="118"/>
      <c r="C105" s="120"/>
      <c r="D105" s="121"/>
      <c r="E105" s="121"/>
      <c r="F105" s="122"/>
      <c r="G105" s="118"/>
      <c r="H105" s="117"/>
      <c r="I105" s="141"/>
      <c r="J105" s="101" t="str">
        <f t="shared" ca="1" si="1"/>
        <v/>
      </c>
    </row>
    <row r="106" spans="1:10">
      <c r="A106" s="123"/>
      <c r="B106" s="113"/>
      <c r="C106" s="124"/>
      <c r="D106" s="125"/>
      <c r="E106" s="125"/>
      <c r="F106" s="126"/>
      <c r="G106" s="113"/>
      <c r="H106" s="112"/>
      <c r="I106" s="140"/>
      <c r="J106" s="101" t="str">
        <f t="shared" ca="1" si="1"/>
        <v/>
      </c>
    </row>
    <row r="107" spans="1:10">
      <c r="A107" s="119"/>
      <c r="B107" s="118"/>
      <c r="C107" s="120"/>
      <c r="D107" s="121"/>
      <c r="E107" s="121"/>
      <c r="F107" s="122"/>
      <c r="G107" s="118"/>
      <c r="H107" s="117"/>
      <c r="I107" s="141"/>
      <c r="J107" s="101" t="str">
        <f t="shared" ca="1" si="1"/>
        <v/>
      </c>
    </row>
    <row r="108" spans="1:10">
      <c r="A108" s="123"/>
      <c r="B108" s="113"/>
      <c r="C108" s="124"/>
      <c r="D108" s="125"/>
      <c r="E108" s="125"/>
      <c r="F108" s="126"/>
      <c r="G108" s="113"/>
      <c r="H108" s="112"/>
      <c r="I108" s="140"/>
      <c r="J108" s="101" t="str">
        <f t="shared" ca="1" si="1"/>
        <v/>
      </c>
    </row>
    <row r="109" spans="1:10">
      <c r="A109" s="119"/>
      <c r="B109" s="118"/>
      <c r="C109" s="120"/>
      <c r="D109" s="121"/>
      <c r="E109" s="121"/>
      <c r="F109" s="122"/>
      <c r="G109" s="118"/>
      <c r="H109" s="117"/>
      <c r="I109" s="141"/>
      <c r="J109" s="101" t="str">
        <f t="shared" ca="1" si="1"/>
        <v/>
      </c>
    </row>
    <row r="110" spans="1:10">
      <c r="A110" s="123"/>
      <c r="B110" s="113"/>
      <c r="C110" s="124"/>
      <c r="D110" s="125"/>
      <c r="E110" s="125"/>
      <c r="F110" s="126"/>
      <c r="G110" s="113"/>
      <c r="H110" s="112"/>
      <c r="I110" s="140"/>
      <c r="J110" s="101" t="str">
        <f t="shared" ca="1" si="1"/>
        <v/>
      </c>
    </row>
    <row r="111" spans="1:10">
      <c r="A111" s="119"/>
      <c r="B111" s="118"/>
      <c r="C111" s="120"/>
      <c r="D111" s="121"/>
      <c r="E111" s="121"/>
      <c r="F111" s="122"/>
      <c r="G111" s="118"/>
      <c r="H111" s="117"/>
      <c r="I111" s="141"/>
      <c r="J111" s="101" t="str">
        <f t="shared" ca="1" si="1"/>
        <v/>
      </c>
    </row>
    <row r="112" spans="1:10">
      <c r="A112" s="123"/>
      <c r="B112" s="113"/>
      <c r="C112" s="124"/>
      <c r="D112" s="125"/>
      <c r="E112" s="125"/>
      <c r="F112" s="126"/>
      <c r="G112" s="113"/>
      <c r="H112" s="112"/>
      <c r="I112" s="140"/>
      <c r="J112" s="101" t="str">
        <f t="shared" ca="1" si="1"/>
        <v/>
      </c>
    </row>
    <row r="113" spans="1:10">
      <c r="A113" s="119"/>
      <c r="B113" s="118"/>
      <c r="C113" s="120"/>
      <c r="D113" s="121"/>
      <c r="E113" s="121"/>
      <c r="F113" s="122"/>
      <c r="G113" s="118"/>
      <c r="H113" s="117"/>
      <c r="I113" s="141"/>
      <c r="J113" s="101" t="str">
        <f t="shared" ca="1" si="1"/>
        <v/>
      </c>
    </row>
    <row r="114" spans="1:10">
      <c r="A114" s="123"/>
      <c r="B114" s="113"/>
      <c r="C114" s="124"/>
      <c r="D114" s="125"/>
      <c r="E114" s="125"/>
      <c r="F114" s="126"/>
      <c r="G114" s="113"/>
      <c r="H114" s="112"/>
      <c r="I114" s="140"/>
      <c r="J114" s="101" t="str">
        <f t="shared" ca="1" si="1"/>
        <v/>
      </c>
    </row>
    <row r="115" spans="1:10">
      <c r="A115" s="119"/>
      <c r="B115" s="118"/>
      <c r="C115" s="120"/>
      <c r="D115" s="121"/>
      <c r="E115" s="121"/>
      <c r="F115" s="122"/>
      <c r="G115" s="118"/>
      <c r="H115" s="117"/>
      <c r="I115" s="141"/>
      <c r="J115" s="101" t="str">
        <f t="shared" ca="1" si="1"/>
        <v/>
      </c>
    </row>
    <row r="116" spans="1:10">
      <c r="A116" s="123"/>
      <c r="B116" s="113"/>
      <c r="C116" s="124"/>
      <c r="D116" s="125"/>
      <c r="E116" s="125"/>
      <c r="F116" s="126"/>
      <c r="G116" s="113"/>
      <c r="H116" s="112"/>
      <c r="I116" s="140"/>
      <c r="J116" s="101" t="str">
        <f t="shared" ca="1" si="1"/>
        <v/>
      </c>
    </row>
    <row r="117" spans="1:10">
      <c r="A117" s="119"/>
      <c r="B117" s="118"/>
      <c r="C117" s="120"/>
      <c r="D117" s="121"/>
      <c r="E117" s="121"/>
      <c r="F117" s="122"/>
      <c r="G117" s="118"/>
      <c r="H117" s="117"/>
      <c r="I117" s="141"/>
      <c r="J117" s="101" t="str">
        <f t="shared" ca="1" si="1"/>
        <v/>
      </c>
    </row>
    <row r="118" spans="1:10">
      <c r="A118" s="123"/>
      <c r="B118" s="113"/>
      <c r="C118" s="124"/>
      <c r="D118" s="125"/>
      <c r="E118" s="125"/>
      <c r="F118" s="126"/>
      <c r="G118" s="113"/>
      <c r="H118" s="112"/>
      <c r="I118" s="140"/>
      <c r="J118" s="101" t="str">
        <f t="shared" ca="1" si="1"/>
        <v/>
      </c>
    </row>
    <row r="119" spans="1:10">
      <c r="A119" s="119"/>
      <c r="B119" s="118"/>
      <c r="C119" s="120"/>
      <c r="D119" s="121"/>
      <c r="E119" s="121"/>
      <c r="F119" s="122"/>
      <c r="G119" s="118"/>
      <c r="H119" s="117"/>
      <c r="I119" s="141"/>
      <c r="J119" s="101" t="str">
        <f t="shared" ca="1" si="1"/>
        <v/>
      </c>
    </row>
    <row r="120" spans="1:10">
      <c r="A120" s="123"/>
      <c r="B120" s="113"/>
      <c r="C120" s="124"/>
      <c r="D120" s="125"/>
      <c r="E120" s="125"/>
      <c r="F120" s="126"/>
      <c r="G120" s="113"/>
      <c r="H120" s="112"/>
      <c r="I120" s="140"/>
      <c r="J120" s="101" t="str">
        <f t="shared" ca="1" si="1"/>
        <v/>
      </c>
    </row>
    <row r="121" spans="1:10">
      <c r="A121" s="119"/>
      <c r="B121" s="118"/>
      <c r="C121" s="120"/>
      <c r="D121" s="121"/>
      <c r="E121" s="121"/>
      <c r="F121" s="122"/>
      <c r="G121" s="118"/>
      <c r="H121" s="117"/>
      <c r="I121" s="141"/>
      <c r="J121" s="101" t="str">
        <f t="shared" ca="1" si="1"/>
        <v/>
      </c>
    </row>
    <row r="122" spans="1:10">
      <c r="A122" s="123"/>
      <c r="B122" s="113"/>
      <c r="C122" s="124"/>
      <c r="D122" s="125"/>
      <c r="E122" s="125"/>
      <c r="F122" s="126"/>
      <c r="G122" s="113"/>
      <c r="H122" s="112"/>
      <c r="I122" s="140"/>
      <c r="J122" s="101" t="str">
        <f t="shared" ca="1" si="1"/>
        <v/>
      </c>
    </row>
    <row r="123" spans="1:10">
      <c r="A123" s="119"/>
      <c r="B123" s="118"/>
      <c r="C123" s="120"/>
      <c r="D123" s="121"/>
      <c r="E123" s="121"/>
      <c r="F123" s="122"/>
      <c r="G123" s="118"/>
      <c r="H123" s="117"/>
      <c r="I123" s="141"/>
      <c r="J123" s="101" t="str">
        <f t="shared" ca="1" si="1"/>
        <v/>
      </c>
    </row>
    <row r="124" spans="1:10">
      <c r="A124" s="123"/>
      <c r="B124" s="113"/>
      <c r="C124" s="124"/>
      <c r="D124" s="125"/>
      <c r="E124" s="125"/>
      <c r="F124" s="126"/>
      <c r="G124" s="113"/>
      <c r="H124" s="112"/>
      <c r="I124" s="140"/>
      <c r="J124" s="101" t="str">
        <f t="shared" ca="1" si="1"/>
        <v/>
      </c>
    </row>
    <row r="125" spans="1:10">
      <c r="A125" s="119"/>
      <c r="B125" s="118"/>
      <c r="C125" s="120"/>
      <c r="D125" s="121"/>
      <c r="E125" s="121"/>
      <c r="F125" s="122"/>
      <c r="G125" s="118"/>
      <c r="H125" s="117"/>
      <c r="I125" s="141"/>
      <c r="J125" s="101" t="str">
        <f t="shared" ca="1" si="1"/>
        <v/>
      </c>
    </row>
    <row r="126" spans="1:10">
      <c r="A126" s="123"/>
      <c r="B126" s="113"/>
      <c r="C126" s="124"/>
      <c r="D126" s="125"/>
      <c r="E126" s="125"/>
      <c r="F126" s="126"/>
      <c r="G126" s="113"/>
      <c r="H126" s="112"/>
      <c r="I126" s="140"/>
      <c r="J126" s="101" t="str">
        <f t="shared" ca="1" si="1"/>
        <v/>
      </c>
    </row>
    <row r="127" spans="1:10">
      <c r="A127" s="119"/>
      <c r="B127" s="118"/>
      <c r="C127" s="120"/>
      <c r="D127" s="121"/>
      <c r="E127" s="121"/>
      <c r="F127" s="122"/>
      <c r="G127" s="118"/>
      <c r="H127" s="117"/>
      <c r="I127" s="141"/>
      <c r="J127" s="101" t="str">
        <f t="shared" ca="1" si="1"/>
        <v/>
      </c>
    </row>
    <row r="128" spans="1:10">
      <c r="A128" s="123"/>
      <c r="B128" s="113"/>
      <c r="C128" s="124"/>
      <c r="D128" s="125"/>
      <c r="E128" s="125"/>
      <c r="F128" s="126"/>
      <c r="G128" s="113"/>
      <c r="H128" s="112"/>
      <c r="I128" s="140"/>
      <c r="J128" s="101" t="str">
        <f t="shared" ca="1" si="1"/>
        <v/>
      </c>
    </row>
    <row r="129" spans="1:10">
      <c r="A129" s="119"/>
      <c r="B129" s="118"/>
      <c r="C129" s="120"/>
      <c r="D129" s="121"/>
      <c r="E129" s="121"/>
      <c r="F129" s="122"/>
      <c r="G129" s="118"/>
      <c r="H129" s="117"/>
      <c r="I129" s="141"/>
      <c r="J129" s="101" t="str">
        <f t="shared" ca="1" si="1"/>
        <v/>
      </c>
    </row>
    <row r="130" spans="1:10">
      <c r="A130" s="123"/>
      <c r="B130" s="113"/>
      <c r="C130" s="124"/>
      <c r="D130" s="125"/>
      <c r="E130" s="125"/>
      <c r="F130" s="126"/>
      <c r="G130" s="113"/>
      <c r="H130" s="112"/>
      <c r="I130" s="140"/>
      <c r="J130" s="101" t="str">
        <f t="shared" ca="1" si="1"/>
        <v/>
      </c>
    </row>
    <row r="131" spans="1:10">
      <c r="A131" s="119"/>
      <c r="B131" s="118"/>
      <c r="C131" s="120"/>
      <c r="D131" s="121"/>
      <c r="E131" s="121"/>
      <c r="F131" s="122"/>
      <c r="G131" s="118"/>
      <c r="H131" s="117"/>
      <c r="I131" s="141"/>
      <c r="J131" s="101" t="str">
        <f t="shared" ref="J131:J194" ca="1" si="2">_xlfn.LET(
    _xlpm.AllCellsFilled, COUNTA(A131:I131) = 9,
    _xlpm.QtyIsInt, AND(ISNUMBER(G131), G131=INT(G131)),
    _xlpm.AvailDateIsValid, AND(ISNUMBER(F131), F131&gt;=TODAY()),
    _xlpm.ReqDateIsValid, AND(ISNUMBER(H131), H131&gt;=TODAY()),
    _xlpm.EmailIsValid, RIGHT(I131,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IF(A131="", "", IF(_xlpm.error_messages = "", "Yes", _xlpm.error_messages))
)</f>
        <v/>
      </c>
    </row>
    <row r="132" spans="1:10">
      <c r="A132" s="123"/>
      <c r="B132" s="113"/>
      <c r="C132" s="124"/>
      <c r="D132" s="125"/>
      <c r="E132" s="125"/>
      <c r="F132" s="126"/>
      <c r="G132" s="113"/>
      <c r="H132" s="112"/>
      <c r="I132" s="140"/>
      <c r="J132" s="101" t="str">
        <f t="shared" ca="1" si="2"/>
        <v/>
      </c>
    </row>
    <row r="133" spans="1:10">
      <c r="A133" s="119"/>
      <c r="B133" s="118"/>
      <c r="C133" s="120"/>
      <c r="D133" s="121"/>
      <c r="E133" s="121"/>
      <c r="F133" s="122"/>
      <c r="G133" s="118"/>
      <c r="H133" s="117"/>
      <c r="I133" s="141"/>
      <c r="J133" s="101" t="str">
        <f t="shared" ca="1" si="2"/>
        <v/>
      </c>
    </row>
    <row r="134" spans="1:10">
      <c r="A134" s="123"/>
      <c r="B134" s="113"/>
      <c r="C134" s="124"/>
      <c r="D134" s="125"/>
      <c r="E134" s="125"/>
      <c r="F134" s="126"/>
      <c r="G134" s="113"/>
      <c r="H134" s="112"/>
      <c r="I134" s="140"/>
      <c r="J134" s="101" t="str">
        <f t="shared" ca="1" si="2"/>
        <v/>
      </c>
    </row>
    <row r="135" spans="1:10">
      <c r="A135" s="119"/>
      <c r="B135" s="118"/>
      <c r="C135" s="120"/>
      <c r="D135" s="121"/>
      <c r="E135" s="121"/>
      <c r="F135" s="122"/>
      <c r="G135" s="118"/>
      <c r="H135" s="117"/>
      <c r="I135" s="141"/>
      <c r="J135" s="101" t="str">
        <f t="shared" ca="1" si="2"/>
        <v/>
      </c>
    </row>
    <row r="136" spans="1:10">
      <c r="A136" s="123"/>
      <c r="B136" s="113"/>
      <c r="C136" s="124"/>
      <c r="D136" s="125"/>
      <c r="E136" s="125"/>
      <c r="F136" s="126"/>
      <c r="G136" s="113"/>
      <c r="H136" s="112"/>
      <c r="I136" s="140"/>
      <c r="J136" s="101" t="str">
        <f t="shared" ca="1" si="2"/>
        <v/>
      </c>
    </row>
    <row r="137" spans="1:10">
      <c r="A137" s="119"/>
      <c r="B137" s="118"/>
      <c r="C137" s="120"/>
      <c r="D137" s="121"/>
      <c r="E137" s="121"/>
      <c r="F137" s="122"/>
      <c r="G137" s="118"/>
      <c r="H137" s="117"/>
      <c r="I137" s="141"/>
      <c r="J137" s="101" t="str">
        <f t="shared" ca="1" si="2"/>
        <v/>
      </c>
    </row>
    <row r="138" spans="1:10">
      <c r="A138" s="123"/>
      <c r="B138" s="113"/>
      <c r="C138" s="124"/>
      <c r="D138" s="125"/>
      <c r="E138" s="125"/>
      <c r="F138" s="126"/>
      <c r="G138" s="113"/>
      <c r="H138" s="112"/>
      <c r="I138" s="140"/>
      <c r="J138" s="101" t="str">
        <f t="shared" ca="1" si="2"/>
        <v/>
      </c>
    </row>
    <row r="139" spans="1:10">
      <c r="A139" s="119"/>
      <c r="B139" s="118"/>
      <c r="C139" s="120"/>
      <c r="D139" s="121"/>
      <c r="E139" s="121"/>
      <c r="F139" s="122"/>
      <c r="G139" s="118"/>
      <c r="H139" s="117"/>
      <c r="I139" s="141"/>
      <c r="J139" s="101" t="str">
        <f t="shared" ca="1" si="2"/>
        <v/>
      </c>
    </row>
    <row r="140" spans="1:10">
      <c r="A140" s="123"/>
      <c r="B140" s="113"/>
      <c r="C140" s="124"/>
      <c r="D140" s="125"/>
      <c r="E140" s="125"/>
      <c r="F140" s="126"/>
      <c r="G140" s="113"/>
      <c r="H140" s="112"/>
      <c r="I140" s="140"/>
      <c r="J140" s="101" t="str">
        <f t="shared" ca="1" si="2"/>
        <v/>
      </c>
    </row>
    <row r="141" spans="1:10">
      <c r="A141" s="119"/>
      <c r="B141" s="118"/>
      <c r="C141" s="120"/>
      <c r="D141" s="121"/>
      <c r="E141" s="121"/>
      <c r="F141" s="122"/>
      <c r="G141" s="118"/>
      <c r="H141" s="117"/>
      <c r="I141" s="141"/>
      <c r="J141" s="101" t="str">
        <f t="shared" ca="1" si="2"/>
        <v/>
      </c>
    </row>
    <row r="142" spans="1:10">
      <c r="A142" s="123"/>
      <c r="B142" s="113"/>
      <c r="C142" s="124"/>
      <c r="D142" s="125"/>
      <c r="E142" s="125"/>
      <c r="F142" s="126"/>
      <c r="G142" s="113"/>
      <c r="H142" s="112"/>
      <c r="I142" s="140"/>
      <c r="J142" s="101" t="str">
        <f t="shared" ca="1" si="2"/>
        <v/>
      </c>
    </row>
    <row r="143" spans="1:10">
      <c r="A143" s="119"/>
      <c r="B143" s="118"/>
      <c r="C143" s="120"/>
      <c r="D143" s="121"/>
      <c r="E143" s="121"/>
      <c r="F143" s="122"/>
      <c r="G143" s="118"/>
      <c r="H143" s="117"/>
      <c r="I143" s="141"/>
      <c r="J143" s="101" t="str">
        <f t="shared" ca="1" si="2"/>
        <v/>
      </c>
    </row>
    <row r="144" spans="1:10">
      <c r="A144" s="123"/>
      <c r="B144" s="113"/>
      <c r="C144" s="124"/>
      <c r="D144" s="125"/>
      <c r="E144" s="125"/>
      <c r="F144" s="126"/>
      <c r="G144" s="113"/>
      <c r="H144" s="112"/>
      <c r="I144" s="140"/>
      <c r="J144" s="101" t="str">
        <f t="shared" ca="1" si="2"/>
        <v/>
      </c>
    </row>
    <row r="145" spans="1:10">
      <c r="A145" s="119"/>
      <c r="B145" s="118"/>
      <c r="C145" s="120"/>
      <c r="D145" s="121"/>
      <c r="E145" s="121"/>
      <c r="F145" s="122"/>
      <c r="G145" s="118"/>
      <c r="H145" s="117"/>
      <c r="I145" s="141"/>
      <c r="J145" s="101" t="str">
        <f t="shared" ca="1" si="2"/>
        <v/>
      </c>
    </row>
    <row r="146" spans="1:10">
      <c r="A146" s="123"/>
      <c r="B146" s="113"/>
      <c r="C146" s="124"/>
      <c r="D146" s="125"/>
      <c r="E146" s="125"/>
      <c r="F146" s="126"/>
      <c r="G146" s="113"/>
      <c r="H146" s="112"/>
      <c r="I146" s="140"/>
      <c r="J146" s="101" t="str">
        <f t="shared" ca="1" si="2"/>
        <v/>
      </c>
    </row>
    <row r="147" spans="1:10">
      <c r="A147" s="119"/>
      <c r="B147" s="118"/>
      <c r="C147" s="120"/>
      <c r="D147" s="121"/>
      <c r="E147" s="121"/>
      <c r="F147" s="122"/>
      <c r="G147" s="118"/>
      <c r="H147" s="117"/>
      <c r="I147" s="141"/>
      <c r="J147" s="101" t="str">
        <f t="shared" ca="1" si="2"/>
        <v/>
      </c>
    </row>
    <row r="148" spans="1:10">
      <c r="A148" s="123"/>
      <c r="B148" s="113"/>
      <c r="C148" s="124"/>
      <c r="D148" s="125"/>
      <c r="E148" s="125"/>
      <c r="F148" s="126"/>
      <c r="G148" s="113"/>
      <c r="H148" s="112"/>
      <c r="I148" s="140"/>
      <c r="J148" s="101" t="str">
        <f t="shared" ca="1" si="2"/>
        <v/>
      </c>
    </row>
    <row r="149" spans="1:10">
      <c r="A149" s="119"/>
      <c r="B149" s="118"/>
      <c r="C149" s="120"/>
      <c r="D149" s="121"/>
      <c r="E149" s="121"/>
      <c r="F149" s="122"/>
      <c r="G149" s="118"/>
      <c r="H149" s="117"/>
      <c r="I149" s="141"/>
      <c r="J149" s="101" t="str">
        <f t="shared" ca="1" si="2"/>
        <v/>
      </c>
    </row>
    <row r="150" spans="1:10">
      <c r="A150" s="123"/>
      <c r="B150" s="113"/>
      <c r="C150" s="124"/>
      <c r="D150" s="125"/>
      <c r="E150" s="125"/>
      <c r="F150" s="126"/>
      <c r="G150" s="113"/>
      <c r="H150" s="112"/>
      <c r="I150" s="140"/>
      <c r="J150" s="101" t="str">
        <f t="shared" ca="1" si="2"/>
        <v/>
      </c>
    </row>
    <row r="151" spans="1:10">
      <c r="A151" s="119"/>
      <c r="B151" s="118"/>
      <c r="C151" s="120"/>
      <c r="D151" s="121"/>
      <c r="E151" s="121"/>
      <c r="F151" s="122"/>
      <c r="G151" s="118"/>
      <c r="H151" s="117"/>
      <c r="I151" s="141"/>
      <c r="J151" s="101" t="str">
        <f t="shared" ca="1" si="2"/>
        <v/>
      </c>
    </row>
    <row r="152" spans="1:10">
      <c r="A152" s="123"/>
      <c r="B152" s="113"/>
      <c r="C152" s="124"/>
      <c r="D152" s="125"/>
      <c r="E152" s="125"/>
      <c r="F152" s="126"/>
      <c r="G152" s="113"/>
      <c r="H152" s="112"/>
      <c r="I152" s="140"/>
      <c r="J152" s="101" t="str">
        <f t="shared" ca="1" si="2"/>
        <v/>
      </c>
    </row>
    <row r="153" spans="1:10">
      <c r="A153" s="119"/>
      <c r="B153" s="118"/>
      <c r="C153" s="120"/>
      <c r="D153" s="121"/>
      <c r="E153" s="121"/>
      <c r="F153" s="122"/>
      <c r="G153" s="118"/>
      <c r="H153" s="117"/>
      <c r="I153" s="141"/>
      <c r="J153" s="101" t="str">
        <f t="shared" ca="1" si="2"/>
        <v/>
      </c>
    </row>
    <row r="154" spans="1:10">
      <c r="A154" s="123"/>
      <c r="B154" s="113"/>
      <c r="C154" s="124"/>
      <c r="D154" s="125"/>
      <c r="E154" s="125"/>
      <c r="F154" s="126"/>
      <c r="G154" s="113"/>
      <c r="H154" s="112"/>
      <c r="I154" s="140"/>
      <c r="J154" s="101" t="str">
        <f t="shared" ca="1" si="2"/>
        <v/>
      </c>
    </row>
    <row r="155" spans="1:10">
      <c r="A155" s="119"/>
      <c r="B155" s="118"/>
      <c r="C155" s="120"/>
      <c r="D155" s="121"/>
      <c r="E155" s="121"/>
      <c r="F155" s="122"/>
      <c r="G155" s="118"/>
      <c r="H155" s="117"/>
      <c r="I155" s="141"/>
      <c r="J155" s="101" t="str">
        <f t="shared" ca="1" si="2"/>
        <v/>
      </c>
    </row>
    <row r="156" spans="1:10">
      <c r="A156" s="123"/>
      <c r="B156" s="113"/>
      <c r="C156" s="124"/>
      <c r="D156" s="125"/>
      <c r="E156" s="125"/>
      <c r="F156" s="126"/>
      <c r="G156" s="113"/>
      <c r="H156" s="112"/>
      <c r="I156" s="140"/>
      <c r="J156" s="101" t="str">
        <f t="shared" ca="1" si="2"/>
        <v/>
      </c>
    </row>
    <row r="157" spans="1:10">
      <c r="A157" s="119"/>
      <c r="B157" s="118"/>
      <c r="C157" s="120"/>
      <c r="D157" s="121"/>
      <c r="E157" s="121"/>
      <c r="F157" s="122"/>
      <c r="G157" s="118"/>
      <c r="H157" s="117"/>
      <c r="I157" s="141"/>
      <c r="J157" s="101" t="str">
        <f t="shared" ca="1" si="2"/>
        <v/>
      </c>
    </row>
    <row r="158" spans="1:10">
      <c r="A158" s="123"/>
      <c r="B158" s="113"/>
      <c r="C158" s="124"/>
      <c r="D158" s="125"/>
      <c r="E158" s="125"/>
      <c r="F158" s="126"/>
      <c r="G158" s="113"/>
      <c r="H158" s="112"/>
      <c r="I158" s="140"/>
      <c r="J158" s="101" t="str">
        <f t="shared" ca="1" si="2"/>
        <v/>
      </c>
    </row>
    <row r="159" spans="1:10">
      <c r="A159" s="119"/>
      <c r="B159" s="118"/>
      <c r="C159" s="120"/>
      <c r="D159" s="121"/>
      <c r="E159" s="121"/>
      <c r="F159" s="122"/>
      <c r="G159" s="118"/>
      <c r="H159" s="117"/>
      <c r="I159" s="141"/>
      <c r="J159" s="101" t="str">
        <f t="shared" ca="1" si="2"/>
        <v/>
      </c>
    </row>
    <row r="160" spans="1:10">
      <c r="A160" s="123"/>
      <c r="B160" s="113"/>
      <c r="C160" s="124"/>
      <c r="D160" s="125"/>
      <c r="E160" s="125"/>
      <c r="F160" s="126"/>
      <c r="G160" s="113"/>
      <c r="H160" s="112"/>
      <c r="I160" s="140"/>
      <c r="J160" s="101" t="str">
        <f t="shared" ca="1" si="2"/>
        <v/>
      </c>
    </row>
    <row r="161" spans="1:10">
      <c r="A161" s="119"/>
      <c r="B161" s="118"/>
      <c r="C161" s="120"/>
      <c r="D161" s="121"/>
      <c r="E161" s="121"/>
      <c r="F161" s="122"/>
      <c r="G161" s="118"/>
      <c r="H161" s="117"/>
      <c r="I161" s="141"/>
      <c r="J161" s="101" t="str">
        <f t="shared" ca="1" si="2"/>
        <v/>
      </c>
    </row>
    <row r="162" spans="1:10">
      <c r="A162" s="123"/>
      <c r="B162" s="113"/>
      <c r="C162" s="124"/>
      <c r="D162" s="125"/>
      <c r="E162" s="125"/>
      <c r="F162" s="126"/>
      <c r="G162" s="113"/>
      <c r="H162" s="112"/>
      <c r="I162" s="140"/>
      <c r="J162" s="101" t="str">
        <f t="shared" ca="1" si="2"/>
        <v/>
      </c>
    </row>
    <row r="163" spans="1:10">
      <c r="A163" s="119"/>
      <c r="B163" s="118"/>
      <c r="C163" s="120"/>
      <c r="D163" s="121"/>
      <c r="E163" s="121"/>
      <c r="F163" s="122"/>
      <c r="G163" s="118"/>
      <c r="H163" s="117"/>
      <c r="I163" s="141"/>
      <c r="J163" s="101" t="str">
        <f t="shared" ca="1" si="2"/>
        <v/>
      </c>
    </row>
    <row r="164" spans="1:10">
      <c r="A164" s="123"/>
      <c r="B164" s="113"/>
      <c r="C164" s="124"/>
      <c r="D164" s="125"/>
      <c r="E164" s="125"/>
      <c r="F164" s="126"/>
      <c r="G164" s="113"/>
      <c r="H164" s="112"/>
      <c r="I164" s="140"/>
      <c r="J164" s="101" t="str">
        <f t="shared" ca="1" si="2"/>
        <v/>
      </c>
    </row>
    <row r="165" spans="1:10">
      <c r="A165" s="119"/>
      <c r="B165" s="118"/>
      <c r="C165" s="120"/>
      <c r="D165" s="121"/>
      <c r="E165" s="121"/>
      <c r="F165" s="122"/>
      <c r="G165" s="118"/>
      <c r="H165" s="117"/>
      <c r="I165" s="141"/>
      <c r="J165" s="101" t="str">
        <f t="shared" ca="1" si="2"/>
        <v/>
      </c>
    </row>
    <row r="166" spans="1:10">
      <c r="A166" s="123"/>
      <c r="B166" s="113"/>
      <c r="C166" s="124"/>
      <c r="D166" s="125"/>
      <c r="E166" s="125"/>
      <c r="F166" s="126"/>
      <c r="G166" s="113"/>
      <c r="H166" s="112"/>
      <c r="I166" s="140"/>
      <c r="J166" s="101" t="str">
        <f t="shared" ca="1" si="2"/>
        <v/>
      </c>
    </row>
    <row r="167" spans="1:10">
      <c r="A167" s="119"/>
      <c r="B167" s="118"/>
      <c r="C167" s="120"/>
      <c r="D167" s="121"/>
      <c r="E167" s="121"/>
      <c r="F167" s="122"/>
      <c r="G167" s="118"/>
      <c r="H167" s="117"/>
      <c r="I167" s="141"/>
      <c r="J167" s="101" t="str">
        <f t="shared" ca="1" si="2"/>
        <v/>
      </c>
    </row>
    <row r="168" spans="1:10">
      <c r="A168" s="123"/>
      <c r="B168" s="113"/>
      <c r="C168" s="124"/>
      <c r="D168" s="125"/>
      <c r="E168" s="125"/>
      <c r="F168" s="126"/>
      <c r="G168" s="113"/>
      <c r="H168" s="112"/>
      <c r="I168" s="140"/>
      <c r="J168" s="101" t="str">
        <f t="shared" ca="1" si="2"/>
        <v/>
      </c>
    </row>
    <row r="169" spans="1:10">
      <c r="A169" s="119"/>
      <c r="B169" s="118"/>
      <c r="C169" s="120"/>
      <c r="D169" s="121"/>
      <c r="E169" s="121"/>
      <c r="F169" s="122"/>
      <c r="G169" s="118"/>
      <c r="H169" s="117"/>
      <c r="I169" s="141"/>
      <c r="J169" s="101" t="str">
        <f t="shared" ca="1" si="2"/>
        <v/>
      </c>
    </row>
    <row r="170" spans="1:10">
      <c r="A170" s="123"/>
      <c r="B170" s="113"/>
      <c r="C170" s="124"/>
      <c r="D170" s="125"/>
      <c r="E170" s="125"/>
      <c r="F170" s="126"/>
      <c r="G170" s="113"/>
      <c r="H170" s="112"/>
      <c r="I170" s="140"/>
      <c r="J170" s="101" t="str">
        <f t="shared" ca="1" si="2"/>
        <v/>
      </c>
    </row>
    <row r="171" spans="1:10">
      <c r="A171" s="119"/>
      <c r="B171" s="118"/>
      <c r="C171" s="120"/>
      <c r="D171" s="121"/>
      <c r="E171" s="121"/>
      <c r="F171" s="122"/>
      <c r="G171" s="118"/>
      <c r="H171" s="117"/>
      <c r="I171" s="141"/>
      <c r="J171" s="101" t="str">
        <f t="shared" ca="1" si="2"/>
        <v/>
      </c>
    </row>
    <row r="172" spans="1:10">
      <c r="A172" s="123"/>
      <c r="B172" s="113"/>
      <c r="C172" s="124"/>
      <c r="D172" s="125"/>
      <c r="E172" s="125"/>
      <c r="F172" s="126"/>
      <c r="G172" s="113"/>
      <c r="H172" s="112"/>
      <c r="I172" s="140"/>
      <c r="J172" s="101" t="str">
        <f t="shared" ca="1" si="2"/>
        <v/>
      </c>
    </row>
    <row r="173" spans="1:10">
      <c r="A173" s="119"/>
      <c r="B173" s="118"/>
      <c r="C173" s="120"/>
      <c r="D173" s="121"/>
      <c r="E173" s="121"/>
      <c r="F173" s="122"/>
      <c r="G173" s="118"/>
      <c r="H173" s="117"/>
      <c r="I173" s="141"/>
      <c r="J173" s="101" t="str">
        <f t="shared" ca="1" si="2"/>
        <v/>
      </c>
    </row>
    <row r="174" spans="1:10">
      <c r="A174" s="123"/>
      <c r="B174" s="113"/>
      <c r="C174" s="124"/>
      <c r="D174" s="125"/>
      <c r="E174" s="125"/>
      <c r="F174" s="126"/>
      <c r="G174" s="113"/>
      <c r="H174" s="112"/>
      <c r="I174" s="140"/>
      <c r="J174" s="101" t="str">
        <f t="shared" ca="1" si="2"/>
        <v/>
      </c>
    </row>
    <row r="175" spans="1:10">
      <c r="A175" s="119"/>
      <c r="B175" s="118"/>
      <c r="C175" s="120"/>
      <c r="D175" s="121"/>
      <c r="E175" s="121"/>
      <c r="F175" s="122"/>
      <c r="G175" s="118"/>
      <c r="H175" s="117"/>
      <c r="I175" s="141"/>
      <c r="J175" s="101" t="str">
        <f t="shared" ca="1" si="2"/>
        <v/>
      </c>
    </row>
    <row r="176" spans="1:10">
      <c r="A176" s="123"/>
      <c r="B176" s="113"/>
      <c r="C176" s="124"/>
      <c r="D176" s="125"/>
      <c r="E176" s="125"/>
      <c r="F176" s="126"/>
      <c r="G176" s="113"/>
      <c r="H176" s="112"/>
      <c r="I176" s="140"/>
      <c r="J176" s="101" t="str">
        <f t="shared" ca="1" si="2"/>
        <v/>
      </c>
    </row>
    <row r="177" spans="1:10">
      <c r="A177" s="119"/>
      <c r="B177" s="118"/>
      <c r="C177" s="120"/>
      <c r="D177" s="121"/>
      <c r="E177" s="121"/>
      <c r="F177" s="122"/>
      <c r="G177" s="118"/>
      <c r="H177" s="117"/>
      <c r="I177" s="141"/>
      <c r="J177" s="101" t="str">
        <f t="shared" ca="1" si="2"/>
        <v/>
      </c>
    </row>
    <row r="178" spans="1:10">
      <c r="A178" s="123"/>
      <c r="B178" s="113"/>
      <c r="C178" s="124"/>
      <c r="D178" s="125"/>
      <c r="E178" s="125"/>
      <c r="F178" s="126"/>
      <c r="G178" s="113"/>
      <c r="H178" s="112"/>
      <c r="I178" s="140"/>
      <c r="J178" s="101" t="str">
        <f t="shared" ca="1" si="2"/>
        <v/>
      </c>
    </row>
    <row r="179" spans="1:10">
      <c r="A179" s="119"/>
      <c r="B179" s="118"/>
      <c r="C179" s="120"/>
      <c r="D179" s="121"/>
      <c r="E179" s="121"/>
      <c r="F179" s="122"/>
      <c r="G179" s="118"/>
      <c r="H179" s="117"/>
      <c r="I179" s="141"/>
      <c r="J179" s="101" t="str">
        <f t="shared" ca="1" si="2"/>
        <v/>
      </c>
    </row>
    <row r="180" spans="1:10">
      <c r="A180" s="123"/>
      <c r="B180" s="113"/>
      <c r="C180" s="124"/>
      <c r="D180" s="125"/>
      <c r="E180" s="125"/>
      <c r="F180" s="126"/>
      <c r="G180" s="113"/>
      <c r="H180" s="112"/>
      <c r="I180" s="140"/>
      <c r="J180" s="101" t="str">
        <f t="shared" ca="1" si="2"/>
        <v/>
      </c>
    </row>
    <row r="181" spans="1:10">
      <c r="A181" s="119"/>
      <c r="B181" s="118"/>
      <c r="C181" s="120"/>
      <c r="D181" s="121"/>
      <c r="E181" s="121"/>
      <c r="F181" s="122"/>
      <c r="G181" s="118"/>
      <c r="H181" s="117"/>
      <c r="I181" s="141"/>
      <c r="J181" s="101" t="str">
        <f t="shared" ca="1" si="2"/>
        <v/>
      </c>
    </row>
    <row r="182" spans="1:10">
      <c r="A182" s="123"/>
      <c r="B182" s="113"/>
      <c r="C182" s="124"/>
      <c r="D182" s="125"/>
      <c r="E182" s="125"/>
      <c r="F182" s="126"/>
      <c r="G182" s="113"/>
      <c r="H182" s="112"/>
      <c r="I182" s="140"/>
      <c r="J182" s="101" t="str">
        <f t="shared" ca="1" si="2"/>
        <v/>
      </c>
    </row>
    <row r="183" spans="1:10">
      <c r="A183" s="119"/>
      <c r="B183" s="118"/>
      <c r="C183" s="120"/>
      <c r="D183" s="121"/>
      <c r="E183" s="121"/>
      <c r="F183" s="122"/>
      <c r="G183" s="118"/>
      <c r="H183" s="117"/>
      <c r="I183" s="141"/>
      <c r="J183" s="101" t="str">
        <f t="shared" ca="1" si="2"/>
        <v/>
      </c>
    </row>
    <row r="184" spans="1:10">
      <c r="A184" s="123"/>
      <c r="B184" s="113"/>
      <c r="C184" s="124"/>
      <c r="D184" s="125"/>
      <c r="E184" s="125"/>
      <c r="F184" s="126"/>
      <c r="G184" s="113"/>
      <c r="H184" s="112"/>
      <c r="I184" s="140"/>
      <c r="J184" s="101" t="str">
        <f t="shared" ca="1" si="2"/>
        <v/>
      </c>
    </row>
    <row r="185" spans="1:10">
      <c r="A185" s="119"/>
      <c r="B185" s="118"/>
      <c r="C185" s="120"/>
      <c r="D185" s="121"/>
      <c r="E185" s="121"/>
      <c r="F185" s="122"/>
      <c r="G185" s="118"/>
      <c r="H185" s="117"/>
      <c r="I185" s="141"/>
      <c r="J185" s="101" t="str">
        <f t="shared" ca="1" si="2"/>
        <v/>
      </c>
    </row>
    <row r="186" spans="1:10">
      <c r="A186" s="123"/>
      <c r="B186" s="113"/>
      <c r="C186" s="124"/>
      <c r="D186" s="125"/>
      <c r="E186" s="125"/>
      <c r="F186" s="126"/>
      <c r="G186" s="113"/>
      <c r="H186" s="112"/>
      <c r="I186" s="140"/>
      <c r="J186" s="101" t="str">
        <f t="shared" ca="1" si="2"/>
        <v/>
      </c>
    </row>
    <row r="187" spans="1:10">
      <c r="A187" s="119"/>
      <c r="B187" s="118"/>
      <c r="C187" s="120"/>
      <c r="D187" s="121"/>
      <c r="E187" s="121"/>
      <c r="F187" s="122"/>
      <c r="G187" s="118"/>
      <c r="H187" s="117"/>
      <c r="I187" s="141"/>
      <c r="J187" s="101" t="str">
        <f t="shared" ca="1" si="2"/>
        <v/>
      </c>
    </row>
    <row r="188" spans="1:10">
      <c r="A188" s="123"/>
      <c r="B188" s="113"/>
      <c r="C188" s="124"/>
      <c r="D188" s="125"/>
      <c r="E188" s="125"/>
      <c r="F188" s="126"/>
      <c r="G188" s="113"/>
      <c r="H188" s="112"/>
      <c r="I188" s="140"/>
      <c r="J188" s="101" t="str">
        <f t="shared" ca="1" si="2"/>
        <v/>
      </c>
    </row>
    <row r="189" spans="1:10">
      <c r="A189" s="119"/>
      <c r="B189" s="118"/>
      <c r="C189" s="120"/>
      <c r="D189" s="121"/>
      <c r="E189" s="121"/>
      <c r="F189" s="122"/>
      <c r="G189" s="118"/>
      <c r="H189" s="117"/>
      <c r="I189" s="141"/>
      <c r="J189" s="101" t="str">
        <f t="shared" ca="1" si="2"/>
        <v/>
      </c>
    </row>
    <row r="190" spans="1:10">
      <c r="A190" s="123"/>
      <c r="B190" s="113"/>
      <c r="C190" s="124"/>
      <c r="D190" s="125"/>
      <c r="E190" s="125"/>
      <c r="F190" s="126"/>
      <c r="G190" s="113"/>
      <c r="H190" s="112"/>
      <c r="I190" s="140"/>
      <c r="J190" s="101" t="str">
        <f t="shared" ca="1" si="2"/>
        <v/>
      </c>
    </row>
    <row r="191" spans="1:10">
      <c r="A191" s="119"/>
      <c r="B191" s="118"/>
      <c r="C191" s="120"/>
      <c r="D191" s="121"/>
      <c r="E191" s="121"/>
      <c r="F191" s="122"/>
      <c r="G191" s="118"/>
      <c r="H191" s="117"/>
      <c r="I191" s="141"/>
      <c r="J191" s="101" t="str">
        <f t="shared" ca="1" si="2"/>
        <v/>
      </c>
    </row>
    <row r="192" spans="1:10">
      <c r="A192" s="123"/>
      <c r="B192" s="113"/>
      <c r="C192" s="124"/>
      <c r="D192" s="125"/>
      <c r="E192" s="125"/>
      <c r="F192" s="126"/>
      <c r="G192" s="113"/>
      <c r="H192" s="112"/>
      <c r="I192" s="140"/>
      <c r="J192" s="101" t="str">
        <f t="shared" ca="1" si="2"/>
        <v/>
      </c>
    </row>
    <row r="193" spans="1:10">
      <c r="A193" s="119"/>
      <c r="B193" s="118"/>
      <c r="C193" s="120"/>
      <c r="D193" s="121"/>
      <c r="E193" s="121"/>
      <c r="F193" s="122"/>
      <c r="G193" s="118"/>
      <c r="H193" s="117"/>
      <c r="I193" s="141"/>
      <c r="J193" s="101" t="str">
        <f t="shared" ca="1" si="2"/>
        <v/>
      </c>
    </row>
    <row r="194" spans="1:10">
      <c r="A194" s="123"/>
      <c r="B194" s="113"/>
      <c r="C194" s="124"/>
      <c r="D194" s="125"/>
      <c r="E194" s="125"/>
      <c r="F194" s="126"/>
      <c r="G194" s="113"/>
      <c r="H194" s="112"/>
      <c r="I194" s="140"/>
      <c r="J194" s="101" t="str">
        <f t="shared" ca="1" si="2"/>
        <v/>
      </c>
    </row>
    <row r="195" spans="1:10">
      <c r="A195" s="119"/>
      <c r="B195" s="118"/>
      <c r="C195" s="120"/>
      <c r="D195" s="121"/>
      <c r="E195" s="121"/>
      <c r="F195" s="122"/>
      <c r="G195" s="118"/>
      <c r="H195" s="117"/>
      <c r="I195" s="141"/>
      <c r="J195" s="101" t="str">
        <f t="shared" ref="J195:J258" ca="1" si="3">_xlfn.LET(
    _xlpm.AllCellsFilled, COUNTA(A195:I195) = 9,
    _xlpm.QtyIsInt, AND(ISNUMBER(G195), G195=INT(G195)),
    _xlpm.AvailDateIsValid, AND(ISNUMBER(F195), F195&gt;=TODAY()),
    _xlpm.ReqDateIsValid, AND(ISNUMBER(H195), H195&gt;=TODAY()),
    _xlpm.EmailIsValid, RIGHT(I195,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IF(A195="", "", IF(_xlpm.error_messages = "", "Yes", _xlpm.error_messages))
)</f>
        <v/>
      </c>
    </row>
    <row r="196" spans="1:10">
      <c r="A196" s="123"/>
      <c r="B196" s="113"/>
      <c r="C196" s="124"/>
      <c r="D196" s="125"/>
      <c r="E196" s="125"/>
      <c r="F196" s="126"/>
      <c r="G196" s="113"/>
      <c r="H196" s="112"/>
      <c r="I196" s="140"/>
      <c r="J196" s="101" t="str">
        <f t="shared" ca="1" si="3"/>
        <v/>
      </c>
    </row>
    <row r="197" spans="1:10">
      <c r="A197" s="119"/>
      <c r="B197" s="118"/>
      <c r="C197" s="120"/>
      <c r="D197" s="121"/>
      <c r="E197" s="121"/>
      <c r="F197" s="122"/>
      <c r="G197" s="118"/>
      <c r="H197" s="117"/>
      <c r="I197" s="141"/>
      <c r="J197" s="101" t="str">
        <f t="shared" ca="1" si="3"/>
        <v/>
      </c>
    </row>
    <row r="198" spans="1:10">
      <c r="A198" s="123"/>
      <c r="B198" s="113"/>
      <c r="C198" s="124"/>
      <c r="D198" s="125"/>
      <c r="E198" s="125"/>
      <c r="F198" s="126"/>
      <c r="G198" s="113"/>
      <c r="H198" s="112"/>
      <c r="I198" s="140"/>
      <c r="J198" s="101" t="str">
        <f t="shared" ca="1" si="3"/>
        <v/>
      </c>
    </row>
    <row r="199" spans="1:10">
      <c r="A199" s="119"/>
      <c r="B199" s="118"/>
      <c r="C199" s="120"/>
      <c r="D199" s="121"/>
      <c r="E199" s="121"/>
      <c r="F199" s="122"/>
      <c r="G199" s="118"/>
      <c r="H199" s="117"/>
      <c r="I199" s="141"/>
      <c r="J199" s="101" t="str">
        <f t="shared" ca="1" si="3"/>
        <v/>
      </c>
    </row>
    <row r="200" spans="1:10">
      <c r="A200" s="123"/>
      <c r="B200" s="113"/>
      <c r="C200" s="124"/>
      <c r="D200" s="125"/>
      <c r="E200" s="125"/>
      <c r="F200" s="126"/>
      <c r="G200" s="113"/>
      <c r="H200" s="112"/>
      <c r="I200" s="140"/>
      <c r="J200" s="101" t="str">
        <f t="shared" ca="1" si="3"/>
        <v/>
      </c>
    </row>
    <row r="201" spans="1:10">
      <c r="A201" s="119"/>
      <c r="B201" s="118"/>
      <c r="C201" s="120"/>
      <c r="D201" s="121"/>
      <c r="E201" s="121"/>
      <c r="F201" s="122"/>
      <c r="G201" s="118"/>
      <c r="H201" s="117"/>
      <c r="I201" s="141"/>
      <c r="J201" s="101" t="str">
        <f t="shared" ca="1" si="3"/>
        <v/>
      </c>
    </row>
    <row r="202" spans="1:10">
      <c r="A202" s="123"/>
      <c r="B202" s="113"/>
      <c r="C202" s="124"/>
      <c r="D202" s="125"/>
      <c r="E202" s="125"/>
      <c r="F202" s="126"/>
      <c r="G202" s="113"/>
      <c r="H202" s="112"/>
      <c r="I202" s="140"/>
      <c r="J202" s="101" t="str">
        <f t="shared" ca="1" si="3"/>
        <v/>
      </c>
    </row>
    <row r="203" spans="1:10">
      <c r="A203" s="119"/>
      <c r="B203" s="118"/>
      <c r="C203" s="120"/>
      <c r="D203" s="121"/>
      <c r="E203" s="121"/>
      <c r="F203" s="122"/>
      <c r="G203" s="118"/>
      <c r="H203" s="117"/>
      <c r="I203" s="141"/>
      <c r="J203" s="101" t="str">
        <f t="shared" ca="1" si="3"/>
        <v/>
      </c>
    </row>
    <row r="204" spans="1:10">
      <c r="A204" s="123"/>
      <c r="B204" s="113"/>
      <c r="C204" s="124"/>
      <c r="D204" s="125"/>
      <c r="E204" s="125"/>
      <c r="F204" s="126"/>
      <c r="G204" s="113"/>
      <c r="H204" s="112"/>
      <c r="I204" s="140"/>
      <c r="J204" s="101" t="str">
        <f t="shared" ca="1" si="3"/>
        <v/>
      </c>
    </row>
    <row r="205" spans="1:10">
      <c r="A205" s="119"/>
      <c r="B205" s="118"/>
      <c r="C205" s="120"/>
      <c r="D205" s="121"/>
      <c r="E205" s="121"/>
      <c r="F205" s="122"/>
      <c r="G205" s="118"/>
      <c r="H205" s="117"/>
      <c r="I205" s="141"/>
      <c r="J205" s="101" t="str">
        <f t="shared" ca="1" si="3"/>
        <v/>
      </c>
    </row>
    <row r="206" spans="1:10">
      <c r="A206" s="123"/>
      <c r="B206" s="113"/>
      <c r="C206" s="124"/>
      <c r="D206" s="125"/>
      <c r="E206" s="125"/>
      <c r="F206" s="126"/>
      <c r="G206" s="113"/>
      <c r="H206" s="112"/>
      <c r="I206" s="140"/>
      <c r="J206" s="101" t="str">
        <f t="shared" ca="1" si="3"/>
        <v/>
      </c>
    </row>
    <row r="207" spans="1:10">
      <c r="A207" s="119"/>
      <c r="B207" s="118"/>
      <c r="C207" s="120"/>
      <c r="D207" s="121"/>
      <c r="E207" s="121"/>
      <c r="F207" s="122"/>
      <c r="G207" s="118"/>
      <c r="H207" s="117"/>
      <c r="I207" s="141"/>
      <c r="J207" s="101" t="str">
        <f t="shared" ca="1" si="3"/>
        <v/>
      </c>
    </row>
    <row r="208" spans="1:10">
      <c r="A208" s="123"/>
      <c r="B208" s="113"/>
      <c r="C208" s="124"/>
      <c r="D208" s="125"/>
      <c r="E208" s="125"/>
      <c r="F208" s="126"/>
      <c r="G208" s="113"/>
      <c r="H208" s="112"/>
      <c r="I208" s="140"/>
      <c r="J208" s="101" t="str">
        <f t="shared" ca="1" si="3"/>
        <v/>
      </c>
    </row>
    <row r="209" spans="1:10">
      <c r="A209" s="119"/>
      <c r="B209" s="118"/>
      <c r="C209" s="120"/>
      <c r="D209" s="121"/>
      <c r="E209" s="121"/>
      <c r="F209" s="122"/>
      <c r="G209" s="118"/>
      <c r="H209" s="117"/>
      <c r="I209" s="141"/>
      <c r="J209" s="101" t="str">
        <f t="shared" ca="1" si="3"/>
        <v/>
      </c>
    </row>
    <row r="210" spans="1:10">
      <c r="A210" s="123"/>
      <c r="B210" s="113"/>
      <c r="C210" s="124"/>
      <c r="D210" s="125"/>
      <c r="E210" s="125"/>
      <c r="F210" s="126"/>
      <c r="G210" s="113"/>
      <c r="H210" s="112"/>
      <c r="I210" s="140"/>
      <c r="J210" s="101" t="str">
        <f t="shared" ca="1" si="3"/>
        <v/>
      </c>
    </row>
    <row r="211" spans="1:10">
      <c r="A211" s="119"/>
      <c r="B211" s="118"/>
      <c r="C211" s="120"/>
      <c r="D211" s="121"/>
      <c r="E211" s="121"/>
      <c r="F211" s="122"/>
      <c r="G211" s="118"/>
      <c r="H211" s="117"/>
      <c r="I211" s="141"/>
      <c r="J211" s="101" t="str">
        <f t="shared" ca="1" si="3"/>
        <v/>
      </c>
    </row>
    <row r="212" spans="1:10">
      <c r="A212" s="123"/>
      <c r="B212" s="113"/>
      <c r="C212" s="124"/>
      <c r="D212" s="125"/>
      <c r="E212" s="125"/>
      <c r="F212" s="126"/>
      <c r="G212" s="113"/>
      <c r="H212" s="112"/>
      <c r="I212" s="140"/>
      <c r="J212" s="101" t="str">
        <f t="shared" ca="1" si="3"/>
        <v/>
      </c>
    </row>
    <row r="213" spans="1:10">
      <c r="A213" s="119"/>
      <c r="B213" s="118"/>
      <c r="C213" s="120"/>
      <c r="D213" s="121"/>
      <c r="E213" s="121"/>
      <c r="F213" s="122"/>
      <c r="G213" s="118"/>
      <c r="H213" s="117"/>
      <c r="I213" s="141"/>
      <c r="J213" s="101" t="str">
        <f t="shared" ca="1" si="3"/>
        <v/>
      </c>
    </row>
    <row r="214" spans="1:10">
      <c r="A214" s="123"/>
      <c r="B214" s="113"/>
      <c r="C214" s="124"/>
      <c r="D214" s="125"/>
      <c r="E214" s="125"/>
      <c r="F214" s="126"/>
      <c r="G214" s="113"/>
      <c r="H214" s="112"/>
      <c r="I214" s="140"/>
      <c r="J214" s="101" t="str">
        <f t="shared" ca="1" si="3"/>
        <v/>
      </c>
    </row>
    <row r="215" spans="1:10">
      <c r="A215" s="119"/>
      <c r="B215" s="118"/>
      <c r="C215" s="120"/>
      <c r="D215" s="121"/>
      <c r="E215" s="121"/>
      <c r="F215" s="122"/>
      <c r="G215" s="118"/>
      <c r="H215" s="117"/>
      <c r="I215" s="141"/>
      <c r="J215" s="101" t="str">
        <f t="shared" ca="1" si="3"/>
        <v/>
      </c>
    </row>
    <row r="216" spans="1:10">
      <c r="A216" s="123"/>
      <c r="B216" s="113"/>
      <c r="C216" s="124"/>
      <c r="D216" s="125"/>
      <c r="E216" s="125"/>
      <c r="F216" s="126"/>
      <c r="G216" s="113"/>
      <c r="H216" s="112"/>
      <c r="I216" s="140"/>
      <c r="J216" s="101" t="str">
        <f t="shared" ca="1" si="3"/>
        <v/>
      </c>
    </row>
    <row r="217" spans="1:10">
      <c r="A217" s="119"/>
      <c r="B217" s="118"/>
      <c r="C217" s="120"/>
      <c r="D217" s="121"/>
      <c r="E217" s="121"/>
      <c r="F217" s="122"/>
      <c r="G217" s="118"/>
      <c r="H217" s="117"/>
      <c r="I217" s="141"/>
      <c r="J217" s="101" t="str">
        <f t="shared" ca="1" si="3"/>
        <v/>
      </c>
    </row>
    <row r="218" spans="1:10">
      <c r="A218" s="123"/>
      <c r="B218" s="113"/>
      <c r="C218" s="124"/>
      <c r="D218" s="125"/>
      <c r="E218" s="125"/>
      <c r="F218" s="126"/>
      <c r="G218" s="113"/>
      <c r="H218" s="112"/>
      <c r="I218" s="140"/>
      <c r="J218" s="101" t="str">
        <f t="shared" ca="1" si="3"/>
        <v/>
      </c>
    </row>
    <row r="219" spans="1:10">
      <c r="A219" s="119"/>
      <c r="B219" s="118"/>
      <c r="C219" s="120"/>
      <c r="D219" s="121"/>
      <c r="E219" s="121"/>
      <c r="F219" s="122"/>
      <c r="G219" s="118"/>
      <c r="H219" s="117"/>
      <c r="I219" s="141"/>
      <c r="J219" s="101" t="str">
        <f t="shared" ca="1" si="3"/>
        <v/>
      </c>
    </row>
    <row r="220" spans="1:10">
      <c r="A220" s="123"/>
      <c r="B220" s="113"/>
      <c r="C220" s="124"/>
      <c r="D220" s="125"/>
      <c r="E220" s="125"/>
      <c r="F220" s="126"/>
      <c r="G220" s="113"/>
      <c r="H220" s="112"/>
      <c r="I220" s="140"/>
      <c r="J220" s="101" t="str">
        <f t="shared" ca="1" si="3"/>
        <v/>
      </c>
    </row>
    <row r="221" spans="1:10">
      <c r="A221" s="119"/>
      <c r="B221" s="118"/>
      <c r="C221" s="120"/>
      <c r="D221" s="121"/>
      <c r="E221" s="121"/>
      <c r="F221" s="122"/>
      <c r="G221" s="118"/>
      <c r="H221" s="117"/>
      <c r="I221" s="141"/>
      <c r="J221" s="101" t="str">
        <f t="shared" ca="1" si="3"/>
        <v/>
      </c>
    </row>
    <row r="222" spans="1:10">
      <c r="A222" s="123"/>
      <c r="B222" s="113"/>
      <c r="C222" s="124"/>
      <c r="D222" s="125"/>
      <c r="E222" s="125"/>
      <c r="F222" s="126"/>
      <c r="G222" s="113"/>
      <c r="H222" s="112"/>
      <c r="I222" s="140"/>
      <c r="J222" s="101" t="str">
        <f t="shared" ca="1" si="3"/>
        <v/>
      </c>
    </row>
    <row r="223" spans="1:10">
      <c r="A223" s="119"/>
      <c r="B223" s="118"/>
      <c r="C223" s="120"/>
      <c r="D223" s="121"/>
      <c r="E223" s="121"/>
      <c r="F223" s="122"/>
      <c r="G223" s="118"/>
      <c r="H223" s="117"/>
      <c r="I223" s="141"/>
      <c r="J223" s="101" t="str">
        <f t="shared" ca="1" si="3"/>
        <v/>
      </c>
    </row>
    <row r="224" spans="1:10">
      <c r="A224" s="123"/>
      <c r="B224" s="113"/>
      <c r="C224" s="124"/>
      <c r="D224" s="125"/>
      <c r="E224" s="125"/>
      <c r="F224" s="126"/>
      <c r="G224" s="113"/>
      <c r="H224" s="112"/>
      <c r="I224" s="140"/>
      <c r="J224" s="101" t="str">
        <f t="shared" ca="1" si="3"/>
        <v/>
      </c>
    </row>
    <row r="225" spans="1:10">
      <c r="A225" s="119"/>
      <c r="B225" s="118"/>
      <c r="C225" s="120"/>
      <c r="D225" s="121"/>
      <c r="E225" s="121"/>
      <c r="F225" s="122"/>
      <c r="G225" s="118"/>
      <c r="H225" s="117"/>
      <c r="I225" s="141"/>
      <c r="J225" s="101" t="str">
        <f t="shared" ca="1" si="3"/>
        <v/>
      </c>
    </row>
    <row r="226" spans="1:10">
      <c r="A226" s="123"/>
      <c r="B226" s="113"/>
      <c r="C226" s="124"/>
      <c r="D226" s="125"/>
      <c r="E226" s="125"/>
      <c r="F226" s="126"/>
      <c r="G226" s="113"/>
      <c r="H226" s="112"/>
      <c r="I226" s="140"/>
      <c r="J226" s="101" t="str">
        <f t="shared" ca="1" si="3"/>
        <v/>
      </c>
    </row>
    <row r="227" spans="1:10">
      <c r="A227" s="119"/>
      <c r="B227" s="118"/>
      <c r="C227" s="120"/>
      <c r="D227" s="121"/>
      <c r="E227" s="121"/>
      <c r="F227" s="122"/>
      <c r="G227" s="118"/>
      <c r="H227" s="117"/>
      <c r="I227" s="141"/>
      <c r="J227" s="101" t="str">
        <f t="shared" ca="1" si="3"/>
        <v/>
      </c>
    </row>
    <row r="228" spans="1:10">
      <c r="A228" s="123"/>
      <c r="B228" s="113"/>
      <c r="C228" s="124"/>
      <c r="D228" s="125"/>
      <c r="E228" s="125"/>
      <c r="F228" s="126"/>
      <c r="G228" s="113"/>
      <c r="H228" s="112"/>
      <c r="I228" s="140"/>
      <c r="J228" s="101" t="str">
        <f t="shared" ca="1" si="3"/>
        <v/>
      </c>
    </row>
    <row r="229" spans="1:10">
      <c r="A229" s="119"/>
      <c r="B229" s="118"/>
      <c r="C229" s="120"/>
      <c r="D229" s="121"/>
      <c r="E229" s="121"/>
      <c r="F229" s="122"/>
      <c r="G229" s="118"/>
      <c r="H229" s="117"/>
      <c r="I229" s="141"/>
      <c r="J229" s="101" t="str">
        <f t="shared" ca="1" si="3"/>
        <v/>
      </c>
    </row>
    <row r="230" spans="1:10">
      <c r="A230" s="123"/>
      <c r="B230" s="113"/>
      <c r="C230" s="124"/>
      <c r="D230" s="125"/>
      <c r="E230" s="125"/>
      <c r="F230" s="126"/>
      <c r="G230" s="113"/>
      <c r="H230" s="112"/>
      <c r="I230" s="140"/>
      <c r="J230" s="101" t="str">
        <f t="shared" ca="1" si="3"/>
        <v/>
      </c>
    </row>
    <row r="231" spans="1:10">
      <c r="A231" s="119"/>
      <c r="B231" s="118"/>
      <c r="C231" s="120"/>
      <c r="D231" s="121"/>
      <c r="E231" s="121"/>
      <c r="F231" s="122"/>
      <c r="G231" s="118"/>
      <c r="H231" s="117"/>
      <c r="I231" s="141"/>
      <c r="J231" s="101" t="str">
        <f t="shared" ca="1" si="3"/>
        <v/>
      </c>
    </row>
    <row r="232" spans="1:10">
      <c r="A232" s="123"/>
      <c r="B232" s="113"/>
      <c r="C232" s="124"/>
      <c r="D232" s="125"/>
      <c r="E232" s="125"/>
      <c r="F232" s="126"/>
      <c r="G232" s="113"/>
      <c r="H232" s="112"/>
      <c r="I232" s="140"/>
      <c r="J232" s="101" t="str">
        <f t="shared" ca="1" si="3"/>
        <v/>
      </c>
    </row>
    <row r="233" spans="1:10">
      <c r="A233" s="119"/>
      <c r="B233" s="118"/>
      <c r="C233" s="120"/>
      <c r="D233" s="121"/>
      <c r="E233" s="121"/>
      <c r="F233" s="122"/>
      <c r="G233" s="118"/>
      <c r="H233" s="117"/>
      <c r="I233" s="141"/>
      <c r="J233" s="101" t="str">
        <f t="shared" ca="1" si="3"/>
        <v/>
      </c>
    </row>
    <row r="234" spans="1:10">
      <c r="A234" s="123"/>
      <c r="B234" s="113"/>
      <c r="C234" s="124"/>
      <c r="D234" s="125"/>
      <c r="E234" s="125"/>
      <c r="F234" s="126"/>
      <c r="G234" s="113"/>
      <c r="H234" s="112"/>
      <c r="I234" s="140"/>
      <c r="J234" s="101" t="str">
        <f t="shared" ca="1" si="3"/>
        <v/>
      </c>
    </row>
    <row r="235" spans="1:10">
      <c r="A235" s="119"/>
      <c r="B235" s="118"/>
      <c r="C235" s="120"/>
      <c r="D235" s="121"/>
      <c r="E235" s="121"/>
      <c r="F235" s="122"/>
      <c r="G235" s="118"/>
      <c r="H235" s="117"/>
      <c r="I235" s="141"/>
      <c r="J235" s="101" t="str">
        <f t="shared" ca="1" si="3"/>
        <v/>
      </c>
    </row>
    <row r="236" spans="1:10">
      <c r="A236" s="123"/>
      <c r="B236" s="113"/>
      <c r="C236" s="124"/>
      <c r="D236" s="125"/>
      <c r="E236" s="125"/>
      <c r="F236" s="126"/>
      <c r="G236" s="113"/>
      <c r="H236" s="112"/>
      <c r="I236" s="140"/>
      <c r="J236" s="101" t="str">
        <f t="shared" ca="1" si="3"/>
        <v/>
      </c>
    </row>
    <row r="237" spans="1:10">
      <c r="A237" s="119"/>
      <c r="B237" s="118"/>
      <c r="C237" s="120"/>
      <c r="D237" s="121"/>
      <c r="E237" s="121"/>
      <c r="F237" s="122"/>
      <c r="G237" s="118"/>
      <c r="H237" s="117"/>
      <c r="I237" s="141"/>
      <c r="J237" s="101" t="str">
        <f t="shared" ca="1" si="3"/>
        <v/>
      </c>
    </row>
    <row r="238" spans="1:10">
      <c r="A238" s="123"/>
      <c r="B238" s="113"/>
      <c r="C238" s="124"/>
      <c r="D238" s="125"/>
      <c r="E238" s="125"/>
      <c r="F238" s="126"/>
      <c r="G238" s="113"/>
      <c r="H238" s="112"/>
      <c r="I238" s="140"/>
      <c r="J238" s="101" t="str">
        <f t="shared" ca="1" si="3"/>
        <v/>
      </c>
    </row>
    <row r="239" spans="1:10">
      <c r="A239" s="119"/>
      <c r="B239" s="118"/>
      <c r="C239" s="120"/>
      <c r="D239" s="121"/>
      <c r="E239" s="121"/>
      <c r="F239" s="122"/>
      <c r="G239" s="118"/>
      <c r="H239" s="117"/>
      <c r="I239" s="141"/>
      <c r="J239" s="101" t="str">
        <f t="shared" ca="1" si="3"/>
        <v/>
      </c>
    </row>
    <row r="240" spans="1:10">
      <c r="A240" s="123"/>
      <c r="B240" s="113"/>
      <c r="C240" s="124"/>
      <c r="D240" s="125"/>
      <c r="E240" s="125"/>
      <c r="F240" s="126"/>
      <c r="G240" s="113"/>
      <c r="H240" s="112"/>
      <c r="I240" s="140"/>
      <c r="J240" s="101" t="str">
        <f t="shared" ca="1" si="3"/>
        <v/>
      </c>
    </row>
    <row r="241" spans="1:10">
      <c r="A241" s="119"/>
      <c r="B241" s="118"/>
      <c r="C241" s="120"/>
      <c r="D241" s="121"/>
      <c r="E241" s="121"/>
      <c r="F241" s="122"/>
      <c r="G241" s="118"/>
      <c r="H241" s="117"/>
      <c r="I241" s="141"/>
      <c r="J241" s="101" t="str">
        <f t="shared" ca="1" si="3"/>
        <v/>
      </c>
    </row>
    <row r="242" spans="1:10">
      <c r="A242" s="123"/>
      <c r="B242" s="113"/>
      <c r="C242" s="124"/>
      <c r="D242" s="125"/>
      <c r="E242" s="125"/>
      <c r="F242" s="126"/>
      <c r="G242" s="113"/>
      <c r="H242" s="112"/>
      <c r="I242" s="140"/>
      <c r="J242" s="101" t="str">
        <f t="shared" ca="1" si="3"/>
        <v/>
      </c>
    </row>
    <row r="243" spans="1:10">
      <c r="A243" s="119"/>
      <c r="B243" s="118"/>
      <c r="C243" s="120"/>
      <c r="D243" s="121"/>
      <c r="E243" s="121"/>
      <c r="F243" s="122"/>
      <c r="G243" s="118"/>
      <c r="H243" s="117"/>
      <c r="I243" s="141"/>
      <c r="J243" s="101" t="str">
        <f t="shared" ca="1" si="3"/>
        <v/>
      </c>
    </row>
    <row r="244" spans="1:10">
      <c r="A244" s="123"/>
      <c r="B244" s="113"/>
      <c r="C244" s="124"/>
      <c r="D244" s="125"/>
      <c r="E244" s="125"/>
      <c r="F244" s="126"/>
      <c r="G244" s="113"/>
      <c r="H244" s="112"/>
      <c r="I244" s="140"/>
      <c r="J244" s="101" t="str">
        <f t="shared" ca="1" si="3"/>
        <v/>
      </c>
    </row>
    <row r="245" spans="1:10">
      <c r="A245" s="119"/>
      <c r="B245" s="118"/>
      <c r="C245" s="120"/>
      <c r="D245" s="121"/>
      <c r="E245" s="121"/>
      <c r="F245" s="122"/>
      <c r="G245" s="118"/>
      <c r="H245" s="117"/>
      <c r="I245" s="141"/>
      <c r="J245" s="101" t="str">
        <f t="shared" ca="1" si="3"/>
        <v/>
      </c>
    </row>
    <row r="246" spans="1:10">
      <c r="A246" s="123"/>
      <c r="B246" s="113"/>
      <c r="C246" s="124"/>
      <c r="D246" s="125"/>
      <c r="E246" s="125"/>
      <c r="F246" s="126"/>
      <c r="G246" s="113"/>
      <c r="H246" s="112"/>
      <c r="I246" s="140"/>
      <c r="J246" s="101" t="str">
        <f t="shared" ca="1" si="3"/>
        <v/>
      </c>
    </row>
    <row r="247" spans="1:10">
      <c r="A247" s="119"/>
      <c r="B247" s="118"/>
      <c r="C247" s="120"/>
      <c r="D247" s="121"/>
      <c r="E247" s="121"/>
      <c r="F247" s="122"/>
      <c r="G247" s="118"/>
      <c r="H247" s="117"/>
      <c r="I247" s="141"/>
      <c r="J247" s="101" t="str">
        <f t="shared" ca="1" si="3"/>
        <v/>
      </c>
    </row>
    <row r="248" spans="1:10">
      <c r="A248" s="123"/>
      <c r="B248" s="113"/>
      <c r="C248" s="124"/>
      <c r="D248" s="125"/>
      <c r="E248" s="125"/>
      <c r="F248" s="126"/>
      <c r="G248" s="113"/>
      <c r="H248" s="112"/>
      <c r="I248" s="140"/>
      <c r="J248" s="101" t="str">
        <f t="shared" ca="1" si="3"/>
        <v/>
      </c>
    </row>
    <row r="249" spans="1:10">
      <c r="A249" s="119"/>
      <c r="B249" s="118"/>
      <c r="C249" s="120"/>
      <c r="D249" s="121"/>
      <c r="E249" s="121"/>
      <c r="F249" s="122"/>
      <c r="G249" s="118"/>
      <c r="H249" s="117"/>
      <c r="I249" s="141"/>
      <c r="J249" s="101" t="str">
        <f t="shared" ca="1" si="3"/>
        <v/>
      </c>
    </row>
    <row r="250" spans="1:10">
      <c r="A250" s="123"/>
      <c r="B250" s="113"/>
      <c r="C250" s="124"/>
      <c r="D250" s="125"/>
      <c r="E250" s="125"/>
      <c r="F250" s="126"/>
      <c r="G250" s="113"/>
      <c r="H250" s="112"/>
      <c r="I250" s="140"/>
      <c r="J250" s="101" t="str">
        <f t="shared" ca="1" si="3"/>
        <v/>
      </c>
    </row>
    <row r="251" spans="1:10">
      <c r="A251" s="119"/>
      <c r="B251" s="118"/>
      <c r="C251" s="120"/>
      <c r="D251" s="121"/>
      <c r="E251" s="121"/>
      <c r="F251" s="122"/>
      <c r="G251" s="118"/>
      <c r="H251" s="117"/>
      <c r="I251" s="141"/>
      <c r="J251" s="101" t="str">
        <f t="shared" ca="1" si="3"/>
        <v/>
      </c>
    </row>
    <row r="252" spans="1:10">
      <c r="A252" s="123"/>
      <c r="B252" s="113"/>
      <c r="C252" s="124"/>
      <c r="D252" s="125"/>
      <c r="E252" s="125"/>
      <c r="F252" s="126"/>
      <c r="G252" s="113"/>
      <c r="H252" s="112"/>
      <c r="I252" s="140"/>
      <c r="J252" s="101" t="str">
        <f t="shared" ca="1" si="3"/>
        <v/>
      </c>
    </row>
    <row r="253" spans="1:10">
      <c r="A253" s="119"/>
      <c r="B253" s="118"/>
      <c r="C253" s="120"/>
      <c r="D253" s="121"/>
      <c r="E253" s="121"/>
      <c r="F253" s="122"/>
      <c r="G253" s="118"/>
      <c r="H253" s="117"/>
      <c r="I253" s="141"/>
      <c r="J253" s="101" t="str">
        <f t="shared" ca="1" si="3"/>
        <v/>
      </c>
    </row>
    <row r="254" spans="1:10">
      <c r="A254" s="123"/>
      <c r="B254" s="113"/>
      <c r="C254" s="124"/>
      <c r="D254" s="125"/>
      <c r="E254" s="125"/>
      <c r="F254" s="126"/>
      <c r="G254" s="113"/>
      <c r="H254" s="112"/>
      <c r="I254" s="140"/>
      <c r="J254" s="101" t="str">
        <f t="shared" ca="1" si="3"/>
        <v/>
      </c>
    </row>
    <row r="255" spans="1:10">
      <c r="A255" s="119"/>
      <c r="B255" s="118"/>
      <c r="C255" s="120"/>
      <c r="D255" s="121"/>
      <c r="E255" s="121"/>
      <c r="F255" s="122"/>
      <c r="G255" s="118"/>
      <c r="H255" s="117"/>
      <c r="I255" s="141"/>
      <c r="J255" s="101" t="str">
        <f t="shared" ca="1" si="3"/>
        <v/>
      </c>
    </row>
    <row r="256" spans="1:10">
      <c r="A256" s="123"/>
      <c r="B256" s="113"/>
      <c r="C256" s="124"/>
      <c r="D256" s="125"/>
      <c r="E256" s="125"/>
      <c r="F256" s="126"/>
      <c r="G256" s="113"/>
      <c r="H256" s="112"/>
      <c r="I256" s="140"/>
      <c r="J256" s="101" t="str">
        <f t="shared" ca="1" si="3"/>
        <v/>
      </c>
    </row>
    <row r="257" spans="1:10">
      <c r="A257" s="119"/>
      <c r="B257" s="118"/>
      <c r="C257" s="120"/>
      <c r="D257" s="121"/>
      <c r="E257" s="121"/>
      <c r="F257" s="122"/>
      <c r="G257" s="118"/>
      <c r="H257" s="117"/>
      <c r="I257" s="141"/>
      <c r="J257" s="101" t="str">
        <f t="shared" ca="1" si="3"/>
        <v/>
      </c>
    </row>
    <row r="258" spans="1:10">
      <c r="A258" s="123"/>
      <c r="B258" s="113"/>
      <c r="C258" s="124"/>
      <c r="D258" s="125"/>
      <c r="E258" s="125"/>
      <c r="F258" s="126"/>
      <c r="G258" s="113"/>
      <c r="H258" s="112"/>
      <c r="I258" s="140"/>
      <c r="J258" s="101" t="str">
        <f t="shared" ca="1" si="3"/>
        <v/>
      </c>
    </row>
    <row r="259" spans="1:10">
      <c r="A259" s="119"/>
      <c r="B259" s="118"/>
      <c r="C259" s="120"/>
      <c r="D259" s="121"/>
      <c r="E259" s="121"/>
      <c r="F259" s="122"/>
      <c r="G259" s="118"/>
      <c r="H259" s="117"/>
      <c r="I259" s="141"/>
      <c r="J259" s="101" t="str">
        <f t="shared" ref="J259:J322" ca="1" si="4">_xlfn.LET(
    _xlpm.AllCellsFilled, COUNTA(A259:I259) = 9,
    _xlpm.QtyIsInt, AND(ISNUMBER(G259), G259=INT(G259)),
    _xlpm.AvailDateIsValid, AND(ISNUMBER(F259), F259&gt;=TODAY()),
    _xlpm.ReqDateIsValid, AND(ISNUMBER(H259), H259&gt;=TODAY()),
    _xlpm.EmailIsValid, RIGHT(I259,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IF(A259="", "", IF(_xlpm.error_messages = "", "Yes", _xlpm.error_messages))
)</f>
        <v/>
      </c>
    </row>
    <row r="260" spans="1:10">
      <c r="A260" s="123"/>
      <c r="B260" s="113"/>
      <c r="C260" s="124"/>
      <c r="D260" s="125"/>
      <c r="E260" s="125"/>
      <c r="F260" s="126"/>
      <c r="G260" s="113"/>
      <c r="H260" s="112"/>
      <c r="I260" s="140"/>
      <c r="J260" s="101" t="str">
        <f t="shared" ca="1" si="4"/>
        <v/>
      </c>
    </row>
    <row r="261" spans="1:10">
      <c r="A261" s="119"/>
      <c r="B261" s="118"/>
      <c r="C261" s="120"/>
      <c r="D261" s="121"/>
      <c r="E261" s="121"/>
      <c r="F261" s="122"/>
      <c r="G261" s="118"/>
      <c r="H261" s="117"/>
      <c r="I261" s="141"/>
      <c r="J261" s="101" t="str">
        <f t="shared" ca="1" si="4"/>
        <v/>
      </c>
    </row>
    <row r="262" spans="1:10">
      <c r="A262" s="123"/>
      <c r="B262" s="113"/>
      <c r="C262" s="124"/>
      <c r="D262" s="125"/>
      <c r="E262" s="125"/>
      <c r="F262" s="126"/>
      <c r="G262" s="113"/>
      <c r="H262" s="112"/>
      <c r="I262" s="140"/>
      <c r="J262" s="101" t="str">
        <f t="shared" ca="1" si="4"/>
        <v/>
      </c>
    </row>
    <row r="263" spans="1:10">
      <c r="A263" s="119"/>
      <c r="B263" s="118"/>
      <c r="C263" s="120"/>
      <c r="D263" s="121"/>
      <c r="E263" s="121"/>
      <c r="F263" s="122"/>
      <c r="G263" s="118"/>
      <c r="H263" s="117"/>
      <c r="I263" s="141"/>
      <c r="J263" s="101" t="str">
        <f t="shared" ca="1" si="4"/>
        <v/>
      </c>
    </row>
    <row r="264" spans="1:10">
      <c r="A264" s="123"/>
      <c r="B264" s="113"/>
      <c r="C264" s="124"/>
      <c r="D264" s="125"/>
      <c r="E264" s="125"/>
      <c r="F264" s="126"/>
      <c r="G264" s="113"/>
      <c r="H264" s="112"/>
      <c r="I264" s="140"/>
      <c r="J264" s="101" t="str">
        <f t="shared" ca="1" si="4"/>
        <v/>
      </c>
    </row>
    <row r="265" spans="1:10">
      <c r="A265" s="119"/>
      <c r="B265" s="118"/>
      <c r="C265" s="120"/>
      <c r="D265" s="121"/>
      <c r="E265" s="121"/>
      <c r="F265" s="122"/>
      <c r="G265" s="118"/>
      <c r="H265" s="117"/>
      <c r="I265" s="141"/>
      <c r="J265" s="101" t="str">
        <f t="shared" ca="1" si="4"/>
        <v/>
      </c>
    </row>
    <row r="266" spans="1:10">
      <c r="A266" s="123"/>
      <c r="B266" s="113"/>
      <c r="C266" s="124"/>
      <c r="D266" s="125"/>
      <c r="E266" s="125"/>
      <c r="F266" s="126"/>
      <c r="G266" s="113"/>
      <c r="H266" s="112"/>
      <c r="I266" s="140"/>
      <c r="J266" s="101" t="str">
        <f t="shared" ca="1" si="4"/>
        <v/>
      </c>
    </row>
    <row r="267" spans="1:10">
      <c r="A267" s="119"/>
      <c r="B267" s="118"/>
      <c r="C267" s="120"/>
      <c r="D267" s="121"/>
      <c r="E267" s="121"/>
      <c r="F267" s="122"/>
      <c r="G267" s="118"/>
      <c r="H267" s="117"/>
      <c r="I267" s="141"/>
      <c r="J267" s="101" t="str">
        <f t="shared" ca="1" si="4"/>
        <v/>
      </c>
    </row>
    <row r="268" spans="1:10">
      <c r="A268" s="123"/>
      <c r="B268" s="113"/>
      <c r="C268" s="124"/>
      <c r="D268" s="125"/>
      <c r="E268" s="125"/>
      <c r="F268" s="126"/>
      <c r="G268" s="113"/>
      <c r="H268" s="112"/>
      <c r="I268" s="140"/>
      <c r="J268" s="101" t="str">
        <f t="shared" ca="1" si="4"/>
        <v/>
      </c>
    </row>
    <row r="269" spans="1:10">
      <c r="A269" s="119"/>
      <c r="B269" s="118"/>
      <c r="C269" s="120"/>
      <c r="D269" s="121"/>
      <c r="E269" s="121"/>
      <c r="F269" s="122"/>
      <c r="G269" s="118"/>
      <c r="H269" s="117"/>
      <c r="I269" s="141"/>
      <c r="J269" s="101" t="str">
        <f t="shared" ca="1" si="4"/>
        <v/>
      </c>
    </row>
    <row r="270" spans="1:10">
      <c r="A270" s="123"/>
      <c r="B270" s="113"/>
      <c r="C270" s="124"/>
      <c r="D270" s="125"/>
      <c r="E270" s="125"/>
      <c r="F270" s="126"/>
      <c r="G270" s="113"/>
      <c r="H270" s="112"/>
      <c r="I270" s="140"/>
      <c r="J270" s="101" t="str">
        <f t="shared" ca="1" si="4"/>
        <v/>
      </c>
    </row>
    <row r="271" spans="1:10">
      <c r="A271" s="119"/>
      <c r="B271" s="118"/>
      <c r="C271" s="120"/>
      <c r="D271" s="121"/>
      <c r="E271" s="121"/>
      <c r="F271" s="122"/>
      <c r="G271" s="118"/>
      <c r="H271" s="117"/>
      <c r="I271" s="141"/>
      <c r="J271" s="101" t="str">
        <f t="shared" ca="1" si="4"/>
        <v/>
      </c>
    </row>
    <row r="272" spans="1:10">
      <c r="A272" s="123"/>
      <c r="B272" s="113"/>
      <c r="C272" s="124"/>
      <c r="D272" s="125"/>
      <c r="E272" s="125"/>
      <c r="F272" s="126"/>
      <c r="G272" s="113"/>
      <c r="H272" s="112"/>
      <c r="I272" s="140"/>
      <c r="J272" s="101" t="str">
        <f t="shared" ca="1" si="4"/>
        <v/>
      </c>
    </row>
    <row r="273" spans="1:10">
      <c r="A273" s="119"/>
      <c r="B273" s="118"/>
      <c r="C273" s="120"/>
      <c r="D273" s="121"/>
      <c r="E273" s="121"/>
      <c r="F273" s="122"/>
      <c r="G273" s="118"/>
      <c r="H273" s="117"/>
      <c r="I273" s="141"/>
      <c r="J273" s="101" t="str">
        <f t="shared" ca="1" si="4"/>
        <v/>
      </c>
    </row>
    <row r="274" spans="1:10">
      <c r="A274" s="123"/>
      <c r="B274" s="113"/>
      <c r="C274" s="124"/>
      <c r="D274" s="125"/>
      <c r="E274" s="125"/>
      <c r="F274" s="126"/>
      <c r="G274" s="113"/>
      <c r="H274" s="112"/>
      <c r="I274" s="140"/>
      <c r="J274" s="101" t="str">
        <f t="shared" ca="1" si="4"/>
        <v/>
      </c>
    </row>
    <row r="275" spans="1:10">
      <c r="A275" s="119"/>
      <c r="B275" s="118"/>
      <c r="C275" s="120"/>
      <c r="D275" s="121"/>
      <c r="E275" s="121"/>
      <c r="F275" s="122"/>
      <c r="G275" s="118"/>
      <c r="H275" s="117"/>
      <c r="I275" s="141"/>
      <c r="J275" s="101" t="str">
        <f t="shared" ca="1" si="4"/>
        <v/>
      </c>
    </row>
    <row r="276" spans="1:10">
      <c r="A276" s="123"/>
      <c r="B276" s="113"/>
      <c r="C276" s="124"/>
      <c r="D276" s="125"/>
      <c r="E276" s="125"/>
      <c r="F276" s="126"/>
      <c r="G276" s="113"/>
      <c r="H276" s="112"/>
      <c r="I276" s="140"/>
      <c r="J276" s="101" t="str">
        <f t="shared" ca="1" si="4"/>
        <v/>
      </c>
    </row>
    <row r="277" spans="1:10">
      <c r="A277" s="119"/>
      <c r="B277" s="118"/>
      <c r="C277" s="120"/>
      <c r="D277" s="121"/>
      <c r="E277" s="121"/>
      <c r="F277" s="122"/>
      <c r="G277" s="118"/>
      <c r="H277" s="117"/>
      <c r="I277" s="141"/>
      <c r="J277" s="101" t="str">
        <f t="shared" ca="1" si="4"/>
        <v/>
      </c>
    </row>
    <row r="278" spans="1:10">
      <c r="A278" s="123"/>
      <c r="B278" s="113"/>
      <c r="C278" s="124"/>
      <c r="D278" s="125"/>
      <c r="E278" s="125"/>
      <c r="F278" s="126"/>
      <c r="G278" s="113"/>
      <c r="H278" s="112"/>
      <c r="I278" s="140"/>
      <c r="J278" s="101" t="str">
        <f t="shared" ca="1" si="4"/>
        <v/>
      </c>
    </row>
    <row r="279" spans="1:10">
      <c r="A279" s="119"/>
      <c r="B279" s="118"/>
      <c r="C279" s="120"/>
      <c r="D279" s="121"/>
      <c r="E279" s="121"/>
      <c r="F279" s="122"/>
      <c r="G279" s="118"/>
      <c r="H279" s="117"/>
      <c r="I279" s="141"/>
      <c r="J279" s="101" t="str">
        <f t="shared" ca="1" si="4"/>
        <v/>
      </c>
    </row>
    <row r="280" spans="1:10">
      <c r="A280" s="123"/>
      <c r="B280" s="113"/>
      <c r="C280" s="124"/>
      <c r="D280" s="125"/>
      <c r="E280" s="125"/>
      <c r="F280" s="126"/>
      <c r="G280" s="113"/>
      <c r="H280" s="112"/>
      <c r="I280" s="140"/>
      <c r="J280" s="101" t="str">
        <f t="shared" ca="1" si="4"/>
        <v/>
      </c>
    </row>
    <row r="281" spans="1:10">
      <c r="A281" s="119"/>
      <c r="B281" s="118"/>
      <c r="C281" s="120"/>
      <c r="D281" s="121"/>
      <c r="E281" s="121"/>
      <c r="F281" s="122"/>
      <c r="G281" s="118"/>
      <c r="H281" s="117"/>
      <c r="I281" s="141"/>
      <c r="J281" s="101" t="str">
        <f t="shared" ca="1" si="4"/>
        <v/>
      </c>
    </row>
    <row r="282" spans="1:10">
      <c r="A282" s="123"/>
      <c r="B282" s="113"/>
      <c r="C282" s="124"/>
      <c r="D282" s="125"/>
      <c r="E282" s="125"/>
      <c r="F282" s="126"/>
      <c r="G282" s="113"/>
      <c r="H282" s="112"/>
      <c r="I282" s="140"/>
      <c r="J282" s="101" t="str">
        <f t="shared" ca="1" si="4"/>
        <v/>
      </c>
    </row>
    <row r="283" spans="1:10">
      <c r="A283" s="119"/>
      <c r="B283" s="118"/>
      <c r="C283" s="120"/>
      <c r="D283" s="121"/>
      <c r="E283" s="121"/>
      <c r="F283" s="122"/>
      <c r="G283" s="118"/>
      <c r="H283" s="117"/>
      <c r="I283" s="141"/>
      <c r="J283" s="101" t="str">
        <f t="shared" ca="1" si="4"/>
        <v/>
      </c>
    </row>
    <row r="284" spans="1:10">
      <c r="A284" s="123"/>
      <c r="B284" s="113"/>
      <c r="C284" s="124"/>
      <c r="D284" s="125"/>
      <c r="E284" s="125"/>
      <c r="F284" s="126"/>
      <c r="G284" s="113"/>
      <c r="H284" s="112"/>
      <c r="I284" s="140"/>
      <c r="J284" s="101" t="str">
        <f t="shared" ca="1" si="4"/>
        <v/>
      </c>
    </row>
    <row r="285" spans="1:10">
      <c r="A285" s="119"/>
      <c r="B285" s="118"/>
      <c r="C285" s="120"/>
      <c r="D285" s="121"/>
      <c r="E285" s="121"/>
      <c r="F285" s="122"/>
      <c r="G285" s="118"/>
      <c r="H285" s="117"/>
      <c r="I285" s="141"/>
      <c r="J285" s="101" t="str">
        <f t="shared" ca="1" si="4"/>
        <v/>
      </c>
    </row>
    <row r="286" spans="1:10">
      <c r="A286" s="123"/>
      <c r="B286" s="113"/>
      <c r="C286" s="124"/>
      <c r="D286" s="125"/>
      <c r="E286" s="125"/>
      <c r="F286" s="126"/>
      <c r="G286" s="113"/>
      <c r="H286" s="112"/>
      <c r="I286" s="140"/>
      <c r="J286" s="101" t="str">
        <f t="shared" ca="1" si="4"/>
        <v/>
      </c>
    </row>
    <row r="287" spans="1:10">
      <c r="A287" s="119"/>
      <c r="B287" s="118"/>
      <c r="C287" s="120"/>
      <c r="D287" s="121"/>
      <c r="E287" s="121"/>
      <c r="F287" s="122"/>
      <c r="G287" s="118"/>
      <c r="H287" s="117"/>
      <c r="I287" s="141"/>
      <c r="J287" s="101" t="str">
        <f t="shared" ca="1" si="4"/>
        <v/>
      </c>
    </row>
    <row r="288" spans="1:10">
      <c r="A288" s="123"/>
      <c r="B288" s="113"/>
      <c r="C288" s="124"/>
      <c r="D288" s="125"/>
      <c r="E288" s="125"/>
      <c r="F288" s="126"/>
      <c r="G288" s="113"/>
      <c r="H288" s="112"/>
      <c r="I288" s="140"/>
      <c r="J288" s="101" t="str">
        <f t="shared" ca="1" si="4"/>
        <v/>
      </c>
    </row>
    <row r="289" spans="1:10">
      <c r="A289" s="119"/>
      <c r="B289" s="118"/>
      <c r="C289" s="120"/>
      <c r="D289" s="121"/>
      <c r="E289" s="121"/>
      <c r="F289" s="122"/>
      <c r="G289" s="118"/>
      <c r="H289" s="117"/>
      <c r="I289" s="141"/>
      <c r="J289" s="101" t="str">
        <f t="shared" ca="1" si="4"/>
        <v/>
      </c>
    </row>
    <row r="290" spans="1:10">
      <c r="A290" s="123"/>
      <c r="B290" s="113"/>
      <c r="C290" s="124"/>
      <c r="D290" s="125"/>
      <c r="E290" s="125"/>
      <c r="F290" s="126"/>
      <c r="G290" s="113"/>
      <c r="H290" s="112"/>
      <c r="I290" s="140"/>
      <c r="J290" s="101" t="str">
        <f t="shared" ca="1" si="4"/>
        <v/>
      </c>
    </row>
    <row r="291" spans="1:10">
      <c r="A291" s="119"/>
      <c r="B291" s="118"/>
      <c r="C291" s="120"/>
      <c r="D291" s="121"/>
      <c r="E291" s="121"/>
      <c r="F291" s="122"/>
      <c r="G291" s="118"/>
      <c r="H291" s="117"/>
      <c r="I291" s="141"/>
      <c r="J291" s="101" t="str">
        <f t="shared" ca="1" si="4"/>
        <v/>
      </c>
    </row>
    <row r="292" spans="1:10">
      <c r="A292" s="123"/>
      <c r="B292" s="113"/>
      <c r="C292" s="124"/>
      <c r="D292" s="125"/>
      <c r="E292" s="125"/>
      <c r="F292" s="126"/>
      <c r="G292" s="113"/>
      <c r="H292" s="112"/>
      <c r="I292" s="140"/>
      <c r="J292" s="101" t="str">
        <f t="shared" ca="1" si="4"/>
        <v/>
      </c>
    </row>
    <row r="293" spans="1:10">
      <c r="A293" s="119"/>
      <c r="B293" s="118"/>
      <c r="C293" s="120"/>
      <c r="D293" s="121"/>
      <c r="E293" s="121"/>
      <c r="F293" s="122"/>
      <c r="G293" s="118"/>
      <c r="H293" s="117"/>
      <c r="I293" s="141"/>
      <c r="J293" s="101" t="str">
        <f t="shared" ca="1" si="4"/>
        <v/>
      </c>
    </row>
    <row r="294" spans="1:10">
      <c r="A294" s="123"/>
      <c r="B294" s="113"/>
      <c r="C294" s="124"/>
      <c r="D294" s="125"/>
      <c r="E294" s="125"/>
      <c r="F294" s="126"/>
      <c r="G294" s="113"/>
      <c r="H294" s="112"/>
      <c r="I294" s="140"/>
      <c r="J294" s="101" t="str">
        <f t="shared" ca="1" si="4"/>
        <v/>
      </c>
    </row>
    <row r="295" spans="1:10">
      <c r="A295" s="119"/>
      <c r="B295" s="118"/>
      <c r="C295" s="120"/>
      <c r="D295" s="121"/>
      <c r="E295" s="121"/>
      <c r="F295" s="122"/>
      <c r="G295" s="118"/>
      <c r="H295" s="117"/>
      <c r="I295" s="141"/>
      <c r="J295" s="101" t="str">
        <f t="shared" ca="1" si="4"/>
        <v/>
      </c>
    </row>
    <row r="296" spans="1:10">
      <c r="A296" s="123"/>
      <c r="B296" s="113"/>
      <c r="C296" s="124"/>
      <c r="D296" s="125"/>
      <c r="E296" s="125"/>
      <c r="F296" s="126"/>
      <c r="G296" s="113"/>
      <c r="H296" s="112"/>
      <c r="I296" s="140"/>
      <c r="J296" s="101" t="str">
        <f t="shared" ca="1" si="4"/>
        <v/>
      </c>
    </row>
    <row r="297" spans="1:10">
      <c r="A297" s="119"/>
      <c r="B297" s="118"/>
      <c r="C297" s="120"/>
      <c r="D297" s="121"/>
      <c r="E297" s="121"/>
      <c r="F297" s="122"/>
      <c r="G297" s="118"/>
      <c r="H297" s="117"/>
      <c r="I297" s="141"/>
      <c r="J297" s="101" t="str">
        <f t="shared" ca="1" si="4"/>
        <v/>
      </c>
    </row>
    <row r="298" spans="1:10">
      <c r="A298" s="123"/>
      <c r="B298" s="113"/>
      <c r="C298" s="124"/>
      <c r="D298" s="125"/>
      <c r="E298" s="125"/>
      <c r="F298" s="126"/>
      <c r="G298" s="113"/>
      <c r="H298" s="112"/>
      <c r="I298" s="140"/>
      <c r="J298" s="101" t="str">
        <f t="shared" ca="1" si="4"/>
        <v/>
      </c>
    </row>
    <row r="299" spans="1:10">
      <c r="A299" s="119"/>
      <c r="B299" s="118"/>
      <c r="C299" s="120"/>
      <c r="D299" s="121"/>
      <c r="E299" s="121"/>
      <c r="F299" s="122"/>
      <c r="G299" s="118"/>
      <c r="H299" s="117"/>
      <c r="I299" s="141"/>
      <c r="J299" s="101" t="str">
        <f t="shared" ca="1" si="4"/>
        <v/>
      </c>
    </row>
    <row r="300" spans="1:10">
      <c r="A300" s="123"/>
      <c r="B300" s="113"/>
      <c r="C300" s="124"/>
      <c r="D300" s="125"/>
      <c r="E300" s="125"/>
      <c r="F300" s="126"/>
      <c r="G300" s="113"/>
      <c r="H300" s="112"/>
      <c r="I300" s="140"/>
      <c r="J300" s="101" t="str">
        <f t="shared" ca="1" si="4"/>
        <v/>
      </c>
    </row>
    <row r="301" spans="1:10">
      <c r="A301" s="119"/>
      <c r="B301" s="118"/>
      <c r="C301" s="120"/>
      <c r="D301" s="121"/>
      <c r="E301" s="121"/>
      <c r="F301" s="122"/>
      <c r="G301" s="118"/>
      <c r="H301" s="117"/>
      <c r="I301" s="141"/>
      <c r="J301" s="101" t="str">
        <f t="shared" ca="1" si="4"/>
        <v/>
      </c>
    </row>
    <row r="302" spans="1:10">
      <c r="A302" s="123"/>
      <c r="B302" s="113"/>
      <c r="C302" s="124"/>
      <c r="D302" s="125"/>
      <c r="E302" s="125"/>
      <c r="F302" s="126"/>
      <c r="G302" s="113"/>
      <c r="H302" s="112"/>
      <c r="I302" s="140"/>
      <c r="J302" s="101" t="str">
        <f t="shared" ca="1" si="4"/>
        <v/>
      </c>
    </row>
    <row r="303" spans="1:10">
      <c r="A303" s="119"/>
      <c r="B303" s="118"/>
      <c r="C303" s="120"/>
      <c r="D303" s="121"/>
      <c r="E303" s="121"/>
      <c r="F303" s="122"/>
      <c r="G303" s="118"/>
      <c r="H303" s="117"/>
      <c r="I303" s="141"/>
      <c r="J303" s="101" t="str">
        <f t="shared" ca="1" si="4"/>
        <v/>
      </c>
    </row>
    <row r="304" spans="1:10">
      <c r="A304" s="123"/>
      <c r="B304" s="113"/>
      <c r="C304" s="124"/>
      <c r="D304" s="125"/>
      <c r="E304" s="125"/>
      <c r="F304" s="126"/>
      <c r="G304" s="113"/>
      <c r="H304" s="112"/>
      <c r="I304" s="140"/>
      <c r="J304" s="101" t="str">
        <f t="shared" ca="1" si="4"/>
        <v/>
      </c>
    </row>
    <row r="305" spans="1:10">
      <c r="A305" s="119"/>
      <c r="B305" s="118"/>
      <c r="C305" s="120"/>
      <c r="D305" s="121"/>
      <c r="E305" s="121"/>
      <c r="F305" s="122"/>
      <c r="G305" s="118"/>
      <c r="H305" s="117"/>
      <c r="I305" s="141"/>
      <c r="J305" s="101" t="str">
        <f t="shared" ca="1" si="4"/>
        <v/>
      </c>
    </row>
    <row r="306" spans="1:10">
      <c r="A306" s="123"/>
      <c r="B306" s="113"/>
      <c r="C306" s="124"/>
      <c r="D306" s="125"/>
      <c r="E306" s="125"/>
      <c r="F306" s="126"/>
      <c r="G306" s="113"/>
      <c r="H306" s="112"/>
      <c r="I306" s="140"/>
      <c r="J306" s="101" t="str">
        <f t="shared" ca="1" si="4"/>
        <v/>
      </c>
    </row>
    <row r="307" spans="1:10">
      <c r="A307" s="119"/>
      <c r="B307" s="118"/>
      <c r="C307" s="120"/>
      <c r="D307" s="121"/>
      <c r="E307" s="121"/>
      <c r="F307" s="122"/>
      <c r="G307" s="118"/>
      <c r="H307" s="117"/>
      <c r="I307" s="141"/>
      <c r="J307" s="101" t="str">
        <f t="shared" ca="1" si="4"/>
        <v/>
      </c>
    </row>
    <row r="308" spans="1:10">
      <c r="A308" s="123"/>
      <c r="B308" s="113"/>
      <c r="C308" s="124"/>
      <c r="D308" s="125"/>
      <c r="E308" s="125"/>
      <c r="F308" s="126"/>
      <c r="G308" s="113"/>
      <c r="H308" s="112"/>
      <c r="I308" s="140"/>
      <c r="J308" s="101" t="str">
        <f t="shared" ca="1" si="4"/>
        <v/>
      </c>
    </row>
    <row r="309" spans="1:10">
      <c r="A309" s="119"/>
      <c r="B309" s="118"/>
      <c r="C309" s="120"/>
      <c r="D309" s="121"/>
      <c r="E309" s="121"/>
      <c r="F309" s="122"/>
      <c r="G309" s="118"/>
      <c r="H309" s="117"/>
      <c r="I309" s="141"/>
      <c r="J309" s="101" t="str">
        <f t="shared" ca="1" si="4"/>
        <v/>
      </c>
    </row>
    <row r="310" spans="1:10">
      <c r="A310" s="123"/>
      <c r="B310" s="113"/>
      <c r="C310" s="124"/>
      <c r="D310" s="125"/>
      <c r="E310" s="125"/>
      <c r="F310" s="126"/>
      <c r="G310" s="113"/>
      <c r="H310" s="112"/>
      <c r="I310" s="140"/>
      <c r="J310" s="101" t="str">
        <f t="shared" ca="1" si="4"/>
        <v/>
      </c>
    </row>
    <row r="311" spans="1:10">
      <c r="A311" s="119"/>
      <c r="B311" s="118"/>
      <c r="C311" s="120"/>
      <c r="D311" s="121"/>
      <c r="E311" s="121"/>
      <c r="F311" s="122"/>
      <c r="G311" s="118"/>
      <c r="H311" s="117"/>
      <c r="I311" s="141"/>
      <c r="J311" s="101" t="str">
        <f t="shared" ca="1" si="4"/>
        <v/>
      </c>
    </row>
    <row r="312" spans="1:10">
      <c r="A312" s="123"/>
      <c r="B312" s="113"/>
      <c r="C312" s="124"/>
      <c r="D312" s="125"/>
      <c r="E312" s="125"/>
      <c r="F312" s="126"/>
      <c r="G312" s="113"/>
      <c r="H312" s="112"/>
      <c r="I312" s="140"/>
      <c r="J312" s="101" t="str">
        <f t="shared" ca="1" si="4"/>
        <v/>
      </c>
    </row>
    <row r="313" spans="1:10">
      <c r="A313" s="119"/>
      <c r="B313" s="118"/>
      <c r="C313" s="120"/>
      <c r="D313" s="121"/>
      <c r="E313" s="121"/>
      <c r="F313" s="122"/>
      <c r="G313" s="118"/>
      <c r="H313" s="117"/>
      <c r="I313" s="141"/>
      <c r="J313" s="101" t="str">
        <f t="shared" ca="1" si="4"/>
        <v/>
      </c>
    </row>
    <row r="314" spans="1:10">
      <c r="A314" s="123"/>
      <c r="B314" s="113"/>
      <c r="C314" s="124"/>
      <c r="D314" s="125"/>
      <c r="E314" s="125"/>
      <c r="F314" s="126"/>
      <c r="G314" s="113"/>
      <c r="H314" s="112"/>
      <c r="I314" s="140"/>
      <c r="J314" s="101" t="str">
        <f t="shared" ca="1" si="4"/>
        <v/>
      </c>
    </row>
    <row r="315" spans="1:10">
      <c r="A315" s="119"/>
      <c r="B315" s="118"/>
      <c r="C315" s="120"/>
      <c r="D315" s="121"/>
      <c r="E315" s="121"/>
      <c r="F315" s="122"/>
      <c r="G315" s="118"/>
      <c r="H315" s="117"/>
      <c r="I315" s="141"/>
      <c r="J315" s="101" t="str">
        <f t="shared" ca="1" si="4"/>
        <v/>
      </c>
    </row>
    <row r="316" spans="1:10">
      <c r="A316" s="123"/>
      <c r="B316" s="113"/>
      <c r="C316" s="124"/>
      <c r="D316" s="125"/>
      <c r="E316" s="125"/>
      <c r="F316" s="126"/>
      <c r="G316" s="113"/>
      <c r="H316" s="112"/>
      <c r="I316" s="140"/>
      <c r="J316" s="101" t="str">
        <f t="shared" ca="1" si="4"/>
        <v/>
      </c>
    </row>
    <row r="317" spans="1:10">
      <c r="A317" s="119"/>
      <c r="B317" s="118"/>
      <c r="C317" s="120"/>
      <c r="D317" s="121"/>
      <c r="E317" s="121"/>
      <c r="F317" s="122"/>
      <c r="G317" s="118"/>
      <c r="H317" s="117"/>
      <c r="I317" s="141"/>
      <c r="J317" s="101" t="str">
        <f t="shared" ca="1" si="4"/>
        <v/>
      </c>
    </row>
    <row r="318" spans="1:10">
      <c r="A318" s="123"/>
      <c r="B318" s="113"/>
      <c r="C318" s="124"/>
      <c r="D318" s="125"/>
      <c r="E318" s="125"/>
      <c r="F318" s="126"/>
      <c r="G318" s="113"/>
      <c r="H318" s="112"/>
      <c r="I318" s="140"/>
      <c r="J318" s="101" t="str">
        <f t="shared" ca="1" si="4"/>
        <v/>
      </c>
    </row>
    <row r="319" spans="1:10">
      <c r="A319" s="119"/>
      <c r="B319" s="118"/>
      <c r="C319" s="120"/>
      <c r="D319" s="121"/>
      <c r="E319" s="121"/>
      <c r="F319" s="122"/>
      <c r="G319" s="118"/>
      <c r="H319" s="117"/>
      <c r="I319" s="141"/>
      <c r="J319" s="101" t="str">
        <f t="shared" ca="1" si="4"/>
        <v/>
      </c>
    </row>
    <row r="320" spans="1:10">
      <c r="A320" s="123"/>
      <c r="B320" s="113"/>
      <c r="C320" s="124"/>
      <c r="D320" s="125"/>
      <c r="E320" s="125"/>
      <c r="F320" s="126"/>
      <c r="G320" s="113"/>
      <c r="H320" s="112"/>
      <c r="I320" s="140"/>
      <c r="J320" s="101" t="str">
        <f t="shared" ca="1" si="4"/>
        <v/>
      </c>
    </row>
    <row r="321" spans="1:10">
      <c r="A321" s="119"/>
      <c r="B321" s="118"/>
      <c r="C321" s="120"/>
      <c r="D321" s="121"/>
      <c r="E321" s="121"/>
      <c r="F321" s="122"/>
      <c r="G321" s="118"/>
      <c r="H321" s="117"/>
      <c r="I321" s="141"/>
      <c r="J321" s="101" t="str">
        <f t="shared" ca="1" si="4"/>
        <v/>
      </c>
    </row>
    <row r="322" spans="1:10">
      <c r="A322" s="123"/>
      <c r="B322" s="113"/>
      <c r="C322" s="124"/>
      <c r="D322" s="125"/>
      <c r="E322" s="125"/>
      <c r="F322" s="126"/>
      <c r="G322" s="113"/>
      <c r="H322" s="112"/>
      <c r="I322" s="140"/>
      <c r="J322" s="101" t="str">
        <f t="shared" ca="1" si="4"/>
        <v/>
      </c>
    </row>
    <row r="323" spans="1:10">
      <c r="A323" s="119"/>
      <c r="B323" s="118"/>
      <c r="C323" s="120"/>
      <c r="D323" s="121"/>
      <c r="E323" s="121"/>
      <c r="F323" s="122"/>
      <c r="G323" s="118"/>
      <c r="H323" s="117"/>
      <c r="I323" s="141"/>
      <c r="J323" s="101" t="str">
        <f t="shared" ref="J323:J386" ca="1" si="5">_xlfn.LET(
    _xlpm.AllCellsFilled, COUNTA(A323:I323) = 9,
    _xlpm.QtyIsInt, AND(ISNUMBER(G323), G323=INT(G323)),
    _xlpm.AvailDateIsValid, AND(ISNUMBER(F323), F323&gt;=TODAY()),
    _xlpm.ReqDateIsValid, AND(ISNUMBER(H323), H323&gt;=TODAY()),
    _xlpm.EmailIsValid, RIGHT(I323,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IF(A323="", "", IF(_xlpm.error_messages = "", "Yes", _xlpm.error_messages))
)</f>
        <v/>
      </c>
    </row>
    <row r="324" spans="1:10">
      <c r="A324" s="123"/>
      <c r="B324" s="113"/>
      <c r="C324" s="124"/>
      <c r="D324" s="125"/>
      <c r="E324" s="125"/>
      <c r="F324" s="126"/>
      <c r="G324" s="113"/>
      <c r="H324" s="112"/>
      <c r="I324" s="140"/>
      <c r="J324" s="101" t="str">
        <f t="shared" ca="1" si="5"/>
        <v/>
      </c>
    </row>
    <row r="325" spans="1:10">
      <c r="A325" s="119"/>
      <c r="B325" s="118"/>
      <c r="C325" s="120"/>
      <c r="D325" s="121"/>
      <c r="E325" s="121"/>
      <c r="F325" s="122"/>
      <c r="G325" s="118"/>
      <c r="H325" s="117"/>
      <c r="I325" s="141"/>
      <c r="J325" s="101" t="str">
        <f t="shared" ca="1" si="5"/>
        <v/>
      </c>
    </row>
    <row r="326" spans="1:10">
      <c r="A326" s="123"/>
      <c r="B326" s="113"/>
      <c r="C326" s="124"/>
      <c r="D326" s="125"/>
      <c r="E326" s="125"/>
      <c r="F326" s="126"/>
      <c r="G326" s="113"/>
      <c r="H326" s="112"/>
      <c r="I326" s="140"/>
      <c r="J326" s="101" t="str">
        <f t="shared" ca="1" si="5"/>
        <v/>
      </c>
    </row>
    <row r="327" spans="1:10">
      <c r="A327" s="119"/>
      <c r="B327" s="118"/>
      <c r="C327" s="120"/>
      <c r="D327" s="121"/>
      <c r="E327" s="121"/>
      <c r="F327" s="122"/>
      <c r="G327" s="118"/>
      <c r="H327" s="117"/>
      <c r="I327" s="141"/>
      <c r="J327" s="101" t="str">
        <f t="shared" ca="1" si="5"/>
        <v/>
      </c>
    </row>
    <row r="328" spans="1:10">
      <c r="A328" s="123"/>
      <c r="B328" s="113"/>
      <c r="C328" s="124"/>
      <c r="D328" s="125"/>
      <c r="E328" s="125"/>
      <c r="F328" s="126"/>
      <c r="G328" s="113"/>
      <c r="H328" s="112"/>
      <c r="I328" s="140"/>
      <c r="J328" s="101" t="str">
        <f t="shared" ca="1" si="5"/>
        <v/>
      </c>
    </row>
    <row r="329" spans="1:10">
      <c r="A329" s="119"/>
      <c r="B329" s="118"/>
      <c r="C329" s="120"/>
      <c r="D329" s="121"/>
      <c r="E329" s="121"/>
      <c r="F329" s="122"/>
      <c r="G329" s="118"/>
      <c r="H329" s="117"/>
      <c r="I329" s="141"/>
      <c r="J329" s="101" t="str">
        <f t="shared" ca="1" si="5"/>
        <v/>
      </c>
    </row>
    <row r="330" spans="1:10">
      <c r="A330" s="123"/>
      <c r="B330" s="113"/>
      <c r="C330" s="124"/>
      <c r="D330" s="125"/>
      <c r="E330" s="125"/>
      <c r="F330" s="126"/>
      <c r="G330" s="113"/>
      <c r="H330" s="112"/>
      <c r="I330" s="140"/>
      <c r="J330" s="101" t="str">
        <f t="shared" ca="1" si="5"/>
        <v/>
      </c>
    </row>
    <row r="331" spans="1:10">
      <c r="A331" s="119"/>
      <c r="B331" s="118"/>
      <c r="C331" s="120"/>
      <c r="D331" s="121"/>
      <c r="E331" s="121"/>
      <c r="F331" s="122"/>
      <c r="G331" s="118"/>
      <c r="H331" s="117"/>
      <c r="I331" s="141"/>
      <c r="J331" s="101" t="str">
        <f t="shared" ca="1" si="5"/>
        <v/>
      </c>
    </row>
    <row r="332" spans="1:10">
      <c r="A332" s="123"/>
      <c r="B332" s="113"/>
      <c r="C332" s="124"/>
      <c r="D332" s="125"/>
      <c r="E332" s="125"/>
      <c r="F332" s="126"/>
      <c r="G332" s="113"/>
      <c r="H332" s="112"/>
      <c r="I332" s="140"/>
      <c r="J332" s="101" t="str">
        <f t="shared" ca="1" si="5"/>
        <v/>
      </c>
    </row>
    <row r="333" spans="1:10">
      <c r="A333" s="119"/>
      <c r="B333" s="118"/>
      <c r="C333" s="120"/>
      <c r="D333" s="121"/>
      <c r="E333" s="121"/>
      <c r="F333" s="122"/>
      <c r="G333" s="118"/>
      <c r="H333" s="117"/>
      <c r="I333" s="141"/>
      <c r="J333" s="101" t="str">
        <f t="shared" ca="1" si="5"/>
        <v/>
      </c>
    </row>
    <row r="334" spans="1:10">
      <c r="A334" s="123"/>
      <c r="B334" s="113"/>
      <c r="C334" s="124"/>
      <c r="D334" s="125"/>
      <c r="E334" s="125"/>
      <c r="F334" s="126"/>
      <c r="G334" s="113"/>
      <c r="H334" s="112"/>
      <c r="I334" s="140"/>
      <c r="J334" s="101" t="str">
        <f t="shared" ca="1" si="5"/>
        <v/>
      </c>
    </row>
    <row r="335" spans="1:10">
      <c r="A335" s="119"/>
      <c r="B335" s="118"/>
      <c r="C335" s="120"/>
      <c r="D335" s="121"/>
      <c r="E335" s="121"/>
      <c r="F335" s="122"/>
      <c r="G335" s="118"/>
      <c r="H335" s="117"/>
      <c r="I335" s="141"/>
      <c r="J335" s="101" t="str">
        <f t="shared" ca="1" si="5"/>
        <v/>
      </c>
    </row>
    <row r="336" spans="1:10">
      <c r="A336" s="123"/>
      <c r="B336" s="113"/>
      <c r="C336" s="124"/>
      <c r="D336" s="125"/>
      <c r="E336" s="125"/>
      <c r="F336" s="126"/>
      <c r="G336" s="113"/>
      <c r="H336" s="112"/>
      <c r="I336" s="140"/>
      <c r="J336" s="101" t="str">
        <f t="shared" ca="1" si="5"/>
        <v/>
      </c>
    </row>
    <row r="337" spans="1:10">
      <c r="A337" s="119"/>
      <c r="B337" s="118"/>
      <c r="C337" s="120"/>
      <c r="D337" s="121"/>
      <c r="E337" s="121"/>
      <c r="F337" s="122"/>
      <c r="G337" s="118"/>
      <c r="H337" s="117"/>
      <c r="I337" s="141"/>
      <c r="J337" s="101" t="str">
        <f t="shared" ca="1" si="5"/>
        <v/>
      </c>
    </row>
    <row r="338" spans="1:10">
      <c r="A338" s="123"/>
      <c r="B338" s="113"/>
      <c r="C338" s="124"/>
      <c r="D338" s="125"/>
      <c r="E338" s="125"/>
      <c r="F338" s="126"/>
      <c r="G338" s="113"/>
      <c r="H338" s="112"/>
      <c r="I338" s="140"/>
      <c r="J338" s="101" t="str">
        <f t="shared" ca="1" si="5"/>
        <v/>
      </c>
    </row>
    <row r="339" spans="1:10">
      <c r="A339" s="119"/>
      <c r="B339" s="118"/>
      <c r="C339" s="120"/>
      <c r="D339" s="121"/>
      <c r="E339" s="121"/>
      <c r="F339" s="122"/>
      <c r="G339" s="118"/>
      <c r="H339" s="117"/>
      <c r="I339" s="141"/>
      <c r="J339" s="101" t="str">
        <f t="shared" ca="1" si="5"/>
        <v/>
      </c>
    </row>
    <row r="340" spans="1:10">
      <c r="A340" s="123"/>
      <c r="B340" s="113"/>
      <c r="C340" s="124"/>
      <c r="D340" s="125"/>
      <c r="E340" s="125"/>
      <c r="F340" s="126"/>
      <c r="G340" s="113"/>
      <c r="H340" s="112"/>
      <c r="I340" s="140"/>
      <c r="J340" s="101" t="str">
        <f t="shared" ca="1" si="5"/>
        <v/>
      </c>
    </row>
    <row r="341" spans="1:10">
      <c r="A341" s="119"/>
      <c r="B341" s="118"/>
      <c r="C341" s="120"/>
      <c r="D341" s="121"/>
      <c r="E341" s="121"/>
      <c r="F341" s="122"/>
      <c r="G341" s="118"/>
      <c r="H341" s="117"/>
      <c r="I341" s="141"/>
      <c r="J341" s="101" t="str">
        <f t="shared" ca="1" si="5"/>
        <v/>
      </c>
    </row>
    <row r="342" spans="1:10">
      <c r="A342" s="123"/>
      <c r="B342" s="113"/>
      <c r="C342" s="124"/>
      <c r="D342" s="125"/>
      <c r="E342" s="125"/>
      <c r="F342" s="126"/>
      <c r="G342" s="113"/>
      <c r="H342" s="112"/>
      <c r="I342" s="140"/>
      <c r="J342" s="101" t="str">
        <f t="shared" ca="1" si="5"/>
        <v/>
      </c>
    </row>
    <row r="343" spans="1:10">
      <c r="A343" s="119"/>
      <c r="B343" s="118"/>
      <c r="C343" s="120"/>
      <c r="D343" s="121"/>
      <c r="E343" s="121"/>
      <c r="F343" s="122"/>
      <c r="G343" s="118"/>
      <c r="H343" s="117"/>
      <c r="I343" s="141"/>
      <c r="J343" s="101" t="str">
        <f t="shared" ca="1" si="5"/>
        <v/>
      </c>
    </row>
    <row r="344" spans="1:10">
      <c r="A344" s="123"/>
      <c r="B344" s="113"/>
      <c r="C344" s="124"/>
      <c r="D344" s="125"/>
      <c r="E344" s="125"/>
      <c r="F344" s="126"/>
      <c r="G344" s="113"/>
      <c r="H344" s="112"/>
      <c r="I344" s="140"/>
      <c r="J344" s="101" t="str">
        <f t="shared" ca="1" si="5"/>
        <v/>
      </c>
    </row>
    <row r="345" spans="1:10">
      <c r="A345" s="119"/>
      <c r="B345" s="118"/>
      <c r="C345" s="120"/>
      <c r="D345" s="121"/>
      <c r="E345" s="121"/>
      <c r="F345" s="122"/>
      <c r="G345" s="118"/>
      <c r="H345" s="117"/>
      <c r="I345" s="141"/>
      <c r="J345" s="101" t="str">
        <f t="shared" ca="1" si="5"/>
        <v/>
      </c>
    </row>
    <row r="346" spans="1:10">
      <c r="A346" s="123"/>
      <c r="B346" s="113"/>
      <c r="C346" s="124"/>
      <c r="D346" s="125"/>
      <c r="E346" s="125"/>
      <c r="F346" s="126"/>
      <c r="G346" s="113"/>
      <c r="H346" s="112"/>
      <c r="I346" s="140"/>
      <c r="J346" s="101" t="str">
        <f t="shared" ca="1" si="5"/>
        <v/>
      </c>
    </row>
    <row r="347" spans="1:10">
      <c r="A347" s="119"/>
      <c r="B347" s="118"/>
      <c r="C347" s="120"/>
      <c r="D347" s="121"/>
      <c r="E347" s="121"/>
      <c r="F347" s="122"/>
      <c r="G347" s="118"/>
      <c r="H347" s="117"/>
      <c r="I347" s="141"/>
      <c r="J347" s="101" t="str">
        <f t="shared" ca="1" si="5"/>
        <v/>
      </c>
    </row>
    <row r="348" spans="1:10">
      <c r="A348" s="123"/>
      <c r="B348" s="113"/>
      <c r="C348" s="124"/>
      <c r="D348" s="125"/>
      <c r="E348" s="125"/>
      <c r="F348" s="126"/>
      <c r="G348" s="113"/>
      <c r="H348" s="112"/>
      <c r="I348" s="140"/>
      <c r="J348" s="101" t="str">
        <f t="shared" ca="1" si="5"/>
        <v/>
      </c>
    </row>
    <row r="349" spans="1:10">
      <c r="A349" s="119"/>
      <c r="B349" s="118"/>
      <c r="C349" s="120"/>
      <c r="D349" s="121"/>
      <c r="E349" s="121"/>
      <c r="F349" s="122"/>
      <c r="G349" s="118"/>
      <c r="H349" s="117"/>
      <c r="I349" s="141"/>
      <c r="J349" s="101" t="str">
        <f t="shared" ca="1" si="5"/>
        <v/>
      </c>
    </row>
    <row r="350" spans="1:10">
      <c r="A350" s="123"/>
      <c r="B350" s="113"/>
      <c r="C350" s="124"/>
      <c r="D350" s="125"/>
      <c r="E350" s="125"/>
      <c r="F350" s="126"/>
      <c r="G350" s="113"/>
      <c r="H350" s="112"/>
      <c r="I350" s="140"/>
      <c r="J350" s="101" t="str">
        <f t="shared" ca="1" si="5"/>
        <v/>
      </c>
    </row>
    <row r="351" spans="1:10">
      <c r="A351" s="119"/>
      <c r="B351" s="118"/>
      <c r="C351" s="120"/>
      <c r="D351" s="121"/>
      <c r="E351" s="121"/>
      <c r="F351" s="122"/>
      <c r="G351" s="118"/>
      <c r="H351" s="117"/>
      <c r="I351" s="141"/>
      <c r="J351" s="101" t="str">
        <f t="shared" ca="1" si="5"/>
        <v/>
      </c>
    </row>
    <row r="352" spans="1:10">
      <c r="A352" s="123"/>
      <c r="B352" s="113"/>
      <c r="C352" s="124"/>
      <c r="D352" s="125"/>
      <c r="E352" s="125"/>
      <c r="F352" s="126"/>
      <c r="G352" s="113"/>
      <c r="H352" s="112"/>
      <c r="I352" s="140"/>
      <c r="J352" s="101" t="str">
        <f t="shared" ca="1" si="5"/>
        <v/>
      </c>
    </row>
    <row r="353" spans="1:10">
      <c r="A353" s="119"/>
      <c r="B353" s="118"/>
      <c r="C353" s="120"/>
      <c r="D353" s="121"/>
      <c r="E353" s="121"/>
      <c r="F353" s="122"/>
      <c r="G353" s="118"/>
      <c r="H353" s="117"/>
      <c r="I353" s="141"/>
      <c r="J353" s="101" t="str">
        <f t="shared" ca="1" si="5"/>
        <v/>
      </c>
    </row>
    <row r="354" spans="1:10">
      <c r="A354" s="123"/>
      <c r="B354" s="113"/>
      <c r="C354" s="124"/>
      <c r="D354" s="125"/>
      <c r="E354" s="125"/>
      <c r="F354" s="126"/>
      <c r="G354" s="113"/>
      <c r="H354" s="112"/>
      <c r="I354" s="140"/>
      <c r="J354" s="101" t="str">
        <f t="shared" ca="1" si="5"/>
        <v/>
      </c>
    </row>
    <row r="355" spans="1:10">
      <c r="A355" s="119"/>
      <c r="B355" s="118"/>
      <c r="C355" s="120"/>
      <c r="D355" s="121"/>
      <c r="E355" s="121"/>
      <c r="F355" s="122"/>
      <c r="G355" s="118"/>
      <c r="H355" s="117"/>
      <c r="I355" s="141"/>
      <c r="J355" s="101" t="str">
        <f t="shared" ca="1" si="5"/>
        <v/>
      </c>
    </row>
    <row r="356" spans="1:10">
      <c r="A356" s="123"/>
      <c r="B356" s="113"/>
      <c r="C356" s="124"/>
      <c r="D356" s="125"/>
      <c r="E356" s="125"/>
      <c r="F356" s="126"/>
      <c r="G356" s="113"/>
      <c r="H356" s="112"/>
      <c r="I356" s="140"/>
      <c r="J356" s="101" t="str">
        <f t="shared" ca="1" si="5"/>
        <v/>
      </c>
    </row>
    <row r="357" spans="1:10">
      <c r="A357" s="119"/>
      <c r="B357" s="118"/>
      <c r="C357" s="120"/>
      <c r="D357" s="121"/>
      <c r="E357" s="121"/>
      <c r="F357" s="122"/>
      <c r="G357" s="118"/>
      <c r="H357" s="117"/>
      <c r="I357" s="141"/>
      <c r="J357" s="101" t="str">
        <f t="shared" ca="1" si="5"/>
        <v/>
      </c>
    </row>
    <row r="358" spans="1:10">
      <c r="A358" s="123"/>
      <c r="B358" s="113"/>
      <c r="C358" s="124"/>
      <c r="D358" s="125"/>
      <c r="E358" s="125"/>
      <c r="F358" s="126"/>
      <c r="G358" s="113"/>
      <c r="H358" s="112"/>
      <c r="I358" s="140"/>
      <c r="J358" s="101" t="str">
        <f t="shared" ca="1" si="5"/>
        <v/>
      </c>
    </row>
    <row r="359" spans="1:10">
      <c r="A359" s="119"/>
      <c r="B359" s="118"/>
      <c r="C359" s="120"/>
      <c r="D359" s="121"/>
      <c r="E359" s="121"/>
      <c r="F359" s="122"/>
      <c r="G359" s="118"/>
      <c r="H359" s="117"/>
      <c r="I359" s="141"/>
      <c r="J359" s="101" t="str">
        <f t="shared" ca="1" si="5"/>
        <v/>
      </c>
    </row>
    <row r="360" spans="1:10">
      <c r="A360" s="123"/>
      <c r="B360" s="113"/>
      <c r="C360" s="124"/>
      <c r="D360" s="125"/>
      <c r="E360" s="125"/>
      <c r="F360" s="126"/>
      <c r="G360" s="113"/>
      <c r="H360" s="112"/>
      <c r="I360" s="140"/>
      <c r="J360" s="101" t="str">
        <f t="shared" ca="1" si="5"/>
        <v/>
      </c>
    </row>
    <row r="361" spans="1:10">
      <c r="A361" s="119"/>
      <c r="B361" s="118"/>
      <c r="C361" s="120"/>
      <c r="D361" s="121"/>
      <c r="E361" s="121"/>
      <c r="F361" s="122"/>
      <c r="G361" s="118"/>
      <c r="H361" s="117"/>
      <c r="I361" s="141"/>
      <c r="J361" s="101" t="str">
        <f t="shared" ca="1" si="5"/>
        <v/>
      </c>
    </row>
    <row r="362" spans="1:10">
      <c r="A362" s="123"/>
      <c r="B362" s="113"/>
      <c r="C362" s="124"/>
      <c r="D362" s="125"/>
      <c r="E362" s="125"/>
      <c r="F362" s="126"/>
      <c r="G362" s="113"/>
      <c r="H362" s="112"/>
      <c r="I362" s="140"/>
      <c r="J362" s="101" t="str">
        <f t="shared" ca="1" si="5"/>
        <v/>
      </c>
    </row>
    <row r="363" spans="1:10">
      <c r="A363" s="119"/>
      <c r="B363" s="118"/>
      <c r="C363" s="120"/>
      <c r="D363" s="121"/>
      <c r="E363" s="121"/>
      <c r="F363" s="122"/>
      <c r="G363" s="118"/>
      <c r="H363" s="117"/>
      <c r="I363" s="141"/>
      <c r="J363" s="101" t="str">
        <f t="shared" ca="1" si="5"/>
        <v/>
      </c>
    </row>
    <row r="364" spans="1:10">
      <c r="A364" s="123"/>
      <c r="B364" s="113"/>
      <c r="C364" s="124"/>
      <c r="D364" s="125"/>
      <c r="E364" s="125"/>
      <c r="F364" s="126"/>
      <c r="G364" s="113"/>
      <c r="H364" s="112"/>
      <c r="I364" s="140"/>
      <c r="J364" s="101" t="str">
        <f t="shared" ca="1" si="5"/>
        <v/>
      </c>
    </row>
    <row r="365" spans="1:10">
      <c r="A365" s="119"/>
      <c r="B365" s="118"/>
      <c r="C365" s="120"/>
      <c r="D365" s="121"/>
      <c r="E365" s="121"/>
      <c r="F365" s="122"/>
      <c r="G365" s="118"/>
      <c r="H365" s="117"/>
      <c r="I365" s="141"/>
      <c r="J365" s="101" t="str">
        <f t="shared" ca="1" si="5"/>
        <v/>
      </c>
    </row>
    <row r="366" spans="1:10">
      <c r="A366" s="123"/>
      <c r="B366" s="113"/>
      <c r="C366" s="124"/>
      <c r="D366" s="125"/>
      <c r="E366" s="125"/>
      <c r="F366" s="126"/>
      <c r="G366" s="113"/>
      <c r="H366" s="112"/>
      <c r="I366" s="140"/>
      <c r="J366" s="101" t="str">
        <f t="shared" ca="1" si="5"/>
        <v/>
      </c>
    </row>
    <row r="367" spans="1:10">
      <c r="A367" s="119"/>
      <c r="B367" s="118"/>
      <c r="C367" s="120"/>
      <c r="D367" s="121"/>
      <c r="E367" s="121"/>
      <c r="F367" s="122"/>
      <c r="G367" s="118"/>
      <c r="H367" s="117"/>
      <c r="I367" s="141"/>
      <c r="J367" s="101" t="str">
        <f t="shared" ca="1" si="5"/>
        <v/>
      </c>
    </row>
    <row r="368" spans="1:10">
      <c r="A368" s="123"/>
      <c r="B368" s="113"/>
      <c r="C368" s="124"/>
      <c r="D368" s="125"/>
      <c r="E368" s="125"/>
      <c r="F368" s="126"/>
      <c r="G368" s="113"/>
      <c r="H368" s="112"/>
      <c r="I368" s="140"/>
      <c r="J368" s="101" t="str">
        <f t="shared" ca="1" si="5"/>
        <v/>
      </c>
    </row>
    <row r="369" spans="1:10">
      <c r="A369" s="119"/>
      <c r="B369" s="118"/>
      <c r="C369" s="120"/>
      <c r="D369" s="121"/>
      <c r="E369" s="121"/>
      <c r="F369" s="122"/>
      <c r="G369" s="118"/>
      <c r="H369" s="117"/>
      <c r="I369" s="141"/>
      <c r="J369" s="101" t="str">
        <f t="shared" ca="1" si="5"/>
        <v/>
      </c>
    </row>
    <row r="370" spans="1:10">
      <c r="A370" s="123"/>
      <c r="B370" s="113"/>
      <c r="C370" s="124"/>
      <c r="D370" s="125"/>
      <c r="E370" s="125"/>
      <c r="F370" s="126"/>
      <c r="G370" s="113"/>
      <c r="H370" s="112"/>
      <c r="I370" s="140"/>
      <c r="J370" s="101" t="str">
        <f t="shared" ca="1" si="5"/>
        <v/>
      </c>
    </row>
    <row r="371" spans="1:10">
      <c r="A371" s="119"/>
      <c r="B371" s="118"/>
      <c r="C371" s="120"/>
      <c r="D371" s="121"/>
      <c r="E371" s="121"/>
      <c r="F371" s="122"/>
      <c r="G371" s="118"/>
      <c r="H371" s="117"/>
      <c r="I371" s="141"/>
      <c r="J371" s="101" t="str">
        <f t="shared" ca="1" si="5"/>
        <v/>
      </c>
    </row>
    <row r="372" spans="1:10">
      <c r="A372" s="123"/>
      <c r="B372" s="113"/>
      <c r="C372" s="124"/>
      <c r="D372" s="125"/>
      <c r="E372" s="125"/>
      <c r="F372" s="126"/>
      <c r="G372" s="113"/>
      <c r="H372" s="112"/>
      <c r="I372" s="140"/>
      <c r="J372" s="101" t="str">
        <f t="shared" ca="1" si="5"/>
        <v/>
      </c>
    </row>
    <row r="373" spans="1:10">
      <c r="A373" s="119"/>
      <c r="B373" s="118"/>
      <c r="C373" s="120"/>
      <c r="D373" s="121"/>
      <c r="E373" s="121"/>
      <c r="F373" s="122"/>
      <c r="G373" s="118"/>
      <c r="H373" s="117"/>
      <c r="I373" s="141"/>
      <c r="J373" s="101" t="str">
        <f t="shared" ca="1" si="5"/>
        <v/>
      </c>
    </row>
    <row r="374" spans="1:10">
      <c r="A374" s="123"/>
      <c r="B374" s="113"/>
      <c r="C374" s="124"/>
      <c r="D374" s="125"/>
      <c r="E374" s="125"/>
      <c r="F374" s="126"/>
      <c r="G374" s="113"/>
      <c r="H374" s="112"/>
      <c r="I374" s="140"/>
      <c r="J374" s="101" t="str">
        <f t="shared" ca="1" si="5"/>
        <v/>
      </c>
    </row>
    <row r="375" spans="1:10">
      <c r="A375" s="119"/>
      <c r="B375" s="118"/>
      <c r="C375" s="120"/>
      <c r="D375" s="121"/>
      <c r="E375" s="121"/>
      <c r="F375" s="122"/>
      <c r="G375" s="118"/>
      <c r="H375" s="117"/>
      <c r="I375" s="141"/>
      <c r="J375" s="101" t="str">
        <f t="shared" ca="1" si="5"/>
        <v/>
      </c>
    </row>
    <row r="376" spans="1:10">
      <c r="A376" s="123"/>
      <c r="B376" s="113"/>
      <c r="C376" s="124"/>
      <c r="D376" s="125"/>
      <c r="E376" s="125"/>
      <c r="F376" s="126"/>
      <c r="G376" s="113"/>
      <c r="H376" s="112"/>
      <c r="I376" s="140"/>
      <c r="J376" s="101" t="str">
        <f t="shared" ca="1" si="5"/>
        <v/>
      </c>
    </row>
    <row r="377" spans="1:10">
      <c r="A377" s="119"/>
      <c r="B377" s="118"/>
      <c r="C377" s="120"/>
      <c r="D377" s="121"/>
      <c r="E377" s="121"/>
      <c r="F377" s="122"/>
      <c r="G377" s="118"/>
      <c r="H377" s="117"/>
      <c r="I377" s="141"/>
      <c r="J377" s="101" t="str">
        <f t="shared" ca="1" si="5"/>
        <v/>
      </c>
    </row>
    <row r="378" spans="1:10">
      <c r="A378" s="123"/>
      <c r="B378" s="113"/>
      <c r="C378" s="124"/>
      <c r="D378" s="125"/>
      <c r="E378" s="125"/>
      <c r="F378" s="126"/>
      <c r="G378" s="113"/>
      <c r="H378" s="112"/>
      <c r="I378" s="140"/>
      <c r="J378" s="101" t="str">
        <f t="shared" ca="1" si="5"/>
        <v/>
      </c>
    </row>
    <row r="379" spans="1:10">
      <c r="A379" s="119"/>
      <c r="B379" s="118"/>
      <c r="C379" s="120"/>
      <c r="D379" s="121"/>
      <c r="E379" s="121"/>
      <c r="F379" s="122"/>
      <c r="G379" s="118"/>
      <c r="H379" s="117"/>
      <c r="I379" s="141"/>
      <c r="J379" s="101" t="str">
        <f t="shared" ca="1" si="5"/>
        <v/>
      </c>
    </row>
    <row r="380" spans="1:10">
      <c r="A380" s="123"/>
      <c r="B380" s="113"/>
      <c r="C380" s="124"/>
      <c r="D380" s="125"/>
      <c r="E380" s="125"/>
      <c r="F380" s="126"/>
      <c r="G380" s="113"/>
      <c r="H380" s="112"/>
      <c r="I380" s="140"/>
      <c r="J380" s="101" t="str">
        <f t="shared" ca="1" si="5"/>
        <v/>
      </c>
    </row>
    <row r="381" spans="1:10">
      <c r="A381" s="119"/>
      <c r="B381" s="118"/>
      <c r="C381" s="120"/>
      <c r="D381" s="121"/>
      <c r="E381" s="121"/>
      <c r="F381" s="122"/>
      <c r="G381" s="118"/>
      <c r="H381" s="117"/>
      <c r="I381" s="141"/>
      <c r="J381" s="101" t="str">
        <f t="shared" ca="1" si="5"/>
        <v/>
      </c>
    </row>
    <row r="382" spans="1:10">
      <c r="A382" s="123"/>
      <c r="B382" s="113"/>
      <c r="C382" s="124"/>
      <c r="D382" s="125"/>
      <c r="E382" s="125"/>
      <c r="F382" s="126"/>
      <c r="G382" s="113"/>
      <c r="H382" s="112"/>
      <c r="I382" s="140"/>
      <c r="J382" s="101" t="str">
        <f t="shared" ca="1" si="5"/>
        <v/>
      </c>
    </row>
    <row r="383" spans="1:10">
      <c r="A383" s="119"/>
      <c r="B383" s="118"/>
      <c r="C383" s="120"/>
      <c r="D383" s="121"/>
      <c r="E383" s="121"/>
      <c r="F383" s="122"/>
      <c r="G383" s="118"/>
      <c r="H383" s="117"/>
      <c r="I383" s="141"/>
      <c r="J383" s="101" t="str">
        <f t="shared" ca="1" si="5"/>
        <v/>
      </c>
    </row>
    <row r="384" spans="1:10">
      <c r="A384" s="123"/>
      <c r="B384" s="113"/>
      <c r="C384" s="124"/>
      <c r="D384" s="125"/>
      <c r="E384" s="125"/>
      <c r="F384" s="126"/>
      <c r="G384" s="113"/>
      <c r="H384" s="112"/>
      <c r="I384" s="140"/>
      <c r="J384" s="101" t="str">
        <f t="shared" ca="1" si="5"/>
        <v/>
      </c>
    </row>
    <row r="385" spans="1:10">
      <c r="A385" s="119"/>
      <c r="B385" s="118"/>
      <c r="C385" s="120"/>
      <c r="D385" s="121"/>
      <c r="E385" s="121"/>
      <c r="F385" s="122"/>
      <c r="G385" s="118"/>
      <c r="H385" s="117"/>
      <c r="I385" s="141"/>
      <c r="J385" s="101" t="str">
        <f t="shared" ca="1" si="5"/>
        <v/>
      </c>
    </row>
    <row r="386" spans="1:10">
      <c r="A386" s="123"/>
      <c r="B386" s="113"/>
      <c r="C386" s="124"/>
      <c r="D386" s="125"/>
      <c r="E386" s="125"/>
      <c r="F386" s="126"/>
      <c r="G386" s="113"/>
      <c r="H386" s="112"/>
      <c r="I386" s="140"/>
      <c r="J386" s="101" t="str">
        <f t="shared" ca="1" si="5"/>
        <v/>
      </c>
    </row>
    <row r="387" spans="1:10">
      <c r="A387" s="119"/>
      <c r="B387" s="118"/>
      <c r="C387" s="120"/>
      <c r="D387" s="121"/>
      <c r="E387" s="121"/>
      <c r="F387" s="122"/>
      <c r="G387" s="118"/>
      <c r="H387" s="117"/>
      <c r="I387" s="141"/>
      <c r="J387" s="101" t="str">
        <f t="shared" ref="J387:J450" ca="1" si="6">_xlfn.LET(
    _xlpm.AllCellsFilled, COUNTA(A387:I387) = 9,
    _xlpm.QtyIsInt, AND(ISNUMBER(G387), G387=INT(G387)),
    _xlpm.AvailDateIsValid, AND(ISNUMBER(F387), F387&gt;=TODAY()),
    _xlpm.ReqDateIsValid, AND(ISNUMBER(H387), H387&gt;=TODAY()),
    _xlpm.EmailIsValid, RIGHT(I387,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IF(A387="", "", IF(_xlpm.error_messages = "", "Yes", _xlpm.error_messages))
)</f>
        <v/>
      </c>
    </row>
    <row r="388" spans="1:10">
      <c r="A388" s="123"/>
      <c r="B388" s="113"/>
      <c r="C388" s="124"/>
      <c r="D388" s="125"/>
      <c r="E388" s="125"/>
      <c r="F388" s="126"/>
      <c r="G388" s="113"/>
      <c r="H388" s="112"/>
      <c r="I388" s="140"/>
      <c r="J388" s="101" t="str">
        <f t="shared" ca="1" si="6"/>
        <v/>
      </c>
    </row>
    <row r="389" spans="1:10">
      <c r="A389" s="119"/>
      <c r="B389" s="118"/>
      <c r="C389" s="120"/>
      <c r="D389" s="121"/>
      <c r="E389" s="121"/>
      <c r="F389" s="122"/>
      <c r="G389" s="118"/>
      <c r="H389" s="117"/>
      <c r="I389" s="141"/>
      <c r="J389" s="101" t="str">
        <f t="shared" ca="1" si="6"/>
        <v/>
      </c>
    </row>
    <row r="390" spans="1:10">
      <c r="A390" s="123"/>
      <c r="B390" s="113"/>
      <c r="C390" s="124"/>
      <c r="D390" s="125"/>
      <c r="E390" s="125"/>
      <c r="F390" s="126"/>
      <c r="G390" s="113"/>
      <c r="H390" s="112"/>
      <c r="I390" s="140"/>
      <c r="J390" s="101" t="str">
        <f t="shared" ca="1" si="6"/>
        <v/>
      </c>
    </row>
    <row r="391" spans="1:10">
      <c r="A391" s="119"/>
      <c r="B391" s="118"/>
      <c r="C391" s="120"/>
      <c r="D391" s="121"/>
      <c r="E391" s="121"/>
      <c r="F391" s="122"/>
      <c r="G391" s="118"/>
      <c r="H391" s="117"/>
      <c r="I391" s="141"/>
      <c r="J391" s="101" t="str">
        <f t="shared" ca="1" si="6"/>
        <v/>
      </c>
    </row>
    <row r="392" spans="1:10">
      <c r="A392" s="123"/>
      <c r="B392" s="113"/>
      <c r="C392" s="124"/>
      <c r="D392" s="125"/>
      <c r="E392" s="125"/>
      <c r="F392" s="126"/>
      <c r="G392" s="113"/>
      <c r="H392" s="112"/>
      <c r="I392" s="140"/>
      <c r="J392" s="101" t="str">
        <f t="shared" ca="1" si="6"/>
        <v/>
      </c>
    </row>
    <row r="393" spans="1:10">
      <c r="A393" s="119"/>
      <c r="B393" s="118"/>
      <c r="C393" s="120"/>
      <c r="D393" s="121"/>
      <c r="E393" s="121"/>
      <c r="F393" s="122"/>
      <c r="G393" s="118"/>
      <c r="H393" s="117"/>
      <c r="I393" s="141"/>
      <c r="J393" s="101" t="str">
        <f t="shared" ca="1" si="6"/>
        <v/>
      </c>
    </row>
    <row r="394" spans="1:10">
      <c r="A394" s="123"/>
      <c r="B394" s="113"/>
      <c r="C394" s="124"/>
      <c r="D394" s="125"/>
      <c r="E394" s="125"/>
      <c r="F394" s="126"/>
      <c r="G394" s="113"/>
      <c r="H394" s="112"/>
      <c r="I394" s="140"/>
      <c r="J394" s="101" t="str">
        <f t="shared" ca="1" si="6"/>
        <v/>
      </c>
    </row>
    <row r="395" spans="1:10">
      <c r="A395" s="119"/>
      <c r="B395" s="118"/>
      <c r="C395" s="120"/>
      <c r="D395" s="121"/>
      <c r="E395" s="121"/>
      <c r="F395" s="122"/>
      <c r="G395" s="118"/>
      <c r="H395" s="117"/>
      <c r="I395" s="141"/>
      <c r="J395" s="101" t="str">
        <f t="shared" ca="1" si="6"/>
        <v/>
      </c>
    </row>
    <row r="396" spans="1:10">
      <c r="A396" s="123"/>
      <c r="B396" s="113"/>
      <c r="C396" s="124"/>
      <c r="D396" s="125"/>
      <c r="E396" s="125"/>
      <c r="F396" s="126"/>
      <c r="G396" s="113"/>
      <c r="H396" s="112"/>
      <c r="I396" s="140"/>
      <c r="J396" s="101" t="str">
        <f t="shared" ca="1" si="6"/>
        <v/>
      </c>
    </row>
    <row r="397" spans="1:10">
      <c r="A397" s="119"/>
      <c r="B397" s="118"/>
      <c r="C397" s="120"/>
      <c r="D397" s="121"/>
      <c r="E397" s="121"/>
      <c r="F397" s="122"/>
      <c r="G397" s="118"/>
      <c r="H397" s="117"/>
      <c r="I397" s="141"/>
      <c r="J397" s="101" t="str">
        <f t="shared" ca="1" si="6"/>
        <v/>
      </c>
    </row>
    <row r="398" spans="1:10">
      <c r="A398" s="123"/>
      <c r="B398" s="113"/>
      <c r="C398" s="124"/>
      <c r="D398" s="125"/>
      <c r="E398" s="125"/>
      <c r="F398" s="126"/>
      <c r="G398" s="113"/>
      <c r="H398" s="112"/>
      <c r="I398" s="140"/>
      <c r="J398" s="101" t="str">
        <f t="shared" ca="1" si="6"/>
        <v/>
      </c>
    </row>
    <row r="399" spans="1:10">
      <c r="A399" s="119"/>
      <c r="B399" s="118"/>
      <c r="C399" s="120"/>
      <c r="D399" s="121"/>
      <c r="E399" s="121"/>
      <c r="F399" s="122"/>
      <c r="G399" s="118"/>
      <c r="H399" s="117"/>
      <c r="I399" s="141"/>
      <c r="J399" s="101" t="str">
        <f t="shared" ca="1" si="6"/>
        <v/>
      </c>
    </row>
    <row r="400" spans="1:10">
      <c r="A400" s="123"/>
      <c r="B400" s="113"/>
      <c r="C400" s="124"/>
      <c r="D400" s="125"/>
      <c r="E400" s="125"/>
      <c r="F400" s="126"/>
      <c r="G400" s="113"/>
      <c r="H400" s="112"/>
      <c r="I400" s="140"/>
      <c r="J400" s="101" t="str">
        <f t="shared" ca="1" si="6"/>
        <v/>
      </c>
    </row>
    <row r="401" spans="1:10">
      <c r="A401" s="119"/>
      <c r="B401" s="118"/>
      <c r="C401" s="120"/>
      <c r="D401" s="121"/>
      <c r="E401" s="121"/>
      <c r="F401" s="122"/>
      <c r="G401" s="118"/>
      <c r="H401" s="117"/>
      <c r="I401" s="141"/>
      <c r="J401" s="101" t="str">
        <f t="shared" ca="1" si="6"/>
        <v/>
      </c>
    </row>
    <row r="402" spans="1:10">
      <c r="A402" s="123"/>
      <c r="B402" s="113"/>
      <c r="C402" s="124"/>
      <c r="D402" s="125"/>
      <c r="E402" s="125"/>
      <c r="F402" s="126"/>
      <c r="G402" s="113"/>
      <c r="H402" s="112"/>
      <c r="I402" s="140"/>
      <c r="J402" s="101" t="str">
        <f t="shared" ca="1" si="6"/>
        <v/>
      </c>
    </row>
    <row r="403" spans="1:10">
      <c r="A403" s="119"/>
      <c r="B403" s="118"/>
      <c r="C403" s="120"/>
      <c r="D403" s="121"/>
      <c r="E403" s="121"/>
      <c r="F403" s="122"/>
      <c r="G403" s="118"/>
      <c r="H403" s="117"/>
      <c r="I403" s="141"/>
      <c r="J403" s="101" t="str">
        <f t="shared" ca="1" si="6"/>
        <v/>
      </c>
    </row>
    <row r="404" spans="1:10">
      <c r="A404" s="123"/>
      <c r="B404" s="113"/>
      <c r="C404" s="124"/>
      <c r="D404" s="125"/>
      <c r="E404" s="125"/>
      <c r="F404" s="126"/>
      <c r="G404" s="113"/>
      <c r="H404" s="112"/>
      <c r="I404" s="140"/>
      <c r="J404" s="101" t="str">
        <f t="shared" ca="1" si="6"/>
        <v/>
      </c>
    </row>
    <row r="405" spans="1:10">
      <c r="A405" s="119"/>
      <c r="B405" s="118"/>
      <c r="C405" s="120"/>
      <c r="D405" s="121"/>
      <c r="E405" s="121"/>
      <c r="F405" s="122"/>
      <c r="G405" s="118"/>
      <c r="H405" s="117"/>
      <c r="I405" s="141"/>
      <c r="J405" s="101" t="str">
        <f t="shared" ca="1" si="6"/>
        <v/>
      </c>
    </row>
    <row r="406" spans="1:10">
      <c r="A406" s="123"/>
      <c r="B406" s="113"/>
      <c r="C406" s="124"/>
      <c r="D406" s="125"/>
      <c r="E406" s="125"/>
      <c r="F406" s="126"/>
      <c r="G406" s="113"/>
      <c r="H406" s="112"/>
      <c r="I406" s="140"/>
      <c r="J406" s="101" t="str">
        <f t="shared" ca="1" si="6"/>
        <v/>
      </c>
    </row>
    <row r="407" spans="1:10">
      <c r="A407" s="119"/>
      <c r="B407" s="118"/>
      <c r="C407" s="120"/>
      <c r="D407" s="121"/>
      <c r="E407" s="121"/>
      <c r="F407" s="122"/>
      <c r="G407" s="118"/>
      <c r="H407" s="117"/>
      <c r="I407" s="141"/>
      <c r="J407" s="101" t="str">
        <f t="shared" ca="1" si="6"/>
        <v/>
      </c>
    </row>
    <row r="408" spans="1:10">
      <c r="A408" s="123"/>
      <c r="B408" s="113"/>
      <c r="C408" s="124"/>
      <c r="D408" s="125"/>
      <c r="E408" s="125"/>
      <c r="F408" s="126"/>
      <c r="G408" s="113"/>
      <c r="H408" s="112"/>
      <c r="I408" s="140"/>
      <c r="J408" s="101" t="str">
        <f t="shared" ca="1" si="6"/>
        <v/>
      </c>
    </row>
    <row r="409" spans="1:10">
      <c r="A409" s="119"/>
      <c r="B409" s="118"/>
      <c r="C409" s="120"/>
      <c r="D409" s="121"/>
      <c r="E409" s="121"/>
      <c r="F409" s="122"/>
      <c r="G409" s="118"/>
      <c r="H409" s="117"/>
      <c r="I409" s="141"/>
      <c r="J409" s="101" t="str">
        <f t="shared" ca="1" si="6"/>
        <v/>
      </c>
    </row>
    <row r="410" spans="1:10">
      <c r="A410" s="123"/>
      <c r="B410" s="113"/>
      <c r="C410" s="124"/>
      <c r="D410" s="125"/>
      <c r="E410" s="125"/>
      <c r="F410" s="126"/>
      <c r="G410" s="113"/>
      <c r="H410" s="112"/>
      <c r="I410" s="140"/>
      <c r="J410" s="101" t="str">
        <f t="shared" ca="1" si="6"/>
        <v/>
      </c>
    </row>
    <row r="411" spans="1:10">
      <c r="A411" s="119"/>
      <c r="B411" s="118"/>
      <c r="C411" s="120"/>
      <c r="D411" s="121"/>
      <c r="E411" s="121"/>
      <c r="F411" s="122"/>
      <c r="G411" s="118"/>
      <c r="H411" s="117"/>
      <c r="I411" s="141"/>
      <c r="J411" s="101" t="str">
        <f t="shared" ca="1" si="6"/>
        <v/>
      </c>
    </row>
    <row r="412" spans="1:10">
      <c r="A412" s="123"/>
      <c r="B412" s="113"/>
      <c r="C412" s="124"/>
      <c r="D412" s="125"/>
      <c r="E412" s="125"/>
      <c r="F412" s="126"/>
      <c r="G412" s="113"/>
      <c r="H412" s="112"/>
      <c r="I412" s="140"/>
      <c r="J412" s="101" t="str">
        <f t="shared" ca="1" si="6"/>
        <v/>
      </c>
    </row>
    <row r="413" spans="1:10">
      <c r="A413" s="119"/>
      <c r="B413" s="118"/>
      <c r="C413" s="120"/>
      <c r="D413" s="121"/>
      <c r="E413" s="121"/>
      <c r="F413" s="122"/>
      <c r="G413" s="118"/>
      <c r="H413" s="117"/>
      <c r="I413" s="141"/>
      <c r="J413" s="101" t="str">
        <f t="shared" ca="1" si="6"/>
        <v/>
      </c>
    </row>
    <row r="414" spans="1:10">
      <c r="A414" s="123"/>
      <c r="B414" s="113"/>
      <c r="C414" s="124"/>
      <c r="D414" s="125"/>
      <c r="E414" s="125"/>
      <c r="F414" s="126"/>
      <c r="G414" s="113"/>
      <c r="H414" s="112"/>
      <c r="I414" s="140"/>
      <c r="J414" s="101" t="str">
        <f t="shared" ca="1" si="6"/>
        <v/>
      </c>
    </row>
    <row r="415" spans="1:10">
      <c r="A415" s="119"/>
      <c r="B415" s="118"/>
      <c r="C415" s="120"/>
      <c r="D415" s="121"/>
      <c r="E415" s="121"/>
      <c r="F415" s="122"/>
      <c r="G415" s="118"/>
      <c r="H415" s="117"/>
      <c r="I415" s="141"/>
      <c r="J415" s="101" t="str">
        <f t="shared" ca="1" si="6"/>
        <v/>
      </c>
    </row>
    <row r="416" spans="1:10">
      <c r="A416" s="123"/>
      <c r="B416" s="113"/>
      <c r="C416" s="124"/>
      <c r="D416" s="125"/>
      <c r="E416" s="125"/>
      <c r="F416" s="126"/>
      <c r="G416" s="113"/>
      <c r="H416" s="112"/>
      <c r="I416" s="140"/>
      <c r="J416" s="101" t="str">
        <f t="shared" ca="1" si="6"/>
        <v/>
      </c>
    </row>
    <row r="417" spans="1:10">
      <c r="A417" s="119"/>
      <c r="B417" s="118"/>
      <c r="C417" s="120"/>
      <c r="D417" s="121"/>
      <c r="E417" s="121"/>
      <c r="F417" s="122"/>
      <c r="G417" s="118"/>
      <c r="H417" s="117"/>
      <c r="I417" s="141"/>
      <c r="J417" s="101" t="str">
        <f t="shared" ca="1" si="6"/>
        <v/>
      </c>
    </row>
    <row r="418" spans="1:10">
      <c r="A418" s="123"/>
      <c r="B418" s="113"/>
      <c r="C418" s="124"/>
      <c r="D418" s="125"/>
      <c r="E418" s="125"/>
      <c r="F418" s="126"/>
      <c r="G418" s="113"/>
      <c r="H418" s="112"/>
      <c r="I418" s="140"/>
      <c r="J418" s="101" t="str">
        <f t="shared" ca="1" si="6"/>
        <v/>
      </c>
    </row>
    <row r="419" spans="1:10">
      <c r="A419" s="119"/>
      <c r="B419" s="118"/>
      <c r="C419" s="120"/>
      <c r="D419" s="121"/>
      <c r="E419" s="121"/>
      <c r="F419" s="122"/>
      <c r="G419" s="118"/>
      <c r="H419" s="117"/>
      <c r="I419" s="141"/>
      <c r="J419" s="101" t="str">
        <f t="shared" ca="1" si="6"/>
        <v/>
      </c>
    </row>
    <row r="420" spans="1:10">
      <c r="A420" s="123"/>
      <c r="B420" s="113"/>
      <c r="C420" s="124"/>
      <c r="D420" s="125"/>
      <c r="E420" s="125"/>
      <c r="F420" s="126"/>
      <c r="G420" s="113"/>
      <c r="H420" s="112"/>
      <c r="I420" s="140"/>
      <c r="J420" s="101" t="str">
        <f t="shared" ca="1" si="6"/>
        <v/>
      </c>
    </row>
    <row r="421" spans="1:10">
      <c r="A421" s="119"/>
      <c r="B421" s="118"/>
      <c r="C421" s="120"/>
      <c r="D421" s="121"/>
      <c r="E421" s="121"/>
      <c r="F421" s="122"/>
      <c r="G421" s="118"/>
      <c r="H421" s="117"/>
      <c r="I421" s="141"/>
      <c r="J421" s="101" t="str">
        <f t="shared" ca="1" si="6"/>
        <v/>
      </c>
    </row>
    <row r="422" spans="1:10">
      <c r="A422" s="123"/>
      <c r="B422" s="113"/>
      <c r="C422" s="124"/>
      <c r="D422" s="125"/>
      <c r="E422" s="125"/>
      <c r="F422" s="126"/>
      <c r="G422" s="113"/>
      <c r="H422" s="112"/>
      <c r="I422" s="140"/>
      <c r="J422" s="101" t="str">
        <f t="shared" ca="1" si="6"/>
        <v/>
      </c>
    </row>
    <row r="423" spans="1:10">
      <c r="A423" s="119"/>
      <c r="B423" s="118"/>
      <c r="C423" s="120"/>
      <c r="D423" s="121"/>
      <c r="E423" s="121"/>
      <c r="F423" s="122"/>
      <c r="G423" s="118"/>
      <c r="H423" s="117"/>
      <c r="I423" s="141"/>
      <c r="J423" s="101" t="str">
        <f t="shared" ca="1" si="6"/>
        <v/>
      </c>
    </row>
    <row r="424" spans="1:10">
      <c r="A424" s="123"/>
      <c r="B424" s="113"/>
      <c r="C424" s="124"/>
      <c r="D424" s="125"/>
      <c r="E424" s="125"/>
      <c r="F424" s="126"/>
      <c r="G424" s="113"/>
      <c r="H424" s="112"/>
      <c r="I424" s="140"/>
      <c r="J424" s="101" t="str">
        <f t="shared" ca="1" si="6"/>
        <v/>
      </c>
    </row>
    <row r="425" spans="1:10">
      <c r="A425" s="119"/>
      <c r="B425" s="118"/>
      <c r="C425" s="120"/>
      <c r="D425" s="121"/>
      <c r="E425" s="121"/>
      <c r="F425" s="122"/>
      <c r="G425" s="118"/>
      <c r="H425" s="117"/>
      <c r="I425" s="141"/>
      <c r="J425" s="101" t="str">
        <f t="shared" ca="1" si="6"/>
        <v/>
      </c>
    </row>
    <row r="426" spans="1:10">
      <c r="A426" s="123"/>
      <c r="B426" s="113"/>
      <c r="C426" s="124"/>
      <c r="D426" s="125"/>
      <c r="E426" s="125"/>
      <c r="F426" s="126"/>
      <c r="G426" s="113"/>
      <c r="H426" s="112"/>
      <c r="I426" s="140"/>
      <c r="J426" s="101" t="str">
        <f t="shared" ca="1" si="6"/>
        <v/>
      </c>
    </row>
    <row r="427" spans="1:10">
      <c r="A427" s="119"/>
      <c r="B427" s="118"/>
      <c r="C427" s="120"/>
      <c r="D427" s="121"/>
      <c r="E427" s="121"/>
      <c r="F427" s="122"/>
      <c r="G427" s="118"/>
      <c r="H427" s="117"/>
      <c r="I427" s="141"/>
      <c r="J427" s="101" t="str">
        <f t="shared" ca="1" si="6"/>
        <v/>
      </c>
    </row>
    <row r="428" spans="1:10">
      <c r="A428" s="123"/>
      <c r="B428" s="113"/>
      <c r="C428" s="124"/>
      <c r="D428" s="125"/>
      <c r="E428" s="125"/>
      <c r="F428" s="126"/>
      <c r="G428" s="113"/>
      <c r="H428" s="112"/>
      <c r="I428" s="140"/>
      <c r="J428" s="101" t="str">
        <f t="shared" ca="1" si="6"/>
        <v/>
      </c>
    </row>
    <row r="429" spans="1:10">
      <c r="A429" s="119"/>
      <c r="B429" s="118"/>
      <c r="C429" s="120"/>
      <c r="D429" s="121"/>
      <c r="E429" s="121"/>
      <c r="F429" s="122"/>
      <c r="G429" s="118"/>
      <c r="H429" s="117"/>
      <c r="I429" s="141"/>
      <c r="J429" s="101" t="str">
        <f t="shared" ca="1" si="6"/>
        <v/>
      </c>
    </row>
    <row r="430" spans="1:10">
      <c r="A430" s="123"/>
      <c r="B430" s="113"/>
      <c r="C430" s="124"/>
      <c r="D430" s="125"/>
      <c r="E430" s="125"/>
      <c r="F430" s="126"/>
      <c r="G430" s="113"/>
      <c r="H430" s="112"/>
      <c r="I430" s="140"/>
      <c r="J430" s="101" t="str">
        <f t="shared" ca="1" si="6"/>
        <v/>
      </c>
    </row>
    <row r="431" spans="1:10">
      <c r="A431" s="119"/>
      <c r="B431" s="118"/>
      <c r="C431" s="120"/>
      <c r="D431" s="121"/>
      <c r="E431" s="121"/>
      <c r="F431" s="122"/>
      <c r="G431" s="118"/>
      <c r="H431" s="117"/>
      <c r="I431" s="141"/>
      <c r="J431" s="101" t="str">
        <f t="shared" ca="1" si="6"/>
        <v/>
      </c>
    </row>
    <row r="432" spans="1:10">
      <c r="A432" s="123"/>
      <c r="B432" s="113"/>
      <c r="C432" s="124"/>
      <c r="D432" s="125"/>
      <c r="E432" s="125"/>
      <c r="F432" s="126"/>
      <c r="G432" s="113"/>
      <c r="H432" s="112"/>
      <c r="I432" s="140"/>
      <c r="J432" s="101" t="str">
        <f t="shared" ca="1" si="6"/>
        <v/>
      </c>
    </row>
    <row r="433" spans="1:10">
      <c r="A433" s="119"/>
      <c r="B433" s="118"/>
      <c r="C433" s="120"/>
      <c r="D433" s="121"/>
      <c r="E433" s="121"/>
      <c r="F433" s="122"/>
      <c r="G433" s="118"/>
      <c r="H433" s="117"/>
      <c r="I433" s="141"/>
      <c r="J433" s="101" t="str">
        <f t="shared" ca="1" si="6"/>
        <v/>
      </c>
    </row>
    <row r="434" spans="1:10">
      <c r="A434" s="123"/>
      <c r="B434" s="113"/>
      <c r="C434" s="124"/>
      <c r="D434" s="125"/>
      <c r="E434" s="125"/>
      <c r="F434" s="126"/>
      <c r="G434" s="113"/>
      <c r="H434" s="112"/>
      <c r="I434" s="140"/>
      <c r="J434" s="101" t="str">
        <f t="shared" ca="1" si="6"/>
        <v/>
      </c>
    </row>
    <row r="435" spans="1:10">
      <c r="A435" s="119"/>
      <c r="B435" s="118"/>
      <c r="C435" s="120"/>
      <c r="D435" s="121"/>
      <c r="E435" s="121"/>
      <c r="F435" s="122"/>
      <c r="G435" s="118"/>
      <c r="H435" s="117"/>
      <c r="I435" s="141"/>
      <c r="J435" s="101" t="str">
        <f t="shared" ca="1" si="6"/>
        <v/>
      </c>
    </row>
    <row r="436" spans="1:10">
      <c r="A436" s="123"/>
      <c r="B436" s="113"/>
      <c r="C436" s="124"/>
      <c r="D436" s="125"/>
      <c r="E436" s="125"/>
      <c r="F436" s="126"/>
      <c r="G436" s="113"/>
      <c r="H436" s="112"/>
      <c r="I436" s="140"/>
      <c r="J436" s="101" t="str">
        <f t="shared" ca="1" si="6"/>
        <v/>
      </c>
    </row>
    <row r="437" spans="1:10">
      <c r="A437" s="119"/>
      <c r="B437" s="118"/>
      <c r="C437" s="120"/>
      <c r="D437" s="121"/>
      <c r="E437" s="121"/>
      <c r="F437" s="122"/>
      <c r="G437" s="118"/>
      <c r="H437" s="117"/>
      <c r="I437" s="141"/>
      <c r="J437" s="101" t="str">
        <f t="shared" ca="1" si="6"/>
        <v/>
      </c>
    </row>
    <row r="438" spans="1:10">
      <c r="A438" s="123"/>
      <c r="B438" s="113"/>
      <c r="C438" s="124"/>
      <c r="D438" s="125"/>
      <c r="E438" s="125"/>
      <c r="F438" s="126"/>
      <c r="G438" s="113"/>
      <c r="H438" s="112"/>
      <c r="I438" s="140"/>
      <c r="J438" s="101" t="str">
        <f t="shared" ca="1" si="6"/>
        <v/>
      </c>
    </row>
    <row r="439" spans="1:10">
      <c r="A439" s="119"/>
      <c r="B439" s="118"/>
      <c r="C439" s="120"/>
      <c r="D439" s="121"/>
      <c r="E439" s="121"/>
      <c r="F439" s="122"/>
      <c r="G439" s="118"/>
      <c r="H439" s="117"/>
      <c r="I439" s="141"/>
      <c r="J439" s="101" t="str">
        <f t="shared" ca="1" si="6"/>
        <v/>
      </c>
    </row>
    <row r="440" spans="1:10">
      <c r="A440" s="123"/>
      <c r="B440" s="113"/>
      <c r="C440" s="124"/>
      <c r="D440" s="125"/>
      <c r="E440" s="125"/>
      <c r="F440" s="126"/>
      <c r="G440" s="113"/>
      <c r="H440" s="112"/>
      <c r="I440" s="140"/>
      <c r="J440" s="101" t="str">
        <f t="shared" ca="1" si="6"/>
        <v/>
      </c>
    </row>
    <row r="441" spans="1:10">
      <c r="A441" s="119"/>
      <c r="B441" s="118"/>
      <c r="C441" s="120"/>
      <c r="D441" s="121"/>
      <c r="E441" s="121"/>
      <c r="F441" s="122"/>
      <c r="G441" s="118"/>
      <c r="H441" s="117"/>
      <c r="I441" s="141"/>
      <c r="J441" s="101" t="str">
        <f t="shared" ca="1" si="6"/>
        <v/>
      </c>
    </row>
    <row r="442" spans="1:10">
      <c r="A442" s="123"/>
      <c r="B442" s="113"/>
      <c r="C442" s="124"/>
      <c r="D442" s="125"/>
      <c r="E442" s="125"/>
      <c r="F442" s="126"/>
      <c r="G442" s="113"/>
      <c r="H442" s="112"/>
      <c r="I442" s="140"/>
      <c r="J442" s="101" t="str">
        <f t="shared" ca="1" si="6"/>
        <v/>
      </c>
    </row>
    <row r="443" spans="1:10">
      <c r="A443" s="119"/>
      <c r="B443" s="118"/>
      <c r="C443" s="120"/>
      <c r="D443" s="121"/>
      <c r="E443" s="121"/>
      <c r="F443" s="122"/>
      <c r="G443" s="118"/>
      <c r="H443" s="117"/>
      <c r="I443" s="141"/>
      <c r="J443" s="101" t="str">
        <f t="shared" ca="1" si="6"/>
        <v/>
      </c>
    </row>
    <row r="444" spans="1:10">
      <c r="A444" s="123"/>
      <c r="B444" s="113"/>
      <c r="C444" s="124"/>
      <c r="D444" s="125"/>
      <c r="E444" s="125"/>
      <c r="F444" s="126"/>
      <c r="G444" s="113"/>
      <c r="H444" s="112"/>
      <c r="I444" s="140"/>
      <c r="J444" s="101" t="str">
        <f t="shared" ca="1" si="6"/>
        <v/>
      </c>
    </row>
    <row r="445" spans="1:10">
      <c r="A445" s="119"/>
      <c r="B445" s="118"/>
      <c r="C445" s="120"/>
      <c r="D445" s="121"/>
      <c r="E445" s="121"/>
      <c r="F445" s="122"/>
      <c r="G445" s="118"/>
      <c r="H445" s="117"/>
      <c r="I445" s="141"/>
      <c r="J445" s="101" t="str">
        <f t="shared" ca="1" si="6"/>
        <v/>
      </c>
    </row>
    <row r="446" spans="1:10">
      <c r="A446" s="123"/>
      <c r="B446" s="113"/>
      <c r="C446" s="124"/>
      <c r="D446" s="125"/>
      <c r="E446" s="125"/>
      <c r="F446" s="126"/>
      <c r="G446" s="113"/>
      <c r="H446" s="112"/>
      <c r="I446" s="140"/>
      <c r="J446" s="101" t="str">
        <f t="shared" ca="1" si="6"/>
        <v/>
      </c>
    </row>
    <row r="447" spans="1:10">
      <c r="A447" s="119"/>
      <c r="B447" s="118"/>
      <c r="C447" s="120"/>
      <c r="D447" s="121"/>
      <c r="E447" s="121"/>
      <c r="F447" s="122"/>
      <c r="G447" s="118"/>
      <c r="H447" s="117"/>
      <c r="I447" s="141"/>
      <c r="J447" s="101" t="str">
        <f t="shared" ca="1" si="6"/>
        <v/>
      </c>
    </row>
    <row r="448" spans="1:10">
      <c r="A448" s="123"/>
      <c r="B448" s="113"/>
      <c r="C448" s="124"/>
      <c r="D448" s="125"/>
      <c r="E448" s="125"/>
      <c r="F448" s="126"/>
      <c r="G448" s="113"/>
      <c r="H448" s="112"/>
      <c r="I448" s="140"/>
      <c r="J448" s="101" t="str">
        <f t="shared" ca="1" si="6"/>
        <v/>
      </c>
    </row>
    <row r="449" spans="1:10">
      <c r="A449" s="119"/>
      <c r="B449" s="118"/>
      <c r="C449" s="120"/>
      <c r="D449" s="121"/>
      <c r="E449" s="121"/>
      <c r="F449" s="122"/>
      <c r="G449" s="118"/>
      <c r="H449" s="117"/>
      <c r="I449" s="141"/>
      <c r="J449" s="101" t="str">
        <f t="shared" ca="1" si="6"/>
        <v/>
      </c>
    </row>
    <row r="450" spans="1:10">
      <c r="A450" s="123"/>
      <c r="B450" s="113"/>
      <c r="C450" s="124"/>
      <c r="D450" s="125"/>
      <c r="E450" s="125"/>
      <c r="F450" s="126"/>
      <c r="G450" s="113"/>
      <c r="H450" s="112"/>
      <c r="I450" s="140"/>
      <c r="J450" s="101" t="str">
        <f t="shared" ca="1" si="6"/>
        <v/>
      </c>
    </row>
    <row r="451" spans="1:10">
      <c r="A451" s="119"/>
      <c r="B451" s="118"/>
      <c r="C451" s="120"/>
      <c r="D451" s="121"/>
      <c r="E451" s="121"/>
      <c r="F451" s="122"/>
      <c r="G451" s="118"/>
      <c r="H451" s="117"/>
      <c r="I451" s="141"/>
      <c r="J451" s="101" t="str">
        <f t="shared" ref="J451:J514" ca="1" si="7">_xlfn.LET(
    _xlpm.AllCellsFilled, COUNTA(A451:I451) = 9,
    _xlpm.QtyIsInt, AND(ISNUMBER(G451), G451=INT(G451)),
    _xlpm.AvailDateIsValid, AND(ISNUMBER(F451), F451&gt;=TODAY()),
    _xlpm.ReqDateIsValid, AND(ISNUMBER(H451), H451&gt;=TODAY()),
    _xlpm.EmailIsValid, RIGHT(I451,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IF(A451="", "", IF(_xlpm.error_messages = "", "Yes", _xlpm.error_messages))
)</f>
        <v/>
      </c>
    </row>
    <row r="452" spans="1:10">
      <c r="A452" s="123"/>
      <c r="B452" s="113"/>
      <c r="C452" s="124"/>
      <c r="D452" s="125"/>
      <c r="E452" s="125"/>
      <c r="F452" s="126"/>
      <c r="G452" s="113"/>
      <c r="H452" s="112"/>
      <c r="I452" s="140"/>
      <c r="J452" s="101" t="str">
        <f t="shared" ca="1" si="7"/>
        <v/>
      </c>
    </row>
    <row r="453" spans="1:10">
      <c r="A453" s="119"/>
      <c r="B453" s="118"/>
      <c r="C453" s="120"/>
      <c r="D453" s="121"/>
      <c r="E453" s="121"/>
      <c r="F453" s="122"/>
      <c r="G453" s="118"/>
      <c r="H453" s="117"/>
      <c r="I453" s="141"/>
      <c r="J453" s="101" t="str">
        <f t="shared" ca="1" si="7"/>
        <v/>
      </c>
    </row>
    <row r="454" spans="1:10">
      <c r="A454" s="123"/>
      <c r="B454" s="113"/>
      <c r="C454" s="124"/>
      <c r="D454" s="125"/>
      <c r="E454" s="125"/>
      <c r="F454" s="126"/>
      <c r="G454" s="113"/>
      <c r="H454" s="112"/>
      <c r="I454" s="140"/>
      <c r="J454" s="101" t="str">
        <f t="shared" ca="1" si="7"/>
        <v/>
      </c>
    </row>
    <row r="455" spans="1:10">
      <c r="A455" s="119"/>
      <c r="B455" s="118"/>
      <c r="C455" s="120"/>
      <c r="D455" s="121"/>
      <c r="E455" s="121"/>
      <c r="F455" s="122"/>
      <c r="G455" s="118"/>
      <c r="H455" s="117"/>
      <c r="I455" s="141"/>
      <c r="J455" s="101" t="str">
        <f t="shared" ca="1" si="7"/>
        <v/>
      </c>
    </row>
    <row r="456" spans="1:10">
      <c r="A456" s="123"/>
      <c r="B456" s="113"/>
      <c r="C456" s="124"/>
      <c r="D456" s="125"/>
      <c r="E456" s="125"/>
      <c r="F456" s="126"/>
      <c r="G456" s="113"/>
      <c r="H456" s="112"/>
      <c r="I456" s="140"/>
      <c r="J456" s="101" t="str">
        <f t="shared" ca="1" si="7"/>
        <v/>
      </c>
    </row>
    <row r="457" spans="1:10">
      <c r="A457" s="119"/>
      <c r="B457" s="118"/>
      <c r="C457" s="120"/>
      <c r="D457" s="121"/>
      <c r="E457" s="121"/>
      <c r="F457" s="122"/>
      <c r="G457" s="118"/>
      <c r="H457" s="117"/>
      <c r="I457" s="141"/>
      <c r="J457" s="101" t="str">
        <f t="shared" ca="1" si="7"/>
        <v/>
      </c>
    </row>
    <row r="458" spans="1:10">
      <c r="A458" s="123"/>
      <c r="B458" s="113"/>
      <c r="C458" s="124"/>
      <c r="D458" s="125"/>
      <c r="E458" s="125"/>
      <c r="F458" s="126"/>
      <c r="G458" s="113"/>
      <c r="H458" s="112"/>
      <c r="I458" s="140"/>
      <c r="J458" s="101" t="str">
        <f t="shared" ca="1" si="7"/>
        <v/>
      </c>
    </row>
    <row r="459" spans="1:10">
      <c r="A459" s="119"/>
      <c r="B459" s="118"/>
      <c r="C459" s="120"/>
      <c r="D459" s="121"/>
      <c r="E459" s="121"/>
      <c r="F459" s="122"/>
      <c r="G459" s="118"/>
      <c r="H459" s="117"/>
      <c r="I459" s="141"/>
      <c r="J459" s="101" t="str">
        <f t="shared" ca="1" si="7"/>
        <v/>
      </c>
    </row>
    <row r="460" spans="1:10">
      <c r="A460" s="123"/>
      <c r="B460" s="113"/>
      <c r="C460" s="124"/>
      <c r="D460" s="125"/>
      <c r="E460" s="125"/>
      <c r="F460" s="126"/>
      <c r="G460" s="113"/>
      <c r="H460" s="112"/>
      <c r="I460" s="140"/>
      <c r="J460" s="101" t="str">
        <f t="shared" ca="1" si="7"/>
        <v/>
      </c>
    </row>
    <row r="461" spans="1:10">
      <c r="A461" s="119"/>
      <c r="B461" s="118"/>
      <c r="C461" s="120"/>
      <c r="D461" s="121"/>
      <c r="E461" s="121"/>
      <c r="F461" s="122"/>
      <c r="G461" s="118"/>
      <c r="H461" s="117"/>
      <c r="I461" s="141"/>
      <c r="J461" s="101" t="str">
        <f t="shared" ca="1" si="7"/>
        <v/>
      </c>
    </row>
    <row r="462" spans="1:10">
      <c r="A462" s="123"/>
      <c r="B462" s="113"/>
      <c r="C462" s="124"/>
      <c r="D462" s="125"/>
      <c r="E462" s="125"/>
      <c r="F462" s="126"/>
      <c r="G462" s="113"/>
      <c r="H462" s="112"/>
      <c r="I462" s="140"/>
      <c r="J462" s="101" t="str">
        <f t="shared" ca="1" si="7"/>
        <v/>
      </c>
    </row>
    <row r="463" spans="1:10">
      <c r="A463" s="119"/>
      <c r="B463" s="118"/>
      <c r="C463" s="120"/>
      <c r="D463" s="121"/>
      <c r="E463" s="121"/>
      <c r="F463" s="122"/>
      <c r="G463" s="118"/>
      <c r="H463" s="117"/>
      <c r="I463" s="141"/>
      <c r="J463" s="101" t="str">
        <f t="shared" ca="1" si="7"/>
        <v/>
      </c>
    </row>
    <row r="464" spans="1:10">
      <c r="A464" s="123"/>
      <c r="B464" s="113"/>
      <c r="C464" s="124"/>
      <c r="D464" s="125"/>
      <c r="E464" s="125"/>
      <c r="F464" s="126"/>
      <c r="G464" s="113"/>
      <c r="H464" s="112"/>
      <c r="I464" s="140"/>
      <c r="J464" s="101" t="str">
        <f t="shared" ca="1" si="7"/>
        <v/>
      </c>
    </row>
    <row r="465" spans="1:10">
      <c r="A465" s="119"/>
      <c r="B465" s="118"/>
      <c r="C465" s="120"/>
      <c r="D465" s="121"/>
      <c r="E465" s="121"/>
      <c r="F465" s="122"/>
      <c r="G465" s="118"/>
      <c r="H465" s="117"/>
      <c r="I465" s="141"/>
      <c r="J465" s="101" t="str">
        <f t="shared" ca="1" si="7"/>
        <v/>
      </c>
    </row>
    <row r="466" spans="1:10">
      <c r="A466" s="123"/>
      <c r="B466" s="113"/>
      <c r="C466" s="124"/>
      <c r="D466" s="125"/>
      <c r="E466" s="125"/>
      <c r="F466" s="126"/>
      <c r="G466" s="113"/>
      <c r="H466" s="112"/>
      <c r="I466" s="140"/>
      <c r="J466" s="101" t="str">
        <f t="shared" ca="1" si="7"/>
        <v/>
      </c>
    </row>
    <row r="467" spans="1:10">
      <c r="A467" s="119"/>
      <c r="B467" s="118"/>
      <c r="C467" s="120"/>
      <c r="D467" s="121"/>
      <c r="E467" s="121"/>
      <c r="F467" s="122"/>
      <c r="G467" s="118"/>
      <c r="H467" s="117"/>
      <c r="I467" s="141"/>
      <c r="J467" s="101" t="str">
        <f t="shared" ca="1" si="7"/>
        <v/>
      </c>
    </row>
    <row r="468" spans="1:10">
      <c r="A468" s="123"/>
      <c r="B468" s="113"/>
      <c r="C468" s="124"/>
      <c r="D468" s="125"/>
      <c r="E468" s="125"/>
      <c r="F468" s="126"/>
      <c r="G468" s="113"/>
      <c r="H468" s="112"/>
      <c r="I468" s="140"/>
      <c r="J468" s="101" t="str">
        <f t="shared" ca="1" si="7"/>
        <v/>
      </c>
    </row>
    <row r="469" spans="1:10">
      <c r="A469" s="119"/>
      <c r="B469" s="118"/>
      <c r="C469" s="120"/>
      <c r="D469" s="121"/>
      <c r="E469" s="121"/>
      <c r="F469" s="122"/>
      <c r="G469" s="118"/>
      <c r="H469" s="117"/>
      <c r="I469" s="141"/>
      <c r="J469" s="101" t="str">
        <f t="shared" ca="1" si="7"/>
        <v/>
      </c>
    </row>
    <row r="470" spans="1:10">
      <c r="A470" s="123"/>
      <c r="B470" s="113"/>
      <c r="C470" s="124"/>
      <c r="D470" s="125"/>
      <c r="E470" s="125"/>
      <c r="F470" s="126"/>
      <c r="G470" s="113"/>
      <c r="H470" s="112"/>
      <c r="I470" s="140"/>
      <c r="J470" s="101" t="str">
        <f t="shared" ca="1" si="7"/>
        <v/>
      </c>
    </row>
    <row r="471" spans="1:10">
      <c r="A471" s="119"/>
      <c r="B471" s="118"/>
      <c r="C471" s="120"/>
      <c r="D471" s="121"/>
      <c r="E471" s="121"/>
      <c r="F471" s="122"/>
      <c r="G471" s="118"/>
      <c r="H471" s="117"/>
      <c r="I471" s="141"/>
      <c r="J471" s="101" t="str">
        <f t="shared" ca="1" si="7"/>
        <v/>
      </c>
    </row>
    <row r="472" spans="1:10">
      <c r="A472" s="123"/>
      <c r="B472" s="113"/>
      <c r="C472" s="124"/>
      <c r="D472" s="125"/>
      <c r="E472" s="125"/>
      <c r="F472" s="126"/>
      <c r="G472" s="113"/>
      <c r="H472" s="112"/>
      <c r="I472" s="140"/>
      <c r="J472" s="101" t="str">
        <f t="shared" ca="1" si="7"/>
        <v/>
      </c>
    </row>
    <row r="473" spans="1:10">
      <c r="A473" s="119"/>
      <c r="B473" s="118"/>
      <c r="C473" s="120"/>
      <c r="D473" s="121"/>
      <c r="E473" s="121"/>
      <c r="F473" s="122"/>
      <c r="G473" s="118"/>
      <c r="H473" s="117"/>
      <c r="I473" s="141"/>
      <c r="J473" s="101" t="str">
        <f t="shared" ca="1" si="7"/>
        <v/>
      </c>
    </row>
    <row r="474" spans="1:10">
      <c r="A474" s="123"/>
      <c r="B474" s="113"/>
      <c r="C474" s="124"/>
      <c r="D474" s="125"/>
      <c r="E474" s="125"/>
      <c r="F474" s="126"/>
      <c r="G474" s="113"/>
      <c r="H474" s="112"/>
      <c r="I474" s="140"/>
      <c r="J474" s="101" t="str">
        <f t="shared" ca="1" si="7"/>
        <v/>
      </c>
    </row>
    <row r="475" spans="1:10">
      <c r="A475" s="119"/>
      <c r="B475" s="118"/>
      <c r="C475" s="120"/>
      <c r="D475" s="121"/>
      <c r="E475" s="121"/>
      <c r="F475" s="122"/>
      <c r="G475" s="118"/>
      <c r="H475" s="117"/>
      <c r="I475" s="141"/>
      <c r="J475" s="101" t="str">
        <f t="shared" ca="1" si="7"/>
        <v/>
      </c>
    </row>
    <row r="476" spans="1:10">
      <c r="A476" s="123"/>
      <c r="B476" s="113"/>
      <c r="C476" s="124"/>
      <c r="D476" s="125"/>
      <c r="E476" s="125"/>
      <c r="F476" s="126"/>
      <c r="G476" s="113"/>
      <c r="H476" s="112"/>
      <c r="I476" s="140"/>
      <c r="J476" s="101" t="str">
        <f t="shared" ca="1" si="7"/>
        <v/>
      </c>
    </row>
    <row r="477" spans="1:10">
      <c r="A477" s="119"/>
      <c r="B477" s="118"/>
      <c r="C477" s="120"/>
      <c r="D477" s="121"/>
      <c r="E477" s="121"/>
      <c r="F477" s="122"/>
      <c r="G477" s="118"/>
      <c r="H477" s="117"/>
      <c r="I477" s="141"/>
      <c r="J477" s="101" t="str">
        <f t="shared" ca="1" si="7"/>
        <v/>
      </c>
    </row>
    <row r="478" spans="1:10">
      <c r="A478" s="123"/>
      <c r="B478" s="113"/>
      <c r="C478" s="124"/>
      <c r="D478" s="125"/>
      <c r="E478" s="125"/>
      <c r="F478" s="126"/>
      <c r="G478" s="113"/>
      <c r="H478" s="112"/>
      <c r="I478" s="140"/>
      <c r="J478" s="101" t="str">
        <f t="shared" ca="1" si="7"/>
        <v/>
      </c>
    </row>
    <row r="479" spans="1:10">
      <c r="A479" s="119"/>
      <c r="B479" s="118"/>
      <c r="C479" s="120"/>
      <c r="D479" s="121"/>
      <c r="E479" s="121"/>
      <c r="F479" s="122"/>
      <c r="G479" s="118"/>
      <c r="H479" s="117"/>
      <c r="I479" s="141"/>
      <c r="J479" s="101" t="str">
        <f t="shared" ca="1" si="7"/>
        <v/>
      </c>
    </row>
    <row r="480" spans="1:10">
      <c r="A480" s="123"/>
      <c r="B480" s="113"/>
      <c r="C480" s="124"/>
      <c r="D480" s="125"/>
      <c r="E480" s="125"/>
      <c r="F480" s="126"/>
      <c r="G480" s="113"/>
      <c r="H480" s="112"/>
      <c r="I480" s="140"/>
      <c r="J480" s="101" t="str">
        <f t="shared" ca="1" si="7"/>
        <v/>
      </c>
    </row>
    <row r="481" spans="1:10">
      <c r="A481" s="119"/>
      <c r="B481" s="118"/>
      <c r="C481" s="120"/>
      <c r="D481" s="121"/>
      <c r="E481" s="121"/>
      <c r="F481" s="122"/>
      <c r="G481" s="118"/>
      <c r="H481" s="117"/>
      <c r="I481" s="141"/>
      <c r="J481" s="101" t="str">
        <f t="shared" ca="1" si="7"/>
        <v/>
      </c>
    </row>
    <row r="482" spans="1:10">
      <c r="A482" s="123"/>
      <c r="B482" s="113"/>
      <c r="C482" s="124"/>
      <c r="D482" s="125"/>
      <c r="E482" s="125"/>
      <c r="F482" s="126"/>
      <c r="G482" s="113"/>
      <c r="H482" s="112"/>
      <c r="I482" s="140"/>
      <c r="J482" s="101" t="str">
        <f t="shared" ca="1" si="7"/>
        <v/>
      </c>
    </row>
    <row r="483" spans="1:10">
      <c r="A483" s="119"/>
      <c r="B483" s="118"/>
      <c r="C483" s="120"/>
      <c r="D483" s="121"/>
      <c r="E483" s="121"/>
      <c r="F483" s="122"/>
      <c r="G483" s="118"/>
      <c r="H483" s="117"/>
      <c r="I483" s="141"/>
      <c r="J483" s="101" t="str">
        <f t="shared" ca="1" si="7"/>
        <v/>
      </c>
    </row>
    <row r="484" spans="1:10">
      <c r="A484" s="123"/>
      <c r="B484" s="113"/>
      <c r="C484" s="124"/>
      <c r="D484" s="125"/>
      <c r="E484" s="125"/>
      <c r="F484" s="126"/>
      <c r="G484" s="113"/>
      <c r="H484" s="112"/>
      <c r="I484" s="140"/>
      <c r="J484" s="101" t="str">
        <f t="shared" ca="1" si="7"/>
        <v/>
      </c>
    </row>
    <row r="485" spans="1:10">
      <c r="A485" s="119"/>
      <c r="B485" s="118"/>
      <c r="C485" s="120"/>
      <c r="D485" s="121"/>
      <c r="E485" s="121"/>
      <c r="F485" s="122"/>
      <c r="G485" s="118"/>
      <c r="H485" s="117"/>
      <c r="I485" s="141"/>
      <c r="J485" s="101" t="str">
        <f t="shared" ca="1" si="7"/>
        <v/>
      </c>
    </row>
    <row r="486" spans="1:10">
      <c r="A486" s="123"/>
      <c r="B486" s="113"/>
      <c r="C486" s="124"/>
      <c r="D486" s="125"/>
      <c r="E486" s="125"/>
      <c r="F486" s="126"/>
      <c r="G486" s="113"/>
      <c r="H486" s="112"/>
      <c r="I486" s="140"/>
      <c r="J486" s="101" t="str">
        <f t="shared" ca="1" si="7"/>
        <v/>
      </c>
    </row>
    <row r="487" spans="1:10">
      <c r="A487" s="119"/>
      <c r="B487" s="118"/>
      <c r="C487" s="120"/>
      <c r="D487" s="121"/>
      <c r="E487" s="121"/>
      <c r="F487" s="122"/>
      <c r="G487" s="118"/>
      <c r="H487" s="117"/>
      <c r="I487" s="141"/>
      <c r="J487" s="101" t="str">
        <f t="shared" ca="1" si="7"/>
        <v/>
      </c>
    </row>
    <row r="488" spans="1:10">
      <c r="A488" s="123"/>
      <c r="B488" s="113"/>
      <c r="C488" s="124"/>
      <c r="D488" s="125"/>
      <c r="E488" s="125"/>
      <c r="F488" s="126"/>
      <c r="G488" s="113"/>
      <c r="H488" s="112"/>
      <c r="I488" s="140"/>
      <c r="J488" s="101" t="str">
        <f t="shared" ca="1" si="7"/>
        <v/>
      </c>
    </row>
    <row r="489" spans="1:10">
      <c r="A489" s="119"/>
      <c r="B489" s="118"/>
      <c r="C489" s="120"/>
      <c r="D489" s="121"/>
      <c r="E489" s="121"/>
      <c r="F489" s="122"/>
      <c r="G489" s="118"/>
      <c r="H489" s="117"/>
      <c r="I489" s="141"/>
      <c r="J489" s="101" t="str">
        <f t="shared" ca="1" si="7"/>
        <v/>
      </c>
    </row>
    <row r="490" spans="1:10">
      <c r="A490" s="123"/>
      <c r="B490" s="113"/>
      <c r="C490" s="124"/>
      <c r="D490" s="125"/>
      <c r="E490" s="125"/>
      <c r="F490" s="126"/>
      <c r="G490" s="113"/>
      <c r="H490" s="112"/>
      <c r="I490" s="140"/>
      <c r="J490" s="101" t="str">
        <f t="shared" ca="1" si="7"/>
        <v/>
      </c>
    </row>
    <row r="491" spans="1:10">
      <c r="A491" s="119"/>
      <c r="B491" s="118"/>
      <c r="C491" s="120"/>
      <c r="D491" s="121"/>
      <c r="E491" s="121"/>
      <c r="F491" s="122"/>
      <c r="G491" s="118"/>
      <c r="H491" s="117"/>
      <c r="I491" s="141"/>
      <c r="J491" s="101" t="str">
        <f t="shared" ca="1" si="7"/>
        <v/>
      </c>
    </row>
    <row r="492" spans="1:10">
      <c r="A492" s="123"/>
      <c r="B492" s="113"/>
      <c r="C492" s="124"/>
      <c r="D492" s="125"/>
      <c r="E492" s="125"/>
      <c r="F492" s="126"/>
      <c r="G492" s="113"/>
      <c r="H492" s="112"/>
      <c r="I492" s="140"/>
      <c r="J492" s="101" t="str">
        <f t="shared" ca="1" si="7"/>
        <v/>
      </c>
    </row>
    <row r="493" spans="1:10">
      <c r="A493" s="119"/>
      <c r="B493" s="118"/>
      <c r="C493" s="120"/>
      <c r="D493" s="121"/>
      <c r="E493" s="121"/>
      <c r="F493" s="122"/>
      <c r="G493" s="118"/>
      <c r="H493" s="117"/>
      <c r="I493" s="141"/>
      <c r="J493" s="101" t="str">
        <f t="shared" ca="1" si="7"/>
        <v/>
      </c>
    </row>
    <row r="494" spans="1:10">
      <c r="A494" s="123"/>
      <c r="B494" s="113"/>
      <c r="C494" s="124"/>
      <c r="D494" s="125"/>
      <c r="E494" s="125"/>
      <c r="F494" s="126"/>
      <c r="G494" s="113"/>
      <c r="H494" s="112"/>
      <c r="I494" s="140"/>
      <c r="J494" s="101" t="str">
        <f t="shared" ca="1" si="7"/>
        <v/>
      </c>
    </row>
    <row r="495" spans="1:10">
      <c r="A495" s="119"/>
      <c r="B495" s="118"/>
      <c r="C495" s="120"/>
      <c r="D495" s="121"/>
      <c r="E495" s="121"/>
      <c r="F495" s="122"/>
      <c r="G495" s="118"/>
      <c r="H495" s="117"/>
      <c r="I495" s="141"/>
      <c r="J495" s="101" t="str">
        <f t="shared" ca="1" si="7"/>
        <v/>
      </c>
    </row>
    <row r="496" spans="1:10">
      <c r="A496" s="123"/>
      <c r="B496" s="113"/>
      <c r="C496" s="124"/>
      <c r="D496" s="125"/>
      <c r="E496" s="125"/>
      <c r="F496" s="126"/>
      <c r="G496" s="113"/>
      <c r="H496" s="112"/>
      <c r="I496" s="140"/>
      <c r="J496" s="101" t="str">
        <f t="shared" ca="1" si="7"/>
        <v/>
      </c>
    </row>
    <row r="497" spans="1:10">
      <c r="A497" s="119"/>
      <c r="B497" s="118"/>
      <c r="C497" s="120"/>
      <c r="D497" s="121"/>
      <c r="E497" s="121"/>
      <c r="F497" s="122"/>
      <c r="G497" s="118"/>
      <c r="H497" s="117"/>
      <c r="I497" s="141"/>
      <c r="J497" s="101" t="str">
        <f t="shared" ca="1" si="7"/>
        <v/>
      </c>
    </row>
    <row r="498" spans="1:10">
      <c r="A498" s="123"/>
      <c r="B498" s="113"/>
      <c r="C498" s="124"/>
      <c r="D498" s="125"/>
      <c r="E498" s="125"/>
      <c r="F498" s="126"/>
      <c r="G498" s="113"/>
      <c r="H498" s="112"/>
      <c r="I498" s="140"/>
      <c r="J498" s="101" t="str">
        <f t="shared" ca="1" si="7"/>
        <v/>
      </c>
    </row>
    <row r="499" spans="1:10">
      <c r="A499" s="119"/>
      <c r="B499" s="118"/>
      <c r="C499" s="120"/>
      <c r="D499" s="121"/>
      <c r="E499" s="121"/>
      <c r="F499" s="122"/>
      <c r="G499" s="118"/>
      <c r="H499" s="117"/>
      <c r="I499" s="141"/>
      <c r="J499" s="101" t="str">
        <f t="shared" ca="1" si="7"/>
        <v/>
      </c>
    </row>
    <row r="500" spans="1:10">
      <c r="A500" s="123"/>
      <c r="B500" s="113"/>
      <c r="C500" s="124"/>
      <c r="D500" s="125"/>
      <c r="E500" s="125"/>
      <c r="F500" s="126"/>
      <c r="G500" s="113"/>
      <c r="H500" s="112"/>
      <c r="I500" s="140"/>
      <c r="J500" s="101" t="str">
        <f t="shared" ca="1" si="7"/>
        <v/>
      </c>
    </row>
    <row r="501" spans="1:10">
      <c r="A501" s="119"/>
      <c r="B501" s="118"/>
      <c r="C501" s="120"/>
      <c r="D501" s="121"/>
      <c r="E501" s="121"/>
      <c r="F501" s="122"/>
      <c r="G501" s="118"/>
      <c r="H501" s="117"/>
      <c r="I501" s="141"/>
      <c r="J501" s="101" t="str">
        <f t="shared" ca="1" si="7"/>
        <v/>
      </c>
    </row>
    <row r="502" spans="1:10">
      <c r="A502" s="123"/>
      <c r="B502" s="113"/>
      <c r="C502" s="124"/>
      <c r="D502" s="125"/>
      <c r="E502" s="125"/>
      <c r="F502" s="126"/>
      <c r="G502" s="113"/>
      <c r="H502" s="112"/>
      <c r="I502" s="140"/>
      <c r="J502" s="101" t="str">
        <f t="shared" ca="1" si="7"/>
        <v/>
      </c>
    </row>
    <row r="503" spans="1:10">
      <c r="A503" s="119"/>
      <c r="B503" s="118"/>
      <c r="C503" s="120"/>
      <c r="D503" s="121"/>
      <c r="E503" s="121"/>
      <c r="F503" s="122"/>
      <c r="G503" s="118"/>
      <c r="H503" s="117"/>
      <c r="I503" s="141"/>
      <c r="J503" s="101" t="str">
        <f t="shared" ca="1" si="7"/>
        <v/>
      </c>
    </row>
    <row r="504" spans="1:10">
      <c r="A504" s="123"/>
      <c r="B504" s="113"/>
      <c r="C504" s="124"/>
      <c r="D504" s="125"/>
      <c r="E504" s="125"/>
      <c r="F504" s="126"/>
      <c r="G504" s="113"/>
      <c r="H504" s="112"/>
      <c r="I504" s="140"/>
      <c r="J504" s="101" t="str">
        <f t="shared" ca="1" si="7"/>
        <v/>
      </c>
    </row>
    <row r="505" spans="1:10">
      <c r="A505" s="119"/>
      <c r="B505" s="118"/>
      <c r="C505" s="120"/>
      <c r="D505" s="121"/>
      <c r="E505" s="121"/>
      <c r="F505" s="122"/>
      <c r="G505" s="118"/>
      <c r="H505" s="117"/>
      <c r="I505" s="141"/>
      <c r="J505" s="101" t="str">
        <f t="shared" ca="1" si="7"/>
        <v/>
      </c>
    </row>
    <row r="506" spans="1:10">
      <c r="A506" s="123"/>
      <c r="B506" s="113"/>
      <c r="C506" s="124"/>
      <c r="D506" s="125"/>
      <c r="E506" s="125"/>
      <c r="F506" s="126"/>
      <c r="G506" s="113"/>
      <c r="H506" s="112"/>
      <c r="I506" s="140"/>
      <c r="J506" s="101" t="str">
        <f t="shared" ca="1" si="7"/>
        <v/>
      </c>
    </row>
    <row r="507" spans="1:10">
      <c r="A507" s="119"/>
      <c r="B507" s="118"/>
      <c r="C507" s="120"/>
      <c r="D507" s="121"/>
      <c r="E507" s="121"/>
      <c r="F507" s="122"/>
      <c r="G507" s="118"/>
      <c r="H507" s="117"/>
      <c r="I507" s="141"/>
      <c r="J507" s="101" t="str">
        <f t="shared" ca="1" si="7"/>
        <v/>
      </c>
    </row>
    <row r="508" spans="1:10">
      <c r="A508" s="123"/>
      <c r="B508" s="113"/>
      <c r="C508" s="124"/>
      <c r="D508" s="125"/>
      <c r="E508" s="125"/>
      <c r="F508" s="126"/>
      <c r="G508" s="113"/>
      <c r="H508" s="112"/>
      <c r="I508" s="140"/>
      <c r="J508" s="101" t="str">
        <f t="shared" ca="1" si="7"/>
        <v/>
      </c>
    </row>
    <row r="509" spans="1:10">
      <c r="A509" s="119"/>
      <c r="B509" s="118"/>
      <c r="C509" s="120"/>
      <c r="D509" s="121"/>
      <c r="E509" s="121"/>
      <c r="F509" s="122"/>
      <c r="G509" s="118"/>
      <c r="H509" s="117"/>
      <c r="I509" s="141"/>
      <c r="J509" s="101" t="str">
        <f t="shared" ca="1" si="7"/>
        <v/>
      </c>
    </row>
    <row r="510" spans="1:10">
      <c r="A510" s="123"/>
      <c r="B510" s="113"/>
      <c r="C510" s="124"/>
      <c r="D510" s="125"/>
      <c r="E510" s="125"/>
      <c r="F510" s="126"/>
      <c r="G510" s="113"/>
      <c r="H510" s="112"/>
      <c r="I510" s="140"/>
      <c r="J510" s="101" t="str">
        <f t="shared" ca="1" si="7"/>
        <v/>
      </c>
    </row>
    <row r="511" spans="1:10">
      <c r="A511" s="119"/>
      <c r="B511" s="118"/>
      <c r="C511" s="120"/>
      <c r="D511" s="121"/>
      <c r="E511" s="121"/>
      <c r="F511" s="122"/>
      <c r="G511" s="118"/>
      <c r="H511" s="117"/>
      <c r="I511" s="141"/>
      <c r="J511" s="101" t="str">
        <f t="shared" ca="1" si="7"/>
        <v/>
      </c>
    </row>
    <row r="512" spans="1:10">
      <c r="A512" s="123"/>
      <c r="B512" s="113"/>
      <c r="C512" s="124"/>
      <c r="D512" s="125"/>
      <c r="E512" s="125"/>
      <c r="F512" s="126"/>
      <c r="G512" s="113"/>
      <c r="H512" s="112"/>
      <c r="I512" s="140"/>
      <c r="J512" s="101" t="str">
        <f t="shared" ca="1" si="7"/>
        <v/>
      </c>
    </row>
    <row r="513" spans="1:10">
      <c r="A513" s="119"/>
      <c r="B513" s="118"/>
      <c r="C513" s="120"/>
      <c r="D513" s="121"/>
      <c r="E513" s="121"/>
      <c r="F513" s="122"/>
      <c r="G513" s="118"/>
      <c r="H513" s="117"/>
      <c r="I513" s="141"/>
      <c r="J513" s="101" t="str">
        <f t="shared" ca="1" si="7"/>
        <v/>
      </c>
    </row>
    <row r="514" spans="1:10">
      <c r="A514" s="123"/>
      <c r="B514" s="113"/>
      <c r="C514" s="124"/>
      <c r="D514" s="125"/>
      <c r="E514" s="125"/>
      <c r="F514" s="126"/>
      <c r="G514" s="113"/>
      <c r="H514" s="112"/>
      <c r="I514" s="140"/>
      <c r="J514" s="101" t="str">
        <f t="shared" ca="1" si="7"/>
        <v/>
      </c>
    </row>
    <row r="515" spans="1:10">
      <c r="A515" s="119"/>
      <c r="B515" s="118"/>
      <c r="C515" s="120"/>
      <c r="D515" s="121"/>
      <c r="E515" s="121"/>
      <c r="F515" s="122"/>
      <c r="G515" s="118"/>
      <c r="H515" s="117"/>
      <c r="I515" s="141"/>
      <c r="J515" s="101" t="str">
        <f t="shared" ref="J515:J578" ca="1" si="8">_xlfn.LET(
    _xlpm.AllCellsFilled, COUNTA(A515:I515) = 9,
    _xlpm.QtyIsInt, AND(ISNUMBER(G515), G515=INT(G515)),
    _xlpm.AvailDateIsValid, AND(ISNUMBER(F515), F515&gt;=TODAY()),
    _xlpm.ReqDateIsValid, AND(ISNUMBER(H515), H515&gt;=TODAY()),
    _xlpm.EmailIsValid, RIGHT(I515,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IF(A515="", "", IF(_xlpm.error_messages = "", "Yes", _xlpm.error_messages))
)</f>
        <v/>
      </c>
    </row>
    <row r="516" spans="1:10">
      <c r="A516" s="123"/>
      <c r="B516" s="113"/>
      <c r="C516" s="124"/>
      <c r="D516" s="125"/>
      <c r="E516" s="125"/>
      <c r="F516" s="126"/>
      <c r="G516" s="113"/>
      <c r="H516" s="112"/>
      <c r="I516" s="140"/>
      <c r="J516" s="101" t="str">
        <f t="shared" ca="1" si="8"/>
        <v/>
      </c>
    </row>
    <row r="517" spans="1:10">
      <c r="A517" s="119"/>
      <c r="B517" s="118"/>
      <c r="C517" s="120"/>
      <c r="D517" s="121"/>
      <c r="E517" s="121"/>
      <c r="F517" s="122"/>
      <c r="G517" s="118"/>
      <c r="H517" s="117"/>
      <c r="I517" s="141"/>
      <c r="J517" s="101" t="str">
        <f t="shared" ca="1" si="8"/>
        <v/>
      </c>
    </row>
    <row r="518" spans="1:10">
      <c r="A518" s="123"/>
      <c r="B518" s="113"/>
      <c r="C518" s="124"/>
      <c r="D518" s="125"/>
      <c r="E518" s="125"/>
      <c r="F518" s="126"/>
      <c r="G518" s="113"/>
      <c r="H518" s="112"/>
      <c r="I518" s="140"/>
      <c r="J518" s="101" t="str">
        <f t="shared" ca="1" si="8"/>
        <v/>
      </c>
    </row>
    <row r="519" spans="1:10">
      <c r="A519" s="119"/>
      <c r="B519" s="118"/>
      <c r="C519" s="120"/>
      <c r="D519" s="121"/>
      <c r="E519" s="121"/>
      <c r="F519" s="122"/>
      <c r="G519" s="118"/>
      <c r="H519" s="117"/>
      <c r="I519" s="141"/>
      <c r="J519" s="101" t="str">
        <f t="shared" ca="1" si="8"/>
        <v/>
      </c>
    </row>
    <row r="520" spans="1:10">
      <c r="A520" s="123"/>
      <c r="B520" s="113"/>
      <c r="C520" s="124"/>
      <c r="D520" s="125"/>
      <c r="E520" s="125"/>
      <c r="F520" s="126"/>
      <c r="G520" s="113"/>
      <c r="H520" s="112"/>
      <c r="I520" s="140"/>
      <c r="J520" s="101" t="str">
        <f t="shared" ca="1" si="8"/>
        <v/>
      </c>
    </row>
    <row r="521" spans="1:10">
      <c r="A521" s="119"/>
      <c r="B521" s="118"/>
      <c r="C521" s="120"/>
      <c r="D521" s="121"/>
      <c r="E521" s="121"/>
      <c r="F521" s="122"/>
      <c r="G521" s="118"/>
      <c r="H521" s="117"/>
      <c r="I521" s="141"/>
      <c r="J521" s="101" t="str">
        <f t="shared" ca="1" si="8"/>
        <v/>
      </c>
    </row>
    <row r="522" spans="1:10">
      <c r="A522" s="123"/>
      <c r="B522" s="113"/>
      <c r="C522" s="124"/>
      <c r="D522" s="125"/>
      <c r="E522" s="125"/>
      <c r="F522" s="126"/>
      <c r="G522" s="113"/>
      <c r="H522" s="112"/>
      <c r="I522" s="140"/>
      <c r="J522" s="101" t="str">
        <f t="shared" ca="1" si="8"/>
        <v/>
      </c>
    </row>
    <row r="523" spans="1:10">
      <c r="A523" s="119"/>
      <c r="B523" s="118"/>
      <c r="C523" s="120"/>
      <c r="D523" s="121"/>
      <c r="E523" s="121"/>
      <c r="F523" s="122"/>
      <c r="G523" s="118"/>
      <c r="H523" s="117"/>
      <c r="I523" s="141"/>
      <c r="J523" s="101" t="str">
        <f t="shared" ca="1" si="8"/>
        <v/>
      </c>
    </row>
    <row r="524" spans="1:10">
      <c r="A524" s="123"/>
      <c r="B524" s="113"/>
      <c r="C524" s="124"/>
      <c r="D524" s="125"/>
      <c r="E524" s="125"/>
      <c r="F524" s="126"/>
      <c r="G524" s="113"/>
      <c r="H524" s="112"/>
      <c r="I524" s="140"/>
      <c r="J524" s="101" t="str">
        <f t="shared" ca="1" si="8"/>
        <v/>
      </c>
    </row>
    <row r="525" spans="1:10">
      <c r="A525" s="119"/>
      <c r="B525" s="118"/>
      <c r="C525" s="120"/>
      <c r="D525" s="121"/>
      <c r="E525" s="121"/>
      <c r="F525" s="122"/>
      <c r="G525" s="118"/>
      <c r="H525" s="117"/>
      <c r="I525" s="141"/>
      <c r="J525" s="101" t="str">
        <f t="shared" ca="1" si="8"/>
        <v/>
      </c>
    </row>
    <row r="526" spans="1:10">
      <c r="A526" s="123"/>
      <c r="B526" s="113"/>
      <c r="C526" s="124"/>
      <c r="D526" s="125"/>
      <c r="E526" s="125"/>
      <c r="F526" s="126"/>
      <c r="G526" s="113"/>
      <c r="H526" s="112"/>
      <c r="I526" s="140"/>
      <c r="J526" s="101" t="str">
        <f t="shared" ca="1" si="8"/>
        <v/>
      </c>
    </row>
    <row r="527" spans="1:10">
      <c r="A527" s="119"/>
      <c r="B527" s="118"/>
      <c r="C527" s="120"/>
      <c r="D527" s="121"/>
      <c r="E527" s="121"/>
      <c r="F527" s="122"/>
      <c r="G527" s="118"/>
      <c r="H527" s="117"/>
      <c r="I527" s="141"/>
      <c r="J527" s="101" t="str">
        <f t="shared" ca="1" si="8"/>
        <v/>
      </c>
    </row>
    <row r="528" spans="1:10">
      <c r="A528" s="123"/>
      <c r="B528" s="113"/>
      <c r="C528" s="124"/>
      <c r="D528" s="125"/>
      <c r="E528" s="125"/>
      <c r="F528" s="126"/>
      <c r="G528" s="113"/>
      <c r="H528" s="112"/>
      <c r="I528" s="140"/>
      <c r="J528" s="101" t="str">
        <f t="shared" ca="1" si="8"/>
        <v/>
      </c>
    </row>
    <row r="529" spans="1:10">
      <c r="A529" s="119"/>
      <c r="B529" s="118"/>
      <c r="C529" s="120"/>
      <c r="D529" s="121"/>
      <c r="E529" s="121"/>
      <c r="F529" s="122"/>
      <c r="G529" s="118"/>
      <c r="H529" s="117"/>
      <c r="I529" s="141"/>
      <c r="J529" s="101" t="str">
        <f t="shared" ca="1" si="8"/>
        <v/>
      </c>
    </row>
    <row r="530" spans="1:10">
      <c r="A530" s="123"/>
      <c r="B530" s="113"/>
      <c r="C530" s="124"/>
      <c r="D530" s="125"/>
      <c r="E530" s="125"/>
      <c r="F530" s="126"/>
      <c r="G530" s="113"/>
      <c r="H530" s="112"/>
      <c r="I530" s="140"/>
      <c r="J530" s="101" t="str">
        <f t="shared" ca="1" si="8"/>
        <v/>
      </c>
    </row>
    <row r="531" spans="1:10">
      <c r="A531" s="119"/>
      <c r="B531" s="118"/>
      <c r="C531" s="120"/>
      <c r="D531" s="121"/>
      <c r="E531" s="121"/>
      <c r="F531" s="122"/>
      <c r="G531" s="118"/>
      <c r="H531" s="117"/>
      <c r="I531" s="141"/>
      <c r="J531" s="101" t="str">
        <f t="shared" ca="1" si="8"/>
        <v/>
      </c>
    </row>
    <row r="532" spans="1:10">
      <c r="A532" s="123"/>
      <c r="B532" s="113"/>
      <c r="C532" s="124"/>
      <c r="D532" s="125"/>
      <c r="E532" s="125"/>
      <c r="F532" s="126"/>
      <c r="G532" s="113"/>
      <c r="H532" s="112"/>
      <c r="I532" s="140"/>
      <c r="J532" s="101" t="str">
        <f t="shared" ca="1" si="8"/>
        <v/>
      </c>
    </row>
    <row r="533" spans="1:10">
      <c r="A533" s="119"/>
      <c r="B533" s="118"/>
      <c r="C533" s="120"/>
      <c r="D533" s="121"/>
      <c r="E533" s="121"/>
      <c r="F533" s="122"/>
      <c r="G533" s="118"/>
      <c r="H533" s="117"/>
      <c r="I533" s="141"/>
      <c r="J533" s="101" t="str">
        <f t="shared" ca="1" si="8"/>
        <v/>
      </c>
    </row>
    <row r="534" spans="1:10">
      <c r="A534" s="123"/>
      <c r="B534" s="113"/>
      <c r="C534" s="124"/>
      <c r="D534" s="125"/>
      <c r="E534" s="125"/>
      <c r="F534" s="126"/>
      <c r="G534" s="113"/>
      <c r="H534" s="112"/>
      <c r="I534" s="140"/>
      <c r="J534" s="101" t="str">
        <f t="shared" ca="1" si="8"/>
        <v/>
      </c>
    </row>
    <row r="535" spans="1:10">
      <c r="A535" s="119"/>
      <c r="B535" s="118"/>
      <c r="C535" s="120"/>
      <c r="D535" s="121"/>
      <c r="E535" s="121"/>
      <c r="F535" s="122"/>
      <c r="G535" s="118"/>
      <c r="H535" s="117"/>
      <c r="I535" s="141"/>
      <c r="J535" s="101" t="str">
        <f t="shared" ca="1" si="8"/>
        <v/>
      </c>
    </row>
    <row r="536" spans="1:10">
      <c r="A536" s="123"/>
      <c r="B536" s="113"/>
      <c r="C536" s="124"/>
      <c r="D536" s="125"/>
      <c r="E536" s="125"/>
      <c r="F536" s="126"/>
      <c r="G536" s="113"/>
      <c r="H536" s="112"/>
      <c r="I536" s="140"/>
      <c r="J536" s="101" t="str">
        <f t="shared" ca="1" si="8"/>
        <v/>
      </c>
    </row>
    <row r="537" spans="1:10">
      <c r="A537" s="119"/>
      <c r="B537" s="118"/>
      <c r="C537" s="120"/>
      <c r="D537" s="121"/>
      <c r="E537" s="121"/>
      <c r="F537" s="122"/>
      <c r="G537" s="118"/>
      <c r="H537" s="117"/>
      <c r="I537" s="141"/>
      <c r="J537" s="101" t="str">
        <f t="shared" ca="1" si="8"/>
        <v/>
      </c>
    </row>
    <row r="538" spans="1:10">
      <c r="A538" s="123"/>
      <c r="B538" s="113"/>
      <c r="C538" s="124"/>
      <c r="D538" s="125"/>
      <c r="E538" s="125"/>
      <c r="F538" s="126"/>
      <c r="G538" s="113"/>
      <c r="H538" s="112"/>
      <c r="I538" s="140"/>
      <c r="J538" s="101" t="str">
        <f t="shared" ca="1" si="8"/>
        <v/>
      </c>
    </row>
    <row r="539" spans="1:10">
      <c r="A539" s="119"/>
      <c r="B539" s="118"/>
      <c r="C539" s="120"/>
      <c r="D539" s="121"/>
      <c r="E539" s="121"/>
      <c r="F539" s="122"/>
      <c r="G539" s="118"/>
      <c r="H539" s="117"/>
      <c r="I539" s="141"/>
      <c r="J539" s="101" t="str">
        <f t="shared" ca="1" si="8"/>
        <v/>
      </c>
    </row>
    <row r="540" spans="1:10">
      <c r="A540" s="123"/>
      <c r="B540" s="113"/>
      <c r="C540" s="124"/>
      <c r="D540" s="125"/>
      <c r="E540" s="125"/>
      <c r="F540" s="126"/>
      <c r="G540" s="113"/>
      <c r="H540" s="112"/>
      <c r="I540" s="140"/>
      <c r="J540" s="101" t="str">
        <f t="shared" ca="1" si="8"/>
        <v/>
      </c>
    </row>
    <row r="541" spans="1:10">
      <c r="A541" s="119"/>
      <c r="B541" s="118"/>
      <c r="C541" s="120"/>
      <c r="D541" s="121"/>
      <c r="E541" s="121"/>
      <c r="F541" s="122"/>
      <c r="G541" s="118"/>
      <c r="H541" s="117"/>
      <c r="I541" s="141"/>
      <c r="J541" s="101" t="str">
        <f t="shared" ca="1" si="8"/>
        <v/>
      </c>
    </row>
    <row r="542" spans="1:10">
      <c r="A542" s="123"/>
      <c r="B542" s="113"/>
      <c r="C542" s="124"/>
      <c r="D542" s="125"/>
      <c r="E542" s="125"/>
      <c r="F542" s="126"/>
      <c r="G542" s="113"/>
      <c r="H542" s="112"/>
      <c r="I542" s="140"/>
      <c r="J542" s="101" t="str">
        <f t="shared" ca="1" si="8"/>
        <v/>
      </c>
    </row>
    <row r="543" spans="1:10">
      <c r="A543" s="119"/>
      <c r="B543" s="118"/>
      <c r="C543" s="120"/>
      <c r="D543" s="121"/>
      <c r="E543" s="121"/>
      <c r="F543" s="122"/>
      <c r="G543" s="118"/>
      <c r="H543" s="117"/>
      <c r="I543" s="141"/>
      <c r="J543" s="101" t="str">
        <f t="shared" ca="1" si="8"/>
        <v/>
      </c>
    </row>
    <row r="544" spans="1:10">
      <c r="A544" s="123"/>
      <c r="B544" s="113"/>
      <c r="C544" s="124"/>
      <c r="D544" s="125"/>
      <c r="E544" s="125"/>
      <c r="F544" s="126"/>
      <c r="G544" s="113"/>
      <c r="H544" s="112"/>
      <c r="I544" s="140"/>
      <c r="J544" s="101" t="str">
        <f t="shared" ca="1" si="8"/>
        <v/>
      </c>
    </row>
    <row r="545" spans="1:10">
      <c r="A545" s="119"/>
      <c r="B545" s="118"/>
      <c r="C545" s="120"/>
      <c r="D545" s="121"/>
      <c r="E545" s="121"/>
      <c r="F545" s="122"/>
      <c r="G545" s="118"/>
      <c r="H545" s="117"/>
      <c r="I545" s="141"/>
      <c r="J545" s="101" t="str">
        <f t="shared" ca="1" si="8"/>
        <v/>
      </c>
    </row>
    <row r="546" spans="1:10">
      <c r="A546" s="123"/>
      <c r="B546" s="113"/>
      <c r="C546" s="124"/>
      <c r="D546" s="125"/>
      <c r="E546" s="125"/>
      <c r="F546" s="126"/>
      <c r="G546" s="113"/>
      <c r="H546" s="112"/>
      <c r="I546" s="140"/>
      <c r="J546" s="101" t="str">
        <f t="shared" ca="1" si="8"/>
        <v/>
      </c>
    </row>
    <row r="547" spans="1:10">
      <c r="A547" s="119"/>
      <c r="B547" s="118"/>
      <c r="C547" s="120"/>
      <c r="D547" s="121"/>
      <c r="E547" s="121"/>
      <c r="F547" s="122"/>
      <c r="G547" s="118"/>
      <c r="H547" s="117"/>
      <c r="I547" s="141"/>
      <c r="J547" s="101" t="str">
        <f t="shared" ca="1" si="8"/>
        <v/>
      </c>
    </row>
    <row r="548" spans="1:10">
      <c r="A548" s="123"/>
      <c r="B548" s="113"/>
      <c r="C548" s="124"/>
      <c r="D548" s="125"/>
      <c r="E548" s="125"/>
      <c r="F548" s="126"/>
      <c r="G548" s="113"/>
      <c r="H548" s="112"/>
      <c r="I548" s="140"/>
      <c r="J548" s="101" t="str">
        <f t="shared" ca="1" si="8"/>
        <v/>
      </c>
    </row>
    <row r="549" spans="1:10">
      <c r="A549" s="119"/>
      <c r="B549" s="118"/>
      <c r="C549" s="120"/>
      <c r="D549" s="121"/>
      <c r="E549" s="121"/>
      <c r="F549" s="122"/>
      <c r="G549" s="118"/>
      <c r="H549" s="117"/>
      <c r="I549" s="141"/>
      <c r="J549" s="101" t="str">
        <f t="shared" ca="1" si="8"/>
        <v/>
      </c>
    </row>
    <row r="550" spans="1:10">
      <c r="A550" s="123"/>
      <c r="B550" s="113"/>
      <c r="C550" s="124"/>
      <c r="D550" s="125"/>
      <c r="E550" s="125"/>
      <c r="F550" s="126"/>
      <c r="G550" s="113"/>
      <c r="H550" s="112"/>
      <c r="I550" s="140"/>
      <c r="J550" s="101" t="str">
        <f t="shared" ca="1" si="8"/>
        <v/>
      </c>
    </row>
    <row r="551" spans="1:10">
      <c r="A551" s="119"/>
      <c r="B551" s="118"/>
      <c r="C551" s="120"/>
      <c r="D551" s="121"/>
      <c r="E551" s="121"/>
      <c r="F551" s="122"/>
      <c r="G551" s="118"/>
      <c r="H551" s="117"/>
      <c r="I551" s="141"/>
      <c r="J551" s="101" t="str">
        <f t="shared" ca="1" si="8"/>
        <v/>
      </c>
    </row>
    <row r="552" spans="1:10">
      <c r="A552" s="123"/>
      <c r="B552" s="113"/>
      <c r="C552" s="124"/>
      <c r="D552" s="125"/>
      <c r="E552" s="125"/>
      <c r="F552" s="126"/>
      <c r="G552" s="113"/>
      <c r="H552" s="112"/>
      <c r="I552" s="140"/>
      <c r="J552" s="101" t="str">
        <f t="shared" ca="1" si="8"/>
        <v/>
      </c>
    </row>
    <row r="553" spans="1:10">
      <c r="A553" s="119"/>
      <c r="B553" s="118"/>
      <c r="C553" s="120"/>
      <c r="D553" s="121"/>
      <c r="E553" s="121"/>
      <c r="F553" s="122"/>
      <c r="G553" s="118"/>
      <c r="H553" s="117"/>
      <c r="I553" s="141"/>
      <c r="J553" s="101" t="str">
        <f t="shared" ca="1" si="8"/>
        <v/>
      </c>
    </row>
    <row r="554" spans="1:10">
      <c r="A554" s="123"/>
      <c r="B554" s="113"/>
      <c r="C554" s="124"/>
      <c r="D554" s="125"/>
      <c r="E554" s="125"/>
      <c r="F554" s="126"/>
      <c r="G554" s="113"/>
      <c r="H554" s="112"/>
      <c r="I554" s="140"/>
      <c r="J554" s="101" t="str">
        <f t="shared" ca="1" si="8"/>
        <v/>
      </c>
    </row>
    <row r="555" spans="1:10">
      <c r="A555" s="119"/>
      <c r="B555" s="118"/>
      <c r="C555" s="120"/>
      <c r="D555" s="121"/>
      <c r="E555" s="121"/>
      <c r="F555" s="122"/>
      <c r="G555" s="118"/>
      <c r="H555" s="117"/>
      <c r="I555" s="141"/>
      <c r="J555" s="101" t="str">
        <f t="shared" ca="1" si="8"/>
        <v/>
      </c>
    </row>
    <row r="556" spans="1:10">
      <c r="A556" s="123"/>
      <c r="B556" s="113"/>
      <c r="C556" s="124"/>
      <c r="D556" s="125"/>
      <c r="E556" s="125"/>
      <c r="F556" s="126"/>
      <c r="G556" s="113"/>
      <c r="H556" s="112"/>
      <c r="I556" s="140"/>
      <c r="J556" s="101" t="str">
        <f t="shared" ca="1" si="8"/>
        <v/>
      </c>
    </row>
    <row r="557" spans="1:10">
      <c r="A557" s="119"/>
      <c r="B557" s="118"/>
      <c r="C557" s="120"/>
      <c r="D557" s="121"/>
      <c r="E557" s="121"/>
      <c r="F557" s="122"/>
      <c r="G557" s="118"/>
      <c r="H557" s="117"/>
      <c r="I557" s="141"/>
      <c r="J557" s="101" t="str">
        <f t="shared" ca="1" si="8"/>
        <v/>
      </c>
    </row>
    <row r="558" spans="1:10">
      <c r="A558" s="123"/>
      <c r="B558" s="113"/>
      <c r="C558" s="124"/>
      <c r="D558" s="125"/>
      <c r="E558" s="125"/>
      <c r="F558" s="126"/>
      <c r="G558" s="113"/>
      <c r="H558" s="112"/>
      <c r="I558" s="140"/>
      <c r="J558" s="101" t="str">
        <f t="shared" ca="1" si="8"/>
        <v/>
      </c>
    </row>
    <row r="559" spans="1:10">
      <c r="A559" s="119"/>
      <c r="B559" s="118"/>
      <c r="C559" s="120"/>
      <c r="D559" s="121"/>
      <c r="E559" s="121"/>
      <c r="F559" s="122"/>
      <c r="G559" s="118"/>
      <c r="H559" s="117"/>
      <c r="I559" s="141"/>
      <c r="J559" s="101" t="str">
        <f t="shared" ca="1" si="8"/>
        <v/>
      </c>
    </row>
    <row r="560" spans="1:10">
      <c r="A560" s="123"/>
      <c r="B560" s="113"/>
      <c r="C560" s="124"/>
      <c r="D560" s="125"/>
      <c r="E560" s="125"/>
      <c r="F560" s="126"/>
      <c r="G560" s="113"/>
      <c r="H560" s="112"/>
      <c r="I560" s="140"/>
      <c r="J560" s="101" t="str">
        <f t="shared" ca="1" si="8"/>
        <v/>
      </c>
    </row>
    <row r="561" spans="1:10">
      <c r="A561" s="119"/>
      <c r="B561" s="118"/>
      <c r="C561" s="120"/>
      <c r="D561" s="121"/>
      <c r="E561" s="121"/>
      <c r="F561" s="122"/>
      <c r="G561" s="118"/>
      <c r="H561" s="117"/>
      <c r="I561" s="141"/>
      <c r="J561" s="101" t="str">
        <f t="shared" ca="1" si="8"/>
        <v/>
      </c>
    </row>
    <row r="562" spans="1:10">
      <c r="A562" s="123"/>
      <c r="B562" s="113"/>
      <c r="C562" s="124"/>
      <c r="D562" s="125"/>
      <c r="E562" s="125"/>
      <c r="F562" s="126"/>
      <c r="G562" s="113"/>
      <c r="H562" s="112"/>
      <c r="I562" s="140"/>
      <c r="J562" s="101" t="str">
        <f t="shared" ca="1" si="8"/>
        <v/>
      </c>
    </row>
    <row r="563" spans="1:10">
      <c r="A563" s="119"/>
      <c r="B563" s="118"/>
      <c r="C563" s="120"/>
      <c r="D563" s="121"/>
      <c r="E563" s="121"/>
      <c r="F563" s="122"/>
      <c r="G563" s="118"/>
      <c r="H563" s="117"/>
      <c r="I563" s="141"/>
      <c r="J563" s="101" t="str">
        <f t="shared" ca="1" si="8"/>
        <v/>
      </c>
    </row>
    <row r="564" spans="1:10">
      <c r="A564" s="123"/>
      <c r="B564" s="113"/>
      <c r="C564" s="124"/>
      <c r="D564" s="125"/>
      <c r="E564" s="125"/>
      <c r="F564" s="126"/>
      <c r="G564" s="113"/>
      <c r="H564" s="112"/>
      <c r="I564" s="140"/>
      <c r="J564" s="101" t="str">
        <f t="shared" ca="1" si="8"/>
        <v/>
      </c>
    </row>
    <row r="565" spans="1:10">
      <c r="A565" s="119"/>
      <c r="B565" s="118"/>
      <c r="C565" s="120"/>
      <c r="D565" s="121"/>
      <c r="E565" s="121"/>
      <c r="F565" s="122"/>
      <c r="G565" s="118"/>
      <c r="H565" s="117"/>
      <c r="I565" s="141"/>
      <c r="J565" s="101" t="str">
        <f t="shared" ca="1" si="8"/>
        <v/>
      </c>
    </row>
    <row r="566" spans="1:10">
      <c r="A566" s="123"/>
      <c r="B566" s="113"/>
      <c r="C566" s="124"/>
      <c r="D566" s="125"/>
      <c r="E566" s="125"/>
      <c r="F566" s="126"/>
      <c r="G566" s="113"/>
      <c r="H566" s="112"/>
      <c r="I566" s="140"/>
      <c r="J566" s="101" t="str">
        <f t="shared" ca="1" si="8"/>
        <v/>
      </c>
    </row>
    <row r="567" spans="1:10">
      <c r="A567" s="119"/>
      <c r="B567" s="118"/>
      <c r="C567" s="120"/>
      <c r="D567" s="121"/>
      <c r="E567" s="121"/>
      <c r="F567" s="122"/>
      <c r="G567" s="118"/>
      <c r="H567" s="117"/>
      <c r="I567" s="141"/>
      <c r="J567" s="101" t="str">
        <f t="shared" ca="1" si="8"/>
        <v/>
      </c>
    </row>
    <row r="568" spans="1:10">
      <c r="A568" s="123"/>
      <c r="B568" s="113"/>
      <c r="C568" s="124"/>
      <c r="D568" s="125"/>
      <c r="E568" s="125"/>
      <c r="F568" s="126"/>
      <c r="G568" s="113"/>
      <c r="H568" s="112"/>
      <c r="I568" s="140"/>
      <c r="J568" s="101" t="str">
        <f t="shared" ca="1" si="8"/>
        <v/>
      </c>
    </row>
    <row r="569" spans="1:10">
      <c r="A569" s="119"/>
      <c r="B569" s="118"/>
      <c r="C569" s="120"/>
      <c r="D569" s="121"/>
      <c r="E569" s="121"/>
      <c r="F569" s="122"/>
      <c r="G569" s="118"/>
      <c r="H569" s="117"/>
      <c r="I569" s="141"/>
      <c r="J569" s="101" t="str">
        <f t="shared" ca="1" si="8"/>
        <v/>
      </c>
    </row>
    <row r="570" spans="1:10">
      <c r="A570" s="123"/>
      <c r="B570" s="113"/>
      <c r="C570" s="124"/>
      <c r="D570" s="125"/>
      <c r="E570" s="125"/>
      <c r="F570" s="126"/>
      <c r="G570" s="113"/>
      <c r="H570" s="112"/>
      <c r="I570" s="140"/>
      <c r="J570" s="101" t="str">
        <f t="shared" ca="1" si="8"/>
        <v/>
      </c>
    </row>
    <row r="571" spans="1:10">
      <c r="A571" s="119"/>
      <c r="B571" s="118"/>
      <c r="C571" s="120"/>
      <c r="D571" s="121"/>
      <c r="E571" s="121"/>
      <c r="F571" s="122"/>
      <c r="G571" s="118"/>
      <c r="H571" s="117"/>
      <c r="I571" s="141"/>
      <c r="J571" s="101" t="str">
        <f t="shared" ca="1" si="8"/>
        <v/>
      </c>
    </row>
    <row r="572" spans="1:10">
      <c r="A572" s="123"/>
      <c r="B572" s="113"/>
      <c r="C572" s="124"/>
      <c r="D572" s="125"/>
      <c r="E572" s="125"/>
      <c r="F572" s="126"/>
      <c r="G572" s="113"/>
      <c r="H572" s="112"/>
      <c r="I572" s="140"/>
      <c r="J572" s="101" t="str">
        <f t="shared" ca="1" si="8"/>
        <v/>
      </c>
    </row>
    <row r="573" spans="1:10">
      <c r="A573" s="119"/>
      <c r="B573" s="118"/>
      <c r="C573" s="120"/>
      <c r="D573" s="121"/>
      <c r="E573" s="121"/>
      <c r="F573" s="122"/>
      <c r="G573" s="118"/>
      <c r="H573" s="117"/>
      <c r="I573" s="141"/>
      <c r="J573" s="101" t="str">
        <f t="shared" ca="1" si="8"/>
        <v/>
      </c>
    </row>
    <row r="574" spans="1:10">
      <c r="A574" s="123"/>
      <c r="B574" s="113"/>
      <c r="C574" s="124"/>
      <c r="D574" s="125"/>
      <c r="E574" s="125"/>
      <c r="F574" s="126"/>
      <c r="G574" s="113"/>
      <c r="H574" s="112"/>
      <c r="I574" s="140"/>
      <c r="J574" s="101" t="str">
        <f t="shared" ca="1" si="8"/>
        <v/>
      </c>
    </row>
    <row r="575" spans="1:10">
      <c r="A575" s="119"/>
      <c r="B575" s="118"/>
      <c r="C575" s="120"/>
      <c r="D575" s="121"/>
      <c r="E575" s="121"/>
      <c r="F575" s="122"/>
      <c r="G575" s="118"/>
      <c r="H575" s="117"/>
      <c r="I575" s="141"/>
      <c r="J575" s="101" t="str">
        <f t="shared" ca="1" si="8"/>
        <v/>
      </c>
    </row>
    <row r="576" spans="1:10">
      <c r="A576" s="123"/>
      <c r="B576" s="113"/>
      <c r="C576" s="124"/>
      <c r="D576" s="125"/>
      <c r="E576" s="125"/>
      <c r="F576" s="126"/>
      <c r="G576" s="113"/>
      <c r="H576" s="112"/>
      <c r="I576" s="140"/>
      <c r="J576" s="101" t="str">
        <f t="shared" ca="1" si="8"/>
        <v/>
      </c>
    </row>
    <row r="577" spans="1:10">
      <c r="A577" s="119"/>
      <c r="B577" s="118"/>
      <c r="C577" s="120"/>
      <c r="D577" s="121"/>
      <c r="E577" s="121"/>
      <c r="F577" s="122"/>
      <c r="G577" s="118"/>
      <c r="H577" s="117"/>
      <c r="I577" s="141"/>
      <c r="J577" s="101" t="str">
        <f t="shared" ca="1" si="8"/>
        <v/>
      </c>
    </row>
    <row r="578" spans="1:10">
      <c r="A578" s="123"/>
      <c r="B578" s="113"/>
      <c r="C578" s="124"/>
      <c r="D578" s="125"/>
      <c r="E578" s="125"/>
      <c r="F578" s="126"/>
      <c r="G578" s="113"/>
      <c r="H578" s="112"/>
      <c r="I578" s="140"/>
      <c r="J578" s="101" t="str">
        <f t="shared" ca="1" si="8"/>
        <v/>
      </c>
    </row>
    <row r="579" spans="1:10">
      <c r="A579" s="119"/>
      <c r="B579" s="118"/>
      <c r="C579" s="120"/>
      <c r="D579" s="121"/>
      <c r="E579" s="121"/>
      <c r="F579" s="122"/>
      <c r="G579" s="118"/>
      <c r="H579" s="117"/>
      <c r="I579" s="141"/>
      <c r="J579" s="101" t="str">
        <f t="shared" ref="J579:J642" ca="1" si="9">_xlfn.LET(
    _xlpm.AllCellsFilled, COUNTA(A579:I579) = 9,
    _xlpm.QtyIsInt, AND(ISNUMBER(G579), G579=INT(G579)),
    _xlpm.AvailDateIsValid, AND(ISNUMBER(F579), F579&gt;=TODAY()),
    _xlpm.ReqDateIsValid, AND(ISNUMBER(H579), H579&gt;=TODAY()),
    _xlpm.EmailIsValid, RIGHT(I579,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IF(A579="", "", IF(_xlpm.error_messages = "", "Yes", _xlpm.error_messages))
)</f>
        <v/>
      </c>
    </row>
    <row r="580" spans="1:10">
      <c r="A580" s="123"/>
      <c r="B580" s="113"/>
      <c r="C580" s="124"/>
      <c r="D580" s="125"/>
      <c r="E580" s="125"/>
      <c r="F580" s="126"/>
      <c r="G580" s="113"/>
      <c r="H580" s="112"/>
      <c r="I580" s="140"/>
      <c r="J580" s="101" t="str">
        <f t="shared" ca="1" si="9"/>
        <v/>
      </c>
    </row>
    <row r="581" spans="1:10">
      <c r="A581" s="119"/>
      <c r="B581" s="118"/>
      <c r="C581" s="120"/>
      <c r="D581" s="121"/>
      <c r="E581" s="121"/>
      <c r="F581" s="122"/>
      <c r="G581" s="118"/>
      <c r="H581" s="117"/>
      <c r="I581" s="141"/>
      <c r="J581" s="101" t="str">
        <f t="shared" ca="1" si="9"/>
        <v/>
      </c>
    </row>
    <row r="582" spans="1:10">
      <c r="A582" s="123"/>
      <c r="B582" s="113"/>
      <c r="C582" s="124"/>
      <c r="D582" s="125"/>
      <c r="E582" s="125"/>
      <c r="F582" s="126"/>
      <c r="G582" s="113"/>
      <c r="H582" s="112"/>
      <c r="I582" s="140"/>
      <c r="J582" s="101" t="str">
        <f t="shared" ca="1" si="9"/>
        <v/>
      </c>
    </row>
    <row r="583" spans="1:10">
      <c r="A583" s="119"/>
      <c r="B583" s="118"/>
      <c r="C583" s="120"/>
      <c r="D583" s="121"/>
      <c r="E583" s="121"/>
      <c r="F583" s="122"/>
      <c r="G583" s="118"/>
      <c r="H583" s="117"/>
      <c r="I583" s="141"/>
      <c r="J583" s="101" t="str">
        <f t="shared" ca="1" si="9"/>
        <v/>
      </c>
    </row>
    <row r="584" spans="1:10">
      <c r="A584" s="123"/>
      <c r="B584" s="113"/>
      <c r="C584" s="124"/>
      <c r="D584" s="125"/>
      <c r="E584" s="125"/>
      <c r="F584" s="126"/>
      <c r="G584" s="113"/>
      <c r="H584" s="112"/>
      <c r="I584" s="140"/>
      <c r="J584" s="101" t="str">
        <f t="shared" ca="1" si="9"/>
        <v/>
      </c>
    </row>
    <row r="585" spans="1:10">
      <c r="A585" s="119"/>
      <c r="B585" s="118"/>
      <c r="C585" s="120"/>
      <c r="D585" s="121"/>
      <c r="E585" s="121"/>
      <c r="F585" s="122"/>
      <c r="G585" s="118"/>
      <c r="H585" s="117"/>
      <c r="I585" s="141"/>
      <c r="J585" s="101" t="str">
        <f t="shared" ca="1" si="9"/>
        <v/>
      </c>
    </row>
    <row r="586" spans="1:10">
      <c r="A586" s="123"/>
      <c r="B586" s="113"/>
      <c r="C586" s="124"/>
      <c r="D586" s="125"/>
      <c r="E586" s="125"/>
      <c r="F586" s="126"/>
      <c r="G586" s="113"/>
      <c r="H586" s="112"/>
      <c r="I586" s="140"/>
      <c r="J586" s="101" t="str">
        <f t="shared" ca="1" si="9"/>
        <v/>
      </c>
    </row>
    <row r="587" spans="1:10">
      <c r="A587" s="119"/>
      <c r="B587" s="118"/>
      <c r="C587" s="120"/>
      <c r="D587" s="121"/>
      <c r="E587" s="121"/>
      <c r="F587" s="122"/>
      <c r="G587" s="118"/>
      <c r="H587" s="117"/>
      <c r="I587" s="141"/>
      <c r="J587" s="101" t="str">
        <f t="shared" ca="1" si="9"/>
        <v/>
      </c>
    </row>
    <row r="588" spans="1:10">
      <c r="A588" s="123"/>
      <c r="B588" s="113"/>
      <c r="C588" s="124"/>
      <c r="D588" s="125"/>
      <c r="E588" s="125"/>
      <c r="F588" s="126"/>
      <c r="G588" s="113"/>
      <c r="H588" s="112"/>
      <c r="I588" s="140"/>
      <c r="J588" s="101" t="str">
        <f t="shared" ca="1" si="9"/>
        <v/>
      </c>
    </row>
    <row r="589" spans="1:10">
      <c r="A589" s="119"/>
      <c r="B589" s="118"/>
      <c r="C589" s="120"/>
      <c r="D589" s="121"/>
      <c r="E589" s="121"/>
      <c r="F589" s="122"/>
      <c r="G589" s="118"/>
      <c r="H589" s="117"/>
      <c r="I589" s="141"/>
      <c r="J589" s="101" t="str">
        <f t="shared" ca="1" si="9"/>
        <v/>
      </c>
    </row>
    <row r="590" spans="1:10">
      <c r="A590" s="123"/>
      <c r="B590" s="113"/>
      <c r="C590" s="124"/>
      <c r="D590" s="125"/>
      <c r="E590" s="125"/>
      <c r="F590" s="126"/>
      <c r="G590" s="113"/>
      <c r="H590" s="112"/>
      <c r="I590" s="140"/>
      <c r="J590" s="101" t="str">
        <f t="shared" ca="1" si="9"/>
        <v/>
      </c>
    </row>
    <row r="591" spans="1:10">
      <c r="A591" s="119"/>
      <c r="B591" s="118"/>
      <c r="C591" s="120"/>
      <c r="D591" s="121"/>
      <c r="E591" s="121"/>
      <c r="F591" s="122"/>
      <c r="G591" s="118"/>
      <c r="H591" s="117"/>
      <c r="I591" s="141"/>
      <c r="J591" s="101" t="str">
        <f t="shared" ca="1" si="9"/>
        <v/>
      </c>
    </row>
    <row r="592" spans="1:10">
      <c r="A592" s="123"/>
      <c r="B592" s="113"/>
      <c r="C592" s="124"/>
      <c r="D592" s="125"/>
      <c r="E592" s="125"/>
      <c r="F592" s="126"/>
      <c r="G592" s="113"/>
      <c r="H592" s="112"/>
      <c r="I592" s="140"/>
      <c r="J592" s="101" t="str">
        <f t="shared" ca="1" si="9"/>
        <v/>
      </c>
    </row>
    <row r="593" spans="1:10">
      <c r="A593" s="119"/>
      <c r="B593" s="118"/>
      <c r="C593" s="120"/>
      <c r="D593" s="121"/>
      <c r="E593" s="121"/>
      <c r="F593" s="122"/>
      <c r="G593" s="118"/>
      <c r="H593" s="117"/>
      <c r="I593" s="141"/>
      <c r="J593" s="101" t="str">
        <f t="shared" ca="1" si="9"/>
        <v/>
      </c>
    </row>
    <row r="594" spans="1:10">
      <c r="A594" s="123"/>
      <c r="B594" s="113"/>
      <c r="C594" s="124"/>
      <c r="D594" s="125"/>
      <c r="E594" s="125"/>
      <c r="F594" s="126"/>
      <c r="G594" s="113"/>
      <c r="H594" s="112"/>
      <c r="I594" s="140"/>
      <c r="J594" s="101" t="str">
        <f t="shared" ca="1" si="9"/>
        <v/>
      </c>
    </row>
    <row r="595" spans="1:10">
      <c r="A595" s="119"/>
      <c r="B595" s="118"/>
      <c r="C595" s="120"/>
      <c r="D595" s="121"/>
      <c r="E595" s="121"/>
      <c r="F595" s="122"/>
      <c r="G595" s="118"/>
      <c r="H595" s="117"/>
      <c r="I595" s="141"/>
      <c r="J595" s="101" t="str">
        <f t="shared" ca="1" si="9"/>
        <v/>
      </c>
    </row>
    <row r="596" spans="1:10">
      <c r="A596" s="123"/>
      <c r="B596" s="113"/>
      <c r="C596" s="124"/>
      <c r="D596" s="125"/>
      <c r="E596" s="125"/>
      <c r="F596" s="126"/>
      <c r="G596" s="113"/>
      <c r="H596" s="112"/>
      <c r="I596" s="140"/>
      <c r="J596" s="101" t="str">
        <f t="shared" ca="1" si="9"/>
        <v/>
      </c>
    </row>
    <row r="597" spans="1:10">
      <c r="A597" s="119"/>
      <c r="B597" s="118"/>
      <c r="C597" s="120"/>
      <c r="D597" s="121"/>
      <c r="E597" s="121"/>
      <c r="F597" s="122"/>
      <c r="G597" s="118"/>
      <c r="H597" s="117"/>
      <c r="I597" s="141"/>
      <c r="J597" s="101" t="str">
        <f t="shared" ca="1" si="9"/>
        <v/>
      </c>
    </row>
    <row r="598" spans="1:10">
      <c r="A598" s="123"/>
      <c r="B598" s="113"/>
      <c r="C598" s="124"/>
      <c r="D598" s="125"/>
      <c r="E598" s="125"/>
      <c r="F598" s="126"/>
      <c r="G598" s="113"/>
      <c r="H598" s="112"/>
      <c r="I598" s="140"/>
      <c r="J598" s="101" t="str">
        <f t="shared" ca="1" si="9"/>
        <v/>
      </c>
    </row>
    <row r="599" spans="1:10">
      <c r="A599" s="119"/>
      <c r="B599" s="118"/>
      <c r="C599" s="120"/>
      <c r="D599" s="121"/>
      <c r="E599" s="121"/>
      <c r="F599" s="122"/>
      <c r="G599" s="118"/>
      <c r="H599" s="117"/>
      <c r="I599" s="141"/>
      <c r="J599" s="101" t="str">
        <f t="shared" ca="1" si="9"/>
        <v/>
      </c>
    </row>
    <row r="600" spans="1:10">
      <c r="A600" s="123"/>
      <c r="B600" s="113"/>
      <c r="C600" s="124"/>
      <c r="D600" s="125"/>
      <c r="E600" s="125"/>
      <c r="F600" s="126"/>
      <c r="G600" s="113"/>
      <c r="H600" s="112"/>
      <c r="I600" s="140"/>
      <c r="J600" s="101" t="str">
        <f t="shared" ca="1" si="9"/>
        <v/>
      </c>
    </row>
    <row r="601" spans="1:10">
      <c r="A601" s="119"/>
      <c r="B601" s="118"/>
      <c r="C601" s="120"/>
      <c r="D601" s="121"/>
      <c r="E601" s="121"/>
      <c r="F601" s="122"/>
      <c r="G601" s="118"/>
      <c r="H601" s="117"/>
      <c r="I601" s="141"/>
      <c r="J601" s="101" t="str">
        <f t="shared" ca="1" si="9"/>
        <v/>
      </c>
    </row>
    <row r="602" spans="1:10">
      <c r="A602" s="123"/>
      <c r="B602" s="113"/>
      <c r="C602" s="124"/>
      <c r="D602" s="125"/>
      <c r="E602" s="125"/>
      <c r="F602" s="126"/>
      <c r="G602" s="113"/>
      <c r="H602" s="112"/>
      <c r="I602" s="140"/>
      <c r="J602" s="101" t="str">
        <f t="shared" ca="1" si="9"/>
        <v/>
      </c>
    </row>
    <row r="603" spans="1:10">
      <c r="A603" s="119"/>
      <c r="B603" s="118"/>
      <c r="C603" s="120"/>
      <c r="D603" s="121"/>
      <c r="E603" s="121"/>
      <c r="F603" s="122"/>
      <c r="G603" s="118"/>
      <c r="H603" s="117"/>
      <c r="I603" s="141"/>
      <c r="J603" s="101" t="str">
        <f t="shared" ca="1" si="9"/>
        <v/>
      </c>
    </row>
    <row r="604" spans="1:10">
      <c r="A604" s="123"/>
      <c r="B604" s="113"/>
      <c r="C604" s="124"/>
      <c r="D604" s="125"/>
      <c r="E604" s="125"/>
      <c r="F604" s="126"/>
      <c r="G604" s="113"/>
      <c r="H604" s="112"/>
      <c r="I604" s="140"/>
      <c r="J604" s="101" t="str">
        <f t="shared" ca="1" si="9"/>
        <v/>
      </c>
    </row>
    <row r="605" spans="1:10">
      <c r="A605" s="119"/>
      <c r="B605" s="118"/>
      <c r="C605" s="120"/>
      <c r="D605" s="121"/>
      <c r="E605" s="121"/>
      <c r="F605" s="122"/>
      <c r="G605" s="118"/>
      <c r="H605" s="117"/>
      <c r="I605" s="141"/>
      <c r="J605" s="101" t="str">
        <f t="shared" ca="1" si="9"/>
        <v/>
      </c>
    </row>
    <row r="606" spans="1:10">
      <c r="A606" s="123"/>
      <c r="B606" s="113"/>
      <c r="C606" s="124"/>
      <c r="D606" s="125"/>
      <c r="E606" s="125"/>
      <c r="F606" s="126"/>
      <c r="G606" s="113"/>
      <c r="H606" s="112"/>
      <c r="I606" s="140"/>
      <c r="J606" s="101" t="str">
        <f t="shared" ca="1" si="9"/>
        <v/>
      </c>
    </row>
    <row r="607" spans="1:10">
      <c r="A607" s="119"/>
      <c r="B607" s="118"/>
      <c r="C607" s="120"/>
      <c r="D607" s="121"/>
      <c r="E607" s="121"/>
      <c r="F607" s="122"/>
      <c r="G607" s="118"/>
      <c r="H607" s="117"/>
      <c r="I607" s="141"/>
      <c r="J607" s="101" t="str">
        <f t="shared" ca="1" si="9"/>
        <v/>
      </c>
    </row>
    <row r="608" spans="1:10">
      <c r="A608" s="123"/>
      <c r="B608" s="113"/>
      <c r="C608" s="124"/>
      <c r="D608" s="125"/>
      <c r="E608" s="125"/>
      <c r="F608" s="126"/>
      <c r="G608" s="113"/>
      <c r="H608" s="112"/>
      <c r="I608" s="140"/>
      <c r="J608" s="101" t="str">
        <f t="shared" ca="1" si="9"/>
        <v/>
      </c>
    </row>
    <row r="609" spans="1:10">
      <c r="A609" s="119"/>
      <c r="B609" s="118"/>
      <c r="C609" s="120"/>
      <c r="D609" s="121"/>
      <c r="E609" s="121"/>
      <c r="F609" s="122"/>
      <c r="G609" s="118"/>
      <c r="H609" s="117"/>
      <c r="I609" s="141"/>
      <c r="J609" s="101" t="str">
        <f t="shared" ca="1" si="9"/>
        <v/>
      </c>
    </row>
    <row r="610" spans="1:10">
      <c r="A610" s="123"/>
      <c r="B610" s="113"/>
      <c r="C610" s="124"/>
      <c r="D610" s="125"/>
      <c r="E610" s="125"/>
      <c r="F610" s="126"/>
      <c r="G610" s="113"/>
      <c r="H610" s="112"/>
      <c r="I610" s="140"/>
      <c r="J610" s="101" t="str">
        <f t="shared" ca="1" si="9"/>
        <v/>
      </c>
    </row>
    <row r="611" spans="1:10">
      <c r="A611" s="119"/>
      <c r="B611" s="118"/>
      <c r="C611" s="120"/>
      <c r="D611" s="121"/>
      <c r="E611" s="121"/>
      <c r="F611" s="122"/>
      <c r="G611" s="118"/>
      <c r="H611" s="117"/>
      <c r="I611" s="141"/>
      <c r="J611" s="101" t="str">
        <f t="shared" ca="1" si="9"/>
        <v/>
      </c>
    </row>
    <row r="612" spans="1:10">
      <c r="A612" s="123"/>
      <c r="B612" s="113"/>
      <c r="C612" s="124"/>
      <c r="D612" s="125"/>
      <c r="E612" s="125"/>
      <c r="F612" s="126"/>
      <c r="G612" s="113"/>
      <c r="H612" s="112"/>
      <c r="I612" s="140"/>
      <c r="J612" s="101" t="str">
        <f t="shared" ca="1" si="9"/>
        <v/>
      </c>
    </row>
    <row r="613" spans="1:10">
      <c r="A613" s="119"/>
      <c r="B613" s="118"/>
      <c r="C613" s="120"/>
      <c r="D613" s="121"/>
      <c r="E613" s="121"/>
      <c r="F613" s="122"/>
      <c r="G613" s="118"/>
      <c r="H613" s="117"/>
      <c r="I613" s="141"/>
      <c r="J613" s="101" t="str">
        <f t="shared" ca="1" si="9"/>
        <v/>
      </c>
    </row>
    <row r="614" spans="1:10">
      <c r="A614" s="123"/>
      <c r="B614" s="113"/>
      <c r="C614" s="124"/>
      <c r="D614" s="125"/>
      <c r="E614" s="125"/>
      <c r="F614" s="126"/>
      <c r="G614" s="113"/>
      <c r="H614" s="112"/>
      <c r="I614" s="140"/>
      <c r="J614" s="101" t="str">
        <f t="shared" ca="1" si="9"/>
        <v/>
      </c>
    </row>
    <row r="615" spans="1:10">
      <c r="A615" s="119"/>
      <c r="B615" s="118"/>
      <c r="C615" s="120"/>
      <c r="D615" s="121"/>
      <c r="E615" s="121"/>
      <c r="F615" s="122"/>
      <c r="G615" s="118"/>
      <c r="H615" s="117"/>
      <c r="I615" s="141"/>
      <c r="J615" s="101" t="str">
        <f t="shared" ca="1" si="9"/>
        <v/>
      </c>
    </row>
    <row r="616" spans="1:10">
      <c r="A616" s="123"/>
      <c r="B616" s="113"/>
      <c r="C616" s="124"/>
      <c r="D616" s="125"/>
      <c r="E616" s="125"/>
      <c r="F616" s="126"/>
      <c r="G616" s="113"/>
      <c r="H616" s="112"/>
      <c r="I616" s="140"/>
      <c r="J616" s="101" t="str">
        <f t="shared" ca="1" si="9"/>
        <v/>
      </c>
    </row>
    <row r="617" spans="1:10">
      <c r="A617" s="119"/>
      <c r="B617" s="118"/>
      <c r="C617" s="120"/>
      <c r="D617" s="121"/>
      <c r="E617" s="121"/>
      <c r="F617" s="122"/>
      <c r="G617" s="118"/>
      <c r="H617" s="117"/>
      <c r="I617" s="141"/>
      <c r="J617" s="101" t="str">
        <f t="shared" ca="1" si="9"/>
        <v/>
      </c>
    </row>
    <row r="618" spans="1:10">
      <c r="A618" s="123"/>
      <c r="B618" s="113"/>
      <c r="C618" s="124"/>
      <c r="D618" s="125"/>
      <c r="E618" s="125"/>
      <c r="F618" s="126"/>
      <c r="G618" s="113"/>
      <c r="H618" s="112"/>
      <c r="I618" s="140"/>
      <c r="J618" s="101" t="str">
        <f t="shared" ca="1" si="9"/>
        <v/>
      </c>
    </row>
    <row r="619" spans="1:10">
      <c r="A619" s="119"/>
      <c r="B619" s="118"/>
      <c r="C619" s="120"/>
      <c r="D619" s="121"/>
      <c r="E619" s="121"/>
      <c r="F619" s="122"/>
      <c r="G619" s="118"/>
      <c r="H619" s="117"/>
      <c r="I619" s="141"/>
      <c r="J619" s="101" t="str">
        <f t="shared" ca="1" si="9"/>
        <v/>
      </c>
    </row>
    <row r="620" spans="1:10">
      <c r="A620" s="123"/>
      <c r="B620" s="113"/>
      <c r="C620" s="124"/>
      <c r="D620" s="125"/>
      <c r="E620" s="125"/>
      <c r="F620" s="126"/>
      <c r="G620" s="113"/>
      <c r="H620" s="112"/>
      <c r="I620" s="140"/>
      <c r="J620" s="101" t="str">
        <f t="shared" ca="1" si="9"/>
        <v/>
      </c>
    </row>
    <row r="621" spans="1:10">
      <c r="A621" s="119"/>
      <c r="B621" s="118"/>
      <c r="C621" s="120"/>
      <c r="D621" s="121"/>
      <c r="E621" s="121"/>
      <c r="F621" s="122"/>
      <c r="G621" s="118"/>
      <c r="H621" s="117"/>
      <c r="I621" s="141"/>
      <c r="J621" s="101" t="str">
        <f t="shared" ca="1" si="9"/>
        <v/>
      </c>
    </row>
    <row r="622" spans="1:10">
      <c r="A622" s="123"/>
      <c r="B622" s="113"/>
      <c r="C622" s="124"/>
      <c r="D622" s="125"/>
      <c r="E622" s="125"/>
      <c r="F622" s="126"/>
      <c r="G622" s="113"/>
      <c r="H622" s="112"/>
      <c r="I622" s="140"/>
      <c r="J622" s="101" t="str">
        <f t="shared" ca="1" si="9"/>
        <v/>
      </c>
    </row>
    <row r="623" spans="1:10">
      <c r="A623" s="119"/>
      <c r="B623" s="118"/>
      <c r="C623" s="120"/>
      <c r="D623" s="121"/>
      <c r="E623" s="121"/>
      <c r="F623" s="122"/>
      <c r="G623" s="118"/>
      <c r="H623" s="117"/>
      <c r="I623" s="141"/>
      <c r="J623" s="101" t="str">
        <f t="shared" ca="1" si="9"/>
        <v/>
      </c>
    </row>
    <row r="624" spans="1:10">
      <c r="A624" s="123"/>
      <c r="B624" s="113"/>
      <c r="C624" s="124"/>
      <c r="D624" s="125"/>
      <c r="E624" s="125"/>
      <c r="F624" s="126"/>
      <c r="G624" s="113"/>
      <c r="H624" s="112"/>
      <c r="I624" s="140"/>
      <c r="J624" s="101" t="str">
        <f t="shared" ca="1" si="9"/>
        <v/>
      </c>
    </row>
    <row r="625" spans="1:10">
      <c r="A625" s="119"/>
      <c r="B625" s="118"/>
      <c r="C625" s="120"/>
      <c r="D625" s="121"/>
      <c r="E625" s="121"/>
      <c r="F625" s="122"/>
      <c r="G625" s="118"/>
      <c r="H625" s="117"/>
      <c r="I625" s="141"/>
      <c r="J625" s="101" t="str">
        <f t="shared" ca="1" si="9"/>
        <v/>
      </c>
    </row>
    <row r="626" spans="1:10">
      <c r="A626" s="123"/>
      <c r="B626" s="113"/>
      <c r="C626" s="124"/>
      <c r="D626" s="125"/>
      <c r="E626" s="125"/>
      <c r="F626" s="126"/>
      <c r="G626" s="113"/>
      <c r="H626" s="112"/>
      <c r="I626" s="140"/>
      <c r="J626" s="101" t="str">
        <f t="shared" ca="1" si="9"/>
        <v/>
      </c>
    </row>
    <row r="627" spans="1:10">
      <c r="A627" s="119"/>
      <c r="B627" s="118"/>
      <c r="C627" s="120"/>
      <c r="D627" s="121"/>
      <c r="E627" s="121"/>
      <c r="F627" s="122"/>
      <c r="G627" s="118"/>
      <c r="H627" s="117"/>
      <c r="I627" s="141"/>
      <c r="J627" s="101" t="str">
        <f t="shared" ca="1" si="9"/>
        <v/>
      </c>
    </row>
    <row r="628" spans="1:10">
      <c r="A628" s="123"/>
      <c r="B628" s="113"/>
      <c r="C628" s="124"/>
      <c r="D628" s="125"/>
      <c r="E628" s="125"/>
      <c r="F628" s="126"/>
      <c r="G628" s="113"/>
      <c r="H628" s="112"/>
      <c r="I628" s="140"/>
      <c r="J628" s="101" t="str">
        <f t="shared" ca="1" si="9"/>
        <v/>
      </c>
    </row>
    <row r="629" spans="1:10">
      <c r="A629" s="119"/>
      <c r="B629" s="118"/>
      <c r="C629" s="120"/>
      <c r="D629" s="121"/>
      <c r="E629" s="121"/>
      <c r="F629" s="122"/>
      <c r="G629" s="118"/>
      <c r="H629" s="117"/>
      <c r="I629" s="141"/>
      <c r="J629" s="101" t="str">
        <f t="shared" ca="1" si="9"/>
        <v/>
      </c>
    </row>
    <row r="630" spans="1:10">
      <c r="A630" s="123"/>
      <c r="B630" s="113"/>
      <c r="C630" s="124"/>
      <c r="D630" s="125"/>
      <c r="E630" s="125"/>
      <c r="F630" s="126"/>
      <c r="G630" s="113"/>
      <c r="H630" s="112"/>
      <c r="I630" s="140"/>
      <c r="J630" s="101" t="str">
        <f t="shared" ca="1" si="9"/>
        <v/>
      </c>
    </row>
    <row r="631" spans="1:10">
      <c r="A631" s="119"/>
      <c r="B631" s="118"/>
      <c r="C631" s="120"/>
      <c r="D631" s="121"/>
      <c r="E631" s="121"/>
      <c r="F631" s="122"/>
      <c r="G631" s="118"/>
      <c r="H631" s="117"/>
      <c r="I631" s="141"/>
      <c r="J631" s="101" t="str">
        <f t="shared" ca="1" si="9"/>
        <v/>
      </c>
    </row>
    <row r="632" spans="1:10">
      <c r="A632" s="123"/>
      <c r="B632" s="113"/>
      <c r="C632" s="124"/>
      <c r="D632" s="125"/>
      <c r="E632" s="125"/>
      <c r="F632" s="126"/>
      <c r="G632" s="113"/>
      <c r="H632" s="112"/>
      <c r="I632" s="140"/>
      <c r="J632" s="101" t="str">
        <f t="shared" ca="1" si="9"/>
        <v/>
      </c>
    </row>
    <row r="633" spans="1:10">
      <c r="A633" s="119"/>
      <c r="B633" s="118"/>
      <c r="C633" s="120"/>
      <c r="D633" s="121"/>
      <c r="E633" s="121"/>
      <c r="F633" s="122"/>
      <c r="G633" s="118"/>
      <c r="H633" s="117"/>
      <c r="I633" s="141"/>
      <c r="J633" s="101" t="str">
        <f t="shared" ca="1" si="9"/>
        <v/>
      </c>
    </row>
    <row r="634" spans="1:10">
      <c r="A634" s="123"/>
      <c r="B634" s="113"/>
      <c r="C634" s="124"/>
      <c r="D634" s="125"/>
      <c r="E634" s="125"/>
      <c r="F634" s="126"/>
      <c r="G634" s="113"/>
      <c r="H634" s="112"/>
      <c r="I634" s="140"/>
      <c r="J634" s="101" t="str">
        <f t="shared" ca="1" si="9"/>
        <v/>
      </c>
    </row>
    <row r="635" spans="1:10">
      <c r="A635" s="119"/>
      <c r="B635" s="118"/>
      <c r="C635" s="120"/>
      <c r="D635" s="121"/>
      <c r="E635" s="121"/>
      <c r="F635" s="122"/>
      <c r="G635" s="118"/>
      <c r="H635" s="117"/>
      <c r="I635" s="141"/>
      <c r="J635" s="101" t="str">
        <f t="shared" ca="1" si="9"/>
        <v/>
      </c>
    </row>
    <row r="636" spans="1:10">
      <c r="A636" s="123"/>
      <c r="B636" s="113"/>
      <c r="C636" s="124"/>
      <c r="D636" s="125"/>
      <c r="E636" s="125"/>
      <c r="F636" s="126"/>
      <c r="G636" s="113"/>
      <c r="H636" s="112"/>
      <c r="I636" s="140"/>
      <c r="J636" s="101" t="str">
        <f t="shared" ca="1" si="9"/>
        <v/>
      </c>
    </row>
    <row r="637" spans="1:10">
      <c r="A637" s="119"/>
      <c r="B637" s="118"/>
      <c r="C637" s="120"/>
      <c r="D637" s="121"/>
      <c r="E637" s="121"/>
      <c r="F637" s="122"/>
      <c r="G637" s="118"/>
      <c r="H637" s="117"/>
      <c r="I637" s="141"/>
      <c r="J637" s="101" t="str">
        <f t="shared" ca="1" si="9"/>
        <v/>
      </c>
    </row>
    <row r="638" spans="1:10">
      <c r="A638" s="123"/>
      <c r="B638" s="113"/>
      <c r="C638" s="124"/>
      <c r="D638" s="125"/>
      <c r="E638" s="125"/>
      <c r="F638" s="126"/>
      <c r="G638" s="113"/>
      <c r="H638" s="112"/>
      <c r="I638" s="140"/>
      <c r="J638" s="101" t="str">
        <f t="shared" ca="1" si="9"/>
        <v/>
      </c>
    </row>
    <row r="639" spans="1:10">
      <c r="A639" s="119"/>
      <c r="B639" s="118"/>
      <c r="C639" s="120"/>
      <c r="D639" s="121"/>
      <c r="E639" s="121"/>
      <c r="F639" s="122"/>
      <c r="G639" s="118"/>
      <c r="H639" s="117"/>
      <c r="I639" s="141"/>
      <c r="J639" s="101" t="str">
        <f t="shared" ca="1" si="9"/>
        <v/>
      </c>
    </row>
    <row r="640" spans="1:10">
      <c r="A640" s="123"/>
      <c r="B640" s="113"/>
      <c r="C640" s="124"/>
      <c r="D640" s="125"/>
      <c r="E640" s="125"/>
      <c r="F640" s="126"/>
      <c r="G640" s="113"/>
      <c r="H640" s="112"/>
      <c r="I640" s="140"/>
      <c r="J640" s="101" t="str">
        <f t="shared" ca="1" si="9"/>
        <v/>
      </c>
    </row>
    <row r="641" spans="1:10">
      <c r="A641" s="119"/>
      <c r="B641" s="118"/>
      <c r="C641" s="120"/>
      <c r="D641" s="121"/>
      <c r="E641" s="121"/>
      <c r="F641" s="122"/>
      <c r="G641" s="118"/>
      <c r="H641" s="117"/>
      <c r="I641" s="141"/>
      <c r="J641" s="101" t="str">
        <f t="shared" ca="1" si="9"/>
        <v/>
      </c>
    </row>
    <row r="642" spans="1:10">
      <c r="A642" s="123"/>
      <c r="B642" s="113"/>
      <c r="C642" s="124"/>
      <c r="D642" s="125"/>
      <c r="E642" s="125"/>
      <c r="F642" s="126"/>
      <c r="G642" s="113"/>
      <c r="H642" s="112"/>
      <c r="I642" s="140"/>
      <c r="J642" s="101" t="str">
        <f t="shared" ca="1" si="9"/>
        <v/>
      </c>
    </row>
    <row r="643" spans="1:10">
      <c r="A643" s="119"/>
      <c r="B643" s="118"/>
      <c r="C643" s="120"/>
      <c r="D643" s="121"/>
      <c r="E643" s="121"/>
      <c r="F643" s="122"/>
      <c r="G643" s="118"/>
      <c r="H643" s="117"/>
      <c r="I643" s="141"/>
      <c r="J643" s="101" t="str">
        <f t="shared" ref="J643:J706" ca="1" si="10">_xlfn.LET(
    _xlpm.AllCellsFilled, COUNTA(A643:I643) = 9,
    _xlpm.QtyIsInt, AND(ISNUMBER(G643), G643=INT(G643)),
    _xlpm.AvailDateIsValid, AND(ISNUMBER(F643), F643&gt;=TODAY()),
    _xlpm.ReqDateIsValid, AND(ISNUMBER(H643), H643&gt;=TODAY()),
    _xlpm.EmailIsValid, RIGHT(I643,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IF(A643="", "", IF(_xlpm.error_messages = "", "Yes", _xlpm.error_messages))
)</f>
        <v/>
      </c>
    </row>
    <row r="644" spans="1:10">
      <c r="A644" s="123"/>
      <c r="B644" s="113"/>
      <c r="C644" s="124"/>
      <c r="D644" s="125"/>
      <c r="E644" s="125"/>
      <c r="F644" s="126"/>
      <c r="G644" s="113"/>
      <c r="H644" s="112"/>
      <c r="I644" s="140"/>
      <c r="J644" s="101" t="str">
        <f t="shared" ca="1" si="10"/>
        <v/>
      </c>
    </row>
    <row r="645" spans="1:10">
      <c r="A645" s="119"/>
      <c r="B645" s="118"/>
      <c r="C645" s="120"/>
      <c r="D645" s="121"/>
      <c r="E645" s="121"/>
      <c r="F645" s="122"/>
      <c r="G645" s="118"/>
      <c r="H645" s="117"/>
      <c r="I645" s="141"/>
      <c r="J645" s="101" t="str">
        <f t="shared" ca="1" si="10"/>
        <v/>
      </c>
    </row>
    <row r="646" spans="1:10">
      <c r="A646" s="123"/>
      <c r="B646" s="113"/>
      <c r="C646" s="124"/>
      <c r="D646" s="125"/>
      <c r="E646" s="125"/>
      <c r="F646" s="126"/>
      <c r="G646" s="113"/>
      <c r="H646" s="112"/>
      <c r="I646" s="140"/>
      <c r="J646" s="101" t="str">
        <f t="shared" ca="1" si="10"/>
        <v/>
      </c>
    </row>
    <row r="647" spans="1:10">
      <c r="A647" s="119"/>
      <c r="B647" s="118"/>
      <c r="C647" s="120"/>
      <c r="D647" s="121"/>
      <c r="E647" s="121"/>
      <c r="F647" s="122"/>
      <c r="G647" s="118"/>
      <c r="H647" s="117"/>
      <c r="I647" s="141"/>
      <c r="J647" s="101" t="str">
        <f t="shared" ca="1" si="10"/>
        <v/>
      </c>
    </row>
    <row r="648" spans="1:10">
      <c r="A648" s="123"/>
      <c r="B648" s="113"/>
      <c r="C648" s="124"/>
      <c r="D648" s="125"/>
      <c r="E648" s="125"/>
      <c r="F648" s="126"/>
      <c r="G648" s="113"/>
      <c r="H648" s="112"/>
      <c r="I648" s="140"/>
      <c r="J648" s="101" t="str">
        <f t="shared" ca="1" si="10"/>
        <v/>
      </c>
    </row>
    <row r="649" spans="1:10">
      <c r="A649" s="119"/>
      <c r="B649" s="118"/>
      <c r="C649" s="120"/>
      <c r="D649" s="121"/>
      <c r="E649" s="121"/>
      <c r="F649" s="122"/>
      <c r="G649" s="118"/>
      <c r="H649" s="117"/>
      <c r="I649" s="141"/>
      <c r="J649" s="101" t="str">
        <f t="shared" ca="1" si="10"/>
        <v/>
      </c>
    </row>
    <row r="650" spans="1:10">
      <c r="A650" s="123"/>
      <c r="B650" s="113"/>
      <c r="C650" s="124"/>
      <c r="D650" s="125"/>
      <c r="E650" s="125"/>
      <c r="F650" s="126"/>
      <c r="G650" s="113"/>
      <c r="H650" s="112"/>
      <c r="I650" s="140"/>
      <c r="J650" s="101" t="str">
        <f t="shared" ca="1" si="10"/>
        <v/>
      </c>
    </row>
    <row r="651" spans="1:10">
      <c r="A651" s="119"/>
      <c r="B651" s="118"/>
      <c r="C651" s="120"/>
      <c r="D651" s="121"/>
      <c r="E651" s="121"/>
      <c r="F651" s="122"/>
      <c r="G651" s="118"/>
      <c r="H651" s="117"/>
      <c r="I651" s="141"/>
      <c r="J651" s="101" t="str">
        <f t="shared" ca="1" si="10"/>
        <v/>
      </c>
    </row>
    <row r="652" spans="1:10">
      <c r="A652" s="123"/>
      <c r="B652" s="113"/>
      <c r="C652" s="124"/>
      <c r="D652" s="125"/>
      <c r="E652" s="125"/>
      <c r="F652" s="126"/>
      <c r="G652" s="113"/>
      <c r="H652" s="112"/>
      <c r="I652" s="140"/>
      <c r="J652" s="101" t="str">
        <f t="shared" ca="1" si="10"/>
        <v/>
      </c>
    </row>
    <row r="653" spans="1:10">
      <c r="A653" s="119"/>
      <c r="B653" s="118"/>
      <c r="C653" s="120"/>
      <c r="D653" s="121"/>
      <c r="E653" s="121"/>
      <c r="F653" s="122"/>
      <c r="G653" s="118"/>
      <c r="H653" s="117"/>
      <c r="I653" s="141"/>
      <c r="J653" s="101" t="str">
        <f t="shared" ca="1" si="10"/>
        <v/>
      </c>
    </row>
    <row r="654" spans="1:10">
      <c r="A654" s="123"/>
      <c r="B654" s="113"/>
      <c r="C654" s="124"/>
      <c r="D654" s="125"/>
      <c r="E654" s="125"/>
      <c r="F654" s="126"/>
      <c r="G654" s="113"/>
      <c r="H654" s="112"/>
      <c r="I654" s="140"/>
      <c r="J654" s="101" t="str">
        <f t="shared" ca="1" si="10"/>
        <v/>
      </c>
    </row>
    <row r="655" spans="1:10">
      <c r="A655" s="119"/>
      <c r="B655" s="118"/>
      <c r="C655" s="120"/>
      <c r="D655" s="121"/>
      <c r="E655" s="121"/>
      <c r="F655" s="122"/>
      <c r="G655" s="118"/>
      <c r="H655" s="117"/>
      <c r="I655" s="141"/>
      <c r="J655" s="101" t="str">
        <f t="shared" ca="1" si="10"/>
        <v/>
      </c>
    </row>
    <row r="656" spans="1:10">
      <c r="A656" s="123"/>
      <c r="B656" s="113"/>
      <c r="C656" s="124"/>
      <c r="D656" s="125"/>
      <c r="E656" s="125"/>
      <c r="F656" s="126"/>
      <c r="G656" s="113"/>
      <c r="H656" s="112"/>
      <c r="I656" s="140"/>
      <c r="J656" s="101" t="str">
        <f t="shared" ca="1" si="10"/>
        <v/>
      </c>
    </row>
    <row r="657" spans="1:10">
      <c r="A657" s="119"/>
      <c r="B657" s="118"/>
      <c r="C657" s="120"/>
      <c r="D657" s="121"/>
      <c r="E657" s="121"/>
      <c r="F657" s="122"/>
      <c r="G657" s="118"/>
      <c r="H657" s="117"/>
      <c r="I657" s="141"/>
      <c r="J657" s="101" t="str">
        <f t="shared" ca="1" si="10"/>
        <v/>
      </c>
    </row>
    <row r="658" spans="1:10">
      <c r="A658" s="123"/>
      <c r="B658" s="113"/>
      <c r="C658" s="124"/>
      <c r="D658" s="125"/>
      <c r="E658" s="125"/>
      <c r="F658" s="126"/>
      <c r="G658" s="113"/>
      <c r="H658" s="112"/>
      <c r="I658" s="140"/>
      <c r="J658" s="101" t="str">
        <f t="shared" ca="1" si="10"/>
        <v/>
      </c>
    </row>
    <row r="659" spans="1:10">
      <c r="A659" s="119"/>
      <c r="B659" s="118"/>
      <c r="C659" s="120"/>
      <c r="D659" s="121"/>
      <c r="E659" s="121"/>
      <c r="F659" s="122"/>
      <c r="G659" s="118"/>
      <c r="H659" s="117"/>
      <c r="I659" s="141"/>
      <c r="J659" s="101" t="str">
        <f t="shared" ca="1" si="10"/>
        <v/>
      </c>
    </row>
    <row r="660" spans="1:10">
      <c r="A660" s="123"/>
      <c r="B660" s="113"/>
      <c r="C660" s="124"/>
      <c r="D660" s="125"/>
      <c r="E660" s="125"/>
      <c r="F660" s="126"/>
      <c r="G660" s="113"/>
      <c r="H660" s="112"/>
      <c r="I660" s="140"/>
      <c r="J660" s="101" t="str">
        <f t="shared" ca="1" si="10"/>
        <v/>
      </c>
    </row>
    <row r="661" spans="1:10">
      <c r="A661" s="119"/>
      <c r="B661" s="118"/>
      <c r="C661" s="120"/>
      <c r="D661" s="121"/>
      <c r="E661" s="121"/>
      <c r="F661" s="122"/>
      <c r="G661" s="118"/>
      <c r="H661" s="117"/>
      <c r="I661" s="141"/>
      <c r="J661" s="101" t="str">
        <f t="shared" ca="1" si="10"/>
        <v/>
      </c>
    </row>
    <row r="662" spans="1:10">
      <c r="A662" s="123"/>
      <c r="B662" s="113"/>
      <c r="C662" s="124"/>
      <c r="D662" s="125"/>
      <c r="E662" s="125"/>
      <c r="F662" s="126"/>
      <c r="G662" s="113"/>
      <c r="H662" s="112"/>
      <c r="I662" s="140"/>
      <c r="J662" s="101" t="str">
        <f t="shared" ca="1" si="10"/>
        <v/>
      </c>
    </row>
    <row r="663" spans="1:10">
      <c r="A663" s="119"/>
      <c r="B663" s="118"/>
      <c r="C663" s="120"/>
      <c r="D663" s="121"/>
      <c r="E663" s="121"/>
      <c r="F663" s="122"/>
      <c r="G663" s="118"/>
      <c r="H663" s="117"/>
      <c r="I663" s="141"/>
      <c r="J663" s="101" t="str">
        <f t="shared" ca="1" si="10"/>
        <v/>
      </c>
    </row>
    <row r="664" spans="1:10">
      <c r="A664" s="123"/>
      <c r="B664" s="113"/>
      <c r="C664" s="124"/>
      <c r="D664" s="125"/>
      <c r="E664" s="125"/>
      <c r="F664" s="126"/>
      <c r="G664" s="113"/>
      <c r="H664" s="112"/>
      <c r="I664" s="140"/>
      <c r="J664" s="101" t="str">
        <f t="shared" ca="1" si="10"/>
        <v/>
      </c>
    </row>
    <row r="665" spans="1:10">
      <c r="A665" s="119"/>
      <c r="B665" s="118"/>
      <c r="C665" s="120"/>
      <c r="D665" s="121"/>
      <c r="E665" s="121"/>
      <c r="F665" s="122"/>
      <c r="G665" s="118"/>
      <c r="H665" s="117"/>
      <c r="I665" s="141"/>
      <c r="J665" s="101" t="str">
        <f t="shared" ca="1" si="10"/>
        <v/>
      </c>
    </row>
    <row r="666" spans="1:10">
      <c r="A666" s="123"/>
      <c r="B666" s="113"/>
      <c r="C666" s="124"/>
      <c r="D666" s="125"/>
      <c r="E666" s="125"/>
      <c r="F666" s="126"/>
      <c r="G666" s="113"/>
      <c r="H666" s="112"/>
      <c r="I666" s="140"/>
      <c r="J666" s="101" t="str">
        <f t="shared" ca="1" si="10"/>
        <v/>
      </c>
    </row>
    <row r="667" spans="1:10">
      <c r="A667" s="119"/>
      <c r="B667" s="118"/>
      <c r="C667" s="120"/>
      <c r="D667" s="121"/>
      <c r="E667" s="121"/>
      <c r="F667" s="122"/>
      <c r="G667" s="118"/>
      <c r="H667" s="117"/>
      <c r="I667" s="141"/>
      <c r="J667" s="101" t="str">
        <f t="shared" ca="1" si="10"/>
        <v/>
      </c>
    </row>
    <row r="668" spans="1:10">
      <c r="A668" s="123"/>
      <c r="B668" s="113"/>
      <c r="C668" s="124"/>
      <c r="D668" s="125"/>
      <c r="E668" s="125"/>
      <c r="F668" s="126"/>
      <c r="G668" s="113"/>
      <c r="H668" s="112"/>
      <c r="I668" s="140"/>
      <c r="J668" s="101" t="str">
        <f t="shared" ca="1" si="10"/>
        <v/>
      </c>
    </row>
    <row r="669" spans="1:10">
      <c r="A669" s="119"/>
      <c r="B669" s="118"/>
      <c r="C669" s="120"/>
      <c r="D669" s="121"/>
      <c r="E669" s="121"/>
      <c r="F669" s="122"/>
      <c r="G669" s="118"/>
      <c r="H669" s="117"/>
      <c r="I669" s="141"/>
      <c r="J669" s="101" t="str">
        <f t="shared" ca="1" si="10"/>
        <v/>
      </c>
    </row>
    <row r="670" spans="1:10">
      <c r="A670" s="123"/>
      <c r="B670" s="113"/>
      <c r="C670" s="124"/>
      <c r="D670" s="125"/>
      <c r="E670" s="125"/>
      <c r="F670" s="126"/>
      <c r="G670" s="113"/>
      <c r="H670" s="112"/>
      <c r="I670" s="140"/>
      <c r="J670" s="101" t="str">
        <f t="shared" ca="1" si="10"/>
        <v/>
      </c>
    </row>
    <row r="671" spans="1:10">
      <c r="A671" s="119"/>
      <c r="B671" s="118"/>
      <c r="C671" s="120"/>
      <c r="D671" s="121"/>
      <c r="E671" s="121"/>
      <c r="F671" s="122"/>
      <c r="G671" s="118"/>
      <c r="H671" s="117"/>
      <c r="I671" s="141"/>
      <c r="J671" s="101" t="str">
        <f t="shared" ca="1" si="10"/>
        <v/>
      </c>
    </row>
    <row r="672" spans="1:10">
      <c r="A672" s="123"/>
      <c r="B672" s="113"/>
      <c r="C672" s="124"/>
      <c r="D672" s="125"/>
      <c r="E672" s="125"/>
      <c r="F672" s="126"/>
      <c r="G672" s="113"/>
      <c r="H672" s="112"/>
      <c r="I672" s="140"/>
      <c r="J672" s="101" t="str">
        <f t="shared" ca="1" si="10"/>
        <v/>
      </c>
    </row>
    <row r="673" spans="1:10">
      <c r="A673" s="119"/>
      <c r="B673" s="118"/>
      <c r="C673" s="120"/>
      <c r="D673" s="121"/>
      <c r="E673" s="121"/>
      <c r="F673" s="122"/>
      <c r="G673" s="118"/>
      <c r="H673" s="117"/>
      <c r="I673" s="141"/>
      <c r="J673" s="101" t="str">
        <f t="shared" ca="1" si="10"/>
        <v/>
      </c>
    </row>
    <row r="674" spans="1:10">
      <c r="A674" s="123"/>
      <c r="B674" s="113"/>
      <c r="C674" s="124"/>
      <c r="D674" s="125"/>
      <c r="E674" s="125"/>
      <c r="F674" s="126"/>
      <c r="G674" s="113"/>
      <c r="H674" s="112"/>
      <c r="I674" s="140"/>
      <c r="J674" s="101" t="str">
        <f t="shared" ca="1" si="10"/>
        <v/>
      </c>
    </row>
    <row r="675" spans="1:10">
      <c r="A675" s="119"/>
      <c r="B675" s="118"/>
      <c r="C675" s="120"/>
      <c r="D675" s="121"/>
      <c r="E675" s="121"/>
      <c r="F675" s="122"/>
      <c r="G675" s="118"/>
      <c r="H675" s="117"/>
      <c r="I675" s="141"/>
      <c r="J675" s="101" t="str">
        <f t="shared" ca="1" si="10"/>
        <v/>
      </c>
    </row>
    <row r="676" spans="1:10">
      <c r="A676" s="123"/>
      <c r="B676" s="113"/>
      <c r="C676" s="124"/>
      <c r="D676" s="125"/>
      <c r="E676" s="125"/>
      <c r="F676" s="126"/>
      <c r="G676" s="113"/>
      <c r="H676" s="112"/>
      <c r="I676" s="140"/>
      <c r="J676" s="101" t="str">
        <f t="shared" ca="1" si="10"/>
        <v/>
      </c>
    </row>
    <row r="677" spans="1:10">
      <c r="A677" s="119"/>
      <c r="B677" s="118"/>
      <c r="C677" s="120"/>
      <c r="D677" s="121"/>
      <c r="E677" s="121"/>
      <c r="F677" s="122"/>
      <c r="G677" s="118"/>
      <c r="H677" s="117"/>
      <c r="I677" s="141"/>
      <c r="J677" s="101" t="str">
        <f t="shared" ca="1" si="10"/>
        <v/>
      </c>
    </row>
    <row r="678" spans="1:10">
      <c r="A678" s="123"/>
      <c r="B678" s="113"/>
      <c r="C678" s="124"/>
      <c r="D678" s="125"/>
      <c r="E678" s="125"/>
      <c r="F678" s="126"/>
      <c r="G678" s="113"/>
      <c r="H678" s="112"/>
      <c r="I678" s="140"/>
      <c r="J678" s="101" t="str">
        <f t="shared" ca="1" si="10"/>
        <v/>
      </c>
    </row>
    <row r="679" spans="1:10">
      <c r="A679" s="119"/>
      <c r="B679" s="118"/>
      <c r="C679" s="120"/>
      <c r="D679" s="121"/>
      <c r="E679" s="121"/>
      <c r="F679" s="122"/>
      <c r="G679" s="118"/>
      <c r="H679" s="117"/>
      <c r="I679" s="141"/>
      <c r="J679" s="101" t="str">
        <f t="shared" ca="1" si="10"/>
        <v/>
      </c>
    </row>
    <row r="680" spans="1:10">
      <c r="A680" s="123"/>
      <c r="B680" s="113"/>
      <c r="C680" s="124"/>
      <c r="D680" s="125"/>
      <c r="E680" s="125"/>
      <c r="F680" s="126"/>
      <c r="G680" s="113"/>
      <c r="H680" s="112"/>
      <c r="I680" s="140"/>
      <c r="J680" s="101" t="str">
        <f t="shared" ca="1" si="10"/>
        <v/>
      </c>
    </row>
    <row r="681" spans="1:10">
      <c r="A681" s="119"/>
      <c r="B681" s="118"/>
      <c r="C681" s="120"/>
      <c r="D681" s="121"/>
      <c r="E681" s="121"/>
      <c r="F681" s="122"/>
      <c r="G681" s="118"/>
      <c r="H681" s="117"/>
      <c r="I681" s="141"/>
      <c r="J681" s="101" t="str">
        <f t="shared" ca="1" si="10"/>
        <v/>
      </c>
    </row>
    <row r="682" spans="1:10">
      <c r="A682" s="123"/>
      <c r="B682" s="113"/>
      <c r="C682" s="124"/>
      <c r="D682" s="125"/>
      <c r="E682" s="125"/>
      <c r="F682" s="126"/>
      <c r="G682" s="113"/>
      <c r="H682" s="112"/>
      <c r="I682" s="140"/>
      <c r="J682" s="101" t="str">
        <f t="shared" ca="1" si="10"/>
        <v/>
      </c>
    </row>
    <row r="683" spans="1:10">
      <c r="A683" s="119"/>
      <c r="B683" s="118"/>
      <c r="C683" s="120"/>
      <c r="D683" s="121"/>
      <c r="E683" s="121"/>
      <c r="F683" s="122"/>
      <c r="G683" s="118"/>
      <c r="H683" s="117"/>
      <c r="I683" s="141"/>
      <c r="J683" s="101" t="str">
        <f t="shared" ca="1" si="10"/>
        <v/>
      </c>
    </row>
    <row r="684" spans="1:10">
      <c r="A684" s="123"/>
      <c r="B684" s="113"/>
      <c r="C684" s="124"/>
      <c r="D684" s="125"/>
      <c r="E684" s="125"/>
      <c r="F684" s="126"/>
      <c r="G684" s="113"/>
      <c r="H684" s="112"/>
      <c r="I684" s="140"/>
      <c r="J684" s="101" t="str">
        <f t="shared" ca="1" si="10"/>
        <v/>
      </c>
    </row>
    <row r="685" spans="1:10">
      <c r="A685" s="119"/>
      <c r="B685" s="118"/>
      <c r="C685" s="120"/>
      <c r="D685" s="121"/>
      <c r="E685" s="121"/>
      <c r="F685" s="122"/>
      <c r="G685" s="118"/>
      <c r="H685" s="117"/>
      <c r="I685" s="141"/>
      <c r="J685" s="101" t="str">
        <f t="shared" ca="1" si="10"/>
        <v/>
      </c>
    </row>
    <row r="686" spans="1:10">
      <c r="A686" s="123"/>
      <c r="B686" s="113"/>
      <c r="C686" s="124"/>
      <c r="D686" s="125"/>
      <c r="E686" s="125"/>
      <c r="F686" s="126"/>
      <c r="G686" s="113"/>
      <c r="H686" s="112"/>
      <c r="I686" s="140"/>
      <c r="J686" s="101" t="str">
        <f t="shared" ca="1" si="10"/>
        <v/>
      </c>
    </row>
    <row r="687" spans="1:10">
      <c r="A687" s="119"/>
      <c r="B687" s="118"/>
      <c r="C687" s="120"/>
      <c r="D687" s="121"/>
      <c r="E687" s="121"/>
      <c r="F687" s="122"/>
      <c r="G687" s="118"/>
      <c r="H687" s="117"/>
      <c r="I687" s="141"/>
      <c r="J687" s="101" t="str">
        <f t="shared" ca="1" si="10"/>
        <v/>
      </c>
    </row>
    <row r="688" spans="1:10">
      <c r="A688" s="123"/>
      <c r="B688" s="113"/>
      <c r="C688" s="124"/>
      <c r="D688" s="125"/>
      <c r="E688" s="125"/>
      <c r="F688" s="126"/>
      <c r="G688" s="113"/>
      <c r="H688" s="112"/>
      <c r="I688" s="140"/>
      <c r="J688" s="101" t="str">
        <f t="shared" ca="1" si="10"/>
        <v/>
      </c>
    </row>
    <row r="689" spans="1:10">
      <c r="A689" s="119"/>
      <c r="B689" s="118"/>
      <c r="C689" s="120"/>
      <c r="D689" s="121"/>
      <c r="E689" s="121"/>
      <c r="F689" s="122"/>
      <c r="G689" s="118"/>
      <c r="H689" s="117"/>
      <c r="I689" s="141"/>
      <c r="J689" s="101" t="str">
        <f t="shared" ca="1" si="10"/>
        <v/>
      </c>
    </row>
    <row r="690" spans="1:10">
      <c r="A690" s="123"/>
      <c r="B690" s="113"/>
      <c r="C690" s="124"/>
      <c r="D690" s="125"/>
      <c r="E690" s="125"/>
      <c r="F690" s="126"/>
      <c r="G690" s="113"/>
      <c r="H690" s="112"/>
      <c r="I690" s="140"/>
      <c r="J690" s="101" t="str">
        <f t="shared" ca="1" si="10"/>
        <v/>
      </c>
    </row>
    <row r="691" spans="1:10">
      <c r="A691" s="119"/>
      <c r="B691" s="118"/>
      <c r="C691" s="120"/>
      <c r="D691" s="121"/>
      <c r="E691" s="121"/>
      <c r="F691" s="122"/>
      <c r="G691" s="118"/>
      <c r="H691" s="117"/>
      <c r="I691" s="141"/>
      <c r="J691" s="101" t="str">
        <f t="shared" ca="1" si="10"/>
        <v/>
      </c>
    </row>
    <row r="692" spans="1:10">
      <c r="A692" s="123"/>
      <c r="B692" s="113"/>
      <c r="C692" s="124"/>
      <c r="D692" s="125"/>
      <c r="E692" s="125"/>
      <c r="F692" s="126"/>
      <c r="G692" s="113"/>
      <c r="H692" s="112"/>
      <c r="I692" s="140"/>
      <c r="J692" s="101" t="str">
        <f t="shared" ca="1" si="10"/>
        <v/>
      </c>
    </row>
    <row r="693" spans="1:10">
      <c r="A693" s="119"/>
      <c r="B693" s="118"/>
      <c r="C693" s="120"/>
      <c r="D693" s="121"/>
      <c r="E693" s="121"/>
      <c r="F693" s="122"/>
      <c r="G693" s="118"/>
      <c r="H693" s="117"/>
      <c r="I693" s="141"/>
      <c r="J693" s="101" t="str">
        <f t="shared" ca="1" si="10"/>
        <v/>
      </c>
    </row>
    <row r="694" spans="1:10">
      <c r="A694" s="123"/>
      <c r="B694" s="113"/>
      <c r="C694" s="124"/>
      <c r="D694" s="125"/>
      <c r="E694" s="125"/>
      <c r="F694" s="126"/>
      <c r="G694" s="113"/>
      <c r="H694" s="112"/>
      <c r="I694" s="140"/>
      <c r="J694" s="101" t="str">
        <f t="shared" ca="1" si="10"/>
        <v/>
      </c>
    </row>
    <row r="695" spans="1:10">
      <c r="A695" s="119"/>
      <c r="B695" s="118"/>
      <c r="C695" s="120"/>
      <c r="D695" s="121"/>
      <c r="E695" s="121"/>
      <c r="F695" s="122"/>
      <c r="G695" s="118"/>
      <c r="H695" s="117"/>
      <c r="I695" s="141"/>
      <c r="J695" s="101" t="str">
        <f t="shared" ca="1" si="10"/>
        <v/>
      </c>
    </row>
    <row r="696" spans="1:10">
      <c r="A696" s="123"/>
      <c r="B696" s="113"/>
      <c r="C696" s="124"/>
      <c r="D696" s="125"/>
      <c r="E696" s="125"/>
      <c r="F696" s="126"/>
      <c r="G696" s="113"/>
      <c r="H696" s="112"/>
      <c r="I696" s="140"/>
      <c r="J696" s="101" t="str">
        <f t="shared" ca="1" si="10"/>
        <v/>
      </c>
    </row>
    <row r="697" spans="1:10">
      <c r="A697" s="119"/>
      <c r="B697" s="118"/>
      <c r="C697" s="120"/>
      <c r="D697" s="121"/>
      <c r="E697" s="121"/>
      <c r="F697" s="122"/>
      <c r="G697" s="118"/>
      <c r="H697" s="117"/>
      <c r="I697" s="141"/>
      <c r="J697" s="101" t="str">
        <f t="shared" ca="1" si="10"/>
        <v/>
      </c>
    </row>
    <row r="698" spans="1:10">
      <c r="A698" s="123"/>
      <c r="B698" s="113"/>
      <c r="C698" s="124"/>
      <c r="D698" s="125"/>
      <c r="E698" s="125"/>
      <c r="F698" s="126"/>
      <c r="G698" s="113"/>
      <c r="H698" s="112"/>
      <c r="I698" s="140"/>
      <c r="J698" s="101" t="str">
        <f t="shared" ca="1" si="10"/>
        <v/>
      </c>
    </row>
    <row r="699" spans="1:10">
      <c r="A699" s="119"/>
      <c r="B699" s="118"/>
      <c r="C699" s="120"/>
      <c r="D699" s="121"/>
      <c r="E699" s="121"/>
      <c r="F699" s="122"/>
      <c r="G699" s="118"/>
      <c r="H699" s="117"/>
      <c r="I699" s="141"/>
      <c r="J699" s="101" t="str">
        <f t="shared" ca="1" si="10"/>
        <v/>
      </c>
    </row>
    <row r="700" spans="1:10">
      <c r="A700" s="123"/>
      <c r="B700" s="113"/>
      <c r="C700" s="124"/>
      <c r="D700" s="125"/>
      <c r="E700" s="125"/>
      <c r="F700" s="126"/>
      <c r="G700" s="113"/>
      <c r="H700" s="112"/>
      <c r="I700" s="140"/>
      <c r="J700" s="101" t="str">
        <f t="shared" ca="1" si="10"/>
        <v/>
      </c>
    </row>
    <row r="701" spans="1:10">
      <c r="A701" s="119"/>
      <c r="B701" s="118"/>
      <c r="C701" s="120"/>
      <c r="D701" s="121"/>
      <c r="E701" s="121"/>
      <c r="F701" s="122"/>
      <c r="G701" s="118"/>
      <c r="H701" s="117"/>
      <c r="I701" s="141"/>
      <c r="J701" s="101" t="str">
        <f t="shared" ca="1" si="10"/>
        <v/>
      </c>
    </row>
    <row r="702" spans="1:10">
      <c r="A702" s="123"/>
      <c r="B702" s="113"/>
      <c r="C702" s="124"/>
      <c r="D702" s="125"/>
      <c r="E702" s="125"/>
      <c r="F702" s="126"/>
      <c r="G702" s="113"/>
      <c r="H702" s="112"/>
      <c r="I702" s="140"/>
      <c r="J702" s="101" t="str">
        <f t="shared" ca="1" si="10"/>
        <v/>
      </c>
    </row>
    <row r="703" spans="1:10">
      <c r="A703" s="119"/>
      <c r="B703" s="118"/>
      <c r="C703" s="120"/>
      <c r="D703" s="121"/>
      <c r="E703" s="121"/>
      <c r="F703" s="122"/>
      <c r="G703" s="118"/>
      <c r="H703" s="117"/>
      <c r="I703" s="141"/>
      <c r="J703" s="101" t="str">
        <f t="shared" ca="1" si="10"/>
        <v/>
      </c>
    </row>
    <row r="704" spans="1:10">
      <c r="A704" s="123"/>
      <c r="B704" s="113"/>
      <c r="C704" s="124"/>
      <c r="D704" s="125"/>
      <c r="E704" s="125"/>
      <c r="F704" s="126"/>
      <c r="G704" s="113"/>
      <c r="H704" s="112"/>
      <c r="I704" s="140"/>
      <c r="J704" s="101" t="str">
        <f t="shared" ca="1" si="10"/>
        <v/>
      </c>
    </row>
    <row r="705" spans="1:10">
      <c r="A705" s="119"/>
      <c r="B705" s="118"/>
      <c r="C705" s="120"/>
      <c r="D705" s="121"/>
      <c r="E705" s="121"/>
      <c r="F705" s="122"/>
      <c r="G705" s="118"/>
      <c r="H705" s="117"/>
      <c r="I705" s="141"/>
      <c r="J705" s="101" t="str">
        <f t="shared" ca="1" si="10"/>
        <v/>
      </c>
    </row>
    <row r="706" spans="1:10">
      <c r="A706" s="123"/>
      <c r="B706" s="113"/>
      <c r="C706" s="124"/>
      <c r="D706" s="125"/>
      <c r="E706" s="125"/>
      <c r="F706" s="126"/>
      <c r="G706" s="113"/>
      <c r="H706" s="112"/>
      <c r="I706" s="140"/>
      <c r="J706" s="101" t="str">
        <f t="shared" ca="1" si="10"/>
        <v/>
      </c>
    </row>
    <row r="707" spans="1:10">
      <c r="A707" s="119"/>
      <c r="B707" s="118"/>
      <c r="C707" s="120"/>
      <c r="D707" s="121"/>
      <c r="E707" s="121"/>
      <c r="F707" s="122"/>
      <c r="G707" s="118"/>
      <c r="H707" s="117"/>
      <c r="I707" s="141"/>
      <c r="J707" s="101" t="str">
        <f t="shared" ref="J707:J770" ca="1" si="11">_xlfn.LET(
    _xlpm.AllCellsFilled, COUNTA(A707:I707) = 9,
    _xlpm.QtyIsInt, AND(ISNUMBER(G707), G707=INT(G707)),
    _xlpm.AvailDateIsValid, AND(ISNUMBER(F707), F707&gt;=TODAY()),
    _xlpm.ReqDateIsValid, AND(ISNUMBER(H707), H707&gt;=TODAY()),
    _xlpm.EmailIsValid, RIGHT(I707,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IF(A707="", "", IF(_xlpm.error_messages = "", "Yes", _xlpm.error_messages))
)</f>
        <v/>
      </c>
    </row>
    <row r="708" spans="1:10">
      <c r="A708" s="123"/>
      <c r="B708" s="113"/>
      <c r="C708" s="124"/>
      <c r="D708" s="125"/>
      <c r="E708" s="125"/>
      <c r="F708" s="126"/>
      <c r="G708" s="113"/>
      <c r="H708" s="112"/>
      <c r="I708" s="140"/>
      <c r="J708" s="101" t="str">
        <f t="shared" ca="1" si="11"/>
        <v/>
      </c>
    </row>
    <row r="709" spans="1:10">
      <c r="A709" s="119"/>
      <c r="B709" s="118"/>
      <c r="C709" s="120"/>
      <c r="D709" s="121"/>
      <c r="E709" s="121"/>
      <c r="F709" s="122"/>
      <c r="G709" s="118"/>
      <c r="H709" s="117"/>
      <c r="I709" s="141"/>
      <c r="J709" s="101" t="str">
        <f t="shared" ca="1" si="11"/>
        <v/>
      </c>
    </row>
    <row r="710" spans="1:10">
      <c r="A710" s="123"/>
      <c r="B710" s="113"/>
      <c r="C710" s="124"/>
      <c r="D710" s="125"/>
      <c r="E710" s="125"/>
      <c r="F710" s="126"/>
      <c r="G710" s="113"/>
      <c r="H710" s="112"/>
      <c r="I710" s="140"/>
      <c r="J710" s="101" t="str">
        <f t="shared" ca="1" si="11"/>
        <v/>
      </c>
    </row>
    <row r="711" spans="1:10">
      <c r="A711" s="119"/>
      <c r="B711" s="118"/>
      <c r="C711" s="120"/>
      <c r="D711" s="121"/>
      <c r="E711" s="121"/>
      <c r="F711" s="122"/>
      <c r="G711" s="118"/>
      <c r="H711" s="117"/>
      <c r="I711" s="141"/>
      <c r="J711" s="101" t="str">
        <f t="shared" ca="1" si="11"/>
        <v/>
      </c>
    </row>
    <row r="712" spans="1:10">
      <c r="A712" s="123"/>
      <c r="B712" s="113"/>
      <c r="C712" s="124"/>
      <c r="D712" s="125"/>
      <c r="E712" s="125"/>
      <c r="F712" s="126"/>
      <c r="G712" s="113"/>
      <c r="H712" s="112"/>
      <c r="I712" s="140"/>
      <c r="J712" s="101" t="str">
        <f t="shared" ca="1" si="11"/>
        <v/>
      </c>
    </row>
    <row r="713" spans="1:10">
      <c r="A713" s="119"/>
      <c r="B713" s="118"/>
      <c r="C713" s="120"/>
      <c r="D713" s="121"/>
      <c r="E713" s="121"/>
      <c r="F713" s="122"/>
      <c r="G713" s="118"/>
      <c r="H713" s="117"/>
      <c r="I713" s="141"/>
      <c r="J713" s="101" t="str">
        <f t="shared" ca="1" si="11"/>
        <v/>
      </c>
    </row>
    <row r="714" spans="1:10">
      <c r="A714" s="123"/>
      <c r="B714" s="113"/>
      <c r="C714" s="124"/>
      <c r="D714" s="125"/>
      <c r="E714" s="125"/>
      <c r="F714" s="126"/>
      <c r="G714" s="113"/>
      <c r="H714" s="112"/>
      <c r="I714" s="140"/>
      <c r="J714" s="101" t="str">
        <f t="shared" ca="1" si="11"/>
        <v/>
      </c>
    </row>
    <row r="715" spans="1:10">
      <c r="A715" s="119"/>
      <c r="B715" s="118"/>
      <c r="C715" s="120"/>
      <c r="D715" s="121"/>
      <c r="E715" s="121"/>
      <c r="F715" s="122"/>
      <c r="G715" s="118"/>
      <c r="H715" s="117"/>
      <c r="I715" s="141"/>
      <c r="J715" s="101" t="str">
        <f t="shared" ca="1" si="11"/>
        <v/>
      </c>
    </row>
    <row r="716" spans="1:10">
      <c r="A716" s="123"/>
      <c r="B716" s="113"/>
      <c r="C716" s="124"/>
      <c r="D716" s="125"/>
      <c r="E716" s="125"/>
      <c r="F716" s="126"/>
      <c r="G716" s="113"/>
      <c r="H716" s="112"/>
      <c r="I716" s="140"/>
      <c r="J716" s="101" t="str">
        <f t="shared" ca="1" si="11"/>
        <v/>
      </c>
    </row>
    <row r="717" spans="1:10">
      <c r="A717" s="119"/>
      <c r="B717" s="118"/>
      <c r="C717" s="120"/>
      <c r="D717" s="121"/>
      <c r="E717" s="121"/>
      <c r="F717" s="122"/>
      <c r="G717" s="118"/>
      <c r="H717" s="117"/>
      <c r="I717" s="141"/>
      <c r="J717" s="101" t="str">
        <f t="shared" ca="1" si="11"/>
        <v/>
      </c>
    </row>
    <row r="718" spans="1:10">
      <c r="A718" s="123"/>
      <c r="B718" s="113"/>
      <c r="C718" s="124"/>
      <c r="D718" s="125"/>
      <c r="E718" s="125"/>
      <c r="F718" s="126"/>
      <c r="G718" s="113"/>
      <c r="H718" s="112"/>
      <c r="I718" s="140"/>
      <c r="J718" s="101" t="str">
        <f t="shared" ca="1" si="11"/>
        <v/>
      </c>
    </row>
    <row r="719" spans="1:10">
      <c r="A719" s="119"/>
      <c r="B719" s="118"/>
      <c r="C719" s="120"/>
      <c r="D719" s="121"/>
      <c r="E719" s="121"/>
      <c r="F719" s="122"/>
      <c r="G719" s="118"/>
      <c r="H719" s="117"/>
      <c r="I719" s="141"/>
      <c r="J719" s="101" t="str">
        <f t="shared" ca="1" si="11"/>
        <v/>
      </c>
    </row>
    <row r="720" spans="1:10">
      <c r="A720" s="123"/>
      <c r="B720" s="113"/>
      <c r="C720" s="124"/>
      <c r="D720" s="125"/>
      <c r="E720" s="125"/>
      <c r="F720" s="126"/>
      <c r="G720" s="113"/>
      <c r="H720" s="112"/>
      <c r="I720" s="140"/>
      <c r="J720" s="101" t="str">
        <f t="shared" ca="1" si="11"/>
        <v/>
      </c>
    </row>
    <row r="721" spans="1:10">
      <c r="A721" s="119"/>
      <c r="B721" s="118"/>
      <c r="C721" s="120"/>
      <c r="D721" s="121"/>
      <c r="E721" s="121"/>
      <c r="F721" s="122"/>
      <c r="G721" s="118"/>
      <c r="H721" s="117"/>
      <c r="I721" s="141"/>
      <c r="J721" s="101" t="str">
        <f t="shared" ca="1" si="11"/>
        <v/>
      </c>
    </row>
    <row r="722" spans="1:10">
      <c r="A722" s="146"/>
      <c r="B722" s="147"/>
      <c r="C722" s="148"/>
      <c r="D722" s="149"/>
      <c r="E722" s="149"/>
      <c r="F722" s="150"/>
      <c r="G722" s="147"/>
      <c r="H722" s="151"/>
      <c r="I722" s="152"/>
      <c r="J722" s="101" t="str">
        <f t="shared" ca="1" si="11"/>
        <v/>
      </c>
    </row>
    <row r="723" spans="1:10">
      <c r="A723" s="103"/>
      <c r="B723" s="104"/>
      <c r="C723" s="105"/>
      <c r="D723" s="104"/>
      <c r="F723" s="106"/>
      <c r="G723" s="104"/>
      <c r="H723" s="106"/>
      <c r="I723" s="106"/>
      <c r="J723" s="101" t="str">
        <f t="shared" ca="1" si="11"/>
        <v/>
      </c>
    </row>
    <row r="724" spans="1:10">
      <c r="A724" s="103"/>
      <c r="B724" s="104"/>
      <c r="C724" s="105"/>
      <c r="D724" s="104"/>
      <c r="F724" s="106"/>
      <c r="G724" s="104"/>
      <c r="H724" s="106"/>
      <c r="I724" s="106"/>
      <c r="J724" s="101" t="str">
        <f t="shared" ca="1" si="11"/>
        <v/>
      </c>
    </row>
    <row r="725" spans="1:10">
      <c r="A725" s="103"/>
      <c r="B725" s="104"/>
      <c r="C725" s="105"/>
      <c r="D725" s="104"/>
      <c r="F725" s="106"/>
      <c r="G725" s="104"/>
      <c r="H725" s="106"/>
      <c r="I725" s="106"/>
      <c r="J725" s="101" t="str">
        <f t="shared" ca="1" si="11"/>
        <v/>
      </c>
    </row>
    <row r="726" spans="1:10">
      <c r="A726" s="103"/>
      <c r="B726" s="104"/>
      <c r="C726" s="105"/>
      <c r="D726" s="104"/>
      <c r="F726" s="106"/>
      <c r="G726" s="104"/>
      <c r="H726" s="106"/>
      <c r="I726" s="106"/>
      <c r="J726" s="101" t="str">
        <f t="shared" ca="1" si="11"/>
        <v/>
      </c>
    </row>
    <row r="727" spans="1:10">
      <c r="A727" s="103"/>
      <c r="B727" s="104"/>
      <c r="C727" s="105"/>
      <c r="D727" s="104"/>
      <c r="F727" s="106"/>
      <c r="G727" s="104"/>
      <c r="H727" s="106"/>
      <c r="I727" s="106"/>
      <c r="J727" s="101" t="str">
        <f t="shared" ca="1" si="11"/>
        <v/>
      </c>
    </row>
    <row r="728" spans="1:10">
      <c r="A728" s="103"/>
      <c r="B728" s="104"/>
      <c r="C728" s="105"/>
      <c r="D728" s="104"/>
      <c r="F728" s="106"/>
      <c r="G728" s="104"/>
      <c r="H728" s="106"/>
      <c r="I728" s="106"/>
      <c r="J728" s="101" t="str">
        <f t="shared" ca="1" si="11"/>
        <v/>
      </c>
    </row>
    <row r="729" spans="1:10">
      <c r="A729" s="103"/>
      <c r="B729" s="104"/>
      <c r="C729" s="105"/>
      <c r="D729" s="104"/>
      <c r="F729" s="106"/>
      <c r="G729" s="104"/>
      <c r="H729" s="106"/>
      <c r="I729" s="106"/>
      <c r="J729" s="101" t="str">
        <f t="shared" ca="1" si="11"/>
        <v/>
      </c>
    </row>
    <row r="730" spans="1:10">
      <c r="A730" s="103"/>
      <c r="B730" s="104"/>
      <c r="C730" s="105"/>
      <c r="D730" s="104"/>
      <c r="F730" s="106"/>
      <c r="G730" s="104"/>
      <c r="H730" s="106"/>
      <c r="I730" s="106"/>
      <c r="J730" s="101" t="str">
        <f t="shared" ca="1" si="11"/>
        <v/>
      </c>
    </row>
    <row r="731" spans="1:10">
      <c r="A731" s="103"/>
      <c r="B731" s="104"/>
      <c r="C731" s="105"/>
      <c r="D731" s="104"/>
      <c r="F731" s="106"/>
      <c r="G731" s="104"/>
      <c r="H731" s="106"/>
      <c r="I731" s="106"/>
      <c r="J731" s="101" t="str">
        <f t="shared" ca="1" si="11"/>
        <v/>
      </c>
    </row>
    <row r="732" spans="1:10">
      <c r="A732" s="103"/>
      <c r="B732" s="104"/>
      <c r="C732" s="105"/>
      <c r="D732" s="104"/>
      <c r="F732" s="106"/>
      <c r="G732" s="104"/>
      <c r="H732" s="106"/>
      <c r="I732" s="106"/>
      <c r="J732" s="101" t="str">
        <f t="shared" ca="1" si="11"/>
        <v/>
      </c>
    </row>
    <row r="733" spans="1:10">
      <c r="A733" s="103"/>
      <c r="B733" s="104"/>
      <c r="C733" s="105"/>
      <c r="D733" s="104"/>
      <c r="F733" s="106"/>
      <c r="G733" s="104"/>
      <c r="H733" s="106"/>
      <c r="I733" s="106"/>
      <c r="J733" s="101" t="str">
        <f t="shared" ca="1" si="11"/>
        <v/>
      </c>
    </row>
    <row r="734" spans="1:10">
      <c r="A734" s="103"/>
      <c r="B734" s="104"/>
      <c r="C734" s="105"/>
      <c r="D734" s="104"/>
      <c r="F734" s="106"/>
      <c r="G734" s="104"/>
      <c r="H734" s="106"/>
      <c r="I734" s="106"/>
      <c r="J734" s="101" t="str">
        <f t="shared" ca="1" si="11"/>
        <v/>
      </c>
    </row>
    <row r="735" spans="1:10">
      <c r="A735" s="103"/>
      <c r="B735" s="104"/>
      <c r="C735" s="105"/>
      <c r="D735" s="104"/>
      <c r="F735" s="106"/>
      <c r="G735" s="104"/>
      <c r="H735" s="106"/>
      <c r="I735" s="106"/>
      <c r="J735" s="101" t="str">
        <f t="shared" ca="1" si="11"/>
        <v/>
      </c>
    </row>
    <row r="736" spans="1:10">
      <c r="A736" s="103"/>
      <c r="B736" s="104"/>
      <c r="C736" s="105"/>
      <c r="D736" s="104"/>
      <c r="F736" s="106"/>
      <c r="G736" s="104"/>
      <c r="H736" s="106"/>
      <c r="I736" s="106"/>
      <c r="J736" s="101" t="str">
        <f t="shared" ca="1" si="11"/>
        <v/>
      </c>
    </row>
    <row r="737" spans="1:10">
      <c r="A737" s="103"/>
      <c r="B737" s="104"/>
      <c r="C737" s="105"/>
      <c r="D737" s="104"/>
      <c r="F737" s="106"/>
      <c r="G737" s="104"/>
      <c r="H737" s="106"/>
      <c r="I737" s="106"/>
      <c r="J737" s="101" t="str">
        <f t="shared" ca="1" si="11"/>
        <v/>
      </c>
    </row>
    <row r="738" spans="1:10">
      <c r="A738" s="103"/>
      <c r="B738" s="104"/>
      <c r="C738" s="105"/>
      <c r="D738" s="104"/>
      <c r="F738" s="106"/>
      <c r="G738" s="104"/>
      <c r="H738" s="106"/>
      <c r="I738" s="106"/>
      <c r="J738" s="101" t="str">
        <f t="shared" ca="1" si="11"/>
        <v/>
      </c>
    </row>
    <row r="739" spans="1:10">
      <c r="A739" s="103"/>
      <c r="B739" s="104"/>
      <c r="C739" s="105"/>
      <c r="D739" s="104"/>
      <c r="F739" s="106"/>
      <c r="G739" s="104"/>
      <c r="H739" s="106"/>
      <c r="I739" s="106"/>
      <c r="J739" s="101" t="str">
        <f t="shared" ca="1" si="11"/>
        <v/>
      </c>
    </row>
    <row r="740" spans="1:10">
      <c r="A740" s="103"/>
      <c r="B740" s="104"/>
      <c r="C740" s="105"/>
      <c r="D740" s="104"/>
      <c r="F740" s="106"/>
      <c r="G740" s="104"/>
      <c r="H740" s="106"/>
      <c r="I740" s="106"/>
      <c r="J740" s="101" t="str">
        <f t="shared" ca="1" si="11"/>
        <v/>
      </c>
    </row>
    <row r="741" spans="1:10">
      <c r="A741" s="103"/>
      <c r="B741" s="104"/>
      <c r="C741" s="105"/>
      <c r="D741" s="104"/>
      <c r="F741" s="106"/>
      <c r="G741" s="104"/>
      <c r="H741" s="106"/>
      <c r="I741" s="106"/>
      <c r="J741" s="101" t="str">
        <f t="shared" ca="1" si="11"/>
        <v/>
      </c>
    </row>
    <row r="742" spans="1:10">
      <c r="A742" s="103"/>
      <c r="B742" s="104"/>
      <c r="C742" s="105"/>
      <c r="D742" s="104"/>
      <c r="F742" s="106"/>
      <c r="G742" s="104"/>
      <c r="H742" s="106"/>
      <c r="I742" s="106"/>
      <c r="J742" s="101" t="str">
        <f t="shared" ca="1" si="11"/>
        <v/>
      </c>
    </row>
    <row r="743" spans="1:10">
      <c r="A743" s="103"/>
      <c r="B743" s="104"/>
      <c r="C743" s="105"/>
      <c r="D743" s="104"/>
      <c r="F743" s="106"/>
      <c r="G743" s="104"/>
      <c r="H743" s="106"/>
      <c r="I743" s="106"/>
      <c r="J743" s="101" t="str">
        <f t="shared" ca="1" si="11"/>
        <v/>
      </c>
    </row>
    <row r="744" spans="1:10">
      <c r="A744" s="103"/>
      <c r="B744" s="104"/>
      <c r="C744" s="105"/>
      <c r="D744" s="104"/>
      <c r="F744" s="106"/>
      <c r="G744" s="104"/>
      <c r="H744" s="106"/>
      <c r="I744" s="106"/>
      <c r="J744" s="101" t="str">
        <f t="shared" ca="1" si="11"/>
        <v/>
      </c>
    </row>
    <row r="745" spans="1:10">
      <c r="A745" s="103"/>
      <c r="B745" s="104"/>
      <c r="C745" s="105"/>
      <c r="D745" s="104"/>
      <c r="F745" s="106"/>
      <c r="G745" s="104"/>
      <c r="H745" s="106"/>
      <c r="I745" s="106"/>
      <c r="J745" s="101" t="str">
        <f t="shared" ca="1" si="11"/>
        <v/>
      </c>
    </row>
    <row r="746" spans="1:10">
      <c r="A746" s="103"/>
      <c r="B746" s="104"/>
      <c r="C746" s="105"/>
      <c r="D746" s="104"/>
      <c r="F746" s="106"/>
      <c r="G746" s="104"/>
      <c r="H746" s="106"/>
      <c r="I746" s="106"/>
      <c r="J746" s="101" t="str">
        <f t="shared" ca="1" si="11"/>
        <v/>
      </c>
    </row>
    <row r="747" spans="1:10">
      <c r="A747" s="103"/>
      <c r="B747" s="104"/>
      <c r="C747" s="105"/>
      <c r="D747" s="104"/>
      <c r="F747" s="106"/>
      <c r="G747" s="104"/>
      <c r="H747" s="106"/>
      <c r="I747" s="106"/>
      <c r="J747" s="101" t="str">
        <f t="shared" ca="1" si="11"/>
        <v/>
      </c>
    </row>
    <row r="748" spans="1:10">
      <c r="A748" s="103"/>
      <c r="B748" s="104"/>
      <c r="C748" s="105"/>
      <c r="D748" s="104"/>
      <c r="F748" s="106"/>
      <c r="G748" s="104"/>
      <c r="H748" s="106"/>
      <c r="I748" s="106"/>
      <c r="J748" s="101" t="str">
        <f t="shared" ca="1" si="11"/>
        <v/>
      </c>
    </row>
    <row r="749" spans="1:10">
      <c r="A749" s="103"/>
      <c r="B749" s="104"/>
      <c r="C749" s="105"/>
      <c r="D749" s="104"/>
      <c r="F749" s="106"/>
      <c r="G749" s="104"/>
      <c r="H749" s="106"/>
      <c r="I749" s="106"/>
      <c r="J749" s="101" t="str">
        <f t="shared" ca="1" si="11"/>
        <v/>
      </c>
    </row>
    <row r="750" spans="1:10">
      <c r="A750" s="103"/>
      <c r="B750" s="104"/>
      <c r="C750" s="105"/>
      <c r="D750" s="104"/>
      <c r="F750" s="106"/>
      <c r="G750" s="104"/>
      <c r="H750" s="106"/>
      <c r="I750" s="106"/>
      <c r="J750" s="101" t="str">
        <f t="shared" ca="1" si="11"/>
        <v/>
      </c>
    </row>
    <row r="751" spans="1:10">
      <c r="A751" s="103"/>
      <c r="B751" s="104"/>
      <c r="C751" s="105"/>
      <c r="D751" s="104"/>
      <c r="F751" s="106"/>
      <c r="G751" s="104"/>
      <c r="H751" s="106"/>
      <c r="I751" s="106"/>
      <c r="J751" s="101" t="str">
        <f t="shared" ca="1" si="11"/>
        <v/>
      </c>
    </row>
    <row r="752" spans="1:10">
      <c r="A752" s="103"/>
      <c r="B752" s="104"/>
      <c r="C752" s="105"/>
      <c r="D752" s="104"/>
      <c r="F752" s="106"/>
      <c r="G752" s="104"/>
      <c r="H752" s="106"/>
      <c r="I752" s="106"/>
      <c r="J752" s="101" t="str">
        <f t="shared" ca="1" si="11"/>
        <v/>
      </c>
    </row>
    <row r="753" spans="1:10">
      <c r="A753" s="103"/>
      <c r="B753" s="104"/>
      <c r="C753" s="105"/>
      <c r="D753" s="104"/>
      <c r="F753" s="106"/>
      <c r="G753" s="104"/>
      <c r="H753" s="106"/>
      <c r="I753" s="106"/>
      <c r="J753" s="101" t="str">
        <f t="shared" ca="1" si="11"/>
        <v/>
      </c>
    </row>
    <row r="754" spans="1:10">
      <c r="A754" s="103"/>
      <c r="B754" s="104"/>
      <c r="C754" s="105"/>
      <c r="D754" s="104"/>
      <c r="F754" s="106"/>
      <c r="G754" s="104"/>
      <c r="H754" s="106"/>
      <c r="I754" s="106"/>
      <c r="J754" s="101" t="str">
        <f t="shared" ca="1" si="11"/>
        <v/>
      </c>
    </row>
    <row r="755" spans="1:10">
      <c r="A755" s="103"/>
      <c r="B755" s="104"/>
      <c r="C755" s="105"/>
      <c r="D755" s="104"/>
      <c r="F755" s="106"/>
      <c r="G755" s="104"/>
      <c r="H755" s="106"/>
      <c r="I755" s="106"/>
      <c r="J755" s="101" t="str">
        <f t="shared" ca="1" si="11"/>
        <v/>
      </c>
    </row>
    <row r="756" spans="1:10">
      <c r="A756" s="103"/>
      <c r="B756" s="104"/>
      <c r="C756" s="105"/>
      <c r="D756" s="104"/>
      <c r="F756" s="106"/>
      <c r="G756" s="104"/>
      <c r="H756" s="106"/>
      <c r="I756" s="106"/>
      <c r="J756" s="101" t="str">
        <f t="shared" ca="1" si="11"/>
        <v/>
      </c>
    </row>
    <row r="757" spans="1:10">
      <c r="A757" s="103"/>
      <c r="B757" s="104"/>
      <c r="C757" s="105"/>
      <c r="D757" s="104"/>
      <c r="F757" s="106"/>
      <c r="G757" s="104"/>
      <c r="H757" s="106"/>
      <c r="I757" s="106"/>
      <c r="J757" s="101" t="str">
        <f t="shared" ca="1" si="11"/>
        <v/>
      </c>
    </row>
    <row r="758" spans="1:10">
      <c r="A758" s="103"/>
      <c r="B758" s="104"/>
      <c r="C758" s="105"/>
      <c r="D758" s="104"/>
      <c r="F758" s="106"/>
      <c r="G758" s="104"/>
      <c r="H758" s="106"/>
      <c r="I758" s="106"/>
      <c r="J758" s="101" t="str">
        <f t="shared" ca="1" si="11"/>
        <v/>
      </c>
    </row>
    <row r="759" spans="1:10">
      <c r="A759" s="103"/>
      <c r="B759" s="104"/>
      <c r="C759" s="105"/>
      <c r="D759" s="104"/>
      <c r="F759" s="106"/>
      <c r="G759" s="104"/>
      <c r="H759" s="106"/>
      <c r="I759" s="106"/>
      <c r="J759" s="101" t="str">
        <f t="shared" ca="1" si="11"/>
        <v/>
      </c>
    </row>
    <row r="760" spans="1:10">
      <c r="A760" s="103"/>
      <c r="B760" s="104"/>
      <c r="C760" s="105"/>
      <c r="D760" s="104"/>
      <c r="F760" s="106"/>
      <c r="G760" s="104"/>
      <c r="H760" s="106"/>
      <c r="I760" s="106"/>
      <c r="J760" s="101" t="str">
        <f t="shared" ca="1" si="11"/>
        <v/>
      </c>
    </row>
    <row r="761" spans="1:10">
      <c r="A761" s="103"/>
      <c r="B761" s="104"/>
      <c r="C761" s="105"/>
      <c r="D761" s="104"/>
      <c r="F761" s="106"/>
      <c r="G761" s="104"/>
      <c r="H761" s="106"/>
      <c r="I761" s="106"/>
      <c r="J761" s="101" t="str">
        <f t="shared" ca="1" si="11"/>
        <v/>
      </c>
    </row>
    <row r="762" spans="1:10">
      <c r="A762" s="103"/>
      <c r="B762" s="104"/>
      <c r="C762" s="105"/>
      <c r="D762" s="104"/>
      <c r="F762" s="106"/>
      <c r="G762" s="104"/>
      <c r="H762" s="106"/>
      <c r="I762" s="106"/>
      <c r="J762" s="101" t="str">
        <f t="shared" ca="1" si="11"/>
        <v/>
      </c>
    </row>
    <row r="763" spans="1:10">
      <c r="A763" s="103"/>
      <c r="B763" s="104"/>
      <c r="C763" s="105"/>
      <c r="D763" s="104"/>
      <c r="F763" s="106"/>
      <c r="G763" s="104"/>
      <c r="H763" s="106"/>
      <c r="I763" s="106"/>
      <c r="J763" s="101" t="str">
        <f t="shared" ca="1" si="11"/>
        <v/>
      </c>
    </row>
    <row r="764" spans="1:10">
      <c r="A764" s="103"/>
      <c r="B764" s="104"/>
      <c r="C764" s="105"/>
      <c r="D764" s="104"/>
      <c r="F764" s="106"/>
      <c r="G764" s="104"/>
      <c r="H764" s="106"/>
      <c r="I764" s="106"/>
      <c r="J764" s="101" t="str">
        <f t="shared" ca="1" si="11"/>
        <v/>
      </c>
    </row>
    <row r="765" spans="1:10">
      <c r="A765" s="103"/>
      <c r="B765" s="104"/>
      <c r="C765" s="105"/>
      <c r="D765" s="104"/>
      <c r="F765" s="106"/>
      <c r="G765" s="104"/>
      <c r="H765" s="106"/>
      <c r="I765" s="106"/>
      <c r="J765" s="101" t="str">
        <f t="shared" ca="1" si="11"/>
        <v/>
      </c>
    </row>
    <row r="766" spans="1:10">
      <c r="A766" s="103"/>
      <c r="B766" s="104"/>
      <c r="C766" s="105"/>
      <c r="D766" s="104"/>
      <c r="F766" s="106"/>
      <c r="G766" s="104"/>
      <c r="H766" s="106"/>
      <c r="I766" s="106"/>
      <c r="J766" s="101" t="str">
        <f t="shared" ca="1" si="11"/>
        <v/>
      </c>
    </row>
    <row r="767" spans="1:10">
      <c r="A767" s="103"/>
      <c r="B767" s="104"/>
      <c r="C767" s="105"/>
      <c r="D767" s="104"/>
      <c r="F767" s="106"/>
      <c r="G767" s="104"/>
      <c r="H767" s="106"/>
      <c r="I767" s="106"/>
      <c r="J767" s="101" t="str">
        <f t="shared" ca="1" si="11"/>
        <v/>
      </c>
    </row>
    <row r="768" spans="1:10">
      <c r="A768" s="103"/>
      <c r="B768" s="104"/>
      <c r="C768" s="105"/>
      <c r="D768" s="104"/>
      <c r="F768" s="106"/>
      <c r="G768" s="104"/>
      <c r="H768" s="106"/>
      <c r="I768" s="106"/>
      <c r="J768" s="101" t="str">
        <f t="shared" ca="1" si="11"/>
        <v/>
      </c>
    </row>
    <row r="769" spans="1:10">
      <c r="A769" s="103"/>
      <c r="B769" s="104"/>
      <c r="C769" s="105"/>
      <c r="D769" s="104"/>
      <c r="F769" s="106"/>
      <c r="G769" s="104"/>
      <c r="H769" s="106"/>
      <c r="I769" s="106"/>
      <c r="J769" s="101" t="str">
        <f t="shared" ca="1" si="11"/>
        <v/>
      </c>
    </row>
    <row r="770" spans="1:10">
      <c r="A770" s="103"/>
      <c r="B770" s="104"/>
      <c r="C770" s="105"/>
      <c r="D770" s="104"/>
      <c r="F770" s="106"/>
      <c r="G770" s="104"/>
      <c r="H770" s="106"/>
      <c r="I770" s="106"/>
      <c r="J770" s="101" t="str">
        <f t="shared" ca="1" si="11"/>
        <v/>
      </c>
    </row>
    <row r="771" spans="1:10">
      <c r="A771" s="103"/>
      <c r="B771" s="104"/>
      <c r="C771" s="105"/>
      <c r="D771" s="104"/>
      <c r="F771" s="106"/>
      <c r="G771" s="104"/>
      <c r="H771" s="106"/>
      <c r="I771" s="106"/>
      <c r="J771" s="101" t="str">
        <f t="shared" ref="J771:J834" ca="1" si="12">_xlfn.LET(
    _xlpm.AllCellsFilled, COUNTA(A771:I771) = 9,
    _xlpm.QtyIsInt, AND(ISNUMBER(G771), G771=INT(G771)),
    _xlpm.AvailDateIsValid, AND(ISNUMBER(F771), F771&gt;=TODAY()),
    _xlpm.ReqDateIsValid, AND(ISNUMBER(H771), H771&gt;=TODAY()),
    _xlpm.EmailIsValid, RIGHT(I771,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IF(A771="", "", IF(_xlpm.error_messages = "", "Yes", _xlpm.error_messages))
)</f>
        <v/>
      </c>
    </row>
    <row r="772" spans="1:10">
      <c r="A772" s="103"/>
      <c r="B772" s="104"/>
      <c r="C772" s="105"/>
      <c r="D772" s="104"/>
      <c r="F772" s="106"/>
      <c r="G772" s="104"/>
      <c r="H772" s="106"/>
      <c r="I772" s="106"/>
      <c r="J772" s="101" t="str">
        <f t="shared" ca="1" si="12"/>
        <v/>
      </c>
    </row>
    <row r="773" spans="1:10">
      <c r="A773" s="103"/>
      <c r="B773" s="104"/>
      <c r="C773" s="105"/>
      <c r="D773" s="104"/>
      <c r="F773" s="106"/>
      <c r="G773" s="104"/>
      <c r="H773" s="106"/>
      <c r="I773" s="106"/>
      <c r="J773" s="101" t="str">
        <f t="shared" ca="1" si="12"/>
        <v/>
      </c>
    </row>
    <row r="774" spans="1:10">
      <c r="A774" s="103"/>
      <c r="B774" s="104"/>
      <c r="C774" s="105"/>
      <c r="D774" s="104"/>
      <c r="F774" s="106"/>
      <c r="G774" s="104"/>
      <c r="H774" s="106"/>
      <c r="I774" s="106"/>
      <c r="J774" s="101" t="str">
        <f t="shared" ca="1" si="12"/>
        <v/>
      </c>
    </row>
    <row r="775" spans="1:10">
      <c r="A775" s="103"/>
      <c r="B775" s="104"/>
      <c r="C775" s="105"/>
      <c r="D775" s="104"/>
      <c r="F775" s="106"/>
      <c r="G775" s="104"/>
      <c r="H775" s="106"/>
      <c r="I775" s="106"/>
      <c r="J775" s="101" t="str">
        <f t="shared" ca="1" si="12"/>
        <v/>
      </c>
    </row>
    <row r="776" spans="1:10">
      <c r="A776" s="103"/>
      <c r="B776" s="104"/>
      <c r="C776" s="105"/>
      <c r="D776" s="104"/>
      <c r="F776" s="106"/>
      <c r="G776" s="104"/>
      <c r="H776" s="106"/>
      <c r="I776" s="106"/>
      <c r="J776" s="101" t="str">
        <f t="shared" ca="1" si="12"/>
        <v/>
      </c>
    </row>
    <row r="777" spans="1:10">
      <c r="A777" s="103"/>
      <c r="B777" s="104"/>
      <c r="C777" s="105"/>
      <c r="D777" s="104"/>
      <c r="F777" s="106"/>
      <c r="G777" s="104"/>
      <c r="H777" s="106"/>
      <c r="I777" s="106"/>
      <c r="J777" s="101" t="str">
        <f t="shared" ca="1" si="12"/>
        <v/>
      </c>
    </row>
    <row r="778" spans="1:10">
      <c r="A778" s="103"/>
      <c r="B778" s="104"/>
      <c r="C778" s="105"/>
      <c r="D778" s="104"/>
      <c r="F778" s="106"/>
      <c r="G778" s="104"/>
      <c r="H778" s="106"/>
      <c r="I778" s="106"/>
      <c r="J778" s="101" t="str">
        <f t="shared" ca="1" si="12"/>
        <v/>
      </c>
    </row>
    <row r="779" spans="1:10">
      <c r="A779" s="103"/>
      <c r="B779" s="104"/>
      <c r="C779" s="105"/>
      <c r="D779" s="104"/>
      <c r="F779" s="106"/>
      <c r="G779" s="104"/>
      <c r="H779" s="106"/>
      <c r="I779" s="106"/>
      <c r="J779" s="101" t="str">
        <f t="shared" ca="1" si="12"/>
        <v/>
      </c>
    </row>
    <row r="780" spans="1:10">
      <c r="A780" s="103"/>
      <c r="B780" s="104"/>
      <c r="C780" s="105"/>
      <c r="D780" s="104"/>
      <c r="F780" s="106"/>
      <c r="G780" s="104"/>
      <c r="H780" s="106"/>
      <c r="I780" s="106"/>
      <c r="J780" s="101" t="str">
        <f t="shared" ca="1" si="12"/>
        <v/>
      </c>
    </row>
    <row r="781" spans="1:10">
      <c r="A781" s="103"/>
      <c r="B781" s="104"/>
      <c r="C781" s="105"/>
      <c r="D781" s="104"/>
      <c r="F781" s="106"/>
      <c r="G781" s="104"/>
      <c r="H781" s="106"/>
      <c r="I781" s="106"/>
      <c r="J781" s="101" t="str">
        <f t="shared" ca="1" si="12"/>
        <v/>
      </c>
    </row>
    <row r="782" spans="1:10">
      <c r="A782" s="103"/>
      <c r="B782" s="104"/>
      <c r="C782" s="105"/>
      <c r="D782" s="104"/>
      <c r="F782" s="106"/>
      <c r="G782" s="104"/>
      <c r="H782" s="106"/>
      <c r="I782" s="106"/>
      <c r="J782" s="101" t="str">
        <f t="shared" ca="1" si="12"/>
        <v/>
      </c>
    </row>
    <row r="783" spans="1:10">
      <c r="A783" s="103"/>
      <c r="B783" s="104"/>
      <c r="C783" s="105"/>
      <c r="D783" s="104"/>
      <c r="F783" s="106"/>
      <c r="G783" s="104"/>
      <c r="H783" s="106"/>
      <c r="I783" s="106"/>
      <c r="J783" s="101" t="str">
        <f t="shared" ca="1" si="12"/>
        <v/>
      </c>
    </row>
    <row r="784" spans="1:10">
      <c r="A784" s="103"/>
      <c r="B784" s="104"/>
      <c r="C784" s="105"/>
      <c r="D784" s="104"/>
      <c r="F784" s="106"/>
      <c r="G784" s="104"/>
      <c r="H784" s="106"/>
      <c r="I784" s="106"/>
      <c r="J784" s="101" t="str">
        <f t="shared" ca="1" si="12"/>
        <v/>
      </c>
    </row>
    <row r="785" spans="1:10">
      <c r="A785" s="103"/>
      <c r="B785" s="104"/>
      <c r="C785" s="105"/>
      <c r="D785" s="104"/>
      <c r="F785" s="106"/>
      <c r="G785" s="104"/>
      <c r="H785" s="106"/>
      <c r="I785" s="106"/>
      <c r="J785" s="101" t="str">
        <f t="shared" ca="1" si="12"/>
        <v/>
      </c>
    </row>
    <row r="786" spans="1:10">
      <c r="A786" s="103"/>
      <c r="B786" s="104"/>
      <c r="C786" s="105"/>
      <c r="D786" s="104"/>
      <c r="F786" s="106"/>
      <c r="G786" s="104"/>
      <c r="H786" s="106"/>
      <c r="I786" s="106"/>
      <c r="J786" s="101" t="str">
        <f t="shared" ca="1" si="12"/>
        <v/>
      </c>
    </row>
    <row r="787" spans="1:10">
      <c r="A787" s="103"/>
      <c r="B787" s="104"/>
      <c r="C787" s="105"/>
      <c r="D787" s="104"/>
      <c r="F787" s="106"/>
      <c r="G787" s="104"/>
      <c r="H787" s="106"/>
      <c r="I787" s="106"/>
      <c r="J787" s="101" t="str">
        <f t="shared" ca="1" si="12"/>
        <v/>
      </c>
    </row>
    <row r="788" spans="1:10">
      <c r="A788" s="103"/>
      <c r="B788" s="104"/>
      <c r="C788" s="105"/>
      <c r="D788" s="104"/>
      <c r="F788" s="106"/>
      <c r="G788" s="104"/>
      <c r="H788" s="106"/>
      <c r="I788" s="106"/>
      <c r="J788" s="101" t="str">
        <f t="shared" ca="1" si="12"/>
        <v/>
      </c>
    </row>
    <row r="789" spans="1:10">
      <c r="A789" s="103"/>
      <c r="B789" s="104"/>
      <c r="C789" s="105"/>
      <c r="D789" s="104"/>
      <c r="F789" s="106"/>
      <c r="G789" s="104"/>
      <c r="H789" s="106"/>
      <c r="I789" s="106"/>
      <c r="J789" s="101" t="str">
        <f t="shared" ca="1" si="12"/>
        <v/>
      </c>
    </row>
    <row r="790" spans="1:10">
      <c r="A790" s="103"/>
      <c r="B790" s="104"/>
      <c r="C790" s="105"/>
      <c r="D790" s="104"/>
      <c r="F790" s="106"/>
      <c r="G790" s="104"/>
      <c r="H790" s="106"/>
      <c r="I790" s="106"/>
      <c r="J790" s="101" t="str">
        <f t="shared" ca="1" si="12"/>
        <v/>
      </c>
    </row>
    <row r="791" spans="1:10">
      <c r="A791" s="103"/>
      <c r="B791" s="104"/>
      <c r="C791" s="105"/>
      <c r="D791" s="104"/>
      <c r="F791" s="106"/>
      <c r="G791" s="104"/>
      <c r="H791" s="106"/>
      <c r="I791" s="106"/>
      <c r="J791" s="101" t="str">
        <f t="shared" ca="1" si="12"/>
        <v/>
      </c>
    </row>
    <row r="792" spans="1:10">
      <c r="A792" s="103"/>
      <c r="B792" s="104"/>
      <c r="C792" s="105"/>
      <c r="D792" s="104"/>
      <c r="F792" s="106"/>
      <c r="G792" s="104"/>
      <c r="H792" s="106"/>
      <c r="I792" s="106"/>
      <c r="J792" s="101" t="str">
        <f t="shared" ca="1" si="12"/>
        <v/>
      </c>
    </row>
    <row r="793" spans="1:10">
      <c r="A793" s="103"/>
      <c r="B793" s="104"/>
      <c r="C793" s="105"/>
      <c r="D793" s="104"/>
      <c r="F793" s="106"/>
      <c r="G793" s="104"/>
      <c r="H793" s="106"/>
      <c r="I793" s="106"/>
      <c r="J793" s="101" t="str">
        <f t="shared" ca="1" si="12"/>
        <v/>
      </c>
    </row>
    <row r="794" spans="1:10">
      <c r="A794" s="103"/>
      <c r="B794" s="104"/>
      <c r="C794" s="105"/>
      <c r="D794" s="104"/>
      <c r="F794" s="106"/>
      <c r="G794" s="104"/>
      <c r="H794" s="106"/>
      <c r="I794" s="106"/>
      <c r="J794" s="101" t="str">
        <f t="shared" ca="1" si="12"/>
        <v/>
      </c>
    </row>
    <row r="795" spans="1:10">
      <c r="A795" s="103"/>
      <c r="B795" s="104"/>
      <c r="C795" s="105"/>
      <c r="D795" s="104"/>
      <c r="F795" s="106"/>
      <c r="G795" s="104"/>
      <c r="H795" s="106"/>
      <c r="I795" s="106"/>
      <c r="J795" s="101" t="str">
        <f t="shared" ca="1" si="12"/>
        <v/>
      </c>
    </row>
    <row r="796" spans="1:10">
      <c r="A796" s="103"/>
      <c r="B796" s="104"/>
      <c r="C796" s="105"/>
      <c r="D796" s="104"/>
      <c r="F796" s="106"/>
      <c r="G796" s="104"/>
      <c r="H796" s="106"/>
      <c r="I796" s="106"/>
      <c r="J796" s="101" t="str">
        <f t="shared" ca="1" si="12"/>
        <v/>
      </c>
    </row>
    <row r="797" spans="1:10">
      <c r="A797" s="103"/>
      <c r="B797" s="104"/>
      <c r="C797" s="105"/>
      <c r="D797" s="104"/>
      <c r="F797" s="106"/>
      <c r="G797" s="104"/>
      <c r="H797" s="106"/>
      <c r="I797" s="106"/>
      <c r="J797" s="101" t="str">
        <f t="shared" ca="1" si="12"/>
        <v/>
      </c>
    </row>
    <row r="798" spans="1:10">
      <c r="A798" s="103"/>
      <c r="B798" s="104"/>
      <c r="C798" s="105"/>
      <c r="D798" s="104"/>
      <c r="F798" s="106"/>
      <c r="G798" s="104"/>
      <c r="H798" s="106"/>
      <c r="I798" s="106"/>
      <c r="J798" s="101" t="str">
        <f t="shared" ca="1" si="12"/>
        <v/>
      </c>
    </row>
    <row r="799" spans="1:10">
      <c r="A799" s="103"/>
      <c r="B799" s="104"/>
      <c r="C799" s="105"/>
      <c r="D799" s="104"/>
      <c r="F799" s="106"/>
      <c r="G799" s="104"/>
      <c r="H799" s="106"/>
      <c r="I799" s="106"/>
      <c r="J799" s="101" t="str">
        <f t="shared" ca="1" si="12"/>
        <v/>
      </c>
    </row>
    <row r="800" spans="1:10">
      <c r="A800" s="103"/>
      <c r="B800" s="104"/>
      <c r="C800" s="105"/>
      <c r="D800" s="104"/>
      <c r="F800" s="106"/>
      <c r="G800" s="104"/>
      <c r="H800" s="106"/>
      <c r="I800" s="106"/>
      <c r="J800" s="101" t="str">
        <f t="shared" ca="1" si="12"/>
        <v/>
      </c>
    </row>
    <row r="801" spans="1:10">
      <c r="A801" s="103"/>
      <c r="B801" s="104"/>
      <c r="C801" s="105"/>
      <c r="D801" s="104"/>
      <c r="F801" s="106"/>
      <c r="G801" s="104"/>
      <c r="H801" s="106"/>
      <c r="I801" s="106"/>
      <c r="J801" s="101" t="str">
        <f t="shared" ca="1" si="12"/>
        <v/>
      </c>
    </row>
    <row r="802" spans="1:10">
      <c r="A802" s="103"/>
      <c r="B802" s="104"/>
      <c r="C802" s="105"/>
      <c r="D802" s="104"/>
      <c r="F802" s="106"/>
      <c r="G802" s="104"/>
      <c r="H802" s="106"/>
      <c r="I802" s="106"/>
      <c r="J802" s="101" t="str">
        <f t="shared" ca="1" si="12"/>
        <v/>
      </c>
    </row>
    <row r="803" spans="1:10">
      <c r="A803" s="103"/>
      <c r="B803" s="104"/>
      <c r="C803" s="105"/>
      <c r="D803" s="104"/>
      <c r="F803" s="106"/>
      <c r="G803" s="104"/>
      <c r="H803" s="106"/>
      <c r="I803" s="106"/>
      <c r="J803" s="101" t="str">
        <f t="shared" ca="1" si="12"/>
        <v/>
      </c>
    </row>
    <row r="804" spans="1:10">
      <c r="A804" s="103"/>
      <c r="B804" s="104"/>
      <c r="C804" s="105"/>
      <c r="D804" s="104"/>
      <c r="F804" s="106"/>
      <c r="G804" s="104"/>
      <c r="H804" s="106"/>
      <c r="I804" s="106"/>
      <c r="J804" s="101" t="str">
        <f t="shared" ca="1" si="12"/>
        <v/>
      </c>
    </row>
    <row r="805" spans="1:10">
      <c r="A805" s="103"/>
      <c r="B805" s="104"/>
      <c r="C805" s="105"/>
      <c r="D805" s="104"/>
      <c r="F805" s="106"/>
      <c r="G805" s="104"/>
      <c r="H805" s="106"/>
      <c r="I805" s="106"/>
      <c r="J805" s="101" t="str">
        <f t="shared" ca="1" si="12"/>
        <v/>
      </c>
    </row>
    <row r="806" spans="1:10">
      <c r="A806" s="103"/>
      <c r="B806" s="104"/>
      <c r="C806" s="105"/>
      <c r="D806" s="104"/>
      <c r="F806" s="106"/>
      <c r="G806" s="104"/>
      <c r="H806" s="106"/>
      <c r="I806" s="106"/>
      <c r="J806" s="101" t="str">
        <f t="shared" ca="1" si="12"/>
        <v/>
      </c>
    </row>
    <row r="807" spans="1:10">
      <c r="A807" s="103"/>
      <c r="B807" s="104"/>
      <c r="C807" s="105"/>
      <c r="D807" s="104"/>
      <c r="F807" s="106"/>
      <c r="G807" s="104"/>
      <c r="H807" s="106"/>
      <c r="I807" s="106"/>
      <c r="J807" s="101" t="str">
        <f t="shared" ca="1" si="12"/>
        <v/>
      </c>
    </row>
    <row r="808" spans="1:10">
      <c r="A808" s="103"/>
      <c r="B808" s="104"/>
      <c r="C808" s="105"/>
      <c r="D808" s="104"/>
      <c r="F808" s="106"/>
      <c r="G808" s="104"/>
      <c r="H808" s="106"/>
      <c r="I808" s="106"/>
      <c r="J808" s="101" t="str">
        <f t="shared" ca="1" si="12"/>
        <v/>
      </c>
    </row>
    <row r="809" spans="1:10">
      <c r="A809" s="103"/>
      <c r="B809" s="104"/>
      <c r="C809" s="105"/>
      <c r="D809" s="104"/>
      <c r="F809" s="106"/>
      <c r="G809" s="104"/>
      <c r="H809" s="106"/>
      <c r="I809" s="106"/>
      <c r="J809" s="101" t="str">
        <f t="shared" ca="1" si="12"/>
        <v/>
      </c>
    </row>
    <row r="810" spans="1:10">
      <c r="A810" s="103"/>
      <c r="B810" s="104"/>
      <c r="C810" s="105"/>
      <c r="D810" s="104"/>
      <c r="F810" s="106"/>
      <c r="G810" s="104"/>
      <c r="H810" s="106"/>
      <c r="I810" s="106"/>
      <c r="J810" s="101" t="str">
        <f t="shared" ca="1" si="12"/>
        <v/>
      </c>
    </row>
    <row r="811" spans="1:10">
      <c r="A811" s="103"/>
      <c r="B811" s="104"/>
      <c r="C811" s="105"/>
      <c r="D811" s="104"/>
      <c r="F811" s="106"/>
      <c r="G811" s="104"/>
      <c r="H811" s="106"/>
      <c r="I811" s="106"/>
      <c r="J811" s="101" t="str">
        <f t="shared" ca="1" si="12"/>
        <v/>
      </c>
    </row>
    <row r="812" spans="1:10">
      <c r="A812" s="103"/>
      <c r="B812" s="104"/>
      <c r="C812" s="105"/>
      <c r="D812" s="104"/>
      <c r="F812" s="106"/>
      <c r="G812" s="104"/>
      <c r="H812" s="106"/>
      <c r="I812" s="106"/>
      <c r="J812" s="101" t="str">
        <f t="shared" ca="1" si="12"/>
        <v/>
      </c>
    </row>
    <row r="813" spans="1:10">
      <c r="A813" s="103"/>
      <c r="B813" s="104"/>
      <c r="C813" s="105"/>
      <c r="D813" s="104"/>
      <c r="F813" s="106"/>
      <c r="G813" s="104"/>
      <c r="H813" s="106"/>
      <c r="I813" s="106"/>
      <c r="J813" s="101" t="str">
        <f t="shared" ca="1" si="12"/>
        <v/>
      </c>
    </row>
    <row r="814" spans="1:10">
      <c r="A814" s="103"/>
      <c r="B814" s="104"/>
      <c r="C814" s="105"/>
      <c r="D814" s="104"/>
      <c r="F814" s="106"/>
      <c r="G814" s="104"/>
      <c r="H814" s="106"/>
      <c r="I814" s="106"/>
      <c r="J814" s="101" t="str">
        <f t="shared" ca="1" si="12"/>
        <v/>
      </c>
    </row>
    <row r="815" spans="1:10">
      <c r="A815" s="103"/>
      <c r="B815" s="104"/>
      <c r="C815" s="105"/>
      <c r="D815" s="104"/>
      <c r="F815" s="106"/>
      <c r="G815" s="104"/>
      <c r="H815" s="106"/>
      <c r="I815" s="106"/>
      <c r="J815" s="101" t="str">
        <f t="shared" ca="1" si="12"/>
        <v/>
      </c>
    </row>
    <row r="816" spans="1:10">
      <c r="A816" s="103"/>
      <c r="B816" s="104"/>
      <c r="C816" s="105"/>
      <c r="D816" s="104"/>
      <c r="F816" s="106"/>
      <c r="G816" s="104"/>
      <c r="H816" s="106"/>
      <c r="I816" s="106"/>
      <c r="J816" s="101" t="str">
        <f t="shared" ca="1" si="12"/>
        <v/>
      </c>
    </row>
    <row r="817" spans="1:10">
      <c r="A817" s="103"/>
      <c r="B817" s="104"/>
      <c r="C817" s="105"/>
      <c r="D817" s="104"/>
      <c r="F817" s="106"/>
      <c r="G817" s="104"/>
      <c r="H817" s="106"/>
      <c r="I817" s="106"/>
      <c r="J817" s="101" t="str">
        <f t="shared" ca="1" si="12"/>
        <v/>
      </c>
    </row>
    <row r="818" spans="1:10">
      <c r="A818" s="103"/>
      <c r="B818" s="104"/>
      <c r="C818" s="105"/>
      <c r="D818" s="104"/>
      <c r="F818" s="106"/>
      <c r="G818" s="104"/>
      <c r="H818" s="106"/>
      <c r="I818" s="106"/>
      <c r="J818" s="101" t="str">
        <f t="shared" ca="1" si="12"/>
        <v/>
      </c>
    </row>
    <row r="819" spans="1:10">
      <c r="A819" s="103"/>
      <c r="B819" s="104"/>
      <c r="C819" s="105"/>
      <c r="D819" s="104"/>
      <c r="F819" s="106"/>
      <c r="G819" s="104"/>
      <c r="H819" s="106"/>
      <c r="I819" s="106"/>
      <c r="J819" s="101" t="str">
        <f t="shared" ca="1" si="12"/>
        <v/>
      </c>
    </row>
    <row r="820" spans="1:10">
      <c r="A820" s="103"/>
      <c r="B820" s="104"/>
      <c r="C820" s="105"/>
      <c r="D820" s="104"/>
      <c r="F820" s="106"/>
      <c r="G820" s="104"/>
      <c r="H820" s="106"/>
      <c r="I820" s="106"/>
      <c r="J820" s="101" t="str">
        <f t="shared" ca="1" si="12"/>
        <v/>
      </c>
    </row>
    <row r="821" spans="1:10">
      <c r="A821" s="103"/>
      <c r="B821" s="104"/>
      <c r="C821" s="105"/>
      <c r="D821" s="104"/>
      <c r="F821" s="106"/>
      <c r="G821" s="104"/>
      <c r="H821" s="106"/>
      <c r="I821" s="106"/>
      <c r="J821" s="101" t="str">
        <f t="shared" ca="1" si="12"/>
        <v/>
      </c>
    </row>
    <row r="822" spans="1:10">
      <c r="A822" s="103"/>
      <c r="B822" s="104"/>
      <c r="C822" s="105"/>
      <c r="D822" s="104"/>
      <c r="F822" s="106"/>
      <c r="G822" s="104"/>
      <c r="H822" s="106"/>
      <c r="I822" s="106"/>
      <c r="J822" s="101" t="str">
        <f t="shared" ca="1" si="12"/>
        <v/>
      </c>
    </row>
    <row r="823" spans="1:10">
      <c r="A823" s="103"/>
      <c r="B823" s="104"/>
      <c r="C823" s="105"/>
      <c r="D823" s="104"/>
      <c r="F823" s="106"/>
      <c r="G823" s="104"/>
      <c r="H823" s="106"/>
      <c r="I823" s="106"/>
      <c r="J823" s="101" t="str">
        <f t="shared" ca="1" si="12"/>
        <v/>
      </c>
    </row>
    <row r="824" spans="1:10">
      <c r="A824" s="103"/>
      <c r="B824" s="104"/>
      <c r="C824" s="105"/>
      <c r="D824" s="104"/>
      <c r="F824" s="106"/>
      <c r="G824" s="104"/>
      <c r="H824" s="106"/>
      <c r="I824" s="106"/>
      <c r="J824" s="101" t="str">
        <f t="shared" ca="1" si="12"/>
        <v/>
      </c>
    </row>
    <row r="825" spans="1:10">
      <c r="A825" s="103"/>
      <c r="B825" s="104"/>
      <c r="C825" s="105"/>
      <c r="D825" s="104"/>
      <c r="F825" s="106"/>
      <c r="G825" s="104"/>
      <c r="H825" s="106"/>
      <c r="I825" s="106"/>
      <c r="J825" s="101" t="str">
        <f t="shared" ca="1" si="12"/>
        <v/>
      </c>
    </row>
    <row r="826" spans="1:10">
      <c r="A826" s="103"/>
      <c r="B826" s="104"/>
      <c r="C826" s="105"/>
      <c r="D826" s="104"/>
      <c r="F826" s="106"/>
      <c r="G826" s="104"/>
      <c r="H826" s="106"/>
      <c r="I826" s="106"/>
      <c r="J826" s="101" t="str">
        <f t="shared" ca="1" si="12"/>
        <v/>
      </c>
    </row>
    <row r="827" spans="1:10">
      <c r="A827" s="103"/>
      <c r="B827" s="104"/>
      <c r="C827" s="105"/>
      <c r="D827" s="104"/>
      <c r="F827" s="106"/>
      <c r="G827" s="104"/>
      <c r="H827" s="106"/>
      <c r="I827" s="106"/>
      <c r="J827" s="101" t="str">
        <f t="shared" ca="1" si="12"/>
        <v/>
      </c>
    </row>
    <row r="828" spans="1:10">
      <c r="A828" s="103"/>
      <c r="B828" s="104"/>
      <c r="C828" s="105"/>
      <c r="D828" s="104"/>
      <c r="F828" s="106"/>
      <c r="G828" s="104"/>
      <c r="H828" s="106"/>
      <c r="I828" s="106"/>
      <c r="J828" s="101" t="str">
        <f t="shared" ca="1" si="12"/>
        <v/>
      </c>
    </row>
    <row r="829" spans="1:10">
      <c r="A829" s="103"/>
      <c r="B829" s="104"/>
      <c r="C829" s="105"/>
      <c r="D829" s="104"/>
      <c r="F829" s="106"/>
      <c r="G829" s="104"/>
      <c r="H829" s="106"/>
      <c r="I829" s="106"/>
      <c r="J829" s="101" t="str">
        <f t="shared" ca="1" si="12"/>
        <v/>
      </c>
    </row>
    <row r="830" spans="1:10">
      <c r="A830" s="103"/>
      <c r="B830" s="104"/>
      <c r="C830" s="105"/>
      <c r="D830" s="104"/>
      <c r="F830" s="106"/>
      <c r="G830" s="104"/>
      <c r="H830" s="106"/>
      <c r="I830" s="106"/>
      <c r="J830" s="101" t="str">
        <f t="shared" ca="1" si="12"/>
        <v/>
      </c>
    </row>
    <row r="831" spans="1:10">
      <c r="A831" s="103"/>
      <c r="B831" s="104"/>
      <c r="C831" s="105"/>
      <c r="D831" s="104"/>
      <c r="F831" s="106"/>
      <c r="G831" s="104"/>
      <c r="H831" s="106"/>
      <c r="I831" s="106"/>
      <c r="J831" s="101" t="str">
        <f t="shared" ca="1" si="12"/>
        <v/>
      </c>
    </row>
    <row r="832" spans="1:10">
      <c r="A832" s="103"/>
      <c r="B832" s="104"/>
      <c r="C832" s="105"/>
      <c r="D832" s="104"/>
      <c r="F832" s="106"/>
      <c r="G832" s="104"/>
      <c r="H832" s="106"/>
      <c r="I832" s="106"/>
      <c r="J832" s="101" t="str">
        <f t="shared" ca="1" si="12"/>
        <v/>
      </c>
    </row>
    <row r="833" spans="1:10">
      <c r="A833" s="103"/>
      <c r="B833" s="104"/>
      <c r="C833" s="105"/>
      <c r="D833" s="104"/>
      <c r="F833" s="106"/>
      <c r="G833" s="104"/>
      <c r="H833" s="106"/>
      <c r="I833" s="106"/>
      <c r="J833" s="101" t="str">
        <f t="shared" ca="1" si="12"/>
        <v/>
      </c>
    </row>
    <row r="834" spans="1:10">
      <c r="A834" s="103"/>
      <c r="B834" s="104"/>
      <c r="C834" s="105"/>
      <c r="D834" s="104"/>
      <c r="F834" s="106"/>
      <c r="G834" s="104"/>
      <c r="H834" s="106"/>
      <c r="I834" s="106"/>
      <c r="J834" s="101" t="str">
        <f t="shared" ca="1" si="12"/>
        <v/>
      </c>
    </row>
    <row r="835" spans="1:10">
      <c r="A835" s="103"/>
      <c r="B835" s="104"/>
      <c r="C835" s="105"/>
      <c r="D835" s="104"/>
      <c r="F835" s="106"/>
      <c r="G835" s="104"/>
      <c r="H835" s="106"/>
      <c r="I835" s="106"/>
      <c r="J835" s="101" t="str">
        <f t="shared" ref="J835:J898" ca="1" si="13">_xlfn.LET(
    _xlpm.AllCellsFilled, COUNTA(A835:I835) = 9,
    _xlpm.QtyIsInt, AND(ISNUMBER(G835), G835=INT(G835)),
    _xlpm.AvailDateIsValid, AND(ISNUMBER(F835), F835&gt;=TODAY()),
    _xlpm.ReqDateIsValid, AND(ISNUMBER(H835), H835&gt;=TODAY()),
    _xlpm.EmailIsValid, RIGHT(I835,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IF(A835="", "", IF(_xlpm.error_messages = "", "Yes", _xlpm.error_messages))
)</f>
        <v/>
      </c>
    </row>
    <row r="836" spans="1:10">
      <c r="A836" s="103"/>
      <c r="B836" s="104"/>
      <c r="C836" s="105"/>
      <c r="D836" s="104"/>
      <c r="F836" s="106"/>
      <c r="G836" s="104"/>
      <c r="H836" s="106"/>
      <c r="I836" s="106"/>
      <c r="J836" s="101" t="str">
        <f t="shared" ca="1" si="13"/>
        <v/>
      </c>
    </row>
    <row r="837" spans="1:10">
      <c r="A837" s="103"/>
      <c r="B837" s="104"/>
      <c r="C837" s="105"/>
      <c r="D837" s="104"/>
      <c r="F837" s="106"/>
      <c r="G837" s="104"/>
      <c r="H837" s="106"/>
      <c r="I837" s="106"/>
      <c r="J837" s="101" t="str">
        <f t="shared" ca="1" si="13"/>
        <v/>
      </c>
    </row>
    <row r="838" spans="1:10">
      <c r="A838" s="103"/>
      <c r="B838" s="104"/>
      <c r="C838" s="105"/>
      <c r="D838" s="104"/>
      <c r="F838" s="106"/>
      <c r="G838" s="104"/>
      <c r="H838" s="106"/>
      <c r="I838" s="106"/>
      <c r="J838" s="101" t="str">
        <f t="shared" ca="1" si="13"/>
        <v/>
      </c>
    </row>
    <row r="839" spans="1:10">
      <c r="A839" s="103"/>
      <c r="B839" s="104"/>
      <c r="C839" s="105"/>
      <c r="D839" s="104"/>
      <c r="F839" s="106"/>
      <c r="G839" s="104"/>
      <c r="H839" s="106"/>
      <c r="I839" s="106"/>
      <c r="J839" s="101" t="str">
        <f t="shared" ca="1" si="13"/>
        <v/>
      </c>
    </row>
    <row r="840" spans="1:10">
      <c r="A840" s="103"/>
      <c r="B840" s="104"/>
      <c r="C840" s="105"/>
      <c r="D840" s="104"/>
      <c r="F840" s="106"/>
      <c r="G840" s="104"/>
      <c r="H840" s="106"/>
      <c r="I840" s="106"/>
      <c r="J840" s="101" t="str">
        <f t="shared" ca="1" si="13"/>
        <v/>
      </c>
    </row>
    <row r="841" spans="1:10">
      <c r="A841" s="103"/>
      <c r="B841" s="104"/>
      <c r="C841" s="105"/>
      <c r="D841" s="104"/>
      <c r="F841" s="106"/>
      <c r="G841" s="104"/>
      <c r="H841" s="106"/>
      <c r="I841" s="106"/>
      <c r="J841" s="101" t="str">
        <f t="shared" ca="1" si="13"/>
        <v/>
      </c>
    </row>
    <row r="842" spans="1:10">
      <c r="A842" s="103"/>
      <c r="B842" s="104"/>
      <c r="C842" s="105"/>
      <c r="D842" s="104"/>
      <c r="F842" s="106"/>
      <c r="G842" s="104"/>
      <c r="H842" s="106"/>
      <c r="I842" s="106"/>
      <c r="J842" s="101" t="str">
        <f t="shared" ca="1" si="13"/>
        <v/>
      </c>
    </row>
    <row r="843" spans="1:10">
      <c r="A843" s="103"/>
      <c r="B843" s="104"/>
      <c r="C843" s="105"/>
      <c r="D843" s="104"/>
      <c r="F843" s="106"/>
      <c r="G843" s="104"/>
      <c r="H843" s="106"/>
      <c r="I843" s="106"/>
      <c r="J843" s="101" t="str">
        <f t="shared" ca="1" si="13"/>
        <v/>
      </c>
    </row>
    <row r="844" spans="1:10">
      <c r="A844" s="103"/>
      <c r="B844" s="104"/>
      <c r="C844" s="105"/>
      <c r="D844" s="104"/>
      <c r="F844" s="106"/>
      <c r="G844" s="104"/>
      <c r="H844" s="106"/>
      <c r="I844" s="106"/>
      <c r="J844" s="101" t="str">
        <f t="shared" ca="1" si="13"/>
        <v/>
      </c>
    </row>
    <row r="845" spans="1:10">
      <c r="A845" s="103"/>
      <c r="B845" s="104"/>
      <c r="C845" s="105"/>
      <c r="D845" s="104"/>
      <c r="F845" s="106"/>
      <c r="G845" s="104"/>
      <c r="H845" s="106"/>
      <c r="I845" s="106"/>
      <c r="J845" s="101" t="str">
        <f t="shared" ca="1" si="13"/>
        <v/>
      </c>
    </row>
    <row r="846" spans="1:10">
      <c r="A846" s="103"/>
      <c r="B846" s="104"/>
      <c r="C846" s="105"/>
      <c r="D846" s="104"/>
      <c r="F846" s="106"/>
      <c r="G846" s="104"/>
      <c r="H846" s="106"/>
      <c r="I846" s="106"/>
      <c r="J846" s="101" t="str">
        <f t="shared" ca="1" si="13"/>
        <v/>
      </c>
    </row>
    <row r="847" spans="1:10">
      <c r="A847" s="103"/>
      <c r="B847" s="104"/>
      <c r="C847" s="105"/>
      <c r="D847" s="104"/>
      <c r="F847" s="106"/>
      <c r="G847" s="104"/>
      <c r="H847" s="106"/>
      <c r="I847" s="106"/>
      <c r="J847" s="101" t="str">
        <f t="shared" ca="1" si="13"/>
        <v/>
      </c>
    </row>
    <row r="848" spans="1:10">
      <c r="A848" s="103"/>
      <c r="B848" s="104"/>
      <c r="C848" s="105"/>
      <c r="D848" s="104"/>
      <c r="F848" s="106"/>
      <c r="G848" s="104"/>
      <c r="H848" s="106"/>
      <c r="I848" s="106"/>
      <c r="J848" s="101" t="str">
        <f t="shared" ca="1" si="13"/>
        <v/>
      </c>
    </row>
    <row r="849" spans="1:10">
      <c r="A849" s="103"/>
      <c r="B849" s="104"/>
      <c r="C849" s="105"/>
      <c r="D849" s="104"/>
      <c r="F849" s="106"/>
      <c r="G849" s="104"/>
      <c r="H849" s="106"/>
      <c r="I849" s="106"/>
      <c r="J849" s="101" t="str">
        <f t="shared" ca="1" si="13"/>
        <v/>
      </c>
    </row>
    <row r="850" spans="1:10">
      <c r="A850" s="103"/>
      <c r="B850" s="104"/>
      <c r="C850" s="105"/>
      <c r="D850" s="104"/>
      <c r="F850" s="106"/>
      <c r="G850" s="104"/>
      <c r="H850" s="106"/>
      <c r="I850" s="106"/>
      <c r="J850" s="101" t="str">
        <f t="shared" ca="1" si="13"/>
        <v/>
      </c>
    </row>
    <row r="851" spans="1:10">
      <c r="A851" s="103"/>
      <c r="B851" s="104"/>
      <c r="C851" s="105"/>
      <c r="D851" s="104"/>
      <c r="F851" s="106"/>
      <c r="G851" s="104"/>
      <c r="H851" s="106"/>
      <c r="I851" s="106"/>
      <c r="J851" s="101" t="str">
        <f t="shared" ca="1" si="13"/>
        <v/>
      </c>
    </row>
    <row r="852" spans="1:10">
      <c r="A852" s="103"/>
      <c r="B852" s="104"/>
      <c r="C852" s="105"/>
      <c r="D852" s="104"/>
      <c r="F852" s="106"/>
      <c r="G852" s="104"/>
      <c r="H852" s="106"/>
      <c r="I852" s="106"/>
      <c r="J852" s="101" t="str">
        <f t="shared" ca="1" si="13"/>
        <v/>
      </c>
    </row>
    <row r="853" spans="1:10">
      <c r="A853" s="103"/>
      <c r="B853" s="104"/>
      <c r="C853" s="105"/>
      <c r="D853" s="104"/>
      <c r="F853" s="106"/>
      <c r="G853" s="104"/>
      <c r="H853" s="106"/>
      <c r="I853" s="106"/>
      <c r="J853" s="101" t="str">
        <f t="shared" ca="1" si="13"/>
        <v/>
      </c>
    </row>
    <row r="854" spans="1:10">
      <c r="A854" s="103"/>
      <c r="B854" s="104"/>
      <c r="C854" s="105"/>
      <c r="D854" s="104"/>
      <c r="F854" s="106"/>
      <c r="G854" s="104"/>
      <c r="H854" s="106"/>
      <c r="I854" s="106"/>
      <c r="J854" s="101" t="str">
        <f t="shared" ca="1" si="13"/>
        <v/>
      </c>
    </row>
    <row r="855" spans="1:10">
      <c r="A855" s="103"/>
      <c r="B855" s="104"/>
      <c r="C855" s="105"/>
      <c r="D855" s="104"/>
      <c r="F855" s="106"/>
      <c r="G855" s="104"/>
      <c r="H855" s="106"/>
      <c r="I855" s="106"/>
      <c r="J855" s="101" t="str">
        <f t="shared" ca="1" si="13"/>
        <v/>
      </c>
    </row>
    <row r="856" spans="1:10">
      <c r="A856" s="103"/>
      <c r="B856" s="104"/>
      <c r="C856" s="105"/>
      <c r="D856" s="104"/>
      <c r="F856" s="106"/>
      <c r="G856" s="104"/>
      <c r="H856" s="106"/>
      <c r="I856" s="106"/>
      <c r="J856" s="101" t="str">
        <f t="shared" ca="1" si="13"/>
        <v/>
      </c>
    </row>
    <row r="857" spans="1:10">
      <c r="A857" s="103"/>
      <c r="B857" s="104"/>
      <c r="C857" s="105"/>
      <c r="D857" s="104"/>
      <c r="F857" s="106"/>
      <c r="G857" s="104"/>
      <c r="H857" s="106"/>
      <c r="I857" s="106"/>
      <c r="J857" s="101" t="str">
        <f t="shared" ca="1" si="13"/>
        <v/>
      </c>
    </row>
    <row r="858" spans="1:10">
      <c r="A858" s="103"/>
      <c r="B858" s="104"/>
      <c r="C858" s="105"/>
      <c r="D858" s="104"/>
      <c r="F858" s="106"/>
      <c r="G858" s="104"/>
      <c r="H858" s="106"/>
      <c r="I858" s="106"/>
      <c r="J858" s="101" t="str">
        <f t="shared" ca="1" si="13"/>
        <v/>
      </c>
    </row>
    <row r="859" spans="1:10">
      <c r="A859" s="103"/>
      <c r="B859" s="104"/>
      <c r="C859" s="105"/>
      <c r="D859" s="104"/>
      <c r="F859" s="106"/>
      <c r="G859" s="104"/>
      <c r="H859" s="106"/>
      <c r="I859" s="106"/>
      <c r="J859" s="101" t="str">
        <f t="shared" ca="1" si="13"/>
        <v/>
      </c>
    </row>
    <row r="860" spans="1:10">
      <c r="A860" s="103"/>
      <c r="B860" s="104"/>
      <c r="C860" s="105"/>
      <c r="D860" s="104"/>
      <c r="F860" s="106"/>
      <c r="G860" s="104"/>
      <c r="H860" s="106"/>
      <c r="I860" s="106"/>
      <c r="J860" s="101" t="str">
        <f t="shared" ca="1" si="13"/>
        <v/>
      </c>
    </row>
    <row r="861" spans="1:10">
      <c r="A861" s="103"/>
      <c r="B861" s="104"/>
      <c r="C861" s="105"/>
      <c r="D861" s="104"/>
      <c r="F861" s="106"/>
      <c r="G861" s="104"/>
      <c r="H861" s="106"/>
      <c r="I861" s="106"/>
      <c r="J861" s="101" t="str">
        <f t="shared" ca="1" si="13"/>
        <v/>
      </c>
    </row>
    <row r="862" spans="1:10">
      <c r="A862" s="103"/>
      <c r="B862" s="104"/>
      <c r="C862" s="105"/>
      <c r="D862" s="104"/>
      <c r="F862" s="106"/>
      <c r="G862" s="104"/>
      <c r="H862" s="106"/>
      <c r="I862" s="106"/>
      <c r="J862" s="101" t="str">
        <f t="shared" ca="1" si="13"/>
        <v/>
      </c>
    </row>
    <row r="863" spans="1:10">
      <c r="A863" s="103"/>
      <c r="B863" s="104"/>
      <c r="C863" s="105"/>
      <c r="D863" s="104"/>
      <c r="F863" s="106"/>
      <c r="G863" s="104"/>
      <c r="H863" s="106"/>
      <c r="I863" s="106"/>
      <c r="J863" s="101" t="str">
        <f t="shared" ca="1" si="13"/>
        <v/>
      </c>
    </row>
    <row r="864" spans="1:10">
      <c r="A864" s="103"/>
      <c r="B864" s="104"/>
      <c r="C864" s="105"/>
      <c r="D864" s="104"/>
      <c r="F864" s="106"/>
      <c r="G864" s="104"/>
      <c r="H864" s="106"/>
      <c r="I864" s="106"/>
      <c r="J864" s="101" t="str">
        <f t="shared" ca="1" si="13"/>
        <v/>
      </c>
    </row>
    <row r="865" spans="1:10">
      <c r="A865" s="103"/>
      <c r="B865" s="104"/>
      <c r="C865" s="105"/>
      <c r="D865" s="104"/>
      <c r="F865" s="106"/>
      <c r="G865" s="104"/>
      <c r="H865" s="106"/>
      <c r="I865" s="106"/>
      <c r="J865" s="101" t="str">
        <f t="shared" ca="1" si="13"/>
        <v/>
      </c>
    </row>
    <row r="866" spans="1:10">
      <c r="A866" s="103"/>
      <c r="B866" s="104"/>
      <c r="C866" s="105"/>
      <c r="D866" s="104"/>
      <c r="F866" s="106"/>
      <c r="G866" s="104"/>
      <c r="H866" s="106"/>
      <c r="I866" s="106"/>
      <c r="J866" s="101" t="str">
        <f t="shared" ca="1" si="13"/>
        <v/>
      </c>
    </row>
    <row r="867" spans="1:10">
      <c r="A867" s="103"/>
      <c r="B867" s="104"/>
      <c r="C867" s="105"/>
      <c r="D867" s="104"/>
      <c r="F867" s="106"/>
      <c r="G867" s="104"/>
      <c r="H867" s="106"/>
      <c r="I867" s="106"/>
      <c r="J867" s="101" t="str">
        <f t="shared" ca="1" si="13"/>
        <v/>
      </c>
    </row>
    <row r="868" spans="1:10">
      <c r="A868" s="103"/>
      <c r="B868" s="104"/>
      <c r="C868" s="105"/>
      <c r="D868" s="104"/>
      <c r="F868" s="106"/>
      <c r="G868" s="104"/>
      <c r="H868" s="106"/>
      <c r="I868" s="106"/>
      <c r="J868" s="101" t="str">
        <f t="shared" ca="1" si="13"/>
        <v/>
      </c>
    </row>
    <row r="869" spans="1:10">
      <c r="A869" s="103"/>
      <c r="B869" s="104"/>
      <c r="C869" s="105"/>
      <c r="D869" s="104"/>
      <c r="F869" s="106"/>
      <c r="G869" s="104"/>
      <c r="H869" s="106"/>
      <c r="I869" s="106"/>
      <c r="J869" s="101" t="str">
        <f t="shared" ca="1" si="13"/>
        <v/>
      </c>
    </row>
    <row r="870" spans="1:10">
      <c r="A870" s="103"/>
      <c r="B870" s="104"/>
      <c r="C870" s="105"/>
      <c r="D870" s="104"/>
      <c r="F870" s="106"/>
      <c r="G870" s="104"/>
      <c r="H870" s="106"/>
      <c r="I870" s="106"/>
      <c r="J870" s="101" t="str">
        <f t="shared" ca="1" si="13"/>
        <v/>
      </c>
    </row>
    <row r="871" spans="1:10">
      <c r="A871" s="103"/>
      <c r="B871" s="104"/>
      <c r="C871" s="105"/>
      <c r="D871" s="104"/>
      <c r="F871" s="106"/>
      <c r="G871" s="104"/>
      <c r="H871" s="106"/>
      <c r="I871" s="106"/>
      <c r="J871" s="101" t="str">
        <f t="shared" ca="1" si="13"/>
        <v/>
      </c>
    </row>
    <row r="872" spans="1:10">
      <c r="A872" s="103"/>
      <c r="B872" s="104"/>
      <c r="C872" s="105"/>
      <c r="D872" s="104"/>
      <c r="F872" s="106"/>
      <c r="G872" s="104"/>
      <c r="H872" s="106"/>
      <c r="I872" s="106"/>
      <c r="J872" s="101" t="str">
        <f t="shared" ca="1" si="13"/>
        <v/>
      </c>
    </row>
    <row r="873" spans="1:10">
      <c r="A873" s="103"/>
      <c r="B873" s="104"/>
      <c r="C873" s="105"/>
      <c r="D873" s="104"/>
      <c r="F873" s="106"/>
      <c r="G873" s="104"/>
      <c r="H873" s="106"/>
      <c r="I873" s="106"/>
      <c r="J873" s="101" t="str">
        <f t="shared" ca="1" si="13"/>
        <v/>
      </c>
    </row>
    <row r="874" spans="1:10">
      <c r="A874" s="103"/>
      <c r="B874" s="104"/>
      <c r="C874" s="105"/>
      <c r="D874" s="104"/>
      <c r="F874" s="106"/>
      <c r="G874" s="104"/>
      <c r="H874" s="106"/>
      <c r="I874" s="106"/>
      <c r="J874" s="101" t="str">
        <f t="shared" ca="1" si="13"/>
        <v/>
      </c>
    </row>
    <row r="875" spans="1:10">
      <c r="A875" s="103"/>
      <c r="B875" s="104"/>
      <c r="C875" s="105"/>
      <c r="D875" s="104"/>
      <c r="F875" s="106"/>
      <c r="G875" s="104"/>
      <c r="H875" s="106"/>
      <c r="I875" s="106"/>
      <c r="J875" s="101" t="str">
        <f t="shared" ca="1" si="13"/>
        <v/>
      </c>
    </row>
    <row r="876" spans="1:10">
      <c r="A876" s="103"/>
      <c r="B876" s="104"/>
      <c r="C876" s="105"/>
      <c r="D876" s="104"/>
      <c r="F876" s="106"/>
      <c r="G876" s="104"/>
      <c r="H876" s="106"/>
      <c r="I876" s="106"/>
      <c r="J876" s="101" t="str">
        <f t="shared" ca="1" si="13"/>
        <v/>
      </c>
    </row>
    <row r="877" spans="1:10">
      <c r="A877" s="103"/>
      <c r="B877" s="104"/>
      <c r="C877" s="105"/>
      <c r="D877" s="104"/>
      <c r="F877" s="106"/>
      <c r="G877" s="104"/>
      <c r="H877" s="106"/>
      <c r="I877" s="106"/>
      <c r="J877" s="101" t="str">
        <f t="shared" ca="1" si="13"/>
        <v/>
      </c>
    </row>
    <row r="878" spans="1:10">
      <c r="A878" s="103"/>
      <c r="B878" s="104"/>
      <c r="C878" s="105"/>
      <c r="D878" s="104"/>
      <c r="F878" s="106"/>
      <c r="G878" s="104"/>
      <c r="H878" s="106"/>
      <c r="I878" s="106"/>
      <c r="J878" s="101" t="str">
        <f t="shared" ca="1" si="13"/>
        <v/>
      </c>
    </row>
    <row r="879" spans="1:10">
      <c r="A879" s="103"/>
      <c r="B879" s="104"/>
      <c r="C879" s="105"/>
      <c r="D879" s="104"/>
      <c r="F879" s="106"/>
      <c r="G879" s="104"/>
      <c r="H879" s="106"/>
      <c r="I879" s="106"/>
      <c r="J879" s="101" t="str">
        <f t="shared" ca="1" si="13"/>
        <v/>
      </c>
    </row>
    <row r="880" spans="1:10">
      <c r="A880" s="103"/>
      <c r="B880" s="104"/>
      <c r="C880" s="105"/>
      <c r="D880" s="104"/>
      <c r="F880" s="106"/>
      <c r="G880" s="104"/>
      <c r="H880" s="106"/>
      <c r="I880" s="106"/>
      <c r="J880" s="101" t="str">
        <f t="shared" ca="1" si="13"/>
        <v/>
      </c>
    </row>
    <row r="881" spans="1:10">
      <c r="A881" s="103"/>
      <c r="B881" s="104"/>
      <c r="C881" s="105"/>
      <c r="D881" s="104"/>
      <c r="F881" s="106"/>
      <c r="G881" s="104"/>
      <c r="H881" s="106"/>
      <c r="I881" s="106"/>
      <c r="J881" s="101" t="str">
        <f t="shared" ca="1" si="13"/>
        <v/>
      </c>
    </row>
    <row r="882" spans="1:10">
      <c r="A882" s="103"/>
      <c r="B882" s="104"/>
      <c r="C882" s="105"/>
      <c r="D882" s="104"/>
      <c r="F882" s="106"/>
      <c r="G882" s="104"/>
      <c r="H882" s="106"/>
      <c r="I882" s="106"/>
      <c r="J882" s="101" t="str">
        <f t="shared" ca="1" si="13"/>
        <v/>
      </c>
    </row>
    <row r="883" spans="1:10">
      <c r="A883" s="103"/>
      <c r="B883" s="104"/>
      <c r="C883" s="105"/>
      <c r="D883" s="104"/>
      <c r="F883" s="106"/>
      <c r="G883" s="104"/>
      <c r="H883" s="106"/>
      <c r="I883" s="106"/>
      <c r="J883" s="101" t="str">
        <f t="shared" ca="1" si="13"/>
        <v/>
      </c>
    </row>
    <row r="884" spans="1:10">
      <c r="A884" s="103"/>
      <c r="B884" s="104"/>
      <c r="C884" s="105"/>
      <c r="D884" s="104"/>
      <c r="F884" s="106"/>
      <c r="G884" s="104"/>
      <c r="H884" s="106"/>
      <c r="I884" s="106"/>
      <c r="J884" s="101" t="str">
        <f t="shared" ca="1" si="13"/>
        <v/>
      </c>
    </row>
    <row r="885" spans="1:10">
      <c r="A885" s="103"/>
      <c r="B885" s="104"/>
      <c r="C885" s="105"/>
      <c r="D885" s="104"/>
      <c r="F885" s="106"/>
      <c r="G885" s="104"/>
      <c r="H885" s="106"/>
      <c r="I885" s="106"/>
      <c r="J885" s="101" t="str">
        <f t="shared" ca="1" si="13"/>
        <v/>
      </c>
    </row>
    <row r="886" spans="1:10">
      <c r="A886" s="103"/>
      <c r="B886" s="104"/>
      <c r="C886" s="105"/>
      <c r="D886" s="104"/>
      <c r="F886" s="106"/>
      <c r="G886" s="104"/>
      <c r="H886" s="106"/>
      <c r="I886" s="106"/>
      <c r="J886" s="101" t="str">
        <f t="shared" ca="1" si="13"/>
        <v/>
      </c>
    </row>
    <row r="887" spans="1:10">
      <c r="A887" s="103"/>
      <c r="B887" s="104"/>
      <c r="C887" s="105"/>
      <c r="D887" s="104"/>
      <c r="F887" s="106"/>
      <c r="G887" s="104"/>
      <c r="H887" s="106"/>
      <c r="I887" s="106"/>
      <c r="J887" s="101" t="str">
        <f t="shared" ca="1" si="13"/>
        <v/>
      </c>
    </row>
    <row r="888" spans="1:10">
      <c r="A888" s="103"/>
      <c r="B888" s="104"/>
      <c r="C888" s="105"/>
      <c r="D888" s="104"/>
      <c r="F888" s="106"/>
      <c r="G888" s="104"/>
      <c r="H888" s="106"/>
      <c r="I888" s="106"/>
      <c r="J888" s="101" t="str">
        <f t="shared" ca="1" si="13"/>
        <v/>
      </c>
    </row>
    <row r="889" spans="1:10">
      <c r="A889" s="103"/>
      <c r="B889" s="104"/>
      <c r="C889" s="105"/>
      <c r="D889" s="104"/>
      <c r="F889" s="106"/>
      <c r="G889" s="104"/>
      <c r="H889" s="106"/>
      <c r="I889" s="106"/>
      <c r="J889" s="101" t="str">
        <f t="shared" ca="1" si="13"/>
        <v/>
      </c>
    </row>
    <row r="890" spans="1:10">
      <c r="A890" s="103"/>
      <c r="B890" s="104"/>
      <c r="C890" s="105"/>
      <c r="D890" s="104"/>
      <c r="F890" s="106"/>
      <c r="G890" s="104"/>
      <c r="H890" s="106"/>
      <c r="I890" s="106"/>
      <c r="J890" s="101" t="str">
        <f t="shared" ca="1" si="13"/>
        <v/>
      </c>
    </row>
    <row r="891" spans="1:10">
      <c r="A891" s="103"/>
      <c r="B891" s="104"/>
      <c r="C891" s="105"/>
      <c r="D891" s="104"/>
      <c r="F891" s="106"/>
      <c r="G891" s="104"/>
      <c r="H891" s="106"/>
      <c r="I891" s="106"/>
      <c r="J891" s="101" t="str">
        <f t="shared" ca="1" si="13"/>
        <v/>
      </c>
    </row>
    <row r="892" spans="1:10">
      <c r="A892" s="103"/>
      <c r="B892" s="104"/>
      <c r="C892" s="105"/>
      <c r="D892" s="104"/>
      <c r="F892" s="106"/>
      <c r="G892" s="104"/>
      <c r="H892" s="106"/>
      <c r="I892" s="106"/>
      <c r="J892" s="101" t="str">
        <f t="shared" ca="1" si="13"/>
        <v/>
      </c>
    </row>
    <row r="893" spans="1:10">
      <c r="A893" s="103"/>
      <c r="B893" s="104"/>
      <c r="C893" s="105"/>
      <c r="D893" s="104"/>
      <c r="F893" s="106"/>
      <c r="G893" s="104"/>
      <c r="H893" s="106"/>
      <c r="I893" s="106"/>
      <c r="J893" s="101" t="str">
        <f t="shared" ca="1" si="13"/>
        <v/>
      </c>
    </row>
    <row r="894" spans="1:10">
      <c r="A894" s="103"/>
      <c r="B894" s="104"/>
      <c r="C894" s="105"/>
      <c r="D894" s="104"/>
      <c r="F894" s="106"/>
      <c r="G894" s="104"/>
      <c r="H894" s="106"/>
      <c r="I894" s="106"/>
      <c r="J894" s="101" t="str">
        <f t="shared" ca="1" si="13"/>
        <v/>
      </c>
    </row>
    <row r="895" spans="1:10">
      <c r="A895" s="103"/>
      <c r="B895" s="104"/>
      <c r="C895" s="105"/>
      <c r="D895" s="104"/>
      <c r="F895" s="106"/>
      <c r="G895" s="104"/>
      <c r="H895" s="106"/>
      <c r="I895" s="106"/>
      <c r="J895" s="101" t="str">
        <f t="shared" ca="1" si="13"/>
        <v/>
      </c>
    </row>
    <row r="896" spans="1:10">
      <c r="A896" s="103"/>
      <c r="B896" s="104"/>
      <c r="C896" s="105"/>
      <c r="D896" s="104"/>
      <c r="F896" s="106"/>
      <c r="G896" s="104"/>
      <c r="H896" s="106"/>
      <c r="I896" s="106"/>
      <c r="J896" s="101" t="str">
        <f t="shared" ca="1" si="13"/>
        <v/>
      </c>
    </row>
    <row r="897" spans="1:10">
      <c r="A897" s="103"/>
      <c r="B897" s="104"/>
      <c r="C897" s="105"/>
      <c r="D897" s="104"/>
      <c r="F897" s="106"/>
      <c r="G897" s="104"/>
      <c r="H897" s="106"/>
      <c r="I897" s="106"/>
      <c r="J897" s="101" t="str">
        <f t="shared" ca="1" si="13"/>
        <v/>
      </c>
    </row>
    <row r="898" spans="1:10">
      <c r="A898" s="103"/>
      <c r="B898" s="104"/>
      <c r="C898" s="105"/>
      <c r="D898" s="104"/>
      <c r="F898" s="106"/>
      <c r="G898" s="104"/>
      <c r="H898" s="106"/>
      <c r="I898" s="106"/>
      <c r="J898" s="101" t="str">
        <f t="shared" ca="1" si="13"/>
        <v/>
      </c>
    </row>
    <row r="899" spans="1:10">
      <c r="A899" s="103"/>
      <c r="B899" s="104"/>
      <c r="C899" s="105"/>
      <c r="D899" s="104"/>
      <c r="F899" s="106"/>
      <c r="G899" s="104"/>
      <c r="H899" s="106"/>
      <c r="I899" s="106"/>
      <c r="J899" s="101" t="str">
        <f t="shared" ref="J899:J962" ca="1" si="14">_xlfn.LET(
    _xlpm.AllCellsFilled, COUNTA(A899:I899) = 9,
    _xlpm.QtyIsInt, AND(ISNUMBER(G899), G899=INT(G899)),
    _xlpm.AvailDateIsValid, AND(ISNUMBER(F899), F899&gt;=TODAY()),
    _xlpm.ReqDateIsValid, AND(ISNUMBER(H899), H899&gt;=TODAY()),
    _xlpm.EmailIsValid, RIGHT(I899,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IF(A899="", "", IF(_xlpm.error_messages = "", "Yes", _xlpm.error_messages))
)</f>
        <v/>
      </c>
    </row>
    <row r="900" spans="1:10">
      <c r="A900" s="103"/>
      <c r="B900" s="104"/>
      <c r="C900" s="105"/>
      <c r="D900" s="104"/>
      <c r="F900" s="106"/>
      <c r="G900" s="104"/>
      <c r="H900" s="106"/>
      <c r="I900" s="106"/>
      <c r="J900" s="101" t="str">
        <f t="shared" ca="1" si="14"/>
        <v/>
      </c>
    </row>
    <row r="901" spans="1:10">
      <c r="A901" s="103"/>
      <c r="B901" s="104"/>
      <c r="C901" s="105"/>
      <c r="D901" s="104"/>
      <c r="F901" s="106"/>
      <c r="G901" s="104"/>
      <c r="H901" s="106"/>
      <c r="I901" s="106"/>
      <c r="J901" s="101" t="str">
        <f t="shared" ca="1" si="14"/>
        <v/>
      </c>
    </row>
    <row r="902" spans="1:10">
      <c r="A902" s="103"/>
      <c r="B902" s="104"/>
      <c r="C902" s="105"/>
      <c r="D902" s="104"/>
      <c r="F902" s="106"/>
      <c r="G902" s="104"/>
      <c r="H902" s="106"/>
      <c r="I902" s="106"/>
      <c r="J902" s="101" t="str">
        <f t="shared" ca="1" si="14"/>
        <v/>
      </c>
    </row>
    <row r="903" spans="1:10">
      <c r="A903" s="103"/>
      <c r="B903" s="104"/>
      <c r="C903" s="105"/>
      <c r="D903" s="104"/>
      <c r="F903" s="106"/>
      <c r="G903" s="104"/>
      <c r="H903" s="106"/>
      <c r="I903" s="106"/>
      <c r="J903" s="101" t="str">
        <f t="shared" ca="1" si="14"/>
        <v/>
      </c>
    </row>
    <row r="904" spans="1:10">
      <c r="A904" s="103"/>
      <c r="B904" s="104"/>
      <c r="C904" s="105"/>
      <c r="D904" s="104"/>
      <c r="F904" s="106"/>
      <c r="G904" s="104"/>
      <c r="H904" s="106"/>
      <c r="I904" s="106"/>
      <c r="J904" s="101" t="str">
        <f t="shared" ca="1" si="14"/>
        <v/>
      </c>
    </row>
    <row r="905" spans="1:10">
      <c r="A905" s="103"/>
      <c r="B905" s="104"/>
      <c r="C905" s="105"/>
      <c r="D905" s="104"/>
      <c r="F905" s="106"/>
      <c r="G905" s="104"/>
      <c r="H905" s="106"/>
      <c r="I905" s="106"/>
      <c r="J905" s="101" t="str">
        <f t="shared" ca="1" si="14"/>
        <v/>
      </c>
    </row>
    <row r="906" spans="1:10">
      <c r="A906" s="103"/>
      <c r="B906" s="104"/>
      <c r="C906" s="105"/>
      <c r="D906" s="104"/>
      <c r="F906" s="106"/>
      <c r="G906" s="104"/>
      <c r="H906" s="106"/>
      <c r="I906" s="106"/>
      <c r="J906" s="101" t="str">
        <f t="shared" ca="1" si="14"/>
        <v/>
      </c>
    </row>
    <row r="907" spans="1:10">
      <c r="A907" s="103"/>
      <c r="B907" s="104"/>
      <c r="C907" s="105"/>
      <c r="D907" s="104"/>
      <c r="F907" s="106"/>
      <c r="G907" s="104"/>
      <c r="H907" s="106"/>
      <c r="I907" s="106"/>
      <c r="J907" s="101" t="str">
        <f t="shared" ca="1" si="14"/>
        <v/>
      </c>
    </row>
    <row r="908" spans="1:10">
      <c r="A908" s="103"/>
      <c r="B908" s="104"/>
      <c r="C908" s="105"/>
      <c r="D908" s="104"/>
      <c r="F908" s="106"/>
      <c r="G908" s="104"/>
      <c r="H908" s="106"/>
      <c r="I908" s="106"/>
      <c r="J908" s="101" t="str">
        <f t="shared" ca="1" si="14"/>
        <v/>
      </c>
    </row>
    <row r="909" spans="1:10">
      <c r="A909" s="103"/>
      <c r="B909" s="104"/>
      <c r="C909" s="105"/>
      <c r="D909" s="104"/>
      <c r="F909" s="106"/>
      <c r="G909" s="104"/>
      <c r="H909" s="106"/>
      <c r="I909" s="106"/>
      <c r="J909" s="101" t="str">
        <f t="shared" ca="1" si="14"/>
        <v/>
      </c>
    </row>
    <row r="910" spans="1:10">
      <c r="A910" s="103"/>
      <c r="B910" s="104"/>
      <c r="C910" s="105"/>
      <c r="D910" s="104"/>
      <c r="F910" s="106"/>
      <c r="G910" s="104"/>
      <c r="H910" s="106"/>
      <c r="I910" s="106"/>
      <c r="J910" s="101" t="str">
        <f t="shared" ca="1" si="14"/>
        <v/>
      </c>
    </row>
    <row r="911" spans="1:10">
      <c r="A911" s="103"/>
      <c r="B911" s="104"/>
      <c r="C911" s="105"/>
      <c r="D911" s="104"/>
      <c r="F911" s="106"/>
      <c r="G911" s="104"/>
      <c r="H911" s="106"/>
      <c r="I911" s="106"/>
      <c r="J911" s="101" t="str">
        <f t="shared" ca="1" si="14"/>
        <v/>
      </c>
    </row>
    <row r="912" spans="1:10">
      <c r="A912" s="103"/>
      <c r="B912" s="104"/>
      <c r="C912" s="105"/>
      <c r="D912" s="104"/>
      <c r="F912" s="106"/>
      <c r="G912" s="104"/>
      <c r="H912" s="106"/>
      <c r="I912" s="106"/>
      <c r="J912" s="101" t="str">
        <f t="shared" ca="1" si="14"/>
        <v/>
      </c>
    </row>
    <row r="913" spans="1:10">
      <c r="A913" s="103"/>
      <c r="B913" s="104"/>
      <c r="C913" s="105"/>
      <c r="D913" s="104"/>
      <c r="F913" s="106"/>
      <c r="G913" s="104"/>
      <c r="H913" s="106"/>
      <c r="I913" s="106"/>
      <c r="J913" s="101" t="str">
        <f t="shared" ca="1" si="14"/>
        <v/>
      </c>
    </row>
    <row r="914" spans="1:10">
      <c r="A914" s="103"/>
      <c r="B914" s="104"/>
      <c r="C914" s="105"/>
      <c r="D914" s="104"/>
      <c r="F914" s="106"/>
      <c r="G914" s="104"/>
      <c r="H914" s="106"/>
      <c r="I914" s="106"/>
      <c r="J914" s="101" t="str">
        <f t="shared" ca="1" si="14"/>
        <v/>
      </c>
    </row>
    <row r="915" spans="1:10">
      <c r="A915" s="103"/>
      <c r="B915" s="104"/>
      <c r="C915" s="105"/>
      <c r="D915" s="104"/>
      <c r="F915" s="106"/>
      <c r="G915" s="104"/>
      <c r="H915" s="106"/>
      <c r="I915" s="106"/>
      <c r="J915" s="101" t="str">
        <f t="shared" ca="1" si="14"/>
        <v/>
      </c>
    </row>
    <row r="916" spans="1:10">
      <c r="A916" s="103"/>
      <c r="B916" s="104"/>
      <c r="C916" s="105"/>
      <c r="D916" s="104"/>
      <c r="F916" s="106"/>
      <c r="G916" s="104"/>
      <c r="H916" s="106"/>
      <c r="I916" s="106"/>
      <c r="J916" s="101" t="str">
        <f t="shared" ca="1" si="14"/>
        <v/>
      </c>
    </row>
    <row r="917" spans="1:10">
      <c r="A917" s="103"/>
      <c r="B917" s="104"/>
      <c r="C917" s="105"/>
      <c r="D917" s="104"/>
      <c r="F917" s="106"/>
      <c r="G917" s="104"/>
      <c r="H917" s="106"/>
      <c r="I917" s="106"/>
      <c r="J917" s="101" t="str">
        <f t="shared" ca="1" si="14"/>
        <v/>
      </c>
    </row>
    <row r="918" spans="1:10">
      <c r="A918" s="103"/>
      <c r="B918" s="104"/>
      <c r="C918" s="105"/>
      <c r="D918" s="104"/>
      <c r="F918" s="106"/>
      <c r="G918" s="104"/>
      <c r="H918" s="106"/>
      <c r="I918" s="106"/>
      <c r="J918" s="101" t="str">
        <f t="shared" ca="1" si="14"/>
        <v/>
      </c>
    </row>
    <row r="919" spans="1:10">
      <c r="A919" s="103"/>
      <c r="B919" s="104"/>
      <c r="C919" s="105"/>
      <c r="D919" s="104"/>
      <c r="F919" s="106"/>
      <c r="G919" s="104"/>
      <c r="H919" s="106"/>
      <c r="I919" s="106"/>
      <c r="J919" s="101" t="str">
        <f t="shared" ca="1" si="14"/>
        <v/>
      </c>
    </row>
    <row r="920" spans="1:10">
      <c r="A920" s="103"/>
      <c r="B920" s="104"/>
      <c r="C920" s="105"/>
      <c r="D920" s="104"/>
      <c r="F920" s="106"/>
      <c r="G920" s="104"/>
      <c r="H920" s="106"/>
      <c r="I920" s="106"/>
      <c r="J920" s="101" t="str">
        <f t="shared" ca="1" si="14"/>
        <v/>
      </c>
    </row>
    <row r="921" spans="1:10">
      <c r="A921" s="103"/>
      <c r="B921" s="104"/>
      <c r="C921" s="105"/>
      <c r="D921" s="104"/>
      <c r="F921" s="106"/>
      <c r="G921" s="104"/>
      <c r="H921" s="106"/>
      <c r="I921" s="106"/>
      <c r="J921" s="101" t="str">
        <f t="shared" ca="1" si="14"/>
        <v/>
      </c>
    </row>
    <row r="922" spans="1:10">
      <c r="A922" s="103"/>
      <c r="B922" s="104"/>
      <c r="C922" s="105"/>
      <c r="D922" s="104"/>
      <c r="F922" s="106"/>
      <c r="G922" s="104"/>
      <c r="H922" s="106"/>
      <c r="I922" s="106"/>
      <c r="J922" s="101" t="str">
        <f t="shared" ca="1" si="14"/>
        <v/>
      </c>
    </row>
    <row r="923" spans="1:10">
      <c r="A923" s="103"/>
      <c r="B923" s="104"/>
      <c r="C923" s="105"/>
      <c r="D923" s="104"/>
      <c r="F923" s="106"/>
      <c r="G923" s="104"/>
      <c r="H923" s="106"/>
      <c r="I923" s="106"/>
      <c r="J923" s="101" t="str">
        <f t="shared" ca="1" si="14"/>
        <v/>
      </c>
    </row>
    <row r="924" spans="1:10">
      <c r="A924" s="103"/>
      <c r="B924" s="104"/>
      <c r="C924" s="105"/>
      <c r="D924" s="104"/>
      <c r="F924" s="106"/>
      <c r="G924" s="104"/>
      <c r="H924" s="106"/>
      <c r="I924" s="106"/>
      <c r="J924" s="101" t="str">
        <f t="shared" ca="1" si="14"/>
        <v/>
      </c>
    </row>
    <row r="925" spans="1:10">
      <c r="A925" s="103"/>
      <c r="B925" s="104"/>
      <c r="C925" s="105"/>
      <c r="D925" s="104"/>
      <c r="F925" s="106"/>
      <c r="G925" s="104"/>
      <c r="H925" s="106"/>
      <c r="I925" s="106"/>
      <c r="J925" s="101" t="str">
        <f t="shared" ca="1" si="14"/>
        <v/>
      </c>
    </row>
    <row r="926" spans="1:10">
      <c r="A926" s="103"/>
      <c r="B926" s="104"/>
      <c r="C926" s="105"/>
      <c r="D926" s="104"/>
      <c r="F926" s="106"/>
      <c r="G926" s="104"/>
      <c r="H926" s="106"/>
      <c r="I926" s="106"/>
      <c r="J926" s="101" t="str">
        <f t="shared" ca="1" si="14"/>
        <v/>
      </c>
    </row>
    <row r="927" spans="1:10">
      <c r="A927" s="103"/>
      <c r="B927" s="104"/>
      <c r="C927" s="105"/>
      <c r="D927" s="104"/>
      <c r="F927" s="106"/>
      <c r="G927" s="104"/>
      <c r="H927" s="106"/>
      <c r="I927" s="106"/>
      <c r="J927" s="101" t="str">
        <f t="shared" ca="1" si="14"/>
        <v/>
      </c>
    </row>
    <row r="928" spans="1:10">
      <c r="A928" s="103"/>
      <c r="B928" s="104"/>
      <c r="C928" s="105"/>
      <c r="D928" s="104"/>
      <c r="F928" s="106"/>
      <c r="G928" s="104"/>
      <c r="H928" s="106"/>
      <c r="I928" s="106"/>
      <c r="J928" s="101" t="str">
        <f t="shared" ca="1" si="14"/>
        <v/>
      </c>
    </row>
    <row r="929" spans="1:10">
      <c r="A929" s="103"/>
      <c r="B929" s="104"/>
      <c r="C929" s="105"/>
      <c r="D929" s="104"/>
      <c r="F929" s="106"/>
      <c r="G929" s="104"/>
      <c r="H929" s="106"/>
      <c r="I929" s="106"/>
      <c r="J929" s="101" t="str">
        <f t="shared" ca="1" si="14"/>
        <v/>
      </c>
    </row>
    <row r="930" spans="1:10">
      <c r="A930" s="103"/>
      <c r="B930" s="104"/>
      <c r="C930" s="105"/>
      <c r="D930" s="104"/>
      <c r="F930" s="106"/>
      <c r="G930" s="104"/>
      <c r="H930" s="106"/>
      <c r="I930" s="106"/>
      <c r="J930" s="101" t="str">
        <f t="shared" ca="1" si="14"/>
        <v/>
      </c>
    </row>
    <row r="931" spans="1:10">
      <c r="A931" s="103"/>
      <c r="B931" s="104"/>
      <c r="C931" s="105"/>
      <c r="D931" s="104"/>
      <c r="F931" s="106"/>
      <c r="G931" s="104"/>
      <c r="H931" s="106"/>
      <c r="I931" s="106"/>
      <c r="J931" s="101" t="str">
        <f t="shared" ca="1" si="14"/>
        <v/>
      </c>
    </row>
    <row r="932" spans="1:10">
      <c r="A932" s="103"/>
      <c r="B932" s="104"/>
      <c r="C932" s="105"/>
      <c r="D932" s="104"/>
      <c r="F932" s="106"/>
      <c r="G932" s="104"/>
      <c r="H932" s="106"/>
      <c r="I932" s="106"/>
      <c r="J932" s="101" t="str">
        <f t="shared" ca="1" si="14"/>
        <v/>
      </c>
    </row>
    <row r="933" spans="1:10">
      <c r="A933" s="103"/>
      <c r="B933" s="104"/>
      <c r="C933" s="105"/>
      <c r="D933" s="104"/>
      <c r="F933" s="106"/>
      <c r="G933" s="104"/>
      <c r="H933" s="106"/>
      <c r="I933" s="106"/>
      <c r="J933" s="101" t="str">
        <f t="shared" ca="1" si="14"/>
        <v/>
      </c>
    </row>
    <row r="934" spans="1:10">
      <c r="A934" s="103"/>
      <c r="B934" s="104"/>
      <c r="C934" s="105"/>
      <c r="D934" s="104"/>
      <c r="F934" s="106"/>
      <c r="G934" s="104"/>
      <c r="H934" s="106"/>
      <c r="I934" s="106"/>
      <c r="J934" s="101" t="str">
        <f t="shared" ca="1" si="14"/>
        <v/>
      </c>
    </row>
    <row r="935" spans="1:10">
      <c r="A935" s="103"/>
      <c r="B935" s="104"/>
      <c r="C935" s="105"/>
      <c r="D935" s="104"/>
      <c r="F935" s="106"/>
      <c r="G935" s="104"/>
      <c r="H935" s="106"/>
      <c r="I935" s="106"/>
      <c r="J935" s="101" t="str">
        <f t="shared" ca="1" si="14"/>
        <v/>
      </c>
    </row>
    <row r="936" spans="1:10">
      <c r="A936" s="103"/>
      <c r="B936" s="104"/>
      <c r="C936" s="105"/>
      <c r="D936" s="104"/>
      <c r="F936" s="106"/>
      <c r="G936" s="104"/>
      <c r="H936" s="106"/>
      <c r="I936" s="106"/>
      <c r="J936" s="101" t="str">
        <f t="shared" ca="1" si="14"/>
        <v/>
      </c>
    </row>
    <row r="937" spans="1:10">
      <c r="A937" s="103"/>
      <c r="B937" s="104"/>
      <c r="C937" s="105"/>
      <c r="D937" s="104"/>
      <c r="F937" s="106"/>
      <c r="G937" s="104"/>
      <c r="H937" s="106"/>
      <c r="I937" s="106"/>
      <c r="J937" s="101" t="str">
        <f t="shared" ca="1" si="14"/>
        <v/>
      </c>
    </row>
    <row r="938" spans="1:10">
      <c r="A938" s="103"/>
      <c r="B938" s="104"/>
      <c r="C938" s="105"/>
      <c r="D938" s="104"/>
      <c r="F938" s="106"/>
      <c r="G938" s="104"/>
      <c r="H938" s="106"/>
      <c r="I938" s="106"/>
      <c r="J938" s="101" t="str">
        <f t="shared" ca="1" si="14"/>
        <v/>
      </c>
    </row>
    <row r="939" spans="1:10">
      <c r="A939" s="103"/>
      <c r="B939" s="104"/>
      <c r="C939" s="105"/>
      <c r="D939" s="104"/>
      <c r="F939" s="106"/>
      <c r="G939" s="104"/>
      <c r="H939" s="106"/>
      <c r="I939" s="106"/>
      <c r="J939" s="101" t="str">
        <f t="shared" ca="1" si="14"/>
        <v/>
      </c>
    </row>
    <row r="940" spans="1:10">
      <c r="A940" s="103"/>
      <c r="B940" s="104"/>
      <c r="C940" s="105"/>
      <c r="D940" s="104"/>
      <c r="F940" s="106"/>
      <c r="G940" s="104"/>
      <c r="H940" s="106"/>
      <c r="I940" s="106"/>
      <c r="J940" s="101" t="str">
        <f t="shared" ca="1" si="14"/>
        <v/>
      </c>
    </row>
    <row r="941" spans="1:10">
      <c r="A941" s="103"/>
      <c r="B941" s="104"/>
      <c r="C941" s="105"/>
      <c r="D941" s="104"/>
      <c r="F941" s="106"/>
      <c r="G941" s="104"/>
      <c r="H941" s="106"/>
      <c r="I941" s="106"/>
      <c r="J941" s="101" t="str">
        <f t="shared" ca="1" si="14"/>
        <v/>
      </c>
    </row>
    <row r="942" spans="1:10">
      <c r="A942" s="103"/>
      <c r="B942" s="104"/>
      <c r="C942" s="105"/>
      <c r="D942" s="104"/>
      <c r="F942" s="106"/>
      <c r="G942" s="104"/>
      <c r="H942" s="106"/>
      <c r="I942" s="106"/>
      <c r="J942" s="101" t="str">
        <f t="shared" ca="1" si="14"/>
        <v/>
      </c>
    </row>
    <row r="943" spans="1:10">
      <c r="A943" s="103"/>
      <c r="B943" s="104"/>
      <c r="C943" s="105"/>
      <c r="D943" s="104"/>
      <c r="F943" s="106"/>
      <c r="G943" s="104"/>
      <c r="H943" s="106"/>
      <c r="I943" s="106"/>
      <c r="J943" s="101" t="str">
        <f t="shared" ca="1" si="14"/>
        <v/>
      </c>
    </row>
    <row r="944" spans="1:10">
      <c r="A944" s="103"/>
      <c r="B944" s="104"/>
      <c r="C944" s="105"/>
      <c r="D944" s="104"/>
      <c r="F944" s="106"/>
      <c r="G944" s="104"/>
      <c r="H944" s="106"/>
      <c r="I944" s="106"/>
      <c r="J944" s="101" t="str">
        <f t="shared" ca="1" si="14"/>
        <v/>
      </c>
    </row>
    <row r="945" spans="1:10">
      <c r="A945" s="103"/>
      <c r="B945" s="104"/>
      <c r="C945" s="105"/>
      <c r="D945" s="104"/>
      <c r="F945" s="106"/>
      <c r="G945" s="104"/>
      <c r="H945" s="106"/>
      <c r="I945" s="106"/>
      <c r="J945" s="101" t="str">
        <f t="shared" ca="1" si="14"/>
        <v/>
      </c>
    </row>
    <row r="946" spans="1:10">
      <c r="A946" s="103"/>
      <c r="B946" s="104"/>
      <c r="C946" s="105"/>
      <c r="D946" s="104"/>
      <c r="F946" s="106"/>
      <c r="G946" s="104"/>
      <c r="H946" s="106"/>
      <c r="I946" s="106"/>
      <c r="J946" s="101" t="str">
        <f t="shared" ca="1" si="14"/>
        <v/>
      </c>
    </row>
    <row r="947" spans="1:10">
      <c r="A947" s="103"/>
      <c r="B947" s="104"/>
      <c r="C947" s="105"/>
      <c r="D947" s="104"/>
      <c r="F947" s="106"/>
      <c r="G947" s="104"/>
      <c r="H947" s="106"/>
      <c r="I947" s="106"/>
      <c r="J947" s="101" t="str">
        <f t="shared" ca="1" si="14"/>
        <v/>
      </c>
    </row>
    <row r="948" spans="1:10">
      <c r="A948" s="103"/>
      <c r="B948" s="104"/>
      <c r="C948" s="105"/>
      <c r="D948" s="104"/>
      <c r="F948" s="106"/>
      <c r="G948" s="104"/>
      <c r="H948" s="106"/>
      <c r="I948" s="106"/>
      <c r="J948" s="101" t="str">
        <f t="shared" ca="1" si="14"/>
        <v/>
      </c>
    </row>
    <row r="949" spans="1:10">
      <c r="A949" s="103"/>
      <c r="B949" s="104"/>
      <c r="C949" s="105"/>
      <c r="D949" s="104"/>
      <c r="F949" s="106"/>
      <c r="G949" s="104"/>
      <c r="H949" s="106"/>
      <c r="I949" s="106"/>
      <c r="J949" s="101" t="str">
        <f t="shared" ca="1" si="14"/>
        <v/>
      </c>
    </row>
    <row r="950" spans="1:10">
      <c r="A950" s="103"/>
      <c r="B950" s="104"/>
      <c r="C950" s="105"/>
      <c r="D950" s="104"/>
      <c r="F950" s="106"/>
      <c r="G950" s="104"/>
      <c r="H950" s="106"/>
      <c r="I950" s="106"/>
      <c r="J950" s="101" t="str">
        <f t="shared" ca="1" si="14"/>
        <v/>
      </c>
    </row>
    <row r="951" spans="1:10">
      <c r="A951" s="103"/>
      <c r="B951" s="104"/>
      <c r="C951" s="105"/>
      <c r="D951" s="104"/>
      <c r="F951" s="106"/>
      <c r="G951" s="104"/>
      <c r="H951" s="106"/>
      <c r="I951" s="106"/>
      <c r="J951" s="101" t="str">
        <f t="shared" ca="1" si="14"/>
        <v/>
      </c>
    </row>
    <row r="952" spans="1:10">
      <c r="A952" s="103"/>
      <c r="B952" s="104"/>
      <c r="C952" s="105"/>
      <c r="D952" s="104"/>
      <c r="F952" s="106"/>
      <c r="G952" s="104"/>
      <c r="H952" s="106"/>
      <c r="I952" s="106"/>
      <c r="J952" s="101" t="str">
        <f t="shared" ca="1" si="14"/>
        <v/>
      </c>
    </row>
    <row r="953" spans="1:10">
      <c r="A953" s="103"/>
      <c r="B953" s="104"/>
      <c r="C953" s="105"/>
      <c r="D953" s="104"/>
      <c r="F953" s="106"/>
      <c r="G953" s="104"/>
      <c r="H953" s="106"/>
      <c r="I953" s="106"/>
      <c r="J953" s="101" t="str">
        <f t="shared" ca="1" si="14"/>
        <v/>
      </c>
    </row>
    <row r="954" spans="1:10">
      <c r="A954" s="103"/>
      <c r="B954" s="104"/>
      <c r="C954" s="105"/>
      <c r="D954" s="104"/>
      <c r="F954" s="106"/>
      <c r="G954" s="104"/>
      <c r="H954" s="106"/>
      <c r="I954" s="106"/>
      <c r="J954" s="101" t="str">
        <f t="shared" ca="1" si="14"/>
        <v/>
      </c>
    </row>
    <row r="955" spans="1:10">
      <c r="A955" s="103"/>
      <c r="B955" s="104"/>
      <c r="C955" s="105"/>
      <c r="D955" s="104"/>
      <c r="F955" s="106"/>
      <c r="G955" s="104"/>
      <c r="H955" s="106"/>
      <c r="I955" s="106"/>
      <c r="J955" s="101" t="str">
        <f t="shared" ca="1" si="14"/>
        <v/>
      </c>
    </row>
    <row r="956" spans="1:10">
      <c r="A956" s="103"/>
      <c r="B956" s="104"/>
      <c r="C956" s="105"/>
      <c r="D956" s="104"/>
      <c r="F956" s="106"/>
      <c r="G956" s="104"/>
      <c r="H956" s="106"/>
      <c r="I956" s="106"/>
      <c r="J956" s="101" t="str">
        <f t="shared" ca="1" si="14"/>
        <v/>
      </c>
    </row>
    <row r="957" spans="1:10">
      <c r="A957" s="103"/>
      <c r="B957" s="104"/>
      <c r="C957" s="105"/>
      <c r="D957" s="104"/>
      <c r="F957" s="106"/>
      <c r="G957" s="104"/>
      <c r="H957" s="106"/>
      <c r="I957" s="106"/>
      <c r="J957" s="101" t="str">
        <f t="shared" ca="1" si="14"/>
        <v/>
      </c>
    </row>
    <row r="958" spans="1:10">
      <c r="A958" s="103"/>
      <c r="B958" s="104"/>
      <c r="C958" s="105"/>
      <c r="D958" s="104"/>
      <c r="F958" s="106"/>
      <c r="G958" s="104"/>
      <c r="H958" s="106"/>
      <c r="I958" s="106"/>
      <c r="J958" s="101" t="str">
        <f t="shared" ca="1" si="14"/>
        <v/>
      </c>
    </row>
    <row r="959" spans="1:10">
      <c r="A959" s="103"/>
      <c r="B959" s="104"/>
      <c r="C959" s="105"/>
      <c r="D959" s="104"/>
      <c r="F959" s="106"/>
      <c r="G959" s="104"/>
      <c r="H959" s="106"/>
      <c r="I959" s="106"/>
      <c r="J959" s="101" t="str">
        <f t="shared" ca="1" si="14"/>
        <v/>
      </c>
    </row>
    <row r="960" spans="1:10">
      <c r="A960" s="103"/>
      <c r="B960" s="104"/>
      <c r="C960" s="105"/>
      <c r="D960" s="104"/>
      <c r="F960" s="106"/>
      <c r="G960" s="104"/>
      <c r="H960" s="106"/>
      <c r="I960" s="106"/>
      <c r="J960" s="101" t="str">
        <f t="shared" ca="1" si="14"/>
        <v/>
      </c>
    </row>
    <row r="961" spans="1:10">
      <c r="A961" s="103"/>
      <c r="B961" s="104"/>
      <c r="C961" s="105"/>
      <c r="D961" s="104"/>
      <c r="F961" s="106"/>
      <c r="G961" s="104"/>
      <c r="H961" s="106"/>
      <c r="I961" s="106"/>
      <c r="J961" s="101" t="str">
        <f t="shared" ca="1" si="14"/>
        <v/>
      </c>
    </row>
    <row r="962" spans="1:10">
      <c r="A962" s="103"/>
      <c r="B962" s="104"/>
      <c r="C962" s="105"/>
      <c r="D962" s="104"/>
      <c r="F962" s="106"/>
      <c r="G962" s="104"/>
      <c r="H962" s="106"/>
      <c r="I962" s="106"/>
      <c r="J962" s="101" t="str">
        <f t="shared" ca="1" si="14"/>
        <v/>
      </c>
    </row>
    <row r="963" spans="1:10">
      <c r="A963" s="103"/>
      <c r="B963" s="104"/>
      <c r="C963" s="105"/>
      <c r="D963" s="104"/>
      <c r="F963" s="106"/>
      <c r="G963" s="104"/>
      <c r="H963" s="106"/>
      <c r="I963" s="106"/>
      <c r="J963" s="101" t="str">
        <f t="shared" ref="J963:J1026" ca="1" si="15">_xlfn.LET(
    _xlpm.AllCellsFilled, COUNTA(A963:I963) = 9,
    _xlpm.QtyIsInt, AND(ISNUMBER(G963), G963=INT(G963)),
    _xlpm.AvailDateIsValid, AND(ISNUMBER(F963), F963&gt;=TODAY()),
    _xlpm.ReqDateIsValid, AND(ISNUMBER(H963), H963&gt;=TODAY()),
    _xlpm.EmailIsValid, RIGHT(I963,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IF(A963="", "", IF(_xlpm.error_messages = "", "Yes", _xlpm.error_messages))
)</f>
        <v/>
      </c>
    </row>
    <row r="964" spans="1:10">
      <c r="A964" s="103"/>
      <c r="B964" s="104"/>
      <c r="C964" s="105"/>
      <c r="D964" s="104"/>
      <c r="F964" s="106"/>
      <c r="G964" s="104"/>
      <c r="H964" s="106"/>
      <c r="I964" s="106"/>
      <c r="J964" s="101" t="str">
        <f t="shared" ca="1" si="15"/>
        <v/>
      </c>
    </row>
    <row r="965" spans="1:10">
      <c r="A965" s="103"/>
      <c r="B965" s="104"/>
      <c r="C965" s="105"/>
      <c r="D965" s="104"/>
      <c r="F965" s="106"/>
      <c r="G965" s="104"/>
      <c r="H965" s="106"/>
      <c r="I965" s="106"/>
      <c r="J965" s="101" t="str">
        <f t="shared" ca="1" si="15"/>
        <v/>
      </c>
    </row>
    <row r="966" spans="1:10">
      <c r="A966" s="103"/>
      <c r="B966" s="104"/>
      <c r="C966" s="105"/>
      <c r="D966" s="104"/>
      <c r="F966" s="106"/>
      <c r="G966" s="104"/>
      <c r="H966" s="106"/>
      <c r="I966" s="106"/>
      <c r="J966" s="101" t="str">
        <f t="shared" ca="1" si="15"/>
        <v/>
      </c>
    </row>
    <row r="967" spans="1:10">
      <c r="A967" s="103"/>
      <c r="B967" s="104"/>
      <c r="C967" s="105"/>
      <c r="D967" s="104"/>
      <c r="F967" s="106"/>
      <c r="G967" s="104"/>
      <c r="H967" s="106"/>
      <c r="I967" s="106"/>
      <c r="J967" s="101" t="str">
        <f t="shared" ca="1" si="15"/>
        <v/>
      </c>
    </row>
    <row r="968" spans="1:10">
      <c r="A968" s="103"/>
      <c r="B968" s="104"/>
      <c r="C968" s="105"/>
      <c r="D968" s="104"/>
      <c r="F968" s="106"/>
      <c r="G968" s="104"/>
      <c r="H968" s="106"/>
      <c r="I968" s="106"/>
      <c r="J968" s="101" t="str">
        <f t="shared" ca="1" si="15"/>
        <v/>
      </c>
    </row>
    <row r="969" spans="1:10">
      <c r="A969" s="103"/>
      <c r="B969" s="104"/>
      <c r="C969" s="105"/>
      <c r="D969" s="104"/>
      <c r="F969" s="106"/>
      <c r="G969" s="104"/>
      <c r="H969" s="106"/>
      <c r="I969" s="106"/>
      <c r="J969" s="101" t="str">
        <f t="shared" ca="1" si="15"/>
        <v/>
      </c>
    </row>
    <row r="970" spans="1:10">
      <c r="A970" s="103"/>
      <c r="B970" s="104"/>
      <c r="C970" s="105"/>
      <c r="D970" s="104"/>
      <c r="F970" s="106"/>
      <c r="G970" s="104"/>
      <c r="H970" s="106"/>
      <c r="I970" s="106"/>
      <c r="J970" s="101" t="str">
        <f t="shared" ca="1" si="15"/>
        <v/>
      </c>
    </row>
    <row r="971" spans="1:10">
      <c r="A971" s="103"/>
      <c r="B971" s="104"/>
      <c r="C971" s="105"/>
      <c r="D971" s="104"/>
      <c r="F971" s="106"/>
      <c r="G971" s="104"/>
      <c r="H971" s="106"/>
      <c r="I971" s="106"/>
      <c r="J971" s="101" t="str">
        <f t="shared" ca="1" si="15"/>
        <v/>
      </c>
    </row>
    <row r="972" spans="1:10">
      <c r="A972" s="103"/>
      <c r="B972" s="104"/>
      <c r="C972" s="105"/>
      <c r="D972" s="104"/>
      <c r="F972" s="106"/>
      <c r="G972" s="104"/>
      <c r="H972" s="106"/>
      <c r="I972" s="106"/>
      <c r="J972" s="101" t="str">
        <f t="shared" ca="1" si="15"/>
        <v/>
      </c>
    </row>
    <row r="973" spans="1:10">
      <c r="A973" s="103"/>
      <c r="B973" s="104"/>
      <c r="C973" s="105"/>
      <c r="D973" s="104"/>
      <c r="F973" s="106"/>
      <c r="G973" s="104"/>
      <c r="H973" s="106"/>
      <c r="I973" s="106"/>
      <c r="J973" s="101" t="str">
        <f t="shared" ca="1" si="15"/>
        <v/>
      </c>
    </row>
    <row r="974" spans="1:10">
      <c r="A974" s="103"/>
      <c r="B974" s="104"/>
      <c r="C974" s="105"/>
      <c r="D974" s="104"/>
      <c r="F974" s="106"/>
      <c r="G974" s="104"/>
      <c r="H974" s="106"/>
      <c r="I974" s="106"/>
      <c r="J974" s="101" t="str">
        <f t="shared" ca="1" si="15"/>
        <v/>
      </c>
    </row>
    <row r="975" spans="1:10">
      <c r="A975" s="103"/>
      <c r="B975" s="104"/>
      <c r="C975" s="105"/>
      <c r="D975" s="104"/>
      <c r="F975" s="106"/>
      <c r="G975" s="104"/>
      <c r="H975" s="106"/>
      <c r="I975" s="106"/>
      <c r="J975" s="101" t="str">
        <f t="shared" ca="1" si="15"/>
        <v/>
      </c>
    </row>
    <row r="976" spans="1:10">
      <c r="A976" s="103"/>
      <c r="B976" s="104"/>
      <c r="C976" s="105"/>
      <c r="D976" s="104"/>
      <c r="F976" s="106"/>
      <c r="G976" s="104"/>
      <c r="H976" s="106"/>
      <c r="I976" s="106"/>
      <c r="J976" s="101" t="str">
        <f t="shared" ca="1" si="15"/>
        <v/>
      </c>
    </row>
    <row r="977" spans="1:10">
      <c r="A977" s="103"/>
      <c r="B977" s="104"/>
      <c r="C977" s="105"/>
      <c r="D977" s="104"/>
      <c r="F977" s="106"/>
      <c r="G977" s="104"/>
      <c r="H977" s="106"/>
      <c r="I977" s="106"/>
      <c r="J977" s="101" t="str">
        <f t="shared" ca="1" si="15"/>
        <v/>
      </c>
    </row>
    <row r="978" spans="1:10">
      <c r="A978" s="103"/>
      <c r="B978" s="104"/>
      <c r="C978" s="105"/>
      <c r="D978" s="104"/>
      <c r="F978" s="106"/>
      <c r="G978" s="104"/>
      <c r="H978" s="106"/>
      <c r="I978" s="106"/>
      <c r="J978" s="101" t="str">
        <f t="shared" ca="1" si="15"/>
        <v/>
      </c>
    </row>
    <row r="979" spans="1:10">
      <c r="A979" s="103"/>
      <c r="B979" s="104"/>
      <c r="C979" s="105"/>
      <c r="D979" s="104"/>
      <c r="F979" s="106"/>
      <c r="G979" s="104"/>
      <c r="H979" s="106"/>
      <c r="I979" s="106"/>
      <c r="J979" s="101" t="str">
        <f t="shared" ca="1" si="15"/>
        <v/>
      </c>
    </row>
    <row r="980" spans="1:10">
      <c r="A980" s="103"/>
      <c r="B980" s="104"/>
      <c r="C980" s="105"/>
      <c r="D980" s="104"/>
      <c r="F980" s="106"/>
      <c r="G980" s="104"/>
      <c r="H980" s="106"/>
      <c r="I980" s="106"/>
      <c r="J980" s="101" t="str">
        <f t="shared" ca="1" si="15"/>
        <v/>
      </c>
    </row>
    <row r="981" spans="1:10">
      <c r="A981" s="103"/>
      <c r="B981" s="104"/>
      <c r="C981" s="105"/>
      <c r="D981" s="104"/>
      <c r="F981" s="106"/>
      <c r="G981" s="104"/>
      <c r="H981" s="106"/>
      <c r="I981" s="106"/>
      <c r="J981" s="101" t="str">
        <f t="shared" ca="1" si="15"/>
        <v/>
      </c>
    </row>
    <row r="982" spans="1:10">
      <c r="A982" s="103"/>
      <c r="B982" s="104"/>
      <c r="C982" s="105"/>
      <c r="D982" s="104"/>
      <c r="F982" s="106"/>
      <c r="G982" s="104"/>
      <c r="H982" s="106"/>
      <c r="I982" s="106"/>
      <c r="J982" s="101" t="str">
        <f t="shared" ca="1" si="15"/>
        <v/>
      </c>
    </row>
    <row r="983" spans="1:10">
      <c r="A983" s="103"/>
      <c r="B983" s="104"/>
      <c r="C983" s="105"/>
      <c r="D983" s="104"/>
      <c r="F983" s="106"/>
      <c r="G983" s="104"/>
      <c r="H983" s="106"/>
      <c r="I983" s="106"/>
      <c r="J983" s="101" t="str">
        <f t="shared" ca="1" si="15"/>
        <v/>
      </c>
    </row>
    <row r="984" spans="1:10">
      <c r="A984" s="103"/>
      <c r="B984" s="104"/>
      <c r="C984" s="105"/>
      <c r="D984" s="104"/>
      <c r="F984" s="106"/>
      <c r="G984" s="104"/>
      <c r="H984" s="106"/>
      <c r="I984" s="106"/>
      <c r="J984" s="101" t="str">
        <f t="shared" ca="1" si="15"/>
        <v/>
      </c>
    </row>
    <row r="985" spans="1:10">
      <c r="A985" s="103"/>
      <c r="B985" s="104"/>
      <c r="C985" s="105"/>
      <c r="D985" s="104"/>
      <c r="F985" s="106"/>
      <c r="G985" s="104"/>
      <c r="H985" s="106"/>
      <c r="I985" s="106"/>
      <c r="J985" s="101" t="str">
        <f t="shared" ca="1" si="15"/>
        <v/>
      </c>
    </row>
    <row r="986" spans="1:10">
      <c r="A986" s="103"/>
      <c r="B986" s="104"/>
      <c r="C986" s="105"/>
      <c r="D986" s="104"/>
      <c r="F986" s="106"/>
      <c r="G986" s="104"/>
      <c r="H986" s="106"/>
      <c r="I986" s="106"/>
      <c r="J986" s="101" t="str">
        <f t="shared" ca="1" si="15"/>
        <v/>
      </c>
    </row>
    <row r="987" spans="1:10">
      <c r="A987" s="103"/>
      <c r="B987" s="104"/>
      <c r="C987" s="105"/>
      <c r="D987" s="104"/>
      <c r="F987" s="106"/>
      <c r="G987" s="104"/>
      <c r="H987" s="106"/>
      <c r="I987" s="106"/>
      <c r="J987" s="101" t="str">
        <f t="shared" ca="1" si="15"/>
        <v/>
      </c>
    </row>
    <row r="988" spans="1:10">
      <c r="A988" s="103"/>
      <c r="B988" s="104"/>
      <c r="C988" s="105"/>
      <c r="D988" s="104"/>
      <c r="F988" s="106"/>
      <c r="G988" s="104"/>
      <c r="H988" s="106"/>
      <c r="I988" s="106"/>
      <c r="J988" s="101" t="str">
        <f t="shared" ca="1" si="15"/>
        <v/>
      </c>
    </row>
    <row r="989" spans="1:10">
      <c r="A989" s="103"/>
      <c r="B989" s="104"/>
      <c r="C989" s="105"/>
      <c r="D989" s="104"/>
      <c r="F989" s="106"/>
      <c r="G989" s="104"/>
      <c r="H989" s="106"/>
      <c r="I989" s="106"/>
      <c r="J989" s="101" t="str">
        <f t="shared" ca="1" si="15"/>
        <v/>
      </c>
    </row>
    <row r="990" spans="1:10">
      <c r="A990" s="103"/>
      <c r="B990" s="104"/>
      <c r="C990" s="105"/>
      <c r="D990" s="104"/>
      <c r="F990" s="106"/>
      <c r="G990" s="104"/>
      <c r="H990" s="106"/>
      <c r="I990" s="106"/>
      <c r="J990" s="101" t="str">
        <f t="shared" ca="1" si="15"/>
        <v/>
      </c>
    </row>
    <row r="991" spans="1:10">
      <c r="A991" s="103"/>
      <c r="B991" s="104"/>
      <c r="C991" s="105"/>
      <c r="D991" s="104"/>
      <c r="F991" s="106"/>
      <c r="G991" s="104"/>
      <c r="H991" s="106"/>
      <c r="I991" s="106"/>
      <c r="J991" s="101" t="str">
        <f t="shared" ca="1" si="15"/>
        <v/>
      </c>
    </row>
    <row r="992" spans="1:10">
      <c r="A992" s="103"/>
      <c r="B992" s="104"/>
      <c r="C992" s="105"/>
      <c r="D992" s="104"/>
      <c r="F992" s="106"/>
      <c r="G992" s="104"/>
      <c r="H992" s="106"/>
      <c r="I992" s="106"/>
      <c r="J992" s="101" t="str">
        <f t="shared" ca="1" si="15"/>
        <v/>
      </c>
    </row>
    <row r="993" spans="1:10">
      <c r="A993" s="103"/>
      <c r="B993" s="104"/>
      <c r="C993" s="105"/>
      <c r="D993" s="104"/>
      <c r="F993" s="106"/>
      <c r="G993" s="104"/>
      <c r="H993" s="106"/>
      <c r="I993" s="106"/>
      <c r="J993" s="101" t="str">
        <f t="shared" ca="1" si="15"/>
        <v/>
      </c>
    </row>
    <row r="994" spans="1:10">
      <c r="A994" s="103"/>
      <c r="B994" s="104"/>
      <c r="C994" s="105"/>
      <c r="D994" s="104"/>
      <c r="F994" s="106"/>
      <c r="G994" s="104"/>
      <c r="H994" s="106"/>
      <c r="I994" s="106"/>
      <c r="J994" s="101" t="str">
        <f t="shared" ca="1" si="15"/>
        <v/>
      </c>
    </row>
    <row r="995" spans="1:10">
      <c r="A995" s="103"/>
      <c r="B995" s="104"/>
      <c r="C995" s="105"/>
      <c r="D995" s="104"/>
      <c r="F995" s="106"/>
      <c r="G995" s="104"/>
      <c r="H995" s="106"/>
      <c r="I995" s="106"/>
      <c r="J995" s="101" t="str">
        <f t="shared" ca="1" si="15"/>
        <v/>
      </c>
    </row>
    <row r="996" spans="1:10">
      <c r="A996" s="103"/>
      <c r="B996" s="104"/>
      <c r="C996" s="105"/>
      <c r="D996" s="104"/>
      <c r="F996" s="106"/>
      <c r="G996" s="104"/>
      <c r="H996" s="106"/>
      <c r="I996" s="106"/>
      <c r="J996" s="101" t="str">
        <f t="shared" ca="1" si="15"/>
        <v/>
      </c>
    </row>
    <row r="997" spans="1:10">
      <c r="A997" s="103"/>
      <c r="B997" s="104"/>
      <c r="C997" s="105"/>
      <c r="D997" s="104"/>
      <c r="F997" s="106"/>
      <c r="G997" s="104"/>
      <c r="H997" s="106"/>
      <c r="I997" s="106"/>
      <c r="J997" s="101" t="str">
        <f t="shared" ca="1" si="15"/>
        <v/>
      </c>
    </row>
    <row r="998" spans="1:10">
      <c r="A998" s="103"/>
      <c r="B998" s="104"/>
      <c r="C998" s="105"/>
      <c r="D998" s="104"/>
      <c r="F998" s="106"/>
      <c r="G998" s="104"/>
      <c r="H998" s="106"/>
      <c r="I998" s="106"/>
      <c r="J998" s="101" t="str">
        <f t="shared" ca="1" si="15"/>
        <v/>
      </c>
    </row>
    <row r="999" spans="1:10">
      <c r="A999" s="103"/>
      <c r="B999" s="104"/>
      <c r="C999" s="105"/>
      <c r="D999" s="104"/>
      <c r="F999" s="106"/>
      <c r="G999" s="104"/>
      <c r="H999" s="106"/>
      <c r="I999" s="106"/>
      <c r="J999" s="101" t="str">
        <f t="shared" ca="1" si="15"/>
        <v/>
      </c>
    </row>
    <row r="1000" spans="1:10">
      <c r="A1000" s="103"/>
      <c r="B1000" s="104"/>
      <c r="C1000" s="105"/>
      <c r="D1000" s="104"/>
      <c r="F1000" s="106"/>
      <c r="G1000" s="104"/>
      <c r="H1000" s="106"/>
      <c r="I1000" s="106"/>
      <c r="J1000" s="101" t="str">
        <f t="shared" ca="1" si="15"/>
        <v/>
      </c>
    </row>
    <row r="1001" spans="1:10">
      <c r="A1001" s="103"/>
      <c r="B1001" s="104"/>
      <c r="C1001" s="105"/>
      <c r="D1001" s="104"/>
      <c r="F1001" s="106"/>
      <c r="G1001" s="104"/>
      <c r="H1001" s="106"/>
      <c r="I1001" s="106"/>
      <c r="J1001" s="101" t="str">
        <f t="shared" ca="1" si="15"/>
        <v/>
      </c>
    </row>
    <row r="1002" spans="1:10">
      <c r="A1002" s="103"/>
      <c r="B1002" s="104"/>
      <c r="C1002" s="105"/>
      <c r="D1002" s="104"/>
      <c r="F1002" s="106"/>
      <c r="G1002" s="104"/>
      <c r="H1002" s="106"/>
      <c r="I1002" s="106"/>
      <c r="J1002" s="101" t="str">
        <f t="shared" ca="1" si="15"/>
        <v/>
      </c>
    </row>
    <row r="1003" spans="1:10">
      <c r="A1003" s="103"/>
      <c r="B1003" s="104"/>
      <c r="C1003" s="105"/>
      <c r="D1003" s="104"/>
      <c r="F1003" s="106"/>
      <c r="G1003" s="104"/>
      <c r="H1003" s="106"/>
      <c r="I1003" s="106"/>
      <c r="J1003" s="101" t="str">
        <f t="shared" ca="1" si="15"/>
        <v/>
      </c>
    </row>
    <row r="1004" spans="1:10">
      <c r="A1004" s="103"/>
      <c r="B1004" s="104"/>
      <c r="C1004" s="105"/>
      <c r="D1004" s="104"/>
      <c r="F1004" s="106"/>
      <c r="G1004" s="104"/>
      <c r="H1004" s="106"/>
      <c r="I1004" s="106"/>
      <c r="J1004" s="101" t="str">
        <f t="shared" ca="1" si="15"/>
        <v/>
      </c>
    </row>
    <row r="1005" spans="1:10">
      <c r="A1005" s="103"/>
      <c r="B1005" s="104"/>
      <c r="C1005" s="105"/>
      <c r="D1005" s="104"/>
      <c r="F1005" s="106"/>
      <c r="G1005" s="104"/>
      <c r="H1005" s="106"/>
      <c r="I1005" s="106"/>
      <c r="J1005" s="101" t="str">
        <f t="shared" ca="1" si="15"/>
        <v/>
      </c>
    </row>
    <row r="1006" spans="1:10">
      <c r="A1006" s="103"/>
      <c r="B1006" s="104"/>
      <c r="C1006" s="105"/>
      <c r="D1006" s="104"/>
      <c r="F1006" s="106"/>
      <c r="G1006" s="104"/>
      <c r="H1006" s="106"/>
      <c r="I1006" s="106"/>
      <c r="J1006" s="101" t="str">
        <f t="shared" ca="1" si="15"/>
        <v/>
      </c>
    </row>
    <row r="1007" spans="1:10">
      <c r="A1007" s="103"/>
      <c r="B1007" s="104"/>
      <c r="C1007" s="105"/>
      <c r="D1007" s="104"/>
      <c r="F1007" s="106"/>
      <c r="G1007" s="104"/>
      <c r="H1007" s="106"/>
      <c r="I1007" s="106"/>
      <c r="J1007" s="101" t="str">
        <f t="shared" ca="1" si="15"/>
        <v/>
      </c>
    </row>
    <row r="1008" spans="1:10">
      <c r="A1008" s="103"/>
      <c r="B1008" s="104"/>
      <c r="C1008" s="105"/>
      <c r="D1008" s="104"/>
      <c r="F1008" s="106"/>
      <c r="G1008" s="104"/>
      <c r="H1008" s="106"/>
      <c r="I1008" s="106"/>
      <c r="J1008" s="101" t="str">
        <f t="shared" ca="1" si="15"/>
        <v/>
      </c>
    </row>
    <row r="1009" spans="1:10">
      <c r="A1009" s="103"/>
      <c r="B1009" s="104"/>
      <c r="C1009" s="105"/>
      <c r="D1009" s="104"/>
      <c r="F1009" s="106"/>
      <c r="G1009" s="104"/>
      <c r="H1009" s="106"/>
      <c r="I1009" s="106"/>
      <c r="J1009" s="101" t="str">
        <f t="shared" ca="1" si="15"/>
        <v/>
      </c>
    </row>
    <row r="1010" spans="1:10">
      <c r="A1010" s="103"/>
      <c r="B1010" s="104"/>
      <c r="C1010" s="105"/>
      <c r="D1010" s="104"/>
      <c r="F1010" s="106"/>
      <c r="G1010" s="104"/>
      <c r="H1010" s="106"/>
      <c r="I1010" s="106"/>
      <c r="J1010" s="101" t="str">
        <f t="shared" ca="1" si="15"/>
        <v/>
      </c>
    </row>
    <row r="1011" spans="1:10">
      <c r="A1011" s="103"/>
      <c r="B1011" s="104"/>
      <c r="C1011" s="105"/>
      <c r="D1011" s="104"/>
      <c r="F1011" s="106"/>
      <c r="G1011" s="104"/>
      <c r="H1011" s="106"/>
      <c r="I1011" s="106"/>
      <c r="J1011" s="101" t="str">
        <f t="shared" ca="1" si="15"/>
        <v/>
      </c>
    </row>
    <row r="1012" spans="1:10">
      <c r="A1012" s="103"/>
      <c r="B1012" s="104"/>
      <c r="C1012" s="105"/>
      <c r="D1012" s="104"/>
      <c r="F1012" s="106"/>
      <c r="G1012" s="104"/>
      <c r="H1012" s="106"/>
      <c r="I1012" s="106"/>
      <c r="J1012" s="101" t="str">
        <f t="shared" ca="1" si="15"/>
        <v/>
      </c>
    </row>
    <row r="1013" spans="1:10">
      <c r="A1013" s="103"/>
      <c r="B1013" s="104"/>
      <c r="C1013" s="105"/>
      <c r="D1013" s="104"/>
      <c r="F1013" s="106"/>
      <c r="G1013" s="104"/>
      <c r="H1013" s="106"/>
      <c r="I1013" s="106"/>
      <c r="J1013" s="101" t="str">
        <f t="shared" ca="1" si="15"/>
        <v/>
      </c>
    </row>
    <row r="1014" spans="1:10">
      <c r="A1014" s="103"/>
      <c r="B1014" s="104"/>
      <c r="C1014" s="105"/>
      <c r="D1014" s="104"/>
      <c r="F1014" s="106"/>
      <c r="G1014" s="104"/>
      <c r="H1014" s="106"/>
      <c r="I1014" s="106"/>
      <c r="J1014" s="101" t="str">
        <f t="shared" ca="1" si="15"/>
        <v/>
      </c>
    </row>
    <row r="1015" spans="1:10">
      <c r="A1015" s="103"/>
      <c r="B1015" s="104"/>
      <c r="C1015" s="105"/>
      <c r="D1015" s="104"/>
      <c r="F1015" s="106"/>
      <c r="G1015" s="104"/>
      <c r="H1015" s="106"/>
      <c r="I1015" s="106"/>
      <c r="J1015" s="101" t="str">
        <f t="shared" ca="1" si="15"/>
        <v/>
      </c>
    </row>
    <row r="1016" spans="1:10">
      <c r="A1016" s="103"/>
      <c r="B1016" s="104"/>
      <c r="C1016" s="105"/>
      <c r="D1016" s="104"/>
      <c r="F1016" s="106"/>
      <c r="G1016" s="104"/>
      <c r="H1016" s="106"/>
      <c r="I1016" s="106"/>
      <c r="J1016" s="101" t="str">
        <f t="shared" ca="1" si="15"/>
        <v/>
      </c>
    </row>
    <row r="1017" spans="1:10">
      <c r="A1017" s="103"/>
      <c r="B1017" s="104"/>
      <c r="C1017" s="105"/>
      <c r="D1017" s="104"/>
      <c r="F1017" s="106"/>
      <c r="G1017" s="104"/>
      <c r="H1017" s="106"/>
      <c r="I1017" s="106"/>
      <c r="J1017" s="101" t="str">
        <f t="shared" ca="1" si="15"/>
        <v/>
      </c>
    </row>
    <row r="1018" spans="1:10">
      <c r="A1018" s="103"/>
      <c r="B1018" s="104"/>
      <c r="C1018" s="105"/>
      <c r="D1018" s="104"/>
      <c r="F1018" s="106"/>
      <c r="G1018" s="104"/>
      <c r="H1018" s="106"/>
      <c r="I1018" s="106"/>
      <c r="J1018" s="101" t="str">
        <f t="shared" ca="1" si="15"/>
        <v/>
      </c>
    </row>
    <row r="1019" spans="1:10">
      <c r="A1019" s="103"/>
      <c r="B1019" s="104"/>
      <c r="C1019" s="105"/>
      <c r="D1019" s="104"/>
      <c r="F1019" s="106"/>
      <c r="G1019" s="104"/>
      <c r="H1019" s="106"/>
      <c r="I1019" s="106"/>
      <c r="J1019" s="101" t="str">
        <f t="shared" ca="1" si="15"/>
        <v/>
      </c>
    </row>
    <row r="1020" spans="1:10">
      <c r="A1020" s="103"/>
      <c r="B1020" s="104"/>
      <c r="C1020" s="105"/>
      <c r="D1020" s="104"/>
      <c r="F1020" s="106"/>
      <c r="G1020" s="104"/>
      <c r="H1020" s="106"/>
      <c r="I1020" s="106"/>
      <c r="J1020" s="101" t="str">
        <f t="shared" ca="1" si="15"/>
        <v/>
      </c>
    </row>
    <row r="1021" spans="1:10">
      <c r="A1021" s="103"/>
      <c r="B1021" s="104"/>
      <c r="C1021" s="105"/>
      <c r="D1021" s="104"/>
      <c r="F1021" s="106"/>
      <c r="G1021" s="104"/>
      <c r="H1021" s="106"/>
      <c r="I1021" s="106"/>
      <c r="J1021" s="101" t="str">
        <f t="shared" ca="1" si="15"/>
        <v/>
      </c>
    </row>
    <row r="1022" spans="1:10">
      <c r="A1022" s="103"/>
      <c r="B1022" s="104"/>
      <c r="C1022" s="105"/>
      <c r="D1022" s="104"/>
      <c r="F1022" s="106"/>
      <c r="G1022" s="104"/>
      <c r="H1022" s="106"/>
      <c r="I1022" s="106"/>
      <c r="J1022" s="101" t="str">
        <f t="shared" ca="1" si="15"/>
        <v/>
      </c>
    </row>
    <row r="1023" spans="1:10">
      <c r="A1023" s="103"/>
      <c r="B1023" s="104"/>
      <c r="C1023" s="105"/>
      <c r="D1023" s="104"/>
      <c r="F1023" s="106"/>
      <c r="G1023" s="104"/>
      <c r="H1023" s="106"/>
      <c r="I1023" s="106"/>
      <c r="J1023" s="101" t="str">
        <f t="shared" ca="1" si="15"/>
        <v/>
      </c>
    </row>
    <row r="1024" spans="1:10">
      <c r="A1024" s="103"/>
      <c r="B1024" s="104"/>
      <c r="C1024" s="105"/>
      <c r="D1024" s="104"/>
      <c r="F1024" s="106"/>
      <c r="G1024" s="104"/>
      <c r="H1024" s="106"/>
      <c r="I1024" s="106"/>
      <c r="J1024" s="101" t="str">
        <f t="shared" ca="1" si="15"/>
        <v/>
      </c>
    </row>
    <row r="1025" spans="1:10">
      <c r="A1025" s="103"/>
      <c r="B1025" s="104"/>
      <c r="C1025" s="105"/>
      <c r="D1025" s="104"/>
      <c r="F1025" s="106"/>
      <c r="G1025" s="104"/>
      <c r="H1025" s="106"/>
      <c r="I1025" s="106"/>
      <c r="J1025" s="101" t="str">
        <f t="shared" ca="1" si="15"/>
        <v/>
      </c>
    </row>
    <row r="1026" spans="1:10">
      <c r="A1026" s="103"/>
      <c r="B1026" s="104"/>
      <c r="C1026" s="105"/>
      <c r="D1026" s="104"/>
      <c r="F1026" s="106"/>
      <c r="G1026" s="104"/>
      <c r="H1026" s="106"/>
      <c r="I1026" s="106"/>
      <c r="J1026" s="101" t="str">
        <f t="shared" ca="1" si="15"/>
        <v/>
      </c>
    </row>
    <row r="1027" spans="1:10">
      <c r="A1027" s="103"/>
      <c r="B1027" s="104"/>
      <c r="C1027" s="105"/>
      <c r="D1027" s="104"/>
      <c r="F1027" s="106"/>
      <c r="G1027" s="104"/>
      <c r="H1027" s="106"/>
      <c r="I1027" s="106"/>
      <c r="J1027" s="101" t="str">
        <f t="shared" ref="J1027:J1090" ca="1" si="16">_xlfn.LET(
    _xlpm.AllCellsFilled, COUNTA(A1027:I1027) = 9,
    _xlpm.QtyIsInt, AND(ISNUMBER(G1027), G1027=INT(G1027)),
    _xlpm.AvailDateIsValid, AND(ISNUMBER(F1027), F1027&gt;=TODAY()),
    _xlpm.ReqDateIsValid, AND(ISNUMBER(H1027), H1027&gt;=TODAY()),
    _xlpm.EmailIsValid, RIGHT(I1027,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IF(A1027="", "", IF(_xlpm.error_messages = "", "Yes", _xlpm.error_messages))
)</f>
        <v/>
      </c>
    </row>
    <row r="1028" spans="1:10">
      <c r="A1028" s="103"/>
      <c r="B1028" s="104"/>
      <c r="C1028" s="105"/>
      <c r="D1028" s="104"/>
      <c r="F1028" s="106"/>
      <c r="G1028" s="104"/>
      <c r="H1028" s="106"/>
      <c r="I1028" s="106"/>
      <c r="J1028" s="101" t="str">
        <f t="shared" ca="1" si="16"/>
        <v/>
      </c>
    </row>
    <row r="1029" spans="1:10">
      <c r="A1029" s="103"/>
      <c r="B1029" s="104"/>
      <c r="C1029" s="105"/>
      <c r="D1029" s="104"/>
      <c r="F1029" s="106"/>
      <c r="G1029" s="104"/>
      <c r="H1029" s="106"/>
      <c r="I1029" s="106"/>
      <c r="J1029" s="101" t="str">
        <f t="shared" ca="1" si="16"/>
        <v/>
      </c>
    </row>
    <row r="1030" spans="1:10">
      <c r="A1030" s="103"/>
      <c r="B1030" s="104"/>
      <c r="C1030" s="105"/>
      <c r="D1030" s="104"/>
      <c r="F1030" s="106"/>
      <c r="G1030" s="104"/>
      <c r="H1030" s="106"/>
      <c r="I1030" s="106"/>
      <c r="J1030" s="101" t="str">
        <f t="shared" ca="1" si="16"/>
        <v/>
      </c>
    </row>
    <row r="1031" spans="1:10">
      <c r="A1031" s="103"/>
      <c r="B1031" s="104"/>
      <c r="C1031" s="105"/>
      <c r="D1031" s="104"/>
      <c r="F1031" s="106"/>
      <c r="G1031" s="104"/>
      <c r="H1031" s="106"/>
      <c r="I1031" s="106"/>
      <c r="J1031" s="101" t="str">
        <f t="shared" ca="1" si="16"/>
        <v/>
      </c>
    </row>
    <row r="1032" spans="1:10">
      <c r="A1032" s="103"/>
      <c r="B1032" s="104"/>
      <c r="C1032" s="105"/>
      <c r="D1032" s="104"/>
      <c r="F1032" s="106"/>
      <c r="G1032" s="104"/>
      <c r="H1032" s="106"/>
      <c r="I1032" s="106"/>
      <c r="J1032" s="101" t="str">
        <f t="shared" ca="1" si="16"/>
        <v/>
      </c>
    </row>
    <row r="1033" spans="1:10">
      <c r="A1033" s="103"/>
      <c r="B1033" s="104"/>
      <c r="C1033" s="105"/>
      <c r="D1033" s="104"/>
      <c r="F1033" s="106"/>
      <c r="G1033" s="104"/>
      <c r="H1033" s="106"/>
      <c r="I1033" s="106"/>
      <c r="J1033" s="101" t="str">
        <f t="shared" ca="1" si="16"/>
        <v/>
      </c>
    </row>
    <row r="1034" spans="1:10">
      <c r="A1034" s="103"/>
      <c r="B1034" s="104"/>
      <c r="C1034" s="105"/>
      <c r="D1034" s="104"/>
      <c r="F1034" s="106"/>
      <c r="G1034" s="104"/>
      <c r="H1034" s="106"/>
      <c r="I1034" s="106"/>
      <c r="J1034" s="101" t="str">
        <f t="shared" ca="1" si="16"/>
        <v/>
      </c>
    </row>
    <row r="1035" spans="1:10">
      <c r="A1035" s="103"/>
      <c r="B1035" s="104"/>
      <c r="C1035" s="105"/>
      <c r="D1035" s="104"/>
      <c r="F1035" s="106"/>
      <c r="G1035" s="104"/>
      <c r="H1035" s="106"/>
      <c r="I1035" s="106"/>
      <c r="J1035" s="101" t="str">
        <f t="shared" ca="1" si="16"/>
        <v/>
      </c>
    </row>
    <row r="1036" spans="1:10">
      <c r="A1036" s="103"/>
      <c r="B1036" s="104"/>
      <c r="C1036" s="105"/>
      <c r="D1036" s="104"/>
      <c r="F1036" s="106"/>
      <c r="G1036" s="104"/>
      <c r="H1036" s="106"/>
      <c r="I1036" s="106"/>
      <c r="J1036" s="101" t="str">
        <f t="shared" ca="1" si="16"/>
        <v/>
      </c>
    </row>
    <row r="1037" spans="1:10">
      <c r="A1037" s="103"/>
      <c r="B1037" s="104"/>
      <c r="C1037" s="105"/>
      <c r="D1037" s="104"/>
      <c r="F1037" s="106"/>
      <c r="G1037" s="104"/>
      <c r="H1037" s="106"/>
      <c r="I1037" s="106"/>
      <c r="J1037" s="101" t="str">
        <f t="shared" ca="1" si="16"/>
        <v/>
      </c>
    </row>
    <row r="1038" spans="1:10">
      <c r="A1038" s="103"/>
      <c r="B1038" s="104"/>
      <c r="C1038" s="105"/>
      <c r="D1038" s="104"/>
      <c r="F1038" s="106"/>
      <c r="G1038" s="104"/>
      <c r="H1038" s="106"/>
      <c r="I1038" s="106"/>
      <c r="J1038" s="101" t="str">
        <f t="shared" ca="1" si="16"/>
        <v/>
      </c>
    </row>
    <row r="1039" spans="1:10">
      <c r="A1039" s="103"/>
      <c r="B1039" s="104"/>
      <c r="C1039" s="105"/>
      <c r="D1039" s="104"/>
      <c r="F1039" s="106"/>
      <c r="G1039" s="104"/>
      <c r="H1039" s="106"/>
      <c r="I1039" s="106"/>
      <c r="J1039" s="101" t="str">
        <f t="shared" ca="1" si="16"/>
        <v/>
      </c>
    </row>
    <row r="1040" spans="1:10">
      <c r="A1040" s="103"/>
      <c r="B1040" s="104"/>
      <c r="C1040" s="105"/>
      <c r="D1040" s="104"/>
      <c r="F1040" s="106"/>
      <c r="G1040" s="104"/>
      <c r="H1040" s="106"/>
      <c r="I1040" s="106"/>
      <c r="J1040" s="101" t="str">
        <f t="shared" ca="1" si="16"/>
        <v/>
      </c>
    </row>
    <row r="1041" spans="1:10">
      <c r="A1041" s="103"/>
      <c r="B1041" s="104"/>
      <c r="C1041" s="105"/>
      <c r="D1041" s="104"/>
      <c r="F1041" s="106"/>
      <c r="G1041" s="104"/>
      <c r="H1041" s="106"/>
      <c r="I1041" s="106"/>
      <c r="J1041" s="101" t="str">
        <f t="shared" ca="1" si="16"/>
        <v/>
      </c>
    </row>
    <row r="1042" spans="1:10">
      <c r="A1042" s="103"/>
      <c r="B1042" s="104"/>
      <c r="C1042" s="105"/>
      <c r="D1042" s="104"/>
      <c r="F1042" s="106"/>
      <c r="G1042" s="104"/>
      <c r="H1042" s="106"/>
      <c r="I1042" s="106"/>
      <c r="J1042" s="101" t="str">
        <f t="shared" ca="1" si="16"/>
        <v/>
      </c>
    </row>
    <row r="1043" spans="1:10">
      <c r="A1043" s="103"/>
      <c r="B1043" s="104"/>
      <c r="C1043" s="105"/>
      <c r="D1043" s="104"/>
      <c r="F1043" s="106"/>
      <c r="G1043" s="104"/>
      <c r="H1043" s="106"/>
      <c r="I1043" s="106"/>
      <c r="J1043" s="101" t="str">
        <f t="shared" ca="1" si="16"/>
        <v/>
      </c>
    </row>
    <row r="1044" spans="1:10">
      <c r="A1044" s="103"/>
      <c r="B1044" s="104"/>
      <c r="C1044" s="105"/>
      <c r="D1044" s="104"/>
      <c r="F1044" s="106"/>
      <c r="G1044" s="104"/>
      <c r="H1044" s="106"/>
      <c r="I1044" s="106"/>
      <c r="J1044" s="101" t="str">
        <f t="shared" ca="1" si="16"/>
        <v/>
      </c>
    </row>
    <row r="1045" spans="1:10">
      <c r="A1045" s="103"/>
      <c r="B1045" s="104"/>
      <c r="C1045" s="105"/>
      <c r="D1045" s="104"/>
      <c r="F1045" s="106"/>
      <c r="G1045" s="104"/>
      <c r="H1045" s="106"/>
      <c r="I1045" s="106"/>
      <c r="J1045" s="101" t="str">
        <f t="shared" ca="1" si="16"/>
        <v/>
      </c>
    </row>
    <row r="1046" spans="1:10">
      <c r="A1046" s="103"/>
      <c r="B1046" s="104"/>
      <c r="C1046" s="105"/>
      <c r="D1046" s="104"/>
      <c r="F1046" s="106"/>
      <c r="G1046" s="104"/>
      <c r="H1046" s="106"/>
      <c r="I1046" s="106"/>
      <c r="J1046" s="101" t="str">
        <f t="shared" ca="1" si="16"/>
        <v/>
      </c>
    </row>
    <row r="1047" spans="1:10">
      <c r="A1047" s="103"/>
      <c r="B1047" s="104"/>
      <c r="C1047" s="105"/>
      <c r="D1047" s="104"/>
      <c r="F1047" s="106"/>
      <c r="G1047" s="104"/>
      <c r="H1047" s="106"/>
      <c r="I1047" s="106"/>
      <c r="J1047" s="101" t="str">
        <f t="shared" ca="1" si="16"/>
        <v/>
      </c>
    </row>
    <row r="1048" spans="1:10">
      <c r="A1048" s="103"/>
      <c r="B1048" s="104"/>
      <c r="C1048" s="105"/>
      <c r="D1048" s="104"/>
      <c r="F1048" s="106"/>
      <c r="G1048" s="104"/>
      <c r="H1048" s="106"/>
      <c r="I1048" s="106"/>
      <c r="J1048" s="101" t="str">
        <f t="shared" ca="1" si="16"/>
        <v/>
      </c>
    </row>
    <row r="1049" spans="1:10">
      <c r="A1049" s="103"/>
      <c r="B1049" s="104"/>
      <c r="C1049" s="105"/>
      <c r="D1049" s="104"/>
      <c r="F1049" s="106"/>
      <c r="G1049" s="104"/>
      <c r="H1049" s="106"/>
      <c r="I1049" s="106"/>
      <c r="J1049" s="101" t="str">
        <f t="shared" ca="1" si="16"/>
        <v/>
      </c>
    </row>
    <row r="1050" spans="1:10">
      <c r="A1050" s="103"/>
      <c r="B1050" s="104"/>
      <c r="C1050" s="105"/>
      <c r="D1050" s="104"/>
      <c r="F1050" s="106"/>
      <c r="G1050" s="104"/>
      <c r="H1050" s="106"/>
      <c r="I1050" s="106"/>
      <c r="J1050" s="101" t="str">
        <f t="shared" ca="1" si="16"/>
        <v/>
      </c>
    </row>
    <row r="1051" spans="1:10">
      <c r="A1051" s="103"/>
      <c r="B1051" s="104"/>
      <c r="C1051" s="105"/>
      <c r="D1051" s="104"/>
      <c r="F1051" s="106"/>
      <c r="G1051" s="104"/>
      <c r="H1051" s="106"/>
      <c r="I1051" s="106"/>
      <c r="J1051" s="101" t="str">
        <f t="shared" ca="1" si="16"/>
        <v/>
      </c>
    </row>
    <row r="1052" spans="1:10">
      <c r="A1052" s="103"/>
      <c r="B1052" s="104"/>
      <c r="C1052" s="105"/>
      <c r="D1052" s="104"/>
      <c r="F1052" s="106"/>
      <c r="G1052" s="104"/>
      <c r="H1052" s="106"/>
      <c r="I1052" s="106"/>
      <c r="J1052" s="101" t="str">
        <f t="shared" ca="1" si="16"/>
        <v/>
      </c>
    </row>
    <row r="1053" spans="1:10">
      <c r="A1053" s="103"/>
      <c r="B1053" s="104"/>
      <c r="C1053" s="105"/>
      <c r="D1053" s="104"/>
      <c r="F1053" s="106"/>
      <c r="G1053" s="104"/>
      <c r="H1053" s="106"/>
      <c r="I1053" s="106"/>
      <c r="J1053" s="101" t="str">
        <f t="shared" ca="1" si="16"/>
        <v/>
      </c>
    </row>
    <row r="1054" spans="1:10">
      <c r="A1054" s="103"/>
      <c r="B1054" s="104"/>
      <c r="C1054" s="105"/>
      <c r="D1054" s="104"/>
      <c r="F1054" s="106"/>
      <c r="G1054" s="104"/>
      <c r="H1054" s="106"/>
      <c r="I1054" s="106"/>
      <c r="J1054" s="101" t="str">
        <f t="shared" ca="1" si="16"/>
        <v/>
      </c>
    </row>
    <row r="1055" spans="1:10">
      <c r="A1055" s="103"/>
      <c r="B1055" s="104"/>
      <c r="C1055" s="105"/>
      <c r="D1055" s="104"/>
      <c r="F1055" s="106"/>
      <c r="G1055" s="104"/>
      <c r="H1055" s="106"/>
      <c r="I1055" s="106"/>
      <c r="J1055" s="101" t="str">
        <f t="shared" ca="1" si="16"/>
        <v/>
      </c>
    </row>
    <row r="1056" spans="1:10">
      <c r="A1056" s="103"/>
      <c r="B1056" s="104"/>
      <c r="C1056" s="105"/>
      <c r="D1056" s="104"/>
      <c r="F1056" s="106"/>
      <c r="G1056" s="104"/>
      <c r="H1056" s="106"/>
      <c r="I1056" s="106"/>
      <c r="J1056" s="101" t="str">
        <f t="shared" ca="1" si="16"/>
        <v/>
      </c>
    </row>
    <row r="1057" spans="1:10">
      <c r="A1057" s="103"/>
      <c r="B1057" s="104"/>
      <c r="C1057" s="105"/>
      <c r="D1057" s="104"/>
      <c r="F1057" s="106"/>
      <c r="G1057" s="104"/>
      <c r="H1057" s="106"/>
      <c r="I1057" s="106"/>
      <c r="J1057" s="101" t="str">
        <f t="shared" ca="1" si="16"/>
        <v/>
      </c>
    </row>
    <row r="1058" spans="1:10">
      <c r="A1058" s="103"/>
      <c r="B1058" s="104"/>
      <c r="C1058" s="105"/>
      <c r="D1058" s="104"/>
      <c r="F1058" s="106"/>
      <c r="G1058" s="104"/>
      <c r="H1058" s="106"/>
      <c r="I1058" s="106"/>
      <c r="J1058" s="101" t="str">
        <f t="shared" ca="1" si="16"/>
        <v/>
      </c>
    </row>
    <row r="1059" spans="1:10">
      <c r="A1059" s="103"/>
      <c r="B1059" s="104"/>
      <c r="C1059" s="105"/>
      <c r="D1059" s="104"/>
      <c r="F1059" s="106"/>
      <c r="G1059" s="104"/>
      <c r="H1059" s="106"/>
      <c r="I1059" s="106"/>
      <c r="J1059" s="101" t="str">
        <f t="shared" ca="1" si="16"/>
        <v/>
      </c>
    </row>
    <row r="1060" spans="1:10">
      <c r="A1060" s="103"/>
      <c r="B1060" s="104"/>
      <c r="C1060" s="105"/>
      <c r="D1060" s="104"/>
      <c r="F1060" s="106"/>
      <c r="G1060" s="104"/>
      <c r="H1060" s="106"/>
      <c r="I1060" s="106"/>
      <c r="J1060" s="101" t="str">
        <f t="shared" ca="1" si="16"/>
        <v/>
      </c>
    </row>
    <row r="1061" spans="1:10">
      <c r="A1061" s="103"/>
      <c r="B1061" s="104"/>
      <c r="C1061" s="105"/>
      <c r="D1061" s="104"/>
      <c r="F1061" s="106"/>
      <c r="G1061" s="104"/>
      <c r="H1061" s="106"/>
      <c r="I1061" s="106"/>
      <c r="J1061" s="101" t="str">
        <f t="shared" ca="1" si="16"/>
        <v/>
      </c>
    </row>
    <row r="1062" spans="1:10">
      <c r="A1062" s="103"/>
      <c r="B1062" s="104"/>
      <c r="C1062" s="105"/>
      <c r="D1062" s="104"/>
      <c r="F1062" s="106"/>
      <c r="G1062" s="104"/>
      <c r="H1062" s="106"/>
      <c r="I1062" s="106"/>
      <c r="J1062" s="101" t="str">
        <f t="shared" ca="1" si="16"/>
        <v/>
      </c>
    </row>
    <row r="1063" spans="1:10">
      <c r="A1063" s="103"/>
      <c r="B1063" s="104"/>
      <c r="C1063" s="105"/>
      <c r="D1063" s="104"/>
      <c r="F1063" s="106"/>
      <c r="G1063" s="104"/>
      <c r="H1063" s="106"/>
      <c r="I1063" s="106"/>
      <c r="J1063" s="101" t="str">
        <f t="shared" ca="1" si="16"/>
        <v/>
      </c>
    </row>
    <row r="1064" spans="1:10">
      <c r="A1064" s="103"/>
      <c r="B1064" s="104"/>
      <c r="C1064" s="105"/>
      <c r="D1064" s="104"/>
      <c r="F1064" s="106"/>
      <c r="G1064" s="104"/>
      <c r="H1064" s="106"/>
      <c r="I1064" s="106"/>
      <c r="J1064" s="101" t="str">
        <f t="shared" ca="1" si="16"/>
        <v/>
      </c>
    </row>
    <row r="1065" spans="1:10">
      <c r="A1065" s="103"/>
      <c r="B1065" s="104"/>
      <c r="C1065" s="105"/>
      <c r="D1065" s="104"/>
      <c r="F1065" s="106"/>
      <c r="G1065" s="104"/>
      <c r="H1065" s="106"/>
      <c r="I1065" s="106"/>
      <c r="J1065" s="101" t="str">
        <f t="shared" ca="1" si="16"/>
        <v/>
      </c>
    </row>
    <row r="1066" spans="1:10">
      <c r="A1066" s="103"/>
      <c r="B1066" s="104"/>
      <c r="C1066" s="105"/>
      <c r="D1066" s="104"/>
      <c r="F1066" s="106"/>
      <c r="G1066" s="104"/>
      <c r="H1066" s="106"/>
      <c r="I1066" s="106"/>
      <c r="J1066" s="101" t="str">
        <f t="shared" ca="1" si="16"/>
        <v/>
      </c>
    </row>
    <row r="1067" spans="1:10">
      <c r="A1067" s="103"/>
      <c r="B1067" s="104"/>
      <c r="C1067" s="105"/>
      <c r="D1067" s="104"/>
      <c r="F1067" s="106"/>
      <c r="G1067" s="104"/>
      <c r="H1067" s="106"/>
      <c r="I1067" s="106"/>
      <c r="J1067" s="101" t="str">
        <f t="shared" ca="1" si="16"/>
        <v/>
      </c>
    </row>
    <row r="1068" spans="1:10">
      <c r="A1068" s="103"/>
      <c r="B1068" s="104"/>
      <c r="C1068" s="105"/>
      <c r="D1068" s="104"/>
      <c r="F1068" s="106"/>
      <c r="G1068" s="104"/>
      <c r="H1068" s="106"/>
      <c r="I1068" s="106"/>
      <c r="J1068" s="101" t="str">
        <f t="shared" ca="1" si="16"/>
        <v/>
      </c>
    </row>
    <row r="1069" spans="1:10">
      <c r="A1069" s="103"/>
      <c r="B1069" s="104"/>
      <c r="C1069" s="105"/>
      <c r="D1069" s="104"/>
      <c r="F1069" s="106"/>
      <c r="G1069" s="104"/>
      <c r="H1069" s="106"/>
      <c r="I1069" s="106"/>
      <c r="J1069" s="101" t="str">
        <f t="shared" ca="1" si="16"/>
        <v/>
      </c>
    </row>
    <row r="1070" spans="1:10">
      <c r="A1070" s="103"/>
      <c r="B1070" s="104"/>
      <c r="C1070" s="105"/>
      <c r="D1070" s="104"/>
      <c r="F1070" s="106"/>
      <c r="G1070" s="104"/>
      <c r="H1070" s="106"/>
      <c r="I1070" s="106"/>
      <c r="J1070" s="101" t="str">
        <f t="shared" ca="1" si="16"/>
        <v/>
      </c>
    </row>
    <row r="1071" spans="1:10">
      <c r="A1071" s="103"/>
      <c r="B1071" s="104"/>
      <c r="C1071" s="105"/>
      <c r="D1071" s="104"/>
      <c r="F1071" s="106"/>
      <c r="G1071" s="104"/>
      <c r="H1071" s="106"/>
      <c r="I1071" s="106"/>
      <c r="J1071" s="101" t="str">
        <f t="shared" ca="1" si="16"/>
        <v/>
      </c>
    </row>
    <row r="1072" spans="1:10">
      <c r="A1072" s="103"/>
      <c r="B1072" s="104"/>
      <c r="C1072" s="105"/>
      <c r="D1072" s="104"/>
      <c r="F1072" s="106"/>
      <c r="G1072" s="104"/>
      <c r="H1072" s="106"/>
      <c r="I1072" s="106"/>
      <c r="J1072" s="101" t="str">
        <f t="shared" ca="1" si="16"/>
        <v/>
      </c>
    </row>
    <row r="1073" spans="1:10">
      <c r="A1073" s="103"/>
      <c r="B1073" s="104"/>
      <c r="C1073" s="105"/>
      <c r="D1073" s="104"/>
      <c r="F1073" s="106"/>
      <c r="G1073" s="104"/>
      <c r="H1073" s="106"/>
      <c r="I1073" s="106"/>
      <c r="J1073" s="101" t="str">
        <f t="shared" ca="1" si="16"/>
        <v/>
      </c>
    </row>
    <row r="1074" spans="1:10">
      <c r="A1074" s="103"/>
      <c r="B1074" s="104"/>
      <c r="C1074" s="105"/>
      <c r="D1074" s="104"/>
      <c r="F1074" s="106"/>
      <c r="G1074" s="104"/>
      <c r="H1074" s="106"/>
      <c r="I1074" s="106"/>
      <c r="J1074" s="101" t="str">
        <f t="shared" ca="1" si="16"/>
        <v/>
      </c>
    </row>
    <row r="1075" spans="1:10">
      <c r="A1075" s="103"/>
      <c r="B1075" s="104"/>
      <c r="C1075" s="105"/>
      <c r="D1075" s="104"/>
      <c r="F1075" s="106"/>
      <c r="G1075" s="104"/>
      <c r="H1075" s="106"/>
      <c r="I1075" s="106"/>
      <c r="J1075" s="101" t="str">
        <f t="shared" ca="1" si="16"/>
        <v/>
      </c>
    </row>
    <row r="1076" spans="1:10">
      <c r="A1076" s="103"/>
      <c r="B1076" s="104"/>
      <c r="C1076" s="105"/>
      <c r="D1076" s="104"/>
      <c r="F1076" s="106"/>
      <c r="G1076" s="104"/>
      <c r="H1076" s="106"/>
      <c r="I1076" s="106"/>
      <c r="J1076" s="101" t="str">
        <f t="shared" ca="1" si="16"/>
        <v/>
      </c>
    </row>
    <row r="1077" spans="1:10">
      <c r="A1077" s="103"/>
      <c r="B1077" s="104"/>
      <c r="C1077" s="105"/>
      <c r="D1077" s="104"/>
      <c r="F1077" s="106"/>
      <c r="G1077" s="104"/>
      <c r="H1077" s="106"/>
      <c r="I1077" s="106"/>
      <c r="J1077" s="101" t="str">
        <f t="shared" ca="1" si="16"/>
        <v/>
      </c>
    </row>
    <row r="1078" spans="1:10">
      <c r="A1078" s="103"/>
      <c r="B1078" s="104"/>
      <c r="C1078" s="105"/>
      <c r="D1078" s="104"/>
      <c r="F1078" s="106"/>
      <c r="G1078" s="104"/>
      <c r="H1078" s="106"/>
      <c r="I1078" s="106"/>
      <c r="J1078" s="101" t="str">
        <f t="shared" ca="1" si="16"/>
        <v/>
      </c>
    </row>
    <row r="1079" spans="1:10">
      <c r="A1079" s="103"/>
      <c r="B1079" s="104"/>
      <c r="C1079" s="105"/>
      <c r="D1079" s="104"/>
      <c r="F1079" s="106"/>
      <c r="G1079" s="104"/>
      <c r="H1079" s="106"/>
      <c r="I1079" s="106"/>
      <c r="J1079" s="101" t="str">
        <f t="shared" ca="1" si="16"/>
        <v/>
      </c>
    </row>
    <row r="1080" spans="1:10">
      <c r="A1080" s="103"/>
      <c r="B1080" s="104"/>
      <c r="C1080" s="105"/>
      <c r="D1080" s="104"/>
      <c r="F1080" s="106"/>
      <c r="G1080" s="104"/>
      <c r="H1080" s="106"/>
      <c r="I1080" s="106"/>
      <c r="J1080" s="101" t="str">
        <f t="shared" ca="1" si="16"/>
        <v/>
      </c>
    </row>
    <row r="1081" spans="1:10">
      <c r="A1081" s="103"/>
      <c r="B1081" s="104"/>
      <c r="C1081" s="105"/>
      <c r="D1081" s="104"/>
      <c r="F1081" s="106"/>
      <c r="G1081" s="104"/>
      <c r="H1081" s="106"/>
      <c r="I1081" s="106"/>
      <c r="J1081" s="101" t="str">
        <f t="shared" ca="1" si="16"/>
        <v/>
      </c>
    </row>
    <row r="1082" spans="1:10">
      <c r="A1082" s="103"/>
      <c r="B1082" s="104"/>
      <c r="C1082" s="105"/>
      <c r="D1082" s="104"/>
      <c r="F1082" s="106"/>
      <c r="G1082" s="104"/>
      <c r="H1082" s="106"/>
      <c r="I1082" s="106"/>
      <c r="J1082" s="101" t="str">
        <f t="shared" ca="1" si="16"/>
        <v/>
      </c>
    </row>
    <row r="1083" spans="1:10">
      <c r="A1083" s="103"/>
      <c r="B1083" s="104"/>
      <c r="C1083" s="105"/>
      <c r="D1083" s="104"/>
      <c r="F1083" s="106"/>
      <c r="G1083" s="104"/>
      <c r="H1083" s="106"/>
      <c r="I1083" s="106"/>
      <c r="J1083" s="101" t="str">
        <f t="shared" ca="1" si="16"/>
        <v/>
      </c>
    </row>
    <row r="1084" spans="1:10">
      <c r="A1084" s="103"/>
      <c r="B1084" s="104"/>
      <c r="C1084" s="105"/>
      <c r="D1084" s="104"/>
      <c r="F1084" s="106"/>
      <c r="G1084" s="104"/>
      <c r="H1084" s="106"/>
      <c r="I1084" s="106"/>
      <c r="J1084" s="101" t="str">
        <f t="shared" ca="1" si="16"/>
        <v/>
      </c>
    </row>
    <row r="1085" spans="1:10">
      <c r="A1085" s="103"/>
      <c r="B1085" s="104"/>
      <c r="C1085" s="105"/>
      <c r="D1085" s="104"/>
      <c r="F1085" s="106"/>
      <c r="G1085" s="104"/>
      <c r="H1085" s="106"/>
      <c r="I1085" s="106"/>
      <c r="J1085" s="101" t="str">
        <f t="shared" ca="1" si="16"/>
        <v/>
      </c>
    </row>
    <row r="1086" spans="1:10">
      <c r="A1086" s="103"/>
      <c r="B1086" s="104"/>
      <c r="C1086" s="105"/>
      <c r="D1086" s="104"/>
      <c r="F1086" s="106"/>
      <c r="G1086" s="104"/>
      <c r="H1086" s="106"/>
      <c r="I1086" s="106"/>
      <c r="J1086" s="101" t="str">
        <f t="shared" ca="1" si="16"/>
        <v/>
      </c>
    </row>
    <row r="1087" spans="1:10">
      <c r="A1087" s="103"/>
      <c r="B1087" s="104"/>
      <c r="C1087" s="105"/>
      <c r="D1087" s="104"/>
      <c r="F1087" s="106"/>
      <c r="G1087" s="104"/>
      <c r="H1087" s="106"/>
      <c r="I1087" s="106"/>
      <c r="J1087" s="101" t="str">
        <f t="shared" ca="1" si="16"/>
        <v/>
      </c>
    </row>
    <row r="1088" spans="1:10">
      <c r="A1088" s="103"/>
      <c r="B1088" s="104"/>
      <c r="C1088" s="105"/>
      <c r="D1088" s="104"/>
      <c r="F1088" s="106"/>
      <c r="G1088" s="104"/>
      <c r="H1088" s="106"/>
      <c r="I1088" s="106"/>
      <c r="J1088" s="101" t="str">
        <f t="shared" ca="1" si="16"/>
        <v/>
      </c>
    </row>
    <row r="1089" spans="1:10">
      <c r="A1089" s="103"/>
      <c r="B1089" s="104"/>
      <c r="C1089" s="105"/>
      <c r="D1089" s="104"/>
      <c r="F1089" s="106"/>
      <c r="G1089" s="104"/>
      <c r="H1089" s="106"/>
      <c r="I1089" s="106"/>
      <c r="J1089" s="101" t="str">
        <f t="shared" ca="1" si="16"/>
        <v/>
      </c>
    </row>
    <row r="1090" spans="1:10">
      <c r="A1090" s="103"/>
      <c r="B1090" s="104"/>
      <c r="C1090" s="105"/>
      <c r="D1090" s="104"/>
      <c r="F1090" s="106"/>
      <c r="G1090" s="104"/>
      <c r="H1090" s="106"/>
      <c r="I1090" s="106"/>
      <c r="J1090" s="101" t="str">
        <f t="shared" ca="1" si="16"/>
        <v/>
      </c>
    </row>
    <row r="1091" spans="1:10">
      <c r="A1091" s="103"/>
      <c r="B1091" s="104"/>
      <c r="C1091" s="105"/>
      <c r="D1091" s="104"/>
      <c r="F1091" s="106"/>
      <c r="G1091" s="104"/>
      <c r="H1091" s="106"/>
      <c r="I1091" s="106"/>
      <c r="J1091" s="101" t="str">
        <f t="shared" ref="J1091:J1154" ca="1" si="17">_xlfn.LET(
    _xlpm.AllCellsFilled, COUNTA(A1091:I1091) = 9,
    _xlpm.QtyIsInt, AND(ISNUMBER(G1091), G1091=INT(G1091)),
    _xlpm.AvailDateIsValid, AND(ISNUMBER(F1091), F1091&gt;=TODAY()),
    _xlpm.ReqDateIsValid, AND(ISNUMBER(H1091), H1091&gt;=TODAY()),
    _xlpm.EmailIsValid, RIGHT(I1091,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IF(A1091="", "", IF(_xlpm.error_messages = "", "Yes", _xlpm.error_messages))
)</f>
        <v/>
      </c>
    </row>
    <row r="1092" spans="1:10">
      <c r="A1092" s="103"/>
      <c r="B1092" s="104"/>
      <c r="C1092" s="105"/>
      <c r="D1092" s="104"/>
      <c r="F1092" s="106"/>
      <c r="G1092" s="104"/>
      <c r="H1092" s="106"/>
      <c r="I1092" s="106"/>
      <c r="J1092" s="101" t="str">
        <f t="shared" ca="1" si="17"/>
        <v/>
      </c>
    </row>
    <row r="1093" spans="1:10">
      <c r="A1093" s="103"/>
      <c r="B1093" s="104"/>
      <c r="C1093" s="105"/>
      <c r="D1093" s="104"/>
      <c r="F1093" s="106"/>
      <c r="G1093" s="104"/>
      <c r="H1093" s="106"/>
      <c r="I1093" s="106"/>
      <c r="J1093" s="101" t="str">
        <f t="shared" ca="1" si="17"/>
        <v/>
      </c>
    </row>
    <row r="1094" spans="1:10">
      <c r="A1094" s="103"/>
      <c r="B1094" s="104"/>
      <c r="C1094" s="105"/>
      <c r="D1094" s="104"/>
      <c r="F1094" s="106"/>
      <c r="G1094" s="104"/>
      <c r="H1094" s="106"/>
      <c r="I1094" s="106"/>
      <c r="J1094" s="101" t="str">
        <f t="shared" ca="1" si="17"/>
        <v/>
      </c>
    </row>
    <row r="1095" spans="1:10">
      <c r="A1095" s="103"/>
      <c r="B1095" s="104"/>
      <c r="C1095" s="105"/>
      <c r="D1095" s="104"/>
      <c r="F1095" s="106"/>
      <c r="G1095" s="104"/>
      <c r="H1095" s="106"/>
      <c r="I1095" s="106"/>
      <c r="J1095" s="101" t="str">
        <f t="shared" ca="1" si="17"/>
        <v/>
      </c>
    </row>
    <row r="1096" spans="1:10">
      <c r="A1096" s="103"/>
      <c r="B1096" s="104"/>
      <c r="C1096" s="105"/>
      <c r="D1096" s="104"/>
      <c r="F1096" s="106"/>
      <c r="G1096" s="104"/>
      <c r="H1096" s="106"/>
      <c r="I1096" s="106"/>
      <c r="J1096" s="101" t="str">
        <f t="shared" ca="1" si="17"/>
        <v/>
      </c>
    </row>
    <row r="1097" spans="1:10">
      <c r="A1097" s="103"/>
      <c r="B1097" s="104"/>
      <c r="C1097" s="105"/>
      <c r="D1097" s="104"/>
      <c r="F1097" s="106"/>
      <c r="G1097" s="104"/>
      <c r="H1097" s="106"/>
      <c r="I1097" s="106"/>
      <c r="J1097" s="101" t="str">
        <f t="shared" ca="1" si="17"/>
        <v/>
      </c>
    </row>
    <row r="1098" spans="1:10">
      <c r="A1098" s="103"/>
      <c r="B1098" s="104"/>
      <c r="C1098" s="105"/>
      <c r="D1098" s="104"/>
      <c r="F1098" s="106"/>
      <c r="G1098" s="104"/>
      <c r="H1098" s="106"/>
      <c r="I1098" s="106"/>
      <c r="J1098" s="101" t="str">
        <f t="shared" ca="1" si="17"/>
        <v/>
      </c>
    </row>
    <row r="1099" spans="1:10">
      <c r="A1099" s="103"/>
      <c r="B1099" s="104"/>
      <c r="C1099" s="105"/>
      <c r="D1099" s="104"/>
      <c r="F1099" s="106"/>
      <c r="G1099" s="104"/>
      <c r="H1099" s="106"/>
      <c r="I1099" s="106"/>
      <c r="J1099" s="101" t="str">
        <f t="shared" ca="1" si="17"/>
        <v/>
      </c>
    </row>
    <row r="1100" spans="1:10">
      <c r="A1100" s="103"/>
      <c r="B1100" s="104"/>
      <c r="C1100" s="105"/>
      <c r="D1100" s="104"/>
      <c r="F1100" s="106"/>
      <c r="G1100" s="104"/>
      <c r="H1100" s="106"/>
      <c r="I1100" s="106"/>
      <c r="J1100" s="101" t="str">
        <f t="shared" ca="1" si="17"/>
        <v/>
      </c>
    </row>
    <row r="1101" spans="1:10">
      <c r="A1101" s="103"/>
      <c r="B1101" s="104"/>
      <c r="C1101" s="105"/>
      <c r="D1101" s="104"/>
      <c r="F1101" s="106"/>
      <c r="G1101" s="104"/>
      <c r="H1101" s="106"/>
      <c r="I1101" s="106"/>
      <c r="J1101" s="101" t="str">
        <f t="shared" ca="1" si="17"/>
        <v/>
      </c>
    </row>
    <row r="1102" spans="1:10">
      <c r="A1102" s="103"/>
      <c r="B1102" s="104"/>
      <c r="C1102" s="105"/>
      <c r="D1102" s="104"/>
      <c r="F1102" s="106"/>
      <c r="G1102" s="104"/>
      <c r="H1102" s="106"/>
      <c r="I1102" s="106"/>
      <c r="J1102" s="101" t="str">
        <f t="shared" ca="1" si="17"/>
        <v/>
      </c>
    </row>
    <row r="1103" spans="1:10">
      <c r="A1103" s="103"/>
      <c r="B1103" s="104"/>
      <c r="C1103" s="105"/>
      <c r="D1103" s="104"/>
      <c r="F1103" s="106"/>
      <c r="G1103" s="104"/>
      <c r="H1103" s="106"/>
      <c r="I1103" s="106"/>
      <c r="J1103" s="101" t="str">
        <f t="shared" ca="1" si="17"/>
        <v/>
      </c>
    </row>
    <row r="1104" spans="1:10">
      <c r="A1104" s="103"/>
      <c r="B1104" s="104"/>
      <c r="C1104" s="105"/>
      <c r="D1104" s="104"/>
      <c r="F1104" s="106"/>
      <c r="G1104" s="104"/>
      <c r="H1104" s="106"/>
      <c r="I1104" s="106"/>
      <c r="J1104" s="101" t="str">
        <f t="shared" ca="1" si="17"/>
        <v/>
      </c>
    </row>
    <row r="1105" spans="1:10">
      <c r="A1105" s="103"/>
      <c r="B1105" s="104"/>
      <c r="C1105" s="105"/>
      <c r="D1105" s="104"/>
      <c r="F1105" s="106"/>
      <c r="G1105" s="104"/>
      <c r="H1105" s="106"/>
      <c r="I1105" s="106"/>
      <c r="J1105" s="101" t="str">
        <f t="shared" ca="1" si="17"/>
        <v/>
      </c>
    </row>
    <row r="1106" spans="1:10">
      <c r="A1106" s="103"/>
      <c r="B1106" s="104"/>
      <c r="C1106" s="105"/>
      <c r="D1106" s="104"/>
      <c r="F1106" s="106"/>
      <c r="G1106" s="104"/>
      <c r="H1106" s="106"/>
      <c r="I1106" s="106"/>
      <c r="J1106" s="101" t="str">
        <f t="shared" ca="1" si="17"/>
        <v/>
      </c>
    </row>
    <row r="1107" spans="1:10">
      <c r="A1107" s="103"/>
      <c r="B1107" s="104"/>
      <c r="C1107" s="105"/>
      <c r="D1107" s="104"/>
      <c r="F1107" s="106"/>
      <c r="G1107" s="104"/>
      <c r="H1107" s="106"/>
      <c r="I1107" s="106"/>
      <c r="J1107" s="101" t="str">
        <f t="shared" ca="1" si="17"/>
        <v/>
      </c>
    </row>
    <row r="1108" spans="1:10">
      <c r="A1108" s="103"/>
      <c r="B1108" s="104"/>
      <c r="C1108" s="105"/>
      <c r="D1108" s="104"/>
      <c r="F1108" s="106"/>
      <c r="G1108" s="104"/>
      <c r="H1108" s="106"/>
      <c r="I1108" s="106"/>
      <c r="J1108" s="101" t="str">
        <f t="shared" ca="1" si="17"/>
        <v/>
      </c>
    </row>
    <row r="1109" spans="1:10">
      <c r="A1109" s="103"/>
      <c r="B1109" s="104"/>
      <c r="C1109" s="105"/>
      <c r="D1109" s="104"/>
      <c r="F1109" s="106"/>
      <c r="G1109" s="104"/>
      <c r="H1109" s="106"/>
      <c r="I1109" s="106"/>
      <c r="J1109" s="101" t="str">
        <f t="shared" ca="1" si="17"/>
        <v/>
      </c>
    </row>
    <row r="1110" spans="1:10">
      <c r="A1110" s="103"/>
      <c r="B1110" s="104"/>
      <c r="C1110" s="105"/>
      <c r="D1110" s="104"/>
      <c r="F1110" s="106"/>
      <c r="G1110" s="104"/>
      <c r="H1110" s="106"/>
      <c r="I1110" s="106"/>
      <c r="J1110" s="101" t="str">
        <f t="shared" ca="1" si="17"/>
        <v/>
      </c>
    </row>
    <row r="1111" spans="1:10">
      <c r="A1111" s="103"/>
      <c r="B1111" s="104"/>
      <c r="C1111" s="105"/>
      <c r="D1111" s="104"/>
      <c r="F1111" s="106"/>
      <c r="G1111" s="104"/>
      <c r="H1111" s="106"/>
      <c r="I1111" s="106"/>
      <c r="J1111" s="101" t="str">
        <f t="shared" ca="1" si="17"/>
        <v/>
      </c>
    </row>
    <row r="1112" spans="1:10">
      <c r="A1112" s="103"/>
      <c r="B1112" s="104"/>
      <c r="C1112" s="105"/>
      <c r="D1112" s="104"/>
      <c r="F1112" s="106"/>
      <c r="G1112" s="104"/>
      <c r="H1112" s="106"/>
      <c r="I1112" s="106"/>
      <c r="J1112" s="101" t="str">
        <f t="shared" ca="1" si="17"/>
        <v/>
      </c>
    </row>
    <row r="1113" spans="1:10">
      <c r="A1113" s="103"/>
      <c r="B1113" s="104"/>
      <c r="C1113" s="105"/>
      <c r="D1113" s="104"/>
      <c r="F1113" s="106"/>
      <c r="G1113" s="104"/>
      <c r="H1113" s="106"/>
      <c r="I1113" s="106"/>
      <c r="J1113" s="101" t="str">
        <f t="shared" ca="1" si="17"/>
        <v/>
      </c>
    </row>
    <row r="1114" spans="1:10">
      <c r="A1114" s="103"/>
      <c r="B1114" s="104"/>
      <c r="C1114" s="105"/>
      <c r="D1114" s="104"/>
      <c r="F1114" s="106"/>
      <c r="G1114" s="104"/>
      <c r="H1114" s="106"/>
      <c r="I1114" s="106"/>
      <c r="J1114" s="101" t="str">
        <f t="shared" ca="1" si="17"/>
        <v/>
      </c>
    </row>
    <row r="1115" spans="1:10">
      <c r="A1115" s="103"/>
      <c r="B1115" s="104"/>
      <c r="C1115" s="105"/>
      <c r="D1115" s="104"/>
      <c r="F1115" s="106"/>
      <c r="G1115" s="104"/>
      <c r="H1115" s="106"/>
      <c r="I1115" s="106"/>
      <c r="J1115" s="101" t="str">
        <f t="shared" ca="1" si="17"/>
        <v/>
      </c>
    </row>
    <row r="1116" spans="1:10">
      <c r="A1116" s="103"/>
      <c r="B1116" s="104"/>
      <c r="C1116" s="105"/>
      <c r="D1116" s="104"/>
      <c r="F1116" s="106"/>
      <c r="G1116" s="104"/>
      <c r="H1116" s="106"/>
      <c r="I1116" s="106"/>
      <c r="J1116" s="101" t="str">
        <f t="shared" ca="1" si="17"/>
        <v/>
      </c>
    </row>
    <row r="1117" spans="1:10">
      <c r="A1117" s="103"/>
      <c r="B1117" s="104"/>
      <c r="C1117" s="105"/>
      <c r="D1117" s="104"/>
      <c r="F1117" s="106"/>
      <c r="G1117" s="104"/>
      <c r="H1117" s="106"/>
      <c r="I1117" s="106"/>
      <c r="J1117" s="101" t="str">
        <f t="shared" ca="1" si="17"/>
        <v/>
      </c>
    </row>
    <row r="1118" spans="1:10">
      <c r="A1118" s="103"/>
      <c r="B1118" s="104"/>
      <c r="C1118" s="105"/>
      <c r="D1118" s="104"/>
      <c r="F1118" s="106"/>
      <c r="G1118" s="104"/>
      <c r="H1118" s="106"/>
      <c r="I1118" s="106"/>
      <c r="J1118" s="101" t="str">
        <f t="shared" ca="1" si="17"/>
        <v/>
      </c>
    </row>
    <row r="1119" spans="1:10">
      <c r="A1119" s="103"/>
      <c r="B1119" s="104"/>
      <c r="C1119" s="105"/>
      <c r="D1119" s="104"/>
      <c r="F1119" s="106"/>
      <c r="G1119" s="104"/>
      <c r="H1119" s="106"/>
      <c r="I1119" s="106"/>
      <c r="J1119" s="101" t="str">
        <f t="shared" ca="1" si="17"/>
        <v/>
      </c>
    </row>
    <row r="1120" spans="1:10">
      <c r="A1120" s="103"/>
      <c r="B1120" s="104"/>
      <c r="C1120" s="105"/>
      <c r="D1120" s="104"/>
      <c r="F1120" s="106"/>
      <c r="G1120" s="104"/>
      <c r="H1120" s="106"/>
      <c r="I1120" s="106"/>
      <c r="J1120" s="101" t="str">
        <f t="shared" ca="1" si="17"/>
        <v/>
      </c>
    </row>
    <row r="1121" spans="1:10">
      <c r="A1121" s="103"/>
      <c r="B1121" s="104"/>
      <c r="C1121" s="105"/>
      <c r="D1121" s="104"/>
      <c r="F1121" s="106"/>
      <c r="G1121" s="104"/>
      <c r="H1121" s="106"/>
      <c r="I1121" s="106"/>
      <c r="J1121" s="101" t="str">
        <f t="shared" ca="1" si="17"/>
        <v/>
      </c>
    </row>
    <row r="1122" spans="1:10">
      <c r="A1122" s="103"/>
      <c r="B1122" s="104"/>
      <c r="C1122" s="105"/>
      <c r="D1122" s="104"/>
      <c r="F1122" s="106"/>
      <c r="G1122" s="104"/>
      <c r="H1122" s="106"/>
      <c r="I1122" s="106"/>
      <c r="J1122" s="101" t="str">
        <f t="shared" ca="1" si="17"/>
        <v/>
      </c>
    </row>
    <row r="1123" spans="1:10">
      <c r="A1123" s="103"/>
      <c r="B1123" s="104"/>
      <c r="C1123" s="105"/>
      <c r="D1123" s="104"/>
      <c r="F1123" s="106"/>
      <c r="G1123" s="104"/>
      <c r="H1123" s="106"/>
      <c r="I1123" s="106"/>
      <c r="J1123" s="101" t="str">
        <f t="shared" ca="1" si="17"/>
        <v/>
      </c>
    </row>
    <row r="1124" spans="1:10">
      <c r="A1124" s="103"/>
      <c r="B1124" s="104"/>
      <c r="C1124" s="105"/>
      <c r="D1124" s="104"/>
      <c r="F1124" s="106"/>
      <c r="G1124" s="104"/>
      <c r="H1124" s="106"/>
      <c r="I1124" s="106"/>
      <c r="J1124" s="101" t="str">
        <f t="shared" ca="1" si="17"/>
        <v/>
      </c>
    </row>
    <row r="1125" spans="1:10">
      <c r="A1125" s="103"/>
      <c r="B1125" s="104"/>
      <c r="C1125" s="105"/>
      <c r="D1125" s="104"/>
      <c r="F1125" s="106"/>
      <c r="G1125" s="104"/>
      <c r="H1125" s="106"/>
      <c r="I1125" s="106"/>
      <c r="J1125" s="101" t="str">
        <f t="shared" ca="1" si="17"/>
        <v/>
      </c>
    </row>
    <row r="1126" spans="1:10">
      <c r="A1126" s="103"/>
      <c r="B1126" s="104"/>
      <c r="C1126" s="105"/>
      <c r="D1126" s="104"/>
      <c r="F1126" s="106"/>
      <c r="G1126" s="104"/>
      <c r="H1126" s="106"/>
      <c r="I1126" s="106"/>
      <c r="J1126" s="101" t="str">
        <f t="shared" ca="1" si="17"/>
        <v/>
      </c>
    </row>
    <row r="1127" spans="1:10">
      <c r="A1127" s="103"/>
      <c r="B1127" s="104"/>
      <c r="C1127" s="105"/>
      <c r="D1127" s="104"/>
      <c r="F1127" s="106"/>
      <c r="G1127" s="104"/>
      <c r="H1127" s="106"/>
      <c r="I1127" s="106"/>
      <c r="J1127" s="101" t="str">
        <f t="shared" ca="1" si="17"/>
        <v/>
      </c>
    </row>
    <row r="1128" spans="1:10">
      <c r="A1128" s="103"/>
      <c r="B1128" s="104"/>
      <c r="C1128" s="105"/>
      <c r="D1128" s="104"/>
      <c r="F1128" s="106"/>
      <c r="G1128" s="104"/>
      <c r="H1128" s="106"/>
      <c r="I1128" s="106"/>
      <c r="J1128" s="101" t="str">
        <f t="shared" ca="1" si="17"/>
        <v/>
      </c>
    </row>
    <row r="1129" spans="1:10">
      <c r="A1129" s="103"/>
      <c r="B1129" s="104"/>
      <c r="C1129" s="105"/>
      <c r="D1129" s="104"/>
      <c r="F1129" s="106"/>
      <c r="G1129" s="104"/>
      <c r="H1129" s="106"/>
      <c r="I1129" s="106"/>
      <c r="J1129" s="101" t="str">
        <f t="shared" ca="1" si="17"/>
        <v/>
      </c>
    </row>
    <row r="1130" spans="1:10">
      <c r="A1130" s="103"/>
      <c r="B1130" s="104"/>
      <c r="C1130" s="105"/>
      <c r="D1130" s="104"/>
      <c r="F1130" s="106"/>
      <c r="G1130" s="104"/>
      <c r="H1130" s="106"/>
      <c r="I1130" s="106"/>
      <c r="J1130" s="101" t="str">
        <f t="shared" ca="1" si="17"/>
        <v/>
      </c>
    </row>
    <row r="1131" spans="1:10">
      <c r="A1131" s="103"/>
      <c r="B1131" s="104"/>
      <c r="C1131" s="105"/>
      <c r="D1131" s="104"/>
      <c r="F1131" s="106"/>
      <c r="G1131" s="104"/>
      <c r="H1131" s="106"/>
      <c r="I1131" s="106"/>
      <c r="J1131" s="101" t="str">
        <f t="shared" ca="1" si="17"/>
        <v/>
      </c>
    </row>
    <row r="1132" spans="1:10">
      <c r="A1132" s="103"/>
      <c r="B1132" s="104"/>
      <c r="C1132" s="105"/>
      <c r="D1132" s="104"/>
      <c r="F1132" s="106"/>
      <c r="G1132" s="104"/>
      <c r="H1132" s="106"/>
      <c r="I1132" s="106"/>
      <c r="J1132" s="101" t="str">
        <f t="shared" ca="1" si="17"/>
        <v/>
      </c>
    </row>
    <row r="1133" spans="1:10">
      <c r="A1133" s="103"/>
      <c r="B1133" s="104"/>
      <c r="C1133" s="105"/>
      <c r="D1133" s="104"/>
      <c r="F1133" s="106"/>
      <c r="G1133" s="104"/>
      <c r="H1133" s="106"/>
      <c r="I1133" s="106"/>
      <c r="J1133" s="101" t="str">
        <f t="shared" ca="1" si="17"/>
        <v/>
      </c>
    </row>
    <row r="1134" spans="1:10">
      <c r="A1134" s="103"/>
      <c r="B1134" s="104"/>
      <c r="C1134" s="105"/>
      <c r="D1134" s="104"/>
      <c r="F1134" s="106"/>
      <c r="G1134" s="104"/>
      <c r="H1134" s="106"/>
      <c r="I1134" s="106"/>
      <c r="J1134" s="101" t="str">
        <f t="shared" ca="1" si="17"/>
        <v/>
      </c>
    </row>
    <row r="1135" spans="1:10">
      <c r="A1135" s="103"/>
      <c r="B1135" s="104"/>
      <c r="C1135" s="105"/>
      <c r="D1135" s="104"/>
      <c r="F1135" s="106"/>
      <c r="G1135" s="104"/>
      <c r="H1135" s="106"/>
      <c r="I1135" s="106"/>
      <c r="J1135" s="101" t="str">
        <f t="shared" ca="1" si="17"/>
        <v/>
      </c>
    </row>
    <row r="1136" spans="1:10">
      <c r="A1136" s="103"/>
      <c r="B1136" s="104"/>
      <c r="C1136" s="105"/>
      <c r="D1136" s="104"/>
      <c r="F1136" s="106"/>
      <c r="G1136" s="104"/>
      <c r="H1136" s="106"/>
      <c r="I1136" s="106"/>
      <c r="J1136" s="101" t="str">
        <f t="shared" ca="1" si="17"/>
        <v/>
      </c>
    </row>
    <row r="1137" spans="1:10">
      <c r="A1137" s="103"/>
      <c r="B1137" s="104"/>
      <c r="C1137" s="105"/>
      <c r="D1137" s="104"/>
      <c r="F1137" s="106"/>
      <c r="G1137" s="104"/>
      <c r="H1137" s="106"/>
      <c r="I1137" s="106"/>
      <c r="J1137" s="101" t="str">
        <f t="shared" ca="1" si="17"/>
        <v/>
      </c>
    </row>
    <row r="1138" spans="1:10">
      <c r="A1138" s="103"/>
      <c r="B1138" s="104"/>
      <c r="C1138" s="105"/>
      <c r="D1138" s="104"/>
      <c r="F1138" s="106"/>
      <c r="G1138" s="104"/>
      <c r="H1138" s="106"/>
      <c r="I1138" s="106"/>
      <c r="J1138" s="101" t="str">
        <f t="shared" ca="1" si="17"/>
        <v/>
      </c>
    </row>
    <row r="1139" spans="1:10">
      <c r="A1139" s="103"/>
      <c r="B1139" s="104"/>
      <c r="C1139" s="105"/>
      <c r="D1139" s="104"/>
      <c r="F1139" s="106"/>
      <c r="G1139" s="104"/>
      <c r="H1139" s="106"/>
      <c r="I1139" s="106"/>
      <c r="J1139" s="101" t="str">
        <f t="shared" ca="1" si="17"/>
        <v/>
      </c>
    </row>
    <row r="1140" spans="1:10">
      <c r="A1140" s="103"/>
      <c r="B1140" s="104"/>
      <c r="C1140" s="105"/>
      <c r="D1140" s="104"/>
      <c r="F1140" s="106"/>
      <c r="G1140" s="104"/>
      <c r="H1140" s="106"/>
      <c r="I1140" s="106"/>
      <c r="J1140" s="101" t="str">
        <f t="shared" ca="1" si="17"/>
        <v/>
      </c>
    </row>
    <row r="1141" spans="1:10">
      <c r="A1141" s="103"/>
      <c r="B1141" s="104"/>
      <c r="C1141" s="105"/>
      <c r="D1141" s="104"/>
      <c r="F1141" s="106"/>
      <c r="G1141" s="104"/>
      <c r="H1141" s="106"/>
      <c r="I1141" s="106"/>
      <c r="J1141" s="101" t="str">
        <f t="shared" ca="1" si="17"/>
        <v/>
      </c>
    </row>
    <row r="1142" spans="1:10">
      <c r="A1142" s="103"/>
      <c r="B1142" s="104"/>
      <c r="C1142" s="105"/>
      <c r="D1142" s="104"/>
      <c r="F1142" s="106"/>
      <c r="G1142" s="104"/>
      <c r="H1142" s="106"/>
      <c r="I1142" s="106"/>
      <c r="J1142" s="101" t="str">
        <f t="shared" ca="1" si="17"/>
        <v/>
      </c>
    </row>
    <row r="1143" spans="1:10">
      <c r="A1143" s="103"/>
      <c r="B1143" s="104"/>
      <c r="C1143" s="105"/>
      <c r="D1143" s="104"/>
      <c r="F1143" s="106"/>
      <c r="G1143" s="104"/>
      <c r="H1143" s="106"/>
      <c r="I1143" s="106"/>
      <c r="J1143" s="101" t="str">
        <f t="shared" ca="1" si="17"/>
        <v/>
      </c>
    </row>
    <row r="1144" spans="1:10">
      <c r="A1144" s="103"/>
      <c r="B1144" s="104"/>
      <c r="C1144" s="105"/>
      <c r="D1144" s="104"/>
      <c r="F1144" s="106"/>
      <c r="G1144" s="104"/>
      <c r="H1144" s="106"/>
      <c r="I1144" s="106"/>
      <c r="J1144" s="101" t="str">
        <f t="shared" ca="1" si="17"/>
        <v/>
      </c>
    </row>
    <row r="1145" spans="1:10">
      <c r="A1145" s="103"/>
      <c r="B1145" s="104"/>
      <c r="C1145" s="105"/>
      <c r="D1145" s="104"/>
      <c r="F1145" s="106"/>
      <c r="G1145" s="104"/>
      <c r="H1145" s="106"/>
      <c r="I1145" s="106"/>
      <c r="J1145" s="101" t="str">
        <f t="shared" ca="1" si="17"/>
        <v/>
      </c>
    </row>
    <row r="1146" spans="1:10">
      <c r="A1146" s="103"/>
      <c r="B1146" s="104"/>
      <c r="C1146" s="105"/>
      <c r="D1146" s="104"/>
      <c r="F1146" s="106"/>
      <c r="G1146" s="104"/>
      <c r="H1146" s="106"/>
      <c r="I1146" s="106"/>
      <c r="J1146" s="101" t="str">
        <f t="shared" ca="1" si="17"/>
        <v/>
      </c>
    </row>
    <row r="1147" spans="1:10">
      <c r="A1147" s="103"/>
      <c r="B1147" s="104"/>
      <c r="C1147" s="105"/>
      <c r="D1147" s="104"/>
      <c r="F1147" s="106"/>
      <c r="G1147" s="104"/>
      <c r="H1147" s="106"/>
      <c r="I1147" s="106"/>
      <c r="J1147" s="101" t="str">
        <f t="shared" ca="1" si="17"/>
        <v/>
      </c>
    </row>
    <row r="1148" spans="1:10">
      <c r="A1148" s="103"/>
      <c r="B1148" s="104"/>
      <c r="C1148" s="105"/>
      <c r="D1148" s="104"/>
      <c r="F1148" s="106"/>
      <c r="G1148" s="104"/>
      <c r="H1148" s="106"/>
      <c r="I1148" s="106"/>
      <c r="J1148" s="101" t="str">
        <f t="shared" ca="1" si="17"/>
        <v/>
      </c>
    </row>
    <row r="1149" spans="1:10">
      <c r="A1149" s="103"/>
      <c r="B1149" s="104"/>
      <c r="C1149" s="105"/>
      <c r="D1149" s="104"/>
      <c r="F1149" s="106"/>
      <c r="G1149" s="104"/>
      <c r="H1149" s="106"/>
      <c r="I1149" s="106"/>
      <c r="J1149" s="101" t="str">
        <f t="shared" ca="1" si="17"/>
        <v/>
      </c>
    </row>
    <row r="1150" spans="1:10">
      <c r="A1150" s="103"/>
      <c r="B1150" s="104"/>
      <c r="C1150" s="105"/>
      <c r="D1150" s="104"/>
      <c r="F1150" s="106"/>
      <c r="G1150" s="104"/>
      <c r="H1150" s="106"/>
      <c r="I1150" s="106"/>
      <c r="J1150" s="101" t="str">
        <f t="shared" ca="1" si="17"/>
        <v/>
      </c>
    </row>
    <row r="1151" spans="1:10">
      <c r="A1151" s="103"/>
      <c r="B1151" s="104"/>
      <c r="C1151" s="105"/>
      <c r="D1151" s="104"/>
      <c r="F1151" s="106"/>
      <c r="G1151" s="104"/>
      <c r="H1151" s="106"/>
      <c r="I1151" s="106"/>
      <c r="J1151" s="101" t="str">
        <f t="shared" ca="1" si="17"/>
        <v/>
      </c>
    </row>
    <row r="1152" spans="1:10">
      <c r="A1152" s="103"/>
      <c r="B1152" s="104"/>
      <c r="C1152" s="105"/>
      <c r="D1152" s="104"/>
      <c r="F1152" s="106"/>
      <c r="G1152" s="104"/>
      <c r="H1152" s="106"/>
      <c r="I1152" s="106"/>
      <c r="J1152" s="101" t="str">
        <f t="shared" ca="1" si="17"/>
        <v/>
      </c>
    </row>
    <row r="1153" spans="1:10">
      <c r="A1153" s="103"/>
      <c r="B1153" s="104"/>
      <c r="C1153" s="105"/>
      <c r="D1153" s="104"/>
      <c r="F1153" s="106"/>
      <c r="G1153" s="104"/>
      <c r="H1153" s="106"/>
      <c r="I1153" s="106"/>
      <c r="J1153" s="101" t="str">
        <f t="shared" ca="1" si="17"/>
        <v/>
      </c>
    </row>
    <row r="1154" spans="1:10">
      <c r="A1154" s="103"/>
      <c r="B1154" s="104"/>
      <c r="C1154" s="105"/>
      <c r="D1154" s="104"/>
      <c r="F1154" s="106"/>
      <c r="G1154" s="104"/>
      <c r="H1154" s="106"/>
      <c r="I1154" s="106"/>
      <c r="J1154" s="101" t="str">
        <f t="shared" ca="1" si="17"/>
        <v/>
      </c>
    </row>
    <row r="1155" spans="1:10">
      <c r="A1155" s="103"/>
      <c r="B1155" s="104"/>
      <c r="C1155" s="105"/>
      <c r="D1155" s="104"/>
      <c r="F1155" s="106"/>
      <c r="G1155" s="104"/>
      <c r="H1155" s="106"/>
      <c r="I1155" s="106"/>
      <c r="J1155" s="101" t="str">
        <f t="shared" ref="J1155:J1218" ca="1" si="18">_xlfn.LET(
    _xlpm.AllCellsFilled, COUNTA(A1155:I1155) = 9,
    _xlpm.QtyIsInt, AND(ISNUMBER(G1155), G1155=INT(G1155)),
    _xlpm.AvailDateIsValid, AND(ISNUMBER(F1155), F1155&gt;=TODAY()),
    _xlpm.ReqDateIsValid, AND(ISNUMBER(H1155), H1155&gt;=TODAY()),
    _xlpm.EmailIsValid, RIGHT(I1155,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IF(A1155="", "", IF(_xlpm.error_messages = "", "Yes", _xlpm.error_messages))
)</f>
        <v/>
      </c>
    </row>
    <row r="1156" spans="1:10">
      <c r="A1156" s="103"/>
      <c r="B1156" s="104"/>
      <c r="C1156" s="105"/>
      <c r="D1156" s="104"/>
      <c r="F1156" s="106"/>
      <c r="G1156" s="104"/>
      <c r="H1156" s="106"/>
      <c r="I1156" s="106"/>
      <c r="J1156" s="101" t="str">
        <f t="shared" ca="1" si="18"/>
        <v/>
      </c>
    </row>
    <row r="1157" spans="1:10">
      <c r="A1157" s="103"/>
      <c r="B1157" s="104"/>
      <c r="C1157" s="105"/>
      <c r="D1157" s="104"/>
      <c r="F1157" s="106"/>
      <c r="G1157" s="104"/>
      <c r="H1157" s="106"/>
      <c r="I1157" s="106"/>
      <c r="J1157" s="101" t="str">
        <f t="shared" ca="1" si="18"/>
        <v/>
      </c>
    </row>
    <row r="1158" spans="1:10">
      <c r="A1158" s="103"/>
      <c r="B1158" s="104"/>
      <c r="C1158" s="105"/>
      <c r="D1158" s="104"/>
      <c r="F1158" s="106"/>
      <c r="G1158" s="104"/>
      <c r="H1158" s="106"/>
      <c r="I1158" s="106"/>
      <c r="J1158" s="101" t="str">
        <f t="shared" ca="1" si="18"/>
        <v/>
      </c>
    </row>
    <row r="1159" spans="1:10">
      <c r="A1159" s="103"/>
      <c r="B1159" s="104"/>
      <c r="C1159" s="105"/>
      <c r="D1159" s="104"/>
      <c r="F1159" s="106"/>
      <c r="G1159" s="104"/>
      <c r="H1159" s="106"/>
      <c r="I1159" s="106"/>
      <c r="J1159" s="101" t="str">
        <f t="shared" ca="1" si="18"/>
        <v/>
      </c>
    </row>
    <row r="1160" spans="1:10">
      <c r="A1160" s="103"/>
      <c r="B1160" s="104"/>
      <c r="C1160" s="105"/>
      <c r="D1160" s="104"/>
      <c r="F1160" s="106"/>
      <c r="G1160" s="104"/>
      <c r="H1160" s="106"/>
      <c r="I1160" s="106"/>
      <c r="J1160" s="101" t="str">
        <f t="shared" ca="1" si="18"/>
        <v/>
      </c>
    </row>
    <row r="1161" spans="1:10">
      <c r="A1161" s="103"/>
      <c r="B1161" s="104"/>
      <c r="C1161" s="105"/>
      <c r="D1161" s="104"/>
      <c r="F1161" s="106"/>
      <c r="G1161" s="104"/>
      <c r="H1161" s="106"/>
      <c r="I1161" s="106"/>
      <c r="J1161" s="101" t="str">
        <f t="shared" ca="1" si="18"/>
        <v/>
      </c>
    </row>
    <row r="1162" spans="1:10">
      <c r="A1162" s="103"/>
      <c r="B1162" s="104"/>
      <c r="C1162" s="105"/>
      <c r="D1162" s="104"/>
      <c r="F1162" s="106"/>
      <c r="G1162" s="104"/>
      <c r="H1162" s="106"/>
      <c r="I1162" s="106"/>
      <c r="J1162" s="101" t="str">
        <f t="shared" ca="1" si="18"/>
        <v/>
      </c>
    </row>
    <row r="1163" spans="1:10">
      <c r="A1163" s="103"/>
      <c r="B1163" s="104"/>
      <c r="C1163" s="105"/>
      <c r="D1163" s="104"/>
      <c r="F1163" s="106"/>
      <c r="G1163" s="104"/>
      <c r="H1163" s="106"/>
      <c r="I1163" s="106"/>
      <c r="J1163" s="101" t="str">
        <f t="shared" ca="1" si="18"/>
        <v/>
      </c>
    </row>
    <row r="1164" spans="1:10">
      <c r="A1164" s="103"/>
      <c r="B1164" s="104"/>
      <c r="C1164" s="105"/>
      <c r="D1164" s="104"/>
      <c r="F1164" s="106"/>
      <c r="G1164" s="104"/>
      <c r="H1164" s="106"/>
      <c r="I1164" s="106"/>
      <c r="J1164" s="101" t="str">
        <f t="shared" ca="1" si="18"/>
        <v/>
      </c>
    </row>
    <row r="1165" spans="1:10">
      <c r="A1165" s="103"/>
      <c r="B1165" s="104"/>
      <c r="C1165" s="105"/>
      <c r="D1165" s="104"/>
      <c r="F1165" s="106"/>
      <c r="G1165" s="104"/>
      <c r="H1165" s="106"/>
      <c r="I1165" s="106"/>
      <c r="J1165" s="101" t="str">
        <f t="shared" ca="1" si="18"/>
        <v/>
      </c>
    </row>
    <row r="1166" spans="1:10">
      <c r="A1166" s="103"/>
      <c r="B1166" s="104"/>
      <c r="C1166" s="105"/>
      <c r="D1166" s="104"/>
      <c r="F1166" s="106"/>
      <c r="G1166" s="104"/>
      <c r="H1166" s="106"/>
      <c r="I1166" s="106"/>
      <c r="J1166" s="101" t="str">
        <f t="shared" ca="1" si="18"/>
        <v/>
      </c>
    </row>
    <row r="1167" spans="1:10">
      <c r="A1167" s="103"/>
      <c r="B1167" s="104"/>
      <c r="C1167" s="105"/>
      <c r="D1167" s="104"/>
      <c r="F1167" s="106"/>
      <c r="G1167" s="104"/>
      <c r="H1167" s="106"/>
      <c r="I1167" s="106"/>
      <c r="J1167" s="101" t="str">
        <f t="shared" ca="1" si="18"/>
        <v/>
      </c>
    </row>
    <row r="1168" spans="1:10">
      <c r="A1168" s="103"/>
      <c r="B1168" s="104"/>
      <c r="C1168" s="105"/>
      <c r="D1168" s="104"/>
      <c r="F1168" s="106"/>
      <c r="G1168" s="104"/>
      <c r="H1168" s="106"/>
      <c r="I1168" s="106"/>
      <c r="J1168" s="101" t="str">
        <f t="shared" ca="1" si="18"/>
        <v/>
      </c>
    </row>
    <row r="1169" spans="1:10">
      <c r="A1169" s="103"/>
      <c r="B1169" s="104"/>
      <c r="C1169" s="105"/>
      <c r="D1169" s="104"/>
      <c r="F1169" s="106"/>
      <c r="G1169" s="104"/>
      <c r="H1169" s="106"/>
      <c r="I1169" s="106"/>
      <c r="J1169" s="101" t="str">
        <f t="shared" ca="1" si="18"/>
        <v/>
      </c>
    </row>
    <row r="1170" spans="1:10">
      <c r="A1170" s="103"/>
      <c r="B1170" s="104"/>
      <c r="C1170" s="105"/>
      <c r="D1170" s="104"/>
      <c r="F1170" s="106"/>
      <c r="G1170" s="104"/>
      <c r="H1170" s="106"/>
      <c r="I1170" s="106"/>
      <c r="J1170" s="101" t="str">
        <f t="shared" ca="1" si="18"/>
        <v/>
      </c>
    </row>
    <row r="1171" spans="1:10">
      <c r="A1171" s="103"/>
      <c r="B1171" s="104"/>
      <c r="C1171" s="105"/>
      <c r="D1171" s="104"/>
      <c r="F1171" s="106"/>
      <c r="G1171" s="104"/>
      <c r="H1171" s="106"/>
      <c r="I1171" s="106"/>
      <c r="J1171" s="101" t="str">
        <f t="shared" ca="1" si="18"/>
        <v/>
      </c>
    </row>
    <row r="1172" spans="1:10">
      <c r="A1172" s="103"/>
      <c r="B1172" s="104"/>
      <c r="C1172" s="105"/>
      <c r="D1172" s="104"/>
      <c r="F1172" s="106"/>
      <c r="G1172" s="104"/>
      <c r="H1172" s="106"/>
      <c r="I1172" s="106"/>
      <c r="J1172" s="101" t="str">
        <f t="shared" ca="1" si="18"/>
        <v/>
      </c>
    </row>
    <row r="1173" spans="1:10">
      <c r="A1173" s="103"/>
      <c r="B1173" s="104"/>
      <c r="C1173" s="105"/>
      <c r="D1173" s="104"/>
      <c r="F1173" s="106"/>
      <c r="G1173" s="104"/>
      <c r="H1173" s="106"/>
      <c r="I1173" s="106"/>
      <c r="J1173" s="101" t="str">
        <f t="shared" ca="1" si="18"/>
        <v/>
      </c>
    </row>
    <row r="1174" spans="1:10">
      <c r="A1174" s="103"/>
      <c r="B1174" s="104"/>
      <c r="C1174" s="105"/>
      <c r="D1174" s="104"/>
      <c r="F1174" s="106"/>
      <c r="G1174" s="104"/>
      <c r="H1174" s="106"/>
      <c r="I1174" s="106"/>
      <c r="J1174" s="101" t="str">
        <f t="shared" ca="1" si="18"/>
        <v/>
      </c>
    </row>
    <row r="1175" spans="1:10">
      <c r="A1175" s="103"/>
      <c r="B1175" s="104"/>
      <c r="C1175" s="105"/>
      <c r="D1175" s="104"/>
      <c r="F1175" s="106"/>
      <c r="G1175" s="104"/>
      <c r="H1175" s="106"/>
      <c r="I1175" s="106"/>
      <c r="J1175" s="101" t="str">
        <f t="shared" ca="1" si="18"/>
        <v/>
      </c>
    </row>
    <row r="1176" spans="1:10">
      <c r="A1176" s="103"/>
      <c r="B1176" s="104"/>
      <c r="C1176" s="105"/>
      <c r="D1176" s="104"/>
      <c r="F1176" s="106"/>
      <c r="G1176" s="104"/>
      <c r="H1176" s="106"/>
      <c r="I1176" s="106"/>
      <c r="J1176" s="101" t="str">
        <f t="shared" ca="1" si="18"/>
        <v/>
      </c>
    </row>
    <row r="1177" spans="1:10">
      <c r="A1177" s="103"/>
      <c r="B1177" s="104"/>
      <c r="C1177" s="105"/>
      <c r="D1177" s="104"/>
      <c r="F1177" s="106"/>
      <c r="G1177" s="104"/>
      <c r="H1177" s="106"/>
      <c r="I1177" s="106"/>
      <c r="J1177" s="101" t="str">
        <f t="shared" ca="1" si="18"/>
        <v/>
      </c>
    </row>
    <row r="1178" spans="1:10">
      <c r="A1178" s="103"/>
      <c r="B1178" s="104"/>
      <c r="C1178" s="105"/>
      <c r="D1178" s="104"/>
      <c r="F1178" s="106"/>
      <c r="G1178" s="104"/>
      <c r="H1178" s="106"/>
      <c r="I1178" s="106"/>
      <c r="J1178" s="101" t="str">
        <f t="shared" ca="1" si="18"/>
        <v/>
      </c>
    </row>
    <row r="1179" spans="1:10">
      <c r="A1179" s="103"/>
      <c r="B1179" s="104"/>
      <c r="C1179" s="105"/>
      <c r="D1179" s="104"/>
      <c r="F1179" s="106"/>
      <c r="G1179" s="104"/>
      <c r="H1179" s="106"/>
      <c r="I1179" s="106"/>
      <c r="J1179" s="101" t="str">
        <f t="shared" ca="1" si="18"/>
        <v/>
      </c>
    </row>
    <row r="1180" spans="1:10">
      <c r="A1180" s="103"/>
      <c r="B1180" s="104"/>
      <c r="C1180" s="105"/>
      <c r="D1180" s="104"/>
      <c r="F1180" s="106"/>
      <c r="G1180" s="104"/>
      <c r="H1180" s="106"/>
      <c r="I1180" s="106"/>
      <c r="J1180" s="101" t="str">
        <f t="shared" ca="1" si="18"/>
        <v/>
      </c>
    </row>
    <row r="1181" spans="1:10">
      <c r="A1181" s="103"/>
      <c r="B1181" s="104"/>
      <c r="C1181" s="105"/>
      <c r="D1181" s="104"/>
      <c r="F1181" s="106"/>
      <c r="G1181" s="104"/>
      <c r="H1181" s="106"/>
      <c r="I1181" s="106"/>
      <c r="J1181" s="101" t="str">
        <f t="shared" ca="1" si="18"/>
        <v/>
      </c>
    </row>
    <row r="1182" spans="1:10">
      <c r="A1182" s="103"/>
      <c r="B1182" s="104"/>
      <c r="C1182" s="105"/>
      <c r="D1182" s="104"/>
      <c r="F1182" s="106"/>
      <c r="G1182" s="104"/>
      <c r="H1182" s="106"/>
      <c r="I1182" s="106"/>
      <c r="J1182" s="101" t="str">
        <f t="shared" ca="1" si="18"/>
        <v/>
      </c>
    </row>
    <row r="1183" spans="1:10">
      <c r="A1183" s="103"/>
      <c r="B1183" s="104"/>
      <c r="C1183" s="105"/>
      <c r="D1183" s="104"/>
      <c r="F1183" s="106"/>
      <c r="G1183" s="104"/>
      <c r="H1183" s="106"/>
      <c r="I1183" s="106"/>
      <c r="J1183" s="101" t="str">
        <f t="shared" ca="1" si="18"/>
        <v/>
      </c>
    </row>
    <row r="1184" spans="1:10">
      <c r="A1184" s="103"/>
      <c r="B1184" s="104"/>
      <c r="C1184" s="105"/>
      <c r="D1184" s="104"/>
      <c r="F1184" s="106"/>
      <c r="G1184" s="104"/>
      <c r="H1184" s="106"/>
      <c r="I1184" s="106"/>
      <c r="J1184" s="101" t="str">
        <f t="shared" ca="1" si="18"/>
        <v/>
      </c>
    </row>
    <row r="1185" spans="1:10">
      <c r="A1185" s="103"/>
      <c r="B1185" s="104"/>
      <c r="C1185" s="105"/>
      <c r="D1185" s="104"/>
      <c r="F1185" s="106"/>
      <c r="G1185" s="104"/>
      <c r="H1185" s="106"/>
      <c r="I1185" s="106"/>
      <c r="J1185" s="101" t="str">
        <f t="shared" ca="1" si="18"/>
        <v/>
      </c>
    </row>
    <row r="1186" spans="1:10">
      <c r="A1186" s="103"/>
      <c r="B1186" s="104"/>
      <c r="C1186" s="105"/>
      <c r="D1186" s="104"/>
      <c r="F1186" s="106"/>
      <c r="G1186" s="104"/>
      <c r="H1186" s="106"/>
      <c r="I1186" s="106"/>
      <c r="J1186" s="101" t="str">
        <f t="shared" ca="1" si="18"/>
        <v/>
      </c>
    </row>
    <row r="1187" spans="1:10">
      <c r="A1187" s="103"/>
      <c r="B1187" s="104"/>
      <c r="C1187" s="105"/>
      <c r="D1187" s="104"/>
      <c r="F1187" s="106"/>
      <c r="G1187" s="104"/>
      <c r="H1187" s="106"/>
      <c r="I1187" s="106"/>
      <c r="J1187" s="101" t="str">
        <f t="shared" ca="1" si="18"/>
        <v/>
      </c>
    </row>
    <row r="1188" spans="1:10">
      <c r="A1188" s="103"/>
      <c r="B1188" s="104"/>
      <c r="C1188" s="105"/>
      <c r="D1188" s="104"/>
      <c r="F1188" s="106"/>
      <c r="G1188" s="104"/>
      <c r="H1188" s="106"/>
      <c r="I1188" s="106"/>
      <c r="J1188" s="101" t="str">
        <f t="shared" ca="1" si="18"/>
        <v/>
      </c>
    </row>
    <row r="1189" spans="1:10">
      <c r="A1189" s="103"/>
      <c r="B1189" s="104"/>
      <c r="C1189" s="105"/>
      <c r="D1189" s="104"/>
      <c r="F1189" s="106"/>
      <c r="G1189" s="104"/>
      <c r="H1189" s="106"/>
      <c r="I1189" s="106"/>
      <c r="J1189" s="101" t="str">
        <f t="shared" ca="1" si="18"/>
        <v/>
      </c>
    </row>
    <row r="1190" spans="1:10">
      <c r="A1190" s="103"/>
      <c r="B1190" s="104"/>
      <c r="C1190" s="105"/>
      <c r="D1190" s="104"/>
      <c r="F1190" s="106"/>
      <c r="G1190" s="104"/>
      <c r="H1190" s="106"/>
      <c r="I1190" s="106"/>
      <c r="J1190" s="101" t="str">
        <f t="shared" ca="1" si="18"/>
        <v/>
      </c>
    </row>
    <row r="1191" spans="1:10">
      <c r="A1191" s="103"/>
      <c r="B1191" s="104"/>
      <c r="C1191" s="105"/>
      <c r="D1191" s="104"/>
      <c r="F1191" s="106"/>
      <c r="G1191" s="104"/>
      <c r="H1191" s="106"/>
      <c r="I1191" s="106"/>
      <c r="J1191" s="101" t="str">
        <f t="shared" ca="1" si="18"/>
        <v/>
      </c>
    </row>
    <row r="1192" spans="1:10">
      <c r="A1192" s="103"/>
      <c r="B1192" s="104"/>
      <c r="C1192" s="105"/>
      <c r="D1192" s="104"/>
      <c r="F1192" s="106"/>
      <c r="G1192" s="104"/>
      <c r="H1192" s="106"/>
      <c r="I1192" s="106"/>
      <c r="J1192" s="101" t="str">
        <f t="shared" ca="1" si="18"/>
        <v/>
      </c>
    </row>
    <row r="1193" spans="1:10">
      <c r="A1193" s="103"/>
      <c r="B1193" s="104"/>
      <c r="C1193" s="105"/>
      <c r="D1193" s="104"/>
      <c r="F1193" s="106"/>
      <c r="G1193" s="104"/>
      <c r="H1193" s="106"/>
      <c r="I1193" s="106"/>
      <c r="J1193" s="101" t="str">
        <f t="shared" ca="1" si="18"/>
        <v/>
      </c>
    </row>
    <row r="1194" spans="1:10">
      <c r="A1194" s="103"/>
      <c r="B1194" s="104"/>
      <c r="C1194" s="105"/>
      <c r="D1194" s="104"/>
      <c r="F1194" s="106"/>
      <c r="G1194" s="104"/>
      <c r="H1194" s="106"/>
      <c r="I1194" s="106"/>
      <c r="J1194" s="101" t="str">
        <f t="shared" ca="1" si="18"/>
        <v/>
      </c>
    </row>
    <row r="1195" spans="1:10">
      <c r="A1195" s="103"/>
      <c r="B1195" s="104"/>
      <c r="C1195" s="105"/>
      <c r="D1195" s="104"/>
      <c r="F1195" s="106"/>
      <c r="G1195" s="104"/>
      <c r="H1195" s="106"/>
      <c r="I1195" s="106"/>
      <c r="J1195" s="101" t="str">
        <f t="shared" ca="1" si="18"/>
        <v/>
      </c>
    </row>
    <row r="1196" spans="1:10">
      <c r="A1196" s="103"/>
      <c r="B1196" s="104"/>
      <c r="C1196" s="105"/>
      <c r="D1196" s="104"/>
      <c r="F1196" s="106"/>
      <c r="G1196" s="104"/>
      <c r="H1196" s="106"/>
      <c r="I1196" s="106"/>
      <c r="J1196" s="101" t="str">
        <f t="shared" ca="1" si="18"/>
        <v/>
      </c>
    </row>
    <row r="1197" spans="1:10">
      <c r="A1197" s="103"/>
      <c r="B1197" s="104"/>
      <c r="C1197" s="105"/>
      <c r="D1197" s="104"/>
      <c r="F1197" s="106"/>
      <c r="G1197" s="104"/>
      <c r="H1197" s="106"/>
      <c r="I1197" s="106"/>
      <c r="J1197" s="101" t="str">
        <f t="shared" ca="1" si="18"/>
        <v/>
      </c>
    </row>
    <row r="1198" spans="1:10">
      <c r="A1198" s="103"/>
      <c r="B1198" s="104"/>
      <c r="C1198" s="105"/>
      <c r="D1198" s="104"/>
      <c r="F1198" s="106"/>
      <c r="G1198" s="104"/>
      <c r="H1198" s="106"/>
      <c r="I1198" s="106"/>
      <c r="J1198" s="101" t="str">
        <f t="shared" ca="1" si="18"/>
        <v/>
      </c>
    </row>
    <row r="1199" spans="1:10">
      <c r="A1199" s="103"/>
      <c r="B1199" s="104"/>
      <c r="C1199" s="105"/>
      <c r="D1199" s="104"/>
      <c r="F1199" s="106"/>
      <c r="G1199" s="104"/>
      <c r="H1199" s="106"/>
      <c r="I1199" s="106"/>
      <c r="J1199" s="101" t="str">
        <f t="shared" ca="1" si="18"/>
        <v/>
      </c>
    </row>
    <row r="1200" spans="1:10">
      <c r="A1200" s="103"/>
      <c r="B1200" s="104"/>
      <c r="C1200" s="105"/>
      <c r="D1200" s="104"/>
      <c r="F1200" s="106"/>
      <c r="G1200" s="104"/>
      <c r="H1200" s="106"/>
      <c r="I1200" s="106"/>
      <c r="J1200" s="101" t="str">
        <f t="shared" ca="1" si="18"/>
        <v/>
      </c>
    </row>
    <row r="1201" spans="1:10">
      <c r="A1201" s="103"/>
      <c r="B1201" s="104"/>
      <c r="C1201" s="105"/>
      <c r="D1201" s="104"/>
      <c r="F1201" s="106"/>
      <c r="G1201" s="104"/>
      <c r="H1201" s="106"/>
      <c r="I1201" s="106"/>
      <c r="J1201" s="101" t="str">
        <f t="shared" ca="1" si="18"/>
        <v/>
      </c>
    </row>
    <row r="1202" spans="1:10">
      <c r="A1202" s="103"/>
      <c r="B1202" s="104"/>
      <c r="C1202" s="105"/>
      <c r="D1202" s="104"/>
      <c r="F1202" s="106"/>
      <c r="G1202" s="104"/>
      <c r="H1202" s="106"/>
      <c r="I1202" s="106"/>
      <c r="J1202" s="101" t="str">
        <f t="shared" ca="1" si="18"/>
        <v/>
      </c>
    </row>
    <row r="1203" spans="1:10">
      <c r="A1203" s="103"/>
      <c r="B1203" s="104"/>
      <c r="C1203" s="105"/>
      <c r="D1203" s="104"/>
      <c r="F1203" s="106"/>
      <c r="G1203" s="104"/>
      <c r="H1203" s="106"/>
      <c r="I1203" s="106"/>
      <c r="J1203" s="101" t="str">
        <f t="shared" ca="1" si="18"/>
        <v/>
      </c>
    </row>
    <row r="1204" spans="1:10">
      <c r="A1204" s="103"/>
      <c r="B1204" s="104"/>
      <c r="C1204" s="105"/>
      <c r="D1204" s="104"/>
      <c r="F1204" s="106"/>
      <c r="G1204" s="104"/>
      <c r="H1204" s="106"/>
      <c r="I1204" s="106"/>
      <c r="J1204" s="101" t="str">
        <f t="shared" ca="1" si="18"/>
        <v/>
      </c>
    </row>
    <row r="1205" spans="1:10">
      <c r="A1205" s="103"/>
      <c r="B1205" s="104"/>
      <c r="C1205" s="105"/>
      <c r="D1205" s="104"/>
      <c r="F1205" s="106"/>
      <c r="G1205" s="104"/>
      <c r="H1205" s="106"/>
      <c r="I1205" s="106"/>
      <c r="J1205" s="101" t="str">
        <f t="shared" ca="1" si="18"/>
        <v/>
      </c>
    </row>
    <row r="1206" spans="1:10">
      <c r="A1206" s="103"/>
      <c r="B1206" s="104"/>
      <c r="C1206" s="105"/>
      <c r="D1206" s="104"/>
      <c r="F1206" s="106"/>
      <c r="G1206" s="104"/>
      <c r="H1206" s="106"/>
      <c r="I1206" s="106"/>
      <c r="J1206" s="101" t="str">
        <f t="shared" ca="1" si="18"/>
        <v/>
      </c>
    </row>
    <row r="1207" spans="1:10">
      <c r="A1207" s="103"/>
      <c r="B1207" s="104"/>
      <c r="C1207" s="105"/>
      <c r="D1207" s="104"/>
      <c r="F1207" s="106"/>
      <c r="G1207" s="104"/>
      <c r="H1207" s="106"/>
      <c r="I1207" s="106"/>
      <c r="J1207" s="101" t="str">
        <f t="shared" ca="1" si="18"/>
        <v/>
      </c>
    </row>
    <row r="1208" spans="1:10">
      <c r="A1208" s="103"/>
      <c r="B1208" s="104"/>
      <c r="C1208" s="105"/>
      <c r="D1208" s="104"/>
      <c r="F1208" s="106"/>
      <c r="G1208" s="104"/>
      <c r="H1208" s="106"/>
      <c r="I1208" s="106"/>
      <c r="J1208" s="101" t="str">
        <f t="shared" ca="1" si="18"/>
        <v/>
      </c>
    </row>
    <row r="1209" spans="1:10">
      <c r="A1209" s="103"/>
      <c r="B1209" s="104"/>
      <c r="C1209" s="105"/>
      <c r="D1209" s="104"/>
      <c r="F1209" s="106"/>
      <c r="G1209" s="104"/>
      <c r="H1209" s="106"/>
      <c r="I1209" s="106"/>
      <c r="J1209" s="101" t="str">
        <f t="shared" ca="1" si="18"/>
        <v/>
      </c>
    </row>
    <row r="1210" spans="1:10">
      <c r="A1210" s="103"/>
      <c r="B1210" s="104"/>
      <c r="C1210" s="105"/>
      <c r="D1210" s="104"/>
      <c r="F1210" s="106"/>
      <c r="G1210" s="104"/>
      <c r="H1210" s="106"/>
      <c r="I1210" s="106"/>
      <c r="J1210" s="101" t="str">
        <f t="shared" ca="1" si="18"/>
        <v/>
      </c>
    </row>
    <row r="1211" spans="1:10">
      <c r="A1211" s="103"/>
      <c r="B1211" s="104"/>
      <c r="C1211" s="105"/>
      <c r="D1211" s="104"/>
      <c r="F1211" s="106"/>
      <c r="G1211" s="104"/>
      <c r="H1211" s="106"/>
      <c r="I1211" s="106"/>
      <c r="J1211" s="101" t="str">
        <f t="shared" ca="1" si="18"/>
        <v/>
      </c>
    </row>
    <row r="1212" spans="1:10">
      <c r="A1212" s="103"/>
      <c r="B1212" s="104"/>
      <c r="C1212" s="105"/>
      <c r="D1212" s="104"/>
      <c r="F1212" s="106"/>
      <c r="G1212" s="104"/>
      <c r="H1212" s="106"/>
      <c r="I1212" s="106"/>
      <c r="J1212" s="101" t="str">
        <f t="shared" ca="1" si="18"/>
        <v/>
      </c>
    </row>
    <row r="1213" spans="1:10">
      <c r="A1213" s="103"/>
      <c r="B1213" s="104"/>
      <c r="C1213" s="105"/>
      <c r="D1213" s="104"/>
      <c r="F1213" s="106"/>
      <c r="G1213" s="104"/>
      <c r="H1213" s="106"/>
      <c r="I1213" s="106"/>
      <c r="J1213" s="101" t="str">
        <f t="shared" ca="1" si="18"/>
        <v/>
      </c>
    </row>
    <row r="1214" spans="1:10">
      <c r="A1214" s="103"/>
      <c r="B1214" s="104"/>
      <c r="C1214" s="105"/>
      <c r="D1214" s="104"/>
      <c r="F1214" s="106"/>
      <c r="G1214" s="104"/>
      <c r="H1214" s="106"/>
      <c r="I1214" s="106"/>
      <c r="J1214" s="101" t="str">
        <f t="shared" ca="1" si="18"/>
        <v/>
      </c>
    </row>
    <row r="1215" spans="1:10">
      <c r="A1215" s="103"/>
      <c r="B1215" s="104"/>
      <c r="C1215" s="105"/>
      <c r="D1215" s="104"/>
      <c r="F1215" s="106"/>
      <c r="G1215" s="104"/>
      <c r="H1215" s="106"/>
      <c r="I1215" s="106"/>
      <c r="J1215" s="101" t="str">
        <f t="shared" ca="1" si="18"/>
        <v/>
      </c>
    </row>
    <row r="1216" spans="1:10">
      <c r="A1216" s="103"/>
      <c r="B1216" s="104"/>
      <c r="C1216" s="105"/>
      <c r="D1216" s="104"/>
      <c r="F1216" s="106"/>
      <c r="G1216" s="104"/>
      <c r="H1216" s="106"/>
      <c r="I1216" s="106"/>
      <c r="J1216" s="101" t="str">
        <f t="shared" ca="1" si="18"/>
        <v/>
      </c>
    </row>
    <row r="1217" spans="1:10">
      <c r="A1217" s="103"/>
      <c r="B1217" s="104"/>
      <c r="C1217" s="105"/>
      <c r="D1217" s="104"/>
      <c r="F1217" s="106"/>
      <c r="G1217" s="104"/>
      <c r="H1217" s="106"/>
      <c r="I1217" s="106"/>
      <c r="J1217" s="101" t="str">
        <f t="shared" ca="1" si="18"/>
        <v/>
      </c>
    </row>
    <row r="1218" spans="1:10">
      <c r="A1218" s="103"/>
      <c r="B1218" s="104"/>
      <c r="C1218" s="105"/>
      <c r="D1218" s="104"/>
      <c r="F1218" s="106"/>
      <c r="G1218" s="104"/>
      <c r="H1218" s="106"/>
      <c r="I1218" s="106"/>
      <c r="J1218" s="101" t="str">
        <f t="shared" ca="1" si="18"/>
        <v/>
      </c>
    </row>
    <row r="1219" spans="1:10">
      <c r="A1219" s="103"/>
      <c r="B1219" s="104"/>
      <c r="C1219" s="105"/>
      <c r="D1219" s="104"/>
      <c r="F1219" s="106"/>
      <c r="G1219" s="104"/>
      <c r="H1219" s="106"/>
      <c r="I1219" s="106"/>
      <c r="J1219" s="101" t="str">
        <f t="shared" ref="J1219:J1282" ca="1" si="19">_xlfn.LET(
    _xlpm.AllCellsFilled, COUNTA(A1219:I1219) = 9,
    _xlpm.QtyIsInt, AND(ISNUMBER(G1219), G1219=INT(G1219)),
    _xlpm.AvailDateIsValid, AND(ISNUMBER(F1219), F1219&gt;=TODAY()),
    _xlpm.ReqDateIsValid, AND(ISNUMBER(H1219), H1219&gt;=TODAY()),
    _xlpm.EmailIsValid, RIGHT(I1219,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IF(A1219="", "", IF(_xlpm.error_messages = "", "Yes", _xlpm.error_messages))
)</f>
        <v/>
      </c>
    </row>
    <row r="1220" spans="1:10">
      <c r="A1220" s="103"/>
      <c r="B1220" s="104"/>
      <c r="C1220" s="105"/>
      <c r="D1220" s="104"/>
      <c r="F1220" s="106"/>
      <c r="G1220" s="104"/>
      <c r="H1220" s="106"/>
      <c r="I1220" s="106"/>
      <c r="J1220" s="101" t="str">
        <f t="shared" ca="1" si="19"/>
        <v/>
      </c>
    </row>
    <row r="1221" spans="1:10">
      <c r="A1221" s="103"/>
      <c r="B1221" s="104"/>
      <c r="C1221" s="105"/>
      <c r="D1221" s="104"/>
      <c r="F1221" s="106"/>
      <c r="G1221" s="104"/>
      <c r="H1221" s="106"/>
      <c r="I1221" s="106"/>
      <c r="J1221" s="101" t="str">
        <f t="shared" ca="1" si="19"/>
        <v/>
      </c>
    </row>
    <row r="1222" spans="1:10">
      <c r="A1222" s="103"/>
      <c r="B1222" s="104"/>
      <c r="C1222" s="105"/>
      <c r="D1222" s="104"/>
      <c r="F1222" s="106"/>
      <c r="G1222" s="104"/>
      <c r="H1222" s="106"/>
      <c r="I1222" s="106"/>
      <c r="J1222" s="101" t="str">
        <f t="shared" ca="1" si="19"/>
        <v/>
      </c>
    </row>
    <row r="1223" spans="1:10">
      <c r="A1223" s="103"/>
      <c r="B1223" s="104"/>
      <c r="C1223" s="105"/>
      <c r="D1223" s="104"/>
      <c r="F1223" s="106"/>
      <c r="G1223" s="104"/>
      <c r="H1223" s="106"/>
      <c r="I1223" s="106"/>
      <c r="J1223" s="101" t="str">
        <f t="shared" ca="1" si="19"/>
        <v/>
      </c>
    </row>
    <row r="1224" spans="1:10">
      <c r="A1224" s="103"/>
      <c r="B1224" s="104"/>
      <c r="C1224" s="105"/>
      <c r="D1224" s="104"/>
      <c r="F1224" s="106"/>
      <c r="G1224" s="104"/>
      <c r="H1224" s="106"/>
      <c r="I1224" s="106"/>
      <c r="J1224" s="101" t="str">
        <f t="shared" ca="1" si="19"/>
        <v/>
      </c>
    </row>
    <row r="1225" spans="1:10">
      <c r="A1225" s="103"/>
      <c r="B1225" s="104"/>
      <c r="C1225" s="105"/>
      <c r="D1225" s="104"/>
      <c r="F1225" s="106"/>
      <c r="G1225" s="104"/>
      <c r="H1225" s="106"/>
      <c r="I1225" s="106"/>
      <c r="J1225" s="101" t="str">
        <f t="shared" ca="1" si="19"/>
        <v/>
      </c>
    </row>
    <row r="1226" spans="1:10">
      <c r="A1226" s="103"/>
      <c r="B1226" s="104"/>
      <c r="C1226" s="105"/>
      <c r="D1226" s="104"/>
      <c r="F1226" s="106"/>
      <c r="G1226" s="104"/>
      <c r="H1226" s="106"/>
      <c r="I1226" s="106"/>
      <c r="J1226" s="101" t="str">
        <f t="shared" ca="1" si="19"/>
        <v/>
      </c>
    </row>
    <row r="1227" spans="1:10">
      <c r="A1227" s="103"/>
      <c r="B1227" s="104"/>
      <c r="C1227" s="105"/>
      <c r="D1227" s="104"/>
      <c r="F1227" s="106"/>
      <c r="G1227" s="104"/>
      <c r="H1227" s="106"/>
      <c r="I1227" s="106"/>
      <c r="J1227" s="101" t="str">
        <f t="shared" ca="1" si="19"/>
        <v/>
      </c>
    </row>
    <row r="1228" spans="1:10">
      <c r="A1228" s="103"/>
      <c r="B1228" s="104"/>
      <c r="C1228" s="105"/>
      <c r="D1228" s="104"/>
      <c r="F1228" s="106"/>
      <c r="G1228" s="104"/>
      <c r="H1228" s="106"/>
      <c r="I1228" s="106"/>
      <c r="J1228" s="101" t="str">
        <f t="shared" ca="1" si="19"/>
        <v/>
      </c>
    </row>
    <row r="1229" spans="1:10">
      <c r="A1229" s="103"/>
      <c r="B1229" s="104"/>
      <c r="C1229" s="105"/>
      <c r="D1229" s="104"/>
      <c r="F1229" s="106"/>
      <c r="G1229" s="104"/>
      <c r="H1229" s="106"/>
      <c r="I1229" s="106"/>
      <c r="J1229" s="101" t="str">
        <f t="shared" ca="1" si="19"/>
        <v/>
      </c>
    </row>
    <row r="1230" spans="1:10">
      <c r="A1230" s="103"/>
      <c r="B1230" s="104"/>
      <c r="C1230" s="105"/>
      <c r="D1230" s="104"/>
      <c r="F1230" s="106"/>
      <c r="G1230" s="104"/>
      <c r="H1230" s="106"/>
      <c r="I1230" s="106"/>
      <c r="J1230" s="101" t="str">
        <f t="shared" ca="1" si="19"/>
        <v/>
      </c>
    </row>
    <row r="1231" spans="1:10">
      <c r="A1231" s="103"/>
      <c r="B1231" s="104"/>
      <c r="C1231" s="105"/>
      <c r="D1231" s="104"/>
      <c r="F1231" s="106"/>
      <c r="G1231" s="104"/>
      <c r="H1231" s="106"/>
      <c r="I1231" s="106"/>
      <c r="J1231" s="101" t="str">
        <f t="shared" ca="1" si="19"/>
        <v/>
      </c>
    </row>
    <row r="1232" spans="1:10">
      <c r="A1232" s="103"/>
      <c r="B1232" s="104"/>
      <c r="C1232" s="105"/>
      <c r="D1232" s="104"/>
      <c r="F1232" s="106"/>
      <c r="G1232" s="104"/>
      <c r="H1232" s="106"/>
      <c r="I1232" s="106"/>
      <c r="J1232" s="101" t="str">
        <f t="shared" ca="1" si="19"/>
        <v/>
      </c>
    </row>
    <row r="1233" spans="1:10">
      <c r="A1233" s="103"/>
      <c r="B1233" s="104"/>
      <c r="C1233" s="105"/>
      <c r="D1233" s="104"/>
      <c r="F1233" s="106"/>
      <c r="G1233" s="104"/>
      <c r="H1233" s="106"/>
      <c r="I1233" s="106"/>
      <c r="J1233" s="101" t="str">
        <f t="shared" ca="1" si="19"/>
        <v/>
      </c>
    </row>
    <row r="1234" spans="1:10">
      <c r="A1234" s="103"/>
      <c r="B1234" s="104"/>
      <c r="C1234" s="105"/>
      <c r="D1234" s="104"/>
      <c r="F1234" s="106"/>
      <c r="G1234" s="104"/>
      <c r="H1234" s="106"/>
      <c r="I1234" s="106"/>
      <c r="J1234" s="101" t="str">
        <f t="shared" ca="1" si="19"/>
        <v/>
      </c>
    </row>
    <row r="1235" spans="1:10">
      <c r="A1235" s="103"/>
      <c r="B1235" s="104"/>
      <c r="C1235" s="105"/>
      <c r="D1235" s="104"/>
      <c r="F1235" s="106"/>
      <c r="G1235" s="104"/>
      <c r="H1235" s="106"/>
      <c r="I1235" s="106"/>
      <c r="J1235" s="101" t="str">
        <f t="shared" ca="1" si="19"/>
        <v/>
      </c>
    </row>
    <row r="1236" spans="1:10">
      <c r="A1236" s="103"/>
      <c r="B1236" s="104"/>
      <c r="C1236" s="105"/>
      <c r="D1236" s="104"/>
      <c r="F1236" s="106"/>
      <c r="G1236" s="104"/>
      <c r="H1236" s="106"/>
      <c r="I1236" s="106"/>
      <c r="J1236" s="101" t="str">
        <f t="shared" ca="1" si="19"/>
        <v/>
      </c>
    </row>
    <row r="1237" spans="1:10">
      <c r="A1237" s="103"/>
      <c r="B1237" s="104"/>
      <c r="C1237" s="105"/>
      <c r="D1237" s="104"/>
      <c r="F1237" s="106"/>
      <c r="G1237" s="104"/>
      <c r="H1237" s="106"/>
      <c r="I1237" s="106"/>
      <c r="J1237" s="101" t="str">
        <f t="shared" ca="1" si="19"/>
        <v/>
      </c>
    </row>
    <row r="1238" spans="1:10">
      <c r="A1238" s="103"/>
      <c r="B1238" s="104"/>
      <c r="C1238" s="105"/>
      <c r="D1238" s="104"/>
      <c r="F1238" s="106"/>
      <c r="G1238" s="104"/>
      <c r="H1238" s="106"/>
      <c r="I1238" s="106"/>
      <c r="J1238" s="101" t="str">
        <f t="shared" ca="1" si="19"/>
        <v/>
      </c>
    </row>
    <row r="1239" spans="1:10">
      <c r="A1239" s="103"/>
      <c r="B1239" s="104"/>
      <c r="C1239" s="105"/>
      <c r="D1239" s="104"/>
      <c r="F1239" s="106"/>
      <c r="G1239" s="104"/>
      <c r="H1239" s="106"/>
      <c r="I1239" s="106"/>
      <c r="J1239" s="101" t="str">
        <f t="shared" ca="1" si="19"/>
        <v/>
      </c>
    </row>
    <row r="1240" spans="1:10">
      <c r="A1240" s="103"/>
      <c r="B1240" s="104"/>
      <c r="C1240" s="105"/>
      <c r="D1240" s="104"/>
      <c r="F1240" s="106"/>
      <c r="G1240" s="104"/>
      <c r="H1240" s="106"/>
      <c r="I1240" s="106"/>
      <c r="J1240" s="101" t="str">
        <f t="shared" ca="1" si="19"/>
        <v/>
      </c>
    </row>
    <row r="1241" spans="1:10">
      <c r="A1241" s="103"/>
      <c r="B1241" s="104"/>
      <c r="C1241" s="105"/>
      <c r="D1241" s="104"/>
      <c r="F1241" s="106"/>
      <c r="G1241" s="104"/>
      <c r="H1241" s="106"/>
      <c r="I1241" s="106"/>
      <c r="J1241" s="101" t="str">
        <f t="shared" ca="1" si="19"/>
        <v/>
      </c>
    </row>
    <row r="1242" spans="1:10">
      <c r="A1242" s="103"/>
      <c r="B1242" s="104"/>
      <c r="C1242" s="105"/>
      <c r="D1242" s="104"/>
      <c r="F1242" s="106"/>
      <c r="G1242" s="104"/>
      <c r="H1242" s="106"/>
      <c r="I1242" s="106"/>
      <c r="J1242" s="101" t="str">
        <f t="shared" ca="1" si="19"/>
        <v/>
      </c>
    </row>
    <row r="1243" spans="1:10">
      <c r="A1243" s="103"/>
      <c r="B1243" s="104"/>
      <c r="C1243" s="105"/>
      <c r="D1243" s="104"/>
      <c r="F1243" s="106"/>
      <c r="G1243" s="104"/>
      <c r="H1243" s="106"/>
      <c r="I1243" s="106"/>
      <c r="J1243" s="101" t="str">
        <f t="shared" ca="1" si="19"/>
        <v/>
      </c>
    </row>
    <row r="1244" spans="1:10">
      <c r="A1244" s="103"/>
      <c r="B1244" s="104"/>
      <c r="C1244" s="105"/>
      <c r="D1244" s="104"/>
      <c r="F1244" s="106"/>
      <c r="G1244" s="104"/>
      <c r="H1244" s="106"/>
      <c r="I1244" s="106"/>
      <c r="J1244" s="101" t="str">
        <f t="shared" ca="1" si="19"/>
        <v/>
      </c>
    </row>
    <row r="1245" spans="1:10">
      <c r="A1245" s="103"/>
      <c r="B1245" s="104"/>
      <c r="C1245" s="105"/>
      <c r="D1245" s="104"/>
      <c r="F1245" s="106"/>
      <c r="G1245" s="104"/>
      <c r="H1245" s="106"/>
      <c r="I1245" s="106"/>
      <c r="J1245" s="101" t="str">
        <f t="shared" ca="1" si="19"/>
        <v/>
      </c>
    </row>
    <row r="1246" spans="1:10">
      <c r="A1246" s="103"/>
      <c r="B1246" s="104"/>
      <c r="C1246" s="105"/>
      <c r="D1246" s="104"/>
      <c r="F1246" s="106"/>
      <c r="G1246" s="104"/>
      <c r="H1246" s="106"/>
      <c r="I1246" s="106"/>
      <c r="J1246" s="101" t="str">
        <f t="shared" ca="1" si="19"/>
        <v/>
      </c>
    </row>
    <row r="1247" spans="1:10">
      <c r="A1247" s="103"/>
      <c r="B1247" s="104"/>
      <c r="C1247" s="105"/>
      <c r="D1247" s="104"/>
      <c r="F1247" s="106"/>
      <c r="G1247" s="104"/>
      <c r="H1247" s="106"/>
      <c r="I1247" s="106"/>
      <c r="J1247" s="101" t="str">
        <f t="shared" ca="1" si="19"/>
        <v/>
      </c>
    </row>
    <row r="1248" spans="1:10">
      <c r="A1248" s="103"/>
      <c r="B1248" s="104"/>
      <c r="C1248" s="105"/>
      <c r="D1248" s="104"/>
      <c r="F1248" s="106"/>
      <c r="G1248" s="104"/>
      <c r="H1248" s="106"/>
      <c r="I1248" s="106"/>
      <c r="J1248" s="101" t="str">
        <f t="shared" ca="1" si="19"/>
        <v/>
      </c>
    </row>
    <row r="1249" spans="1:10">
      <c r="A1249" s="103"/>
      <c r="B1249" s="104"/>
      <c r="C1249" s="105"/>
      <c r="D1249" s="104"/>
      <c r="F1249" s="106"/>
      <c r="G1249" s="104"/>
      <c r="H1249" s="106"/>
      <c r="I1249" s="106"/>
      <c r="J1249" s="101" t="str">
        <f t="shared" ca="1" si="19"/>
        <v/>
      </c>
    </row>
    <row r="1250" spans="1:10">
      <c r="A1250" s="103"/>
      <c r="B1250" s="104"/>
      <c r="C1250" s="105"/>
      <c r="D1250" s="104"/>
      <c r="F1250" s="106"/>
      <c r="G1250" s="104"/>
      <c r="H1250" s="106"/>
      <c r="I1250" s="106"/>
      <c r="J1250" s="101" t="str">
        <f t="shared" ca="1" si="19"/>
        <v/>
      </c>
    </row>
    <row r="1251" spans="1:10">
      <c r="A1251" s="103"/>
      <c r="B1251" s="104"/>
      <c r="C1251" s="105"/>
      <c r="D1251" s="104"/>
      <c r="F1251" s="106"/>
      <c r="G1251" s="104"/>
      <c r="H1251" s="106"/>
      <c r="I1251" s="106"/>
      <c r="J1251" s="101" t="str">
        <f t="shared" ca="1" si="19"/>
        <v/>
      </c>
    </row>
    <row r="1252" spans="1:10">
      <c r="A1252" s="103"/>
      <c r="B1252" s="104"/>
      <c r="C1252" s="105"/>
      <c r="D1252" s="104"/>
      <c r="F1252" s="106"/>
      <c r="G1252" s="104"/>
      <c r="H1252" s="106"/>
      <c r="I1252" s="106"/>
      <c r="J1252" s="101" t="str">
        <f t="shared" ca="1" si="19"/>
        <v/>
      </c>
    </row>
    <row r="1253" spans="1:10">
      <c r="A1253" s="103"/>
      <c r="B1253" s="104"/>
      <c r="C1253" s="105"/>
      <c r="D1253" s="104"/>
      <c r="F1253" s="106"/>
      <c r="G1253" s="104"/>
      <c r="H1253" s="106"/>
      <c r="I1253" s="106"/>
      <c r="J1253" s="101" t="str">
        <f t="shared" ca="1" si="19"/>
        <v/>
      </c>
    </row>
    <row r="1254" spans="1:10">
      <c r="A1254" s="103"/>
      <c r="B1254" s="104"/>
      <c r="C1254" s="105"/>
      <c r="D1254" s="104"/>
      <c r="F1254" s="106"/>
      <c r="G1254" s="104"/>
      <c r="H1254" s="106"/>
      <c r="I1254" s="106"/>
      <c r="J1254" s="101" t="str">
        <f t="shared" ca="1" si="19"/>
        <v/>
      </c>
    </row>
    <row r="1255" spans="1:10">
      <c r="A1255" s="103"/>
      <c r="B1255" s="104"/>
      <c r="C1255" s="105"/>
      <c r="D1255" s="104"/>
      <c r="F1255" s="106"/>
      <c r="G1255" s="104"/>
      <c r="H1255" s="106"/>
      <c r="I1255" s="106"/>
      <c r="J1255" s="101" t="str">
        <f t="shared" ca="1" si="19"/>
        <v/>
      </c>
    </row>
    <row r="1256" spans="1:10">
      <c r="A1256" s="103"/>
      <c r="B1256" s="104"/>
      <c r="C1256" s="105"/>
      <c r="D1256" s="104"/>
      <c r="F1256" s="106"/>
      <c r="G1256" s="104"/>
      <c r="H1256" s="106"/>
      <c r="I1256" s="106"/>
      <c r="J1256" s="101" t="str">
        <f t="shared" ca="1" si="19"/>
        <v/>
      </c>
    </row>
    <row r="1257" spans="1:10">
      <c r="A1257" s="103"/>
      <c r="B1257" s="104"/>
      <c r="C1257" s="105"/>
      <c r="D1257" s="104"/>
      <c r="F1257" s="106"/>
      <c r="G1257" s="104"/>
      <c r="H1257" s="106"/>
      <c r="I1257" s="106"/>
      <c r="J1257" s="101" t="str">
        <f t="shared" ca="1" si="19"/>
        <v/>
      </c>
    </row>
    <row r="1258" spans="1:10">
      <c r="A1258" s="103"/>
      <c r="B1258" s="104"/>
      <c r="C1258" s="105"/>
      <c r="D1258" s="104"/>
      <c r="F1258" s="106"/>
      <c r="G1258" s="104"/>
      <c r="H1258" s="106"/>
      <c r="I1258" s="106"/>
      <c r="J1258" s="101" t="str">
        <f t="shared" ca="1" si="19"/>
        <v/>
      </c>
    </row>
    <row r="1259" spans="1:10">
      <c r="A1259" s="103"/>
      <c r="B1259" s="104"/>
      <c r="C1259" s="105"/>
      <c r="D1259" s="104"/>
      <c r="F1259" s="106"/>
      <c r="G1259" s="104"/>
      <c r="H1259" s="106"/>
      <c r="I1259" s="106"/>
      <c r="J1259" s="101" t="str">
        <f t="shared" ca="1" si="19"/>
        <v/>
      </c>
    </row>
    <row r="1260" spans="1:10">
      <c r="A1260" s="103"/>
      <c r="B1260" s="104"/>
      <c r="C1260" s="105"/>
      <c r="D1260" s="104"/>
      <c r="F1260" s="106"/>
      <c r="G1260" s="104"/>
      <c r="H1260" s="106"/>
      <c r="I1260" s="106"/>
      <c r="J1260" s="101" t="str">
        <f t="shared" ca="1" si="19"/>
        <v/>
      </c>
    </row>
    <row r="1261" spans="1:10">
      <c r="A1261" s="103"/>
      <c r="B1261" s="104"/>
      <c r="C1261" s="105"/>
      <c r="D1261" s="104"/>
      <c r="F1261" s="106"/>
      <c r="G1261" s="104"/>
      <c r="H1261" s="106"/>
      <c r="I1261" s="106"/>
      <c r="J1261" s="101" t="str">
        <f t="shared" ca="1" si="19"/>
        <v/>
      </c>
    </row>
    <row r="1262" spans="1:10">
      <c r="A1262" s="103"/>
      <c r="B1262" s="104"/>
      <c r="C1262" s="105"/>
      <c r="D1262" s="104"/>
      <c r="F1262" s="106"/>
      <c r="G1262" s="104"/>
      <c r="H1262" s="106"/>
      <c r="I1262" s="106"/>
      <c r="J1262" s="101" t="str">
        <f t="shared" ca="1" si="19"/>
        <v/>
      </c>
    </row>
    <row r="1263" spans="1:10">
      <c r="A1263" s="103"/>
      <c r="B1263" s="104"/>
      <c r="C1263" s="105"/>
      <c r="D1263" s="104"/>
      <c r="F1263" s="106"/>
      <c r="G1263" s="104"/>
      <c r="H1263" s="106"/>
      <c r="I1263" s="106"/>
      <c r="J1263" s="101" t="str">
        <f t="shared" ca="1" si="19"/>
        <v/>
      </c>
    </row>
    <row r="1264" spans="1:10">
      <c r="A1264" s="103"/>
      <c r="B1264" s="104"/>
      <c r="C1264" s="105"/>
      <c r="D1264" s="104"/>
      <c r="F1264" s="106"/>
      <c r="G1264" s="104"/>
      <c r="H1264" s="106"/>
      <c r="I1264" s="106"/>
      <c r="J1264" s="101" t="str">
        <f t="shared" ca="1" si="19"/>
        <v/>
      </c>
    </row>
    <row r="1265" spans="1:10">
      <c r="A1265" s="103"/>
      <c r="B1265" s="104"/>
      <c r="C1265" s="105"/>
      <c r="D1265" s="104"/>
      <c r="F1265" s="106"/>
      <c r="G1265" s="104"/>
      <c r="H1265" s="106"/>
      <c r="I1265" s="106"/>
      <c r="J1265" s="101" t="str">
        <f t="shared" ca="1" si="19"/>
        <v/>
      </c>
    </row>
    <row r="1266" spans="1:10">
      <c r="A1266" s="103"/>
      <c r="B1266" s="104"/>
      <c r="C1266" s="105"/>
      <c r="D1266" s="104"/>
      <c r="F1266" s="106"/>
      <c r="G1266" s="104"/>
      <c r="H1266" s="106"/>
      <c r="I1266" s="106"/>
      <c r="J1266" s="101" t="str">
        <f t="shared" ca="1" si="19"/>
        <v/>
      </c>
    </row>
    <row r="1267" spans="1:10">
      <c r="A1267" s="103"/>
      <c r="B1267" s="104"/>
      <c r="C1267" s="105"/>
      <c r="D1267" s="104"/>
      <c r="F1267" s="106"/>
      <c r="G1267" s="104"/>
      <c r="H1267" s="106"/>
      <c r="I1267" s="106"/>
      <c r="J1267" s="101" t="str">
        <f t="shared" ca="1" si="19"/>
        <v/>
      </c>
    </row>
    <row r="1268" spans="1:10">
      <c r="A1268" s="103"/>
      <c r="B1268" s="104"/>
      <c r="C1268" s="105"/>
      <c r="D1268" s="104"/>
      <c r="F1268" s="106"/>
      <c r="G1268" s="104"/>
      <c r="H1268" s="106"/>
      <c r="I1268" s="106"/>
      <c r="J1268" s="101" t="str">
        <f t="shared" ca="1" si="19"/>
        <v/>
      </c>
    </row>
    <row r="1269" spans="1:10">
      <c r="A1269" s="103"/>
      <c r="B1269" s="104"/>
      <c r="C1269" s="105"/>
      <c r="D1269" s="104"/>
      <c r="F1269" s="106"/>
      <c r="G1269" s="104"/>
      <c r="H1269" s="106"/>
      <c r="I1269" s="106"/>
      <c r="J1269" s="101" t="str">
        <f t="shared" ca="1" si="19"/>
        <v/>
      </c>
    </row>
    <row r="1270" spans="1:10">
      <c r="A1270" s="103"/>
      <c r="B1270" s="104"/>
      <c r="C1270" s="105"/>
      <c r="D1270" s="104"/>
      <c r="F1270" s="106"/>
      <c r="G1270" s="104"/>
      <c r="H1270" s="106"/>
      <c r="I1270" s="106"/>
      <c r="J1270" s="101" t="str">
        <f t="shared" ca="1" si="19"/>
        <v/>
      </c>
    </row>
    <row r="1271" spans="1:10">
      <c r="A1271" s="103"/>
      <c r="B1271" s="104"/>
      <c r="C1271" s="105"/>
      <c r="D1271" s="104"/>
      <c r="F1271" s="106"/>
      <c r="G1271" s="104"/>
      <c r="H1271" s="106"/>
      <c r="I1271" s="106"/>
      <c r="J1271" s="101" t="str">
        <f t="shared" ca="1" si="19"/>
        <v/>
      </c>
    </row>
    <row r="1272" spans="1:10">
      <c r="A1272" s="103"/>
      <c r="B1272" s="104"/>
      <c r="C1272" s="105"/>
      <c r="D1272" s="104"/>
      <c r="F1272" s="106"/>
      <c r="G1272" s="104"/>
      <c r="H1272" s="106"/>
      <c r="I1272" s="106"/>
      <c r="J1272" s="101" t="str">
        <f t="shared" ca="1" si="19"/>
        <v/>
      </c>
    </row>
    <row r="1273" spans="1:10">
      <c r="A1273" s="103"/>
      <c r="B1273" s="104"/>
      <c r="C1273" s="105"/>
      <c r="D1273" s="104"/>
      <c r="F1273" s="106"/>
      <c r="G1273" s="104"/>
      <c r="H1273" s="106"/>
      <c r="I1273" s="106"/>
      <c r="J1273" s="101" t="str">
        <f t="shared" ca="1" si="19"/>
        <v/>
      </c>
    </row>
    <row r="1274" spans="1:10">
      <c r="A1274" s="103"/>
      <c r="B1274" s="104"/>
      <c r="C1274" s="105"/>
      <c r="D1274" s="104"/>
      <c r="F1274" s="106"/>
      <c r="G1274" s="104"/>
      <c r="H1274" s="106"/>
      <c r="I1274" s="106"/>
      <c r="J1274" s="101" t="str">
        <f t="shared" ca="1" si="19"/>
        <v/>
      </c>
    </row>
    <row r="1275" spans="1:10">
      <c r="A1275" s="103"/>
      <c r="B1275" s="104"/>
      <c r="C1275" s="105"/>
      <c r="D1275" s="104"/>
      <c r="F1275" s="106"/>
      <c r="G1275" s="104"/>
      <c r="H1275" s="106"/>
      <c r="I1275" s="106"/>
      <c r="J1275" s="101" t="str">
        <f t="shared" ca="1" si="19"/>
        <v/>
      </c>
    </row>
    <row r="1276" spans="1:10">
      <c r="A1276" s="103"/>
      <c r="B1276" s="104"/>
      <c r="C1276" s="105"/>
      <c r="D1276" s="104"/>
      <c r="F1276" s="106"/>
      <c r="G1276" s="104"/>
      <c r="H1276" s="106"/>
      <c r="I1276" s="106"/>
      <c r="J1276" s="101" t="str">
        <f t="shared" ca="1" si="19"/>
        <v/>
      </c>
    </row>
    <row r="1277" spans="1:10">
      <c r="A1277" s="103"/>
      <c r="B1277" s="104"/>
      <c r="C1277" s="105"/>
      <c r="D1277" s="104"/>
      <c r="F1277" s="106"/>
      <c r="G1277" s="104"/>
      <c r="H1277" s="106"/>
      <c r="I1277" s="106"/>
      <c r="J1277" s="101" t="str">
        <f t="shared" ca="1" si="19"/>
        <v/>
      </c>
    </row>
    <row r="1278" spans="1:10">
      <c r="A1278" s="103"/>
      <c r="B1278" s="104"/>
      <c r="C1278" s="105"/>
      <c r="D1278" s="104"/>
      <c r="F1278" s="106"/>
      <c r="G1278" s="104"/>
      <c r="H1278" s="106"/>
      <c r="I1278" s="106"/>
      <c r="J1278" s="101" t="str">
        <f t="shared" ca="1" si="19"/>
        <v/>
      </c>
    </row>
    <row r="1279" spans="1:10">
      <c r="A1279" s="103"/>
      <c r="B1279" s="104"/>
      <c r="C1279" s="105"/>
      <c r="D1279" s="104"/>
      <c r="F1279" s="106"/>
      <c r="G1279" s="104"/>
      <c r="H1279" s="106"/>
      <c r="I1279" s="106"/>
      <c r="J1279" s="101" t="str">
        <f t="shared" ca="1" si="19"/>
        <v/>
      </c>
    </row>
    <row r="1280" spans="1:10">
      <c r="A1280" s="103"/>
      <c r="B1280" s="104"/>
      <c r="C1280" s="105"/>
      <c r="D1280" s="104"/>
      <c r="F1280" s="106"/>
      <c r="G1280" s="104"/>
      <c r="H1280" s="106"/>
      <c r="I1280" s="106"/>
      <c r="J1280" s="101" t="str">
        <f t="shared" ca="1" si="19"/>
        <v/>
      </c>
    </row>
    <row r="1281" spans="1:10">
      <c r="A1281" s="103"/>
      <c r="B1281" s="104"/>
      <c r="C1281" s="105"/>
      <c r="D1281" s="104"/>
      <c r="F1281" s="106"/>
      <c r="G1281" s="104"/>
      <c r="H1281" s="106"/>
      <c r="I1281" s="106"/>
      <c r="J1281" s="101" t="str">
        <f t="shared" ca="1" si="19"/>
        <v/>
      </c>
    </row>
    <row r="1282" spans="1:10">
      <c r="A1282" s="103"/>
      <c r="B1282" s="104"/>
      <c r="C1282" s="105"/>
      <c r="D1282" s="104"/>
      <c r="F1282" s="106"/>
      <c r="G1282" s="104"/>
      <c r="H1282" s="106"/>
      <c r="I1282" s="106"/>
      <c r="J1282" s="101" t="str">
        <f t="shared" ca="1" si="19"/>
        <v/>
      </c>
    </row>
    <row r="1283" spans="1:10">
      <c r="A1283" s="103"/>
      <c r="B1283" s="104"/>
      <c r="C1283" s="105"/>
      <c r="D1283" s="104"/>
      <c r="F1283" s="106"/>
      <c r="G1283" s="104"/>
      <c r="H1283" s="106"/>
      <c r="I1283" s="106"/>
      <c r="J1283" s="101" t="str">
        <f t="shared" ref="J1283:J1346" ca="1" si="20">_xlfn.LET(
    _xlpm.AllCellsFilled, COUNTA(A1283:I1283) = 9,
    _xlpm.QtyIsInt, AND(ISNUMBER(G1283), G1283=INT(G1283)),
    _xlpm.AvailDateIsValid, AND(ISNUMBER(F1283), F1283&gt;=TODAY()),
    _xlpm.ReqDateIsValid, AND(ISNUMBER(H1283), H1283&gt;=TODAY()),
    _xlpm.EmailIsValid, RIGHT(I1283,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IF(A1283="", "", IF(_xlpm.error_messages = "", "Yes", _xlpm.error_messages))
)</f>
        <v/>
      </c>
    </row>
    <row r="1284" spans="1:10">
      <c r="A1284" s="103"/>
      <c r="B1284" s="104"/>
      <c r="C1284" s="105"/>
      <c r="D1284" s="104"/>
      <c r="F1284" s="106"/>
      <c r="G1284" s="104"/>
      <c r="H1284" s="106"/>
      <c r="I1284" s="106"/>
      <c r="J1284" s="101" t="str">
        <f t="shared" ca="1" si="20"/>
        <v/>
      </c>
    </row>
    <row r="1285" spans="1:10">
      <c r="A1285" s="103"/>
      <c r="B1285" s="104"/>
      <c r="C1285" s="105"/>
      <c r="D1285" s="104"/>
      <c r="F1285" s="106"/>
      <c r="G1285" s="104"/>
      <c r="H1285" s="106"/>
      <c r="I1285" s="106"/>
      <c r="J1285" s="101" t="str">
        <f t="shared" ca="1" si="20"/>
        <v/>
      </c>
    </row>
    <row r="1286" spans="1:10">
      <c r="A1286" s="103"/>
      <c r="B1286" s="104"/>
      <c r="C1286" s="105"/>
      <c r="D1286" s="104"/>
      <c r="F1286" s="106"/>
      <c r="G1286" s="104"/>
      <c r="H1286" s="106"/>
      <c r="I1286" s="106"/>
      <c r="J1286" s="101" t="str">
        <f t="shared" ca="1" si="20"/>
        <v/>
      </c>
    </row>
    <row r="1287" spans="1:10">
      <c r="A1287" s="103"/>
      <c r="B1287" s="104"/>
      <c r="C1287" s="105"/>
      <c r="D1287" s="104"/>
      <c r="F1287" s="106"/>
      <c r="G1287" s="104"/>
      <c r="H1287" s="106"/>
      <c r="I1287" s="106"/>
      <c r="J1287" s="101" t="str">
        <f t="shared" ca="1" si="20"/>
        <v/>
      </c>
    </row>
    <row r="1288" spans="1:10">
      <c r="A1288" s="103"/>
      <c r="B1288" s="104"/>
      <c r="C1288" s="105"/>
      <c r="D1288" s="104"/>
      <c r="F1288" s="106"/>
      <c r="G1288" s="104"/>
      <c r="H1288" s="106"/>
      <c r="I1288" s="106"/>
      <c r="J1288" s="101" t="str">
        <f t="shared" ca="1" si="20"/>
        <v/>
      </c>
    </row>
    <row r="1289" spans="1:10">
      <c r="A1289" s="103"/>
      <c r="B1289" s="104"/>
      <c r="C1289" s="105"/>
      <c r="D1289" s="104"/>
      <c r="F1289" s="106"/>
      <c r="G1289" s="104"/>
      <c r="H1289" s="106"/>
      <c r="I1289" s="106"/>
      <c r="J1289" s="101" t="str">
        <f t="shared" ca="1" si="20"/>
        <v/>
      </c>
    </row>
    <row r="1290" spans="1:10">
      <c r="A1290" s="103"/>
      <c r="B1290" s="104"/>
      <c r="C1290" s="105"/>
      <c r="D1290" s="104"/>
      <c r="F1290" s="106"/>
      <c r="G1290" s="104"/>
      <c r="H1290" s="106"/>
      <c r="I1290" s="106"/>
      <c r="J1290" s="101" t="str">
        <f t="shared" ca="1" si="20"/>
        <v/>
      </c>
    </row>
    <row r="1291" spans="1:10">
      <c r="A1291" s="103"/>
      <c r="B1291" s="104"/>
      <c r="C1291" s="105"/>
      <c r="D1291" s="104"/>
      <c r="F1291" s="106"/>
      <c r="G1291" s="104"/>
      <c r="H1291" s="106"/>
      <c r="I1291" s="106"/>
      <c r="J1291" s="101" t="str">
        <f t="shared" ca="1" si="20"/>
        <v/>
      </c>
    </row>
    <row r="1292" spans="1:10">
      <c r="A1292" s="103"/>
      <c r="B1292" s="104"/>
      <c r="C1292" s="105"/>
      <c r="D1292" s="104"/>
      <c r="F1292" s="106"/>
      <c r="G1292" s="104"/>
      <c r="H1292" s="106"/>
      <c r="I1292" s="106"/>
      <c r="J1292" s="101" t="str">
        <f t="shared" ca="1" si="20"/>
        <v/>
      </c>
    </row>
    <row r="1293" spans="1:10">
      <c r="A1293" s="103"/>
      <c r="B1293" s="104"/>
      <c r="C1293" s="105"/>
      <c r="D1293" s="104"/>
      <c r="F1293" s="106"/>
      <c r="G1293" s="104"/>
      <c r="H1293" s="106"/>
      <c r="I1293" s="106"/>
      <c r="J1293" s="101" t="str">
        <f t="shared" ca="1" si="20"/>
        <v/>
      </c>
    </row>
    <row r="1294" spans="1:10">
      <c r="A1294" s="103"/>
      <c r="B1294" s="104"/>
      <c r="C1294" s="105"/>
      <c r="D1294" s="104"/>
      <c r="F1294" s="106"/>
      <c r="G1294" s="104"/>
      <c r="H1294" s="106"/>
      <c r="I1294" s="106"/>
      <c r="J1294" s="101" t="str">
        <f t="shared" ca="1" si="20"/>
        <v/>
      </c>
    </row>
    <row r="1295" spans="1:10">
      <c r="A1295" s="103"/>
      <c r="B1295" s="104"/>
      <c r="C1295" s="105"/>
      <c r="D1295" s="104"/>
      <c r="F1295" s="106"/>
      <c r="G1295" s="104"/>
      <c r="H1295" s="106"/>
      <c r="I1295" s="106"/>
      <c r="J1295" s="101" t="str">
        <f t="shared" ca="1" si="20"/>
        <v/>
      </c>
    </row>
    <row r="1296" spans="1:10">
      <c r="A1296" s="103"/>
      <c r="B1296" s="104"/>
      <c r="C1296" s="105"/>
      <c r="D1296" s="104"/>
      <c r="F1296" s="106"/>
      <c r="G1296" s="104"/>
      <c r="H1296" s="106"/>
      <c r="I1296" s="106"/>
      <c r="J1296" s="101" t="str">
        <f t="shared" ca="1" si="20"/>
        <v/>
      </c>
    </row>
    <row r="1297" spans="1:10">
      <c r="A1297" s="103"/>
      <c r="B1297" s="104"/>
      <c r="C1297" s="105"/>
      <c r="D1297" s="104"/>
      <c r="F1297" s="106"/>
      <c r="G1297" s="104"/>
      <c r="H1297" s="106"/>
      <c r="I1297" s="106"/>
      <c r="J1297" s="101" t="str">
        <f t="shared" ca="1" si="20"/>
        <v/>
      </c>
    </row>
    <row r="1298" spans="1:10">
      <c r="A1298" s="103"/>
      <c r="B1298" s="104"/>
      <c r="C1298" s="105"/>
      <c r="D1298" s="104"/>
      <c r="F1298" s="106"/>
      <c r="G1298" s="104"/>
      <c r="H1298" s="106"/>
      <c r="I1298" s="106"/>
      <c r="J1298" s="101" t="str">
        <f t="shared" ca="1" si="20"/>
        <v/>
      </c>
    </row>
    <row r="1299" spans="1:10">
      <c r="A1299" s="103"/>
      <c r="B1299" s="104"/>
      <c r="C1299" s="105"/>
      <c r="D1299" s="104"/>
      <c r="F1299" s="106"/>
      <c r="G1299" s="104"/>
      <c r="H1299" s="106"/>
      <c r="I1299" s="106"/>
      <c r="J1299" s="101" t="str">
        <f t="shared" ca="1" si="20"/>
        <v/>
      </c>
    </row>
    <row r="1300" spans="1:10">
      <c r="A1300" s="103"/>
      <c r="B1300" s="104"/>
      <c r="C1300" s="105"/>
      <c r="D1300" s="104"/>
      <c r="F1300" s="106"/>
      <c r="G1300" s="104"/>
      <c r="H1300" s="106"/>
      <c r="I1300" s="106"/>
      <c r="J1300" s="101" t="str">
        <f t="shared" ca="1" si="20"/>
        <v/>
      </c>
    </row>
    <row r="1301" spans="1:10">
      <c r="A1301" s="103"/>
      <c r="B1301" s="104"/>
      <c r="C1301" s="105"/>
      <c r="D1301" s="104"/>
      <c r="F1301" s="106"/>
      <c r="G1301" s="104"/>
      <c r="H1301" s="106"/>
      <c r="I1301" s="106"/>
      <c r="J1301" s="101" t="str">
        <f t="shared" ca="1" si="20"/>
        <v/>
      </c>
    </row>
    <row r="1302" spans="1:10">
      <c r="A1302" s="103"/>
      <c r="B1302" s="104"/>
      <c r="C1302" s="105"/>
      <c r="D1302" s="104"/>
      <c r="F1302" s="106"/>
      <c r="G1302" s="104"/>
      <c r="H1302" s="106"/>
      <c r="I1302" s="106"/>
      <c r="J1302" s="101" t="str">
        <f t="shared" ca="1" si="20"/>
        <v/>
      </c>
    </row>
    <row r="1303" spans="1:10">
      <c r="A1303" s="103"/>
      <c r="B1303" s="104"/>
      <c r="C1303" s="105"/>
      <c r="D1303" s="104"/>
      <c r="F1303" s="106"/>
      <c r="G1303" s="104"/>
      <c r="H1303" s="106"/>
      <c r="I1303" s="106"/>
      <c r="J1303" s="101" t="str">
        <f t="shared" ca="1" si="20"/>
        <v/>
      </c>
    </row>
    <row r="1304" spans="1:10">
      <c r="A1304" s="103"/>
      <c r="B1304" s="104"/>
      <c r="C1304" s="105"/>
      <c r="D1304" s="104"/>
      <c r="F1304" s="106"/>
      <c r="G1304" s="104"/>
      <c r="H1304" s="106"/>
      <c r="I1304" s="106"/>
      <c r="J1304" s="101" t="str">
        <f t="shared" ca="1" si="20"/>
        <v/>
      </c>
    </row>
    <row r="1305" spans="1:10">
      <c r="A1305" s="103"/>
      <c r="B1305" s="104"/>
      <c r="C1305" s="105"/>
      <c r="D1305" s="104"/>
      <c r="F1305" s="106"/>
      <c r="G1305" s="104"/>
      <c r="H1305" s="106"/>
      <c r="I1305" s="106"/>
      <c r="J1305" s="101" t="str">
        <f t="shared" ca="1" si="20"/>
        <v/>
      </c>
    </row>
    <row r="1306" spans="1:10">
      <c r="A1306" s="103"/>
      <c r="B1306" s="104"/>
      <c r="C1306" s="105"/>
      <c r="D1306" s="104"/>
      <c r="F1306" s="106"/>
      <c r="G1306" s="104"/>
      <c r="H1306" s="106"/>
      <c r="I1306" s="106"/>
      <c r="J1306" s="101" t="str">
        <f t="shared" ca="1" si="20"/>
        <v/>
      </c>
    </row>
    <row r="1307" spans="1:10">
      <c r="A1307" s="103"/>
      <c r="B1307" s="104"/>
      <c r="C1307" s="105"/>
      <c r="D1307" s="104"/>
      <c r="F1307" s="106"/>
      <c r="G1307" s="104"/>
      <c r="H1307" s="106"/>
      <c r="I1307" s="106"/>
      <c r="J1307" s="101" t="str">
        <f t="shared" ca="1" si="20"/>
        <v/>
      </c>
    </row>
    <row r="1308" spans="1:10">
      <c r="A1308" s="103"/>
      <c r="B1308" s="104"/>
      <c r="C1308" s="105"/>
      <c r="D1308" s="104"/>
      <c r="F1308" s="106"/>
      <c r="G1308" s="104"/>
      <c r="H1308" s="106"/>
      <c r="I1308" s="106"/>
      <c r="J1308" s="101" t="str">
        <f t="shared" ca="1" si="20"/>
        <v/>
      </c>
    </row>
    <row r="1309" spans="1:10">
      <c r="A1309" s="103"/>
      <c r="B1309" s="104"/>
      <c r="C1309" s="105"/>
      <c r="D1309" s="104"/>
      <c r="F1309" s="106"/>
      <c r="G1309" s="104"/>
      <c r="H1309" s="106"/>
      <c r="I1309" s="106"/>
      <c r="J1309" s="101" t="str">
        <f t="shared" ca="1" si="20"/>
        <v/>
      </c>
    </row>
    <row r="1310" spans="1:10">
      <c r="A1310" s="103"/>
      <c r="B1310" s="104"/>
      <c r="C1310" s="105"/>
      <c r="D1310" s="104"/>
      <c r="F1310" s="106"/>
      <c r="G1310" s="104"/>
      <c r="H1310" s="106"/>
      <c r="I1310" s="106"/>
      <c r="J1310" s="101" t="str">
        <f t="shared" ca="1" si="20"/>
        <v/>
      </c>
    </row>
    <row r="1311" spans="1:10">
      <c r="A1311" s="103"/>
      <c r="B1311" s="104"/>
      <c r="C1311" s="105"/>
      <c r="D1311" s="104"/>
      <c r="F1311" s="106"/>
      <c r="G1311" s="104"/>
      <c r="H1311" s="106"/>
      <c r="I1311" s="106"/>
      <c r="J1311" s="101" t="str">
        <f t="shared" ca="1" si="20"/>
        <v/>
      </c>
    </row>
    <row r="1312" spans="1:10">
      <c r="A1312" s="103"/>
      <c r="B1312" s="104"/>
      <c r="C1312" s="105"/>
      <c r="D1312" s="104"/>
      <c r="F1312" s="106"/>
      <c r="G1312" s="104"/>
      <c r="H1312" s="106"/>
      <c r="I1312" s="106"/>
      <c r="J1312" s="101" t="str">
        <f t="shared" ca="1" si="20"/>
        <v/>
      </c>
    </row>
    <row r="1313" spans="1:10">
      <c r="A1313" s="103"/>
      <c r="B1313" s="104"/>
      <c r="C1313" s="105"/>
      <c r="D1313" s="104"/>
      <c r="F1313" s="106"/>
      <c r="G1313" s="104"/>
      <c r="H1313" s="106"/>
      <c r="I1313" s="106"/>
      <c r="J1313" s="101" t="str">
        <f t="shared" ca="1" si="20"/>
        <v/>
      </c>
    </row>
    <row r="1314" spans="1:10">
      <c r="A1314" s="103"/>
      <c r="B1314" s="104"/>
      <c r="C1314" s="105"/>
      <c r="D1314" s="104"/>
      <c r="F1314" s="106"/>
      <c r="G1314" s="104"/>
      <c r="H1314" s="106"/>
      <c r="I1314" s="106"/>
      <c r="J1314" s="101" t="str">
        <f t="shared" ca="1" si="20"/>
        <v/>
      </c>
    </row>
    <row r="1315" spans="1:10">
      <c r="A1315" s="103"/>
      <c r="B1315" s="104"/>
      <c r="C1315" s="105"/>
      <c r="D1315" s="104"/>
      <c r="F1315" s="106"/>
      <c r="G1315" s="104"/>
      <c r="H1315" s="106"/>
      <c r="I1315" s="106"/>
      <c r="J1315" s="101" t="str">
        <f t="shared" ca="1" si="20"/>
        <v/>
      </c>
    </row>
    <row r="1316" spans="1:10">
      <c r="A1316" s="103"/>
      <c r="B1316" s="104"/>
      <c r="C1316" s="105"/>
      <c r="D1316" s="104"/>
      <c r="F1316" s="106"/>
      <c r="G1316" s="104"/>
      <c r="H1316" s="106"/>
      <c r="I1316" s="106"/>
      <c r="J1316" s="101" t="str">
        <f t="shared" ca="1" si="20"/>
        <v/>
      </c>
    </row>
    <row r="1317" spans="1:10">
      <c r="A1317" s="103"/>
      <c r="B1317" s="104"/>
      <c r="C1317" s="105"/>
      <c r="D1317" s="104"/>
      <c r="F1317" s="106"/>
      <c r="G1317" s="104"/>
      <c r="H1317" s="106"/>
      <c r="I1317" s="106"/>
      <c r="J1317" s="101" t="str">
        <f t="shared" ca="1" si="20"/>
        <v/>
      </c>
    </row>
    <row r="1318" spans="1:10">
      <c r="A1318" s="103"/>
      <c r="B1318" s="104"/>
      <c r="C1318" s="105"/>
      <c r="D1318" s="104"/>
      <c r="F1318" s="106"/>
      <c r="G1318" s="104"/>
      <c r="H1318" s="106"/>
      <c r="I1318" s="106"/>
      <c r="J1318" s="101" t="str">
        <f t="shared" ca="1" si="20"/>
        <v/>
      </c>
    </row>
    <row r="1319" spans="1:10">
      <c r="A1319" s="103"/>
      <c r="B1319" s="104"/>
      <c r="C1319" s="105"/>
      <c r="D1319" s="104"/>
      <c r="F1319" s="106"/>
      <c r="G1319" s="104"/>
      <c r="H1319" s="106"/>
      <c r="I1319" s="106"/>
      <c r="J1319" s="101" t="str">
        <f t="shared" ca="1" si="20"/>
        <v/>
      </c>
    </row>
    <row r="1320" spans="1:10">
      <c r="A1320" s="103"/>
      <c r="B1320" s="104"/>
      <c r="C1320" s="105"/>
      <c r="D1320" s="104"/>
      <c r="F1320" s="106"/>
      <c r="G1320" s="104"/>
      <c r="H1320" s="106"/>
      <c r="I1320" s="106"/>
      <c r="J1320" s="101" t="str">
        <f t="shared" ca="1" si="20"/>
        <v/>
      </c>
    </row>
    <row r="1321" spans="1:10">
      <c r="A1321" s="103"/>
      <c r="B1321" s="104"/>
      <c r="C1321" s="105"/>
      <c r="D1321" s="104"/>
      <c r="F1321" s="106"/>
      <c r="G1321" s="104"/>
      <c r="H1321" s="106"/>
      <c r="I1321" s="106"/>
      <c r="J1321" s="101" t="str">
        <f t="shared" ca="1" si="20"/>
        <v/>
      </c>
    </row>
    <row r="1322" spans="1:10">
      <c r="A1322" s="103"/>
      <c r="B1322" s="104"/>
      <c r="C1322" s="105"/>
      <c r="D1322" s="104"/>
      <c r="F1322" s="106"/>
      <c r="G1322" s="104"/>
      <c r="H1322" s="106"/>
      <c r="I1322" s="106"/>
      <c r="J1322" s="101" t="str">
        <f t="shared" ca="1" si="20"/>
        <v/>
      </c>
    </row>
    <row r="1323" spans="1:10">
      <c r="A1323" s="103"/>
      <c r="B1323" s="104"/>
      <c r="C1323" s="105"/>
      <c r="D1323" s="104"/>
      <c r="F1323" s="106"/>
      <c r="G1323" s="104"/>
      <c r="H1323" s="106"/>
      <c r="I1323" s="106"/>
      <c r="J1323" s="101" t="str">
        <f t="shared" ca="1" si="20"/>
        <v/>
      </c>
    </row>
    <row r="1324" spans="1:10">
      <c r="A1324" s="103"/>
      <c r="B1324" s="104"/>
      <c r="C1324" s="105"/>
      <c r="D1324" s="104"/>
      <c r="F1324" s="106"/>
      <c r="G1324" s="104"/>
      <c r="H1324" s="106"/>
      <c r="I1324" s="106"/>
      <c r="J1324" s="101" t="str">
        <f t="shared" ca="1" si="20"/>
        <v/>
      </c>
    </row>
    <row r="1325" spans="1:10">
      <c r="A1325" s="103"/>
      <c r="B1325" s="104"/>
      <c r="C1325" s="105"/>
      <c r="D1325" s="104"/>
      <c r="F1325" s="106"/>
      <c r="G1325" s="104"/>
      <c r="H1325" s="106"/>
      <c r="I1325" s="106"/>
      <c r="J1325" s="101" t="str">
        <f t="shared" ca="1" si="20"/>
        <v/>
      </c>
    </row>
    <row r="1326" spans="1:10">
      <c r="A1326" s="103"/>
      <c r="B1326" s="104"/>
      <c r="C1326" s="105"/>
      <c r="D1326" s="104"/>
      <c r="F1326" s="106"/>
      <c r="G1326" s="104"/>
      <c r="H1326" s="106"/>
      <c r="I1326" s="106"/>
      <c r="J1326" s="101" t="str">
        <f t="shared" ca="1" si="20"/>
        <v/>
      </c>
    </row>
    <row r="1327" spans="1:10">
      <c r="A1327" s="103"/>
      <c r="B1327" s="104"/>
      <c r="C1327" s="105"/>
      <c r="D1327" s="104"/>
      <c r="F1327" s="106"/>
      <c r="G1327" s="104"/>
      <c r="H1327" s="106"/>
      <c r="I1327" s="106"/>
      <c r="J1327" s="101" t="str">
        <f t="shared" ca="1" si="20"/>
        <v/>
      </c>
    </row>
    <row r="1328" spans="1:10">
      <c r="A1328" s="103"/>
      <c r="B1328" s="104"/>
      <c r="C1328" s="105"/>
      <c r="D1328" s="104"/>
      <c r="F1328" s="106"/>
      <c r="G1328" s="104"/>
      <c r="H1328" s="106"/>
      <c r="I1328" s="106"/>
      <c r="J1328" s="101" t="str">
        <f t="shared" ca="1" si="20"/>
        <v/>
      </c>
    </row>
    <row r="1329" spans="1:10">
      <c r="A1329" s="103"/>
      <c r="B1329" s="104"/>
      <c r="C1329" s="105"/>
      <c r="D1329" s="104"/>
      <c r="F1329" s="106"/>
      <c r="G1329" s="104"/>
      <c r="H1329" s="106"/>
      <c r="I1329" s="106"/>
      <c r="J1329" s="101" t="str">
        <f t="shared" ca="1" si="20"/>
        <v/>
      </c>
    </row>
    <row r="1330" spans="1:10">
      <c r="A1330" s="103"/>
      <c r="B1330" s="104"/>
      <c r="C1330" s="105"/>
      <c r="D1330" s="104"/>
      <c r="F1330" s="106"/>
      <c r="G1330" s="104"/>
      <c r="H1330" s="106"/>
      <c r="I1330" s="106"/>
      <c r="J1330" s="101" t="str">
        <f t="shared" ca="1" si="20"/>
        <v/>
      </c>
    </row>
    <row r="1331" spans="1:10">
      <c r="A1331" s="103"/>
      <c r="B1331" s="104"/>
      <c r="C1331" s="105"/>
      <c r="D1331" s="104"/>
      <c r="F1331" s="106"/>
      <c r="G1331" s="104"/>
      <c r="H1331" s="106"/>
      <c r="I1331" s="106"/>
      <c r="J1331" s="101" t="str">
        <f t="shared" ca="1" si="20"/>
        <v/>
      </c>
    </row>
    <row r="1332" spans="1:10">
      <c r="A1332" s="103"/>
      <c r="B1332" s="104"/>
      <c r="C1332" s="105"/>
      <c r="D1332" s="104"/>
      <c r="F1332" s="106"/>
      <c r="G1332" s="104"/>
      <c r="H1332" s="106"/>
      <c r="I1332" s="106"/>
      <c r="J1332" s="101" t="str">
        <f t="shared" ca="1" si="20"/>
        <v/>
      </c>
    </row>
    <row r="1333" spans="1:10">
      <c r="A1333" s="103"/>
      <c r="B1333" s="104"/>
      <c r="C1333" s="105"/>
      <c r="D1333" s="104"/>
      <c r="F1333" s="106"/>
      <c r="G1333" s="104"/>
      <c r="H1333" s="106"/>
      <c r="I1333" s="106"/>
      <c r="J1333" s="101" t="str">
        <f t="shared" ca="1" si="20"/>
        <v/>
      </c>
    </row>
    <row r="1334" spans="1:10">
      <c r="A1334" s="103"/>
      <c r="B1334" s="104"/>
      <c r="C1334" s="105"/>
      <c r="D1334" s="104"/>
      <c r="F1334" s="106"/>
      <c r="G1334" s="104"/>
      <c r="H1334" s="106"/>
      <c r="I1334" s="106"/>
      <c r="J1334" s="101" t="str">
        <f t="shared" ca="1" si="20"/>
        <v/>
      </c>
    </row>
    <row r="1335" spans="1:10">
      <c r="A1335" s="103"/>
      <c r="B1335" s="104"/>
      <c r="C1335" s="105"/>
      <c r="D1335" s="104"/>
      <c r="F1335" s="106"/>
      <c r="G1335" s="104"/>
      <c r="H1335" s="106"/>
      <c r="I1335" s="106"/>
      <c r="J1335" s="101" t="str">
        <f t="shared" ca="1" si="20"/>
        <v/>
      </c>
    </row>
    <row r="1336" spans="1:10">
      <c r="A1336" s="103"/>
      <c r="B1336" s="104"/>
      <c r="C1336" s="105"/>
      <c r="D1336" s="104"/>
      <c r="F1336" s="106"/>
      <c r="G1336" s="104"/>
      <c r="H1336" s="106"/>
      <c r="I1336" s="106"/>
      <c r="J1336" s="101" t="str">
        <f t="shared" ca="1" si="20"/>
        <v/>
      </c>
    </row>
    <row r="1337" spans="1:10">
      <c r="A1337" s="103"/>
      <c r="B1337" s="104"/>
      <c r="C1337" s="105"/>
      <c r="D1337" s="104"/>
      <c r="F1337" s="106"/>
      <c r="G1337" s="104"/>
      <c r="H1337" s="106"/>
      <c r="I1337" s="106"/>
      <c r="J1337" s="101" t="str">
        <f t="shared" ca="1" si="20"/>
        <v/>
      </c>
    </row>
    <row r="1338" spans="1:10">
      <c r="A1338" s="103"/>
      <c r="B1338" s="104"/>
      <c r="C1338" s="105"/>
      <c r="D1338" s="104"/>
      <c r="F1338" s="106"/>
      <c r="G1338" s="104"/>
      <c r="H1338" s="106"/>
      <c r="I1338" s="106"/>
      <c r="J1338" s="101" t="str">
        <f t="shared" ca="1" si="20"/>
        <v/>
      </c>
    </row>
    <row r="1339" spans="1:10">
      <c r="A1339" s="103"/>
      <c r="B1339" s="104"/>
      <c r="C1339" s="105"/>
      <c r="D1339" s="104"/>
      <c r="F1339" s="106"/>
      <c r="G1339" s="104"/>
      <c r="H1339" s="106"/>
      <c r="I1339" s="106"/>
      <c r="J1339" s="101" t="str">
        <f t="shared" ca="1" si="20"/>
        <v/>
      </c>
    </row>
    <row r="1340" spans="1:10">
      <c r="A1340" s="103"/>
      <c r="B1340" s="104"/>
      <c r="C1340" s="105"/>
      <c r="D1340" s="104"/>
      <c r="F1340" s="106"/>
      <c r="G1340" s="104"/>
      <c r="H1340" s="106"/>
      <c r="I1340" s="106"/>
      <c r="J1340" s="101" t="str">
        <f t="shared" ca="1" si="20"/>
        <v/>
      </c>
    </row>
    <row r="1341" spans="1:10">
      <c r="A1341" s="103"/>
      <c r="B1341" s="104"/>
      <c r="C1341" s="105"/>
      <c r="D1341" s="104"/>
      <c r="F1341" s="106"/>
      <c r="G1341" s="104"/>
      <c r="H1341" s="106"/>
      <c r="I1341" s="106"/>
      <c r="J1341" s="101" t="str">
        <f t="shared" ca="1" si="20"/>
        <v/>
      </c>
    </row>
    <row r="1342" spans="1:10">
      <c r="A1342" s="103"/>
      <c r="B1342" s="104"/>
      <c r="C1342" s="105"/>
      <c r="D1342" s="104"/>
      <c r="F1342" s="106"/>
      <c r="G1342" s="104"/>
      <c r="H1342" s="106"/>
      <c r="I1342" s="106"/>
      <c r="J1342" s="101" t="str">
        <f t="shared" ca="1" si="20"/>
        <v/>
      </c>
    </row>
    <row r="1343" spans="1:10">
      <c r="A1343" s="103"/>
      <c r="B1343" s="104"/>
      <c r="C1343" s="105"/>
      <c r="D1343" s="104"/>
      <c r="F1343" s="106"/>
      <c r="G1343" s="104"/>
      <c r="H1343" s="106"/>
      <c r="I1343" s="106"/>
      <c r="J1343" s="101" t="str">
        <f t="shared" ca="1" si="20"/>
        <v/>
      </c>
    </row>
    <row r="1344" spans="1:10">
      <c r="A1344" s="103"/>
      <c r="B1344" s="104"/>
      <c r="C1344" s="105"/>
      <c r="D1344" s="104"/>
      <c r="F1344" s="106"/>
      <c r="G1344" s="104"/>
      <c r="H1344" s="106"/>
      <c r="I1344" s="106"/>
      <c r="J1344" s="101" t="str">
        <f t="shared" ca="1" si="20"/>
        <v/>
      </c>
    </row>
    <row r="1345" spans="1:10">
      <c r="A1345" s="103"/>
      <c r="B1345" s="104"/>
      <c r="C1345" s="105"/>
      <c r="D1345" s="104"/>
      <c r="F1345" s="106"/>
      <c r="G1345" s="104"/>
      <c r="H1345" s="106"/>
      <c r="I1345" s="106"/>
      <c r="J1345" s="101" t="str">
        <f t="shared" ca="1" si="20"/>
        <v/>
      </c>
    </row>
    <row r="1346" spans="1:10">
      <c r="A1346" s="103"/>
      <c r="B1346" s="104"/>
      <c r="C1346" s="105"/>
      <c r="D1346" s="104"/>
      <c r="F1346" s="106"/>
      <c r="G1346" s="104"/>
      <c r="H1346" s="106"/>
      <c r="I1346" s="106"/>
      <c r="J1346" s="101" t="str">
        <f t="shared" ca="1" si="20"/>
        <v/>
      </c>
    </row>
    <row r="1347" spans="1:10">
      <c r="A1347" s="103"/>
      <c r="B1347" s="104"/>
      <c r="C1347" s="105"/>
      <c r="D1347" s="104"/>
      <c r="F1347" s="106"/>
      <c r="G1347" s="104"/>
      <c r="H1347" s="106"/>
      <c r="I1347" s="106"/>
      <c r="J1347" s="101" t="str">
        <f t="shared" ref="J1347:J1410" ca="1" si="21">_xlfn.LET(
    _xlpm.AllCellsFilled, COUNTA(A1347:I1347) = 9,
    _xlpm.QtyIsInt, AND(ISNUMBER(G1347), G1347=INT(G1347)),
    _xlpm.AvailDateIsValid, AND(ISNUMBER(F1347), F1347&gt;=TODAY()),
    _xlpm.ReqDateIsValid, AND(ISNUMBER(H1347), H1347&gt;=TODAY()),
    _xlpm.EmailIsValid, RIGHT(I1347,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IF(A1347="", "", IF(_xlpm.error_messages = "", "Yes", _xlpm.error_messages))
)</f>
        <v/>
      </c>
    </row>
    <row r="1348" spans="1:10">
      <c r="A1348" s="103"/>
      <c r="B1348" s="104"/>
      <c r="C1348" s="105"/>
      <c r="D1348" s="104"/>
      <c r="F1348" s="106"/>
      <c r="G1348" s="104"/>
      <c r="H1348" s="106"/>
      <c r="I1348" s="106"/>
      <c r="J1348" s="101" t="str">
        <f t="shared" ca="1" si="21"/>
        <v/>
      </c>
    </row>
    <row r="1349" spans="1:10">
      <c r="A1349" s="103"/>
      <c r="B1349" s="104"/>
      <c r="C1349" s="105"/>
      <c r="D1349" s="104"/>
      <c r="F1349" s="106"/>
      <c r="G1349" s="104"/>
      <c r="H1349" s="106"/>
      <c r="I1349" s="106"/>
      <c r="J1349" s="101" t="str">
        <f t="shared" ca="1" si="21"/>
        <v/>
      </c>
    </row>
    <row r="1350" spans="1:10">
      <c r="A1350" s="103"/>
      <c r="B1350" s="104"/>
      <c r="C1350" s="105"/>
      <c r="D1350" s="104"/>
      <c r="F1350" s="106"/>
      <c r="G1350" s="104"/>
      <c r="H1350" s="106"/>
      <c r="I1350" s="106"/>
      <c r="J1350" s="101" t="str">
        <f t="shared" ca="1" si="21"/>
        <v/>
      </c>
    </row>
    <row r="1351" spans="1:10">
      <c r="A1351" s="103"/>
      <c r="B1351" s="104"/>
      <c r="C1351" s="105"/>
      <c r="D1351" s="104"/>
      <c r="F1351" s="106"/>
      <c r="G1351" s="104"/>
      <c r="H1351" s="106"/>
      <c r="I1351" s="106"/>
      <c r="J1351" s="101" t="str">
        <f t="shared" ca="1" si="21"/>
        <v/>
      </c>
    </row>
    <row r="1352" spans="1:10">
      <c r="A1352" s="103"/>
      <c r="B1352" s="104"/>
      <c r="C1352" s="105"/>
      <c r="D1352" s="104"/>
      <c r="F1352" s="106"/>
      <c r="G1352" s="104"/>
      <c r="H1352" s="106"/>
      <c r="I1352" s="106"/>
      <c r="J1352" s="101" t="str">
        <f t="shared" ca="1" si="21"/>
        <v/>
      </c>
    </row>
    <row r="1353" spans="1:10">
      <c r="A1353" s="103"/>
      <c r="B1353" s="104"/>
      <c r="C1353" s="105"/>
      <c r="D1353" s="104"/>
      <c r="F1353" s="106"/>
      <c r="G1353" s="104"/>
      <c r="H1353" s="106"/>
      <c r="I1353" s="106"/>
      <c r="J1353" s="101" t="str">
        <f t="shared" ca="1" si="21"/>
        <v/>
      </c>
    </row>
    <row r="1354" spans="1:10">
      <c r="A1354" s="103"/>
      <c r="B1354" s="104"/>
      <c r="C1354" s="105"/>
      <c r="D1354" s="104"/>
      <c r="F1354" s="106"/>
      <c r="G1354" s="104"/>
      <c r="H1354" s="106"/>
      <c r="I1354" s="106"/>
      <c r="J1354" s="101" t="str">
        <f t="shared" ca="1" si="21"/>
        <v/>
      </c>
    </row>
    <row r="1355" spans="1:10">
      <c r="A1355" s="103"/>
      <c r="B1355" s="104"/>
      <c r="C1355" s="105"/>
      <c r="D1355" s="104"/>
      <c r="F1355" s="106"/>
      <c r="G1355" s="104"/>
      <c r="H1355" s="106"/>
      <c r="I1355" s="106"/>
      <c r="J1355" s="101" t="str">
        <f t="shared" ca="1" si="21"/>
        <v/>
      </c>
    </row>
    <row r="1356" spans="1:10">
      <c r="A1356" s="103"/>
      <c r="B1356" s="104"/>
      <c r="C1356" s="105"/>
      <c r="D1356" s="104"/>
      <c r="F1356" s="106"/>
      <c r="G1356" s="104"/>
      <c r="H1356" s="106"/>
      <c r="I1356" s="106"/>
      <c r="J1356" s="101" t="str">
        <f t="shared" ca="1" si="21"/>
        <v/>
      </c>
    </row>
    <row r="1357" spans="1:10">
      <c r="A1357" s="103"/>
      <c r="B1357" s="104"/>
      <c r="C1357" s="105"/>
      <c r="D1357" s="104"/>
      <c r="F1357" s="106"/>
      <c r="G1357" s="104"/>
      <c r="H1357" s="106"/>
      <c r="I1357" s="106"/>
      <c r="J1357" s="101" t="str">
        <f t="shared" ca="1" si="21"/>
        <v/>
      </c>
    </row>
    <row r="1358" spans="1:10">
      <c r="A1358" s="103"/>
      <c r="B1358" s="104"/>
      <c r="C1358" s="105"/>
      <c r="D1358" s="104"/>
      <c r="F1358" s="106"/>
      <c r="G1358" s="104"/>
      <c r="H1358" s="106"/>
      <c r="I1358" s="106"/>
      <c r="J1358" s="101" t="str">
        <f t="shared" ca="1" si="21"/>
        <v/>
      </c>
    </row>
    <row r="1359" spans="1:10">
      <c r="A1359" s="103"/>
      <c r="B1359" s="104"/>
      <c r="C1359" s="105"/>
      <c r="D1359" s="104"/>
      <c r="F1359" s="106"/>
      <c r="G1359" s="104"/>
      <c r="H1359" s="106"/>
      <c r="I1359" s="106"/>
      <c r="J1359" s="101" t="str">
        <f t="shared" ca="1" si="21"/>
        <v/>
      </c>
    </row>
    <row r="1360" spans="1:10">
      <c r="A1360" s="103"/>
      <c r="B1360" s="104"/>
      <c r="C1360" s="105"/>
      <c r="D1360" s="104"/>
      <c r="F1360" s="106"/>
      <c r="G1360" s="104"/>
      <c r="H1360" s="106"/>
      <c r="I1360" s="106"/>
      <c r="J1360" s="101" t="str">
        <f t="shared" ca="1" si="21"/>
        <v/>
      </c>
    </row>
    <row r="1361" spans="1:10">
      <c r="A1361" s="103"/>
      <c r="B1361" s="104"/>
      <c r="C1361" s="105"/>
      <c r="D1361" s="104"/>
      <c r="F1361" s="106"/>
      <c r="G1361" s="104"/>
      <c r="H1361" s="106"/>
      <c r="I1361" s="106"/>
      <c r="J1361" s="101" t="str">
        <f t="shared" ca="1" si="21"/>
        <v/>
      </c>
    </row>
    <row r="1362" spans="1:10">
      <c r="A1362" s="103"/>
      <c r="B1362" s="104"/>
      <c r="C1362" s="105"/>
      <c r="D1362" s="104"/>
      <c r="F1362" s="106"/>
      <c r="G1362" s="104"/>
      <c r="H1362" s="106"/>
      <c r="I1362" s="106"/>
      <c r="J1362" s="101" t="str">
        <f t="shared" ca="1" si="21"/>
        <v/>
      </c>
    </row>
    <row r="1363" spans="1:10">
      <c r="A1363" s="103"/>
      <c r="B1363" s="104"/>
      <c r="C1363" s="105"/>
      <c r="D1363" s="104"/>
      <c r="F1363" s="106"/>
      <c r="G1363" s="104"/>
      <c r="H1363" s="106"/>
      <c r="I1363" s="106"/>
      <c r="J1363" s="101" t="str">
        <f t="shared" ca="1" si="21"/>
        <v/>
      </c>
    </row>
    <row r="1364" spans="1:10">
      <c r="A1364" s="103"/>
      <c r="B1364" s="104"/>
      <c r="C1364" s="105"/>
      <c r="D1364" s="104"/>
      <c r="F1364" s="106"/>
      <c r="G1364" s="104"/>
      <c r="H1364" s="106"/>
      <c r="I1364" s="106"/>
      <c r="J1364" s="101" t="str">
        <f t="shared" ca="1" si="21"/>
        <v/>
      </c>
    </row>
    <row r="1365" spans="1:10">
      <c r="A1365" s="103"/>
      <c r="B1365" s="104"/>
      <c r="C1365" s="105"/>
      <c r="D1365" s="104"/>
      <c r="F1365" s="106"/>
      <c r="G1365" s="104"/>
      <c r="H1365" s="106"/>
      <c r="I1365" s="106"/>
      <c r="J1365" s="101" t="str">
        <f t="shared" ca="1" si="21"/>
        <v/>
      </c>
    </row>
    <row r="1366" spans="1:10">
      <c r="A1366" s="103"/>
      <c r="B1366" s="104"/>
      <c r="C1366" s="105"/>
      <c r="D1366" s="104"/>
      <c r="F1366" s="106"/>
      <c r="G1366" s="104"/>
      <c r="H1366" s="106"/>
      <c r="I1366" s="106"/>
      <c r="J1366" s="101" t="str">
        <f t="shared" ca="1" si="21"/>
        <v/>
      </c>
    </row>
    <row r="1367" spans="1:10">
      <c r="A1367" s="103"/>
      <c r="B1367" s="104"/>
      <c r="C1367" s="105"/>
      <c r="D1367" s="104"/>
      <c r="F1367" s="106"/>
      <c r="G1367" s="104"/>
      <c r="H1367" s="106"/>
      <c r="I1367" s="106"/>
      <c r="J1367" s="101" t="str">
        <f t="shared" ca="1" si="21"/>
        <v/>
      </c>
    </row>
    <row r="1368" spans="1:10">
      <c r="A1368" s="103"/>
      <c r="B1368" s="104"/>
      <c r="C1368" s="105"/>
      <c r="D1368" s="104"/>
      <c r="F1368" s="106"/>
      <c r="G1368" s="104"/>
      <c r="H1368" s="106"/>
      <c r="I1368" s="106"/>
      <c r="J1368" s="101" t="str">
        <f t="shared" ca="1" si="21"/>
        <v/>
      </c>
    </row>
    <row r="1369" spans="1:10">
      <c r="A1369" s="103"/>
      <c r="B1369" s="104"/>
      <c r="C1369" s="105"/>
      <c r="D1369" s="104"/>
      <c r="F1369" s="106"/>
      <c r="G1369" s="104"/>
      <c r="H1369" s="106"/>
      <c r="I1369" s="106"/>
      <c r="J1369" s="101" t="str">
        <f t="shared" ca="1" si="21"/>
        <v/>
      </c>
    </row>
    <row r="1370" spans="1:10">
      <c r="A1370" s="103"/>
      <c r="B1370" s="104"/>
      <c r="C1370" s="105"/>
      <c r="D1370" s="104"/>
      <c r="F1370" s="106"/>
      <c r="G1370" s="104"/>
      <c r="H1370" s="106"/>
      <c r="I1370" s="106"/>
      <c r="J1370" s="101" t="str">
        <f t="shared" ca="1" si="21"/>
        <v/>
      </c>
    </row>
    <row r="1371" spans="1:10">
      <c r="A1371" s="103"/>
      <c r="B1371" s="104"/>
      <c r="C1371" s="105"/>
      <c r="D1371" s="104"/>
      <c r="F1371" s="106"/>
      <c r="G1371" s="104"/>
      <c r="H1371" s="106"/>
      <c r="I1371" s="106"/>
      <c r="J1371" s="101" t="str">
        <f t="shared" ca="1" si="21"/>
        <v/>
      </c>
    </row>
    <row r="1372" spans="1:10">
      <c r="A1372" s="103"/>
      <c r="B1372" s="104"/>
      <c r="C1372" s="105"/>
      <c r="D1372" s="104"/>
      <c r="F1372" s="106"/>
      <c r="G1372" s="104"/>
      <c r="H1372" s="106"/>
      <c r="I1372" s="106"/>
      <c r="J1372" s="101" t="str">
        <f t="shared" ca="1" si="21"/>
        <v/>
      </c>
    </row>
    <row r="1373" spans="1:10">
      <c r="A1373" s="103"/>
      <c r="B1373" s="104"/>
      <c r="C1373" s="105"/>
      <c r="D1373" s="104"/>
      <c r="F1373" s="106"/>
      <c r="G1373" s="104"/>
      <c r="H1373" s="106"/>
      <c r="I1373" s="106"/>
      <c r="J1373" s="101" t="str">
        <f t="shared" ca="1" si="21"/>
        <v/>
      </c>
    </row>
    <row r="1374" spans="1:10">
      <c r="A1374" s="103"/>
      <c r="B1374" s="104"/>
      <c r="C1374" s="105"/>
      <c r="D1374" s="104"/>
      <c r="F1374" s="106"/>
      <c r="G1374" s="104"/>
      <c r="H1374" s="106"/>
      <c r="I1374" s="106"/>
      <c r="J1374" s="101" t="str">
        <f t="shared" ca="1" si="21"/>
        <v/>
      </c>
    </row>
    <row r="1375" spans="1:10">
      <c r="A1375" s="103"/>
      <c r="B1375" s="104"/>
      <c r="C1375" s="105"/>
      <c r="D1375" s="104"/>
      <c r="F1375" s="106"/>
      <c r="G1375" s="104"/>
      <c r="H1375" s="106"/>
      <c r="I1375" s="106"/>
      <c r="J1375" s="101" t="str">
        <f t="shared" ca="1" si="21"/>
        <v/>
      </c>
    </row>
    <row r="1376" spans="1:10">
      <c r="A1376" s="103"/>
      <c r="B1376" s="104"/>
      <c r="C1376" s="105"/>
      <c r="D1376" s="104"/>
      <c r="F1376" s="106"/>
      <c r="G1376" s="104"/>
      <c r="H1376" s="106"/>
      <c r="I1376" s="106"/>
      <c r="J1376" s="101" t="str">
        <f t="shared" ca="1" si="21"/>
        <v/>
      </c>
    </row>
    <row r="1377" spans="1:10">
      <c r="A1377" s="103"/>
      <c r="B1377" s="104"/>
      <c r="C1377" s="105"/>
      <c r="D1377" s="104"/>
      <c r="F1377" s="106"/>
      <c r="G1377" s="104"/>
      <c r="H1377" s="106"/>
      <c r="I1377" s="106"/>
      <c r="J1377" s="101" t="str">
        <f t="shared" ca="1" si="21"/>
        <v/>
      </c>
    </row>
    <row r="1378" spans="1:10">
      <c r="A1378" s="103"/>
      <c r="B1378" s="104"/>
      <c r="C1378" s="105"/>
      <c r="D1378" s="104"/>
      <c r="F1378" s="106"/>
      <c r="G1378" s="104"/>
      <c r="H1378" s="106"/>
      <c r="I1378" s="106"/>
      <c r="J1378" s="101" t="str">
        <f t="shared" ca="1" si="21"/>
        <v/>
      </c>
    </row>
    <row r="1379" spans="1:10">
      <c r="A1379" s="103"/>
      <c r="B1379" s="104"/>
      <c r="C1379" s="105"/>
      <c r="D1379" s="104"/>
      <c r="F1379" s="106"/>
      <c r="G1379" s="104"/>
      <c r="H1379" s="106"/>
      <c r="I1379" s="106"/>
      <c r="J1379" s="101" t="str">
        <f t="shared" ca="1" si="21"/>
        <v/>
      </c>
    </row>
    <row r="1380" spans="1:10">
      <c r="A1380" s="103"/>
      <c r="B1380" s="104"/>
      <c r="C1380" s="105"/>
      <c r="D1380" s="104"/>
      <c r="F1380" s="106"/>
      <c r="G1380" s="104"/>
      <c r="H1380" s="106"/>
      <c r="I1380" s="106"/>
      <c r="J1380" s="101" t="str">
        <f t="shared" ca="1" si="21"/>
        <v/>
      </c>
    </row>
    <row r="1381" spans="1:10">
      <c r="A1381" s="103"/>
      <c r="B1381" s="104"/>
      <c r="C1381" s="105"/>
      <c r="D1381" s="104"/>
      <c r="F1381" s="106"/>
      <c r="G1381" s="104"/>
      <c r="H1381" s="106"/>
      <c r="I1381" s="106"/>
      <c r="J1381" s="101" t="str">
        <f t="shared" ca="1" si="21"/>
        <v/>
      </c>
    </row>
    <row r="1382" spans="1:10">
      <c r="A1382" s="103"/>
      <c r="B1382" s="104"/>
      <c r="C1382" s="105"/>
      <c r="D1382" s="104"/>
      <c r="F1382" s="106"/>
      <c r="G1382" s="104"/>
      <c r="H1382" s="106"/>
      <c r="I1382" s="106"/>
      <c r="J1382" s="101" t="str">
        <f t="shared" ca="1" si="21"/>
        <v/>
      </c>
    </row>
    <row r="1383" spans="1:10">
      <c r="A1383" s="103"/>
      <c r="B1383" s="104"/>
      <c r="C1383" s="105"/>
      <c r="D1383" s="104"/>
      <c r="F1383" s="106"/>
      <c r="G1383" s="104"/>
      <c r="H1383" s="106"/>
      <c r="I1383" s="106"/>
      <c r="J1383" s="101" t="str">
        <f t="shared" ca="1" si="21"/>
        <v/>
      </c>
    </row>
    <row r="1384" spans="1:10">
      <c r="A1384" s="103"/>
      <c r="B1384" s="104"/>
      <c r="C1384" s="105"/>
      <c r="D1384" s="104"/>
      <c r="F1384" s="106"/>
      <c r="G1384" s="104"/>
      <c r="H1384" s="106"/>
      <c r="I1384" s="106"/>
      <c r="J1384" s="101" t="str">
        <f t="shared" ca="1" si="21"/>
        <v/>
      </c>
    </row>
    <row r="1385" spans="1:10">
      <c r="A1385" s="103"/>
      <c r="B1385" s="104"/>
      <c r="C1385" s="105"/>
      <c r="D1385" s="104"/>
      <c r="F1385" s="106"/>
      <c r="G1385" s="104"/>
      <c r="H1385" s="106"/>
      <c r="I1385" s="106"/>
      <c r="J1385" s="101" t="str">
        <f t="shared" ca="1" si="21"/>
        <v/>
      </c>
    </row>
    <row r="1386" spans="1:10">
      <c r="A1386" s="103"/>
      <c r="B1386" s="104"/>
      <c r="C1386" s="105"/>
      <c r="D1386" s="104"/>
      <c r="F1386" s="106"/>
      <c r="G1386" s="104"/>
      <c r="H1386" s="106"/>
      <c r="I1386" s="106"/>
      <c r="J1386" s="101" t="str">
        <f t="shared" ca="1" si="21"/>
        <v/>
      </c>
    </row>
    <row r="1387" spans="1:10">
      <c r="A1387" s="103"/>
      <c r="B1387" s="104"/>
      <c r="C1387" s="105"/>
      <c r="D1387" s="104"/>
      <c r="F1387" s="106"/>
      <c r="G1387" s="104"/>
      <c r="H1387" s="106"/>
      <c r="I1387" s="106"/>
      <c r="J1387" s="101" t="str">
        <f t="shared" ca="1" si="21"/>
        <v/>
      </c>
    </row>
    <row r="1388" spans="1:10">
      <c r="A1388" s="103"/>
      <c r="B1388" s="104"/>
      <c r="C1388" s="105"/>
      <c r="D1388" s="104"/>
      <c r="F1388" s="106"/>
      <c r="G1388" s="104"/>
      <c r="H1388" s="106"/>
      <c r="I1388" s="106"/>
      <c r="J1388" s="101" t="str">
        <f t="shared" ca="1" si="21"/>
        <v/>
      </c>
    </row>
    <row r="1389" spans="1:10">
      <c r="A1389" s="103"/>
      <c r="B1389" s="104"/>
      <c r="C1389" s="105"/>
      <c r="D1389" s="104"/>
      <c r="F1389" s="106"/>
      <c r="G1389" s="104"/>
      <c r="H1389" s="106"/>
      <c r="I1389" s="106"/>
      <c r="J1389" s="101" t="str">
        <f t="shared" ca="1" si="21"/>
        <v/>
      </c>
    </row>
    <row r="1390" spans="1:10">
      <c r="A1390" s="103"/>
      <c r="B1390" s="104"/>
      <c r="C1390" s="105"/>
      <c r="D1390" s="104"/>
      <c r="F1390" s="106"/>
      <c r="G1390" s="104"/>
      <c r="H1390" s="106"/>
      <c r="I1390" s="106"/>
      <c r="J1390" s="101" t="str">
        <f t="shared" ca="1" si="21"/>
        <v/>
      </c>
    </row>
    <row r="1391" spans="1:10">
      <c r="A1391" s="103"/>
      <c r="B1391" s="104"/>
      <c r="C1391" s="105"/>
      <c r="D1391" s="104"/>
      <c r="F1391" s="106"/>
      <c r="G1391" s="104"/>
      <c r="H1391" s="106"/>
      <c r="I1391" s="106"/>
      <c r="J1391" s="101" t="str">
        <f t="shared" ca="1" si="21"/>
        <v/>
      </c>
    </row>
    <row r="1392" spans="1:10">
      <c r="A1392" s="103"/>
      <c r="B1392" s="104"/>
      <c r="C1392" s="105"/>
      <c r="D1392" s="104"/>
      <c r="F1392" s="106"/>
      <c r="G1392" s="104"/>
      <c r="H1392" s="106"/>
      <c r="I1392" s="106"/>
      <c r="J1392" s="101" t="str">
        <f t="shared" ca="1" si="21"/>
        <v/>
      </c>
    </row>
    <row r="1393" spans="1:10">
      <c r="A1393" s="103"/>
      <c r="B1393" s="104"/>
      <c r="C1393" s="105"/>
      <c r="D1393" s="104"/>
      <c r="F1393" s="106"/>
      <c r="G1393" s="104"/>
      <c r="H1393" s="106"/>
      <c r="I1393" s="106"/>
      <c r="J1393" s="101" t="str">
        <f t="shared" ca="1" si="21"/>
        <v/>
      </c>
    </row>
    <row r="1394" spans="1:10">
      <c r="A1394" s="103"/>
      <c r="B1394" s="104"/>
      <c r="C1394" s="105"/>
      <c r="D1394" s="104"/>
      <c r="F1394" s="106"/>
      <c r="G1394" s="104"/>
      <c r="H1394" s="106"/>
      <c r="I1394" s="106"/>
      <c r="J1394" s="101" t="str">
        <f t="shared" ca="1" si="21"/>
        <v/>
      </c>
    </row>
    <row r="1395" spans="1:10">
      <c r="A1395" s="103"/>
      <c r="B1395" s="104"/>
      <c r="C1395" s="105"/>
      <c r="D1395" s="104"/>
      <c r="F1395" s="106"/>
      <c r="G1395" s="104"/>
      <c r="H1395" s="106"/>
      <c r="I1395" s="106"/>
      <c r="J1395" s="101" t="str">
        <f t="shared" ca="1" si="21"/>
        <v/>
      </c>
    </row>
    <row r="1396" spans="1:10">
      <c r="A1396" s="103"/>
      <c r="B1396" s="104"/>
      <c r="C1396" s="105"/>
      <c r="D1396" s="104"/>
      <c r="F1396" s="106"/>
      <c r="G1396" s="104"/>
      <c r="H1396" s="106"/>
      <c r="I1396" s="106"/>
      <c r="J1396" s="101" t="str">
        <f t="shared" ca="1" si="21"/>
        <v/>
      </c>
    </row>
    <row r="1397" spans="1:10">
      <c r="A1397" s="103"/>
      <c r="B1397" s="104"/>
      <c r="C1397" s="105"/>
      <c r="D1397" s="104"/>
      <c r="F1397" s="106"/>
      <c r="G1397" s="104"/>
      <c r="H1397" s="106"/>
      <c r="I1397" s="106"/>
      <c r="J1397" s="101" t="str">
        <f t="shared" ca="1" si="21"/>
        <v/>
      </c>
    </row>
    <row r="1398" spans="1:10">
      <c r="A1398" s="103"/>
      <c r="B1398" s="104"/>
      <c r="C1398" s="105"/>
      <c r="D1398" s="104"/>
      <c r="F1398" s="106"/>
      <c r="G1398" s="104"/>
      <c r="H1398" s="106"/>
      <c r="I1398" s="106"/>
      <c r="J1398" s="101" t="str">
        <f t="shared" ca="1" si="21"/>
        <v/>
      </c>
    </row>
    <row r="1399" spans="1:10">
      <c r="A1399" s="103"/>
      <c r="B1399" s="104"/>
      <c r="C1399" s="105"/>
      <c r="D1399" s="104"/>
      <c r="F1399" s="106"/>
      <c r="G1399" s="104"/>
      <c r="H1399" s="106"/>
      <c r="I1399" s="106"/>
      <c r="J1399" s="101" t="str">
        <f t="shared" ca="1" si="21"/>
        <v/>
      </c>
    </row>
    <row r="1400" spans="1:10">
      <c r="A1400" s="103"/>
      <c r="B1400" s="104"/>
      <c r="C1400" s="105"/>
      <c r="D1400" s="104"/>
      <c r="F1400" s="106"/>
      <c r="G1400" s="104"/>
      <c r="H1400" s="106"/>
      <c r="I1400" s="106"/>
      <c r="J1400" s="101" t="str">
        <f t="shared" ca="1" si="21"/>
        <v/>
      </c>
    </row>
    <row r="1401" spans="1:10">
      <c r="A1401" s="103"/>
      <c r="B1401" s="104"/>
      <c r="C1401" s="105"/>
      <c r="D1401" s="104"/>
      <c r="F1401" s="106"/>
      <c r="G1401" s="104"/>
      <c r="H1401" s="106"/>
      <c r="I1401" s="106"/>
      <c r="J1401" s="101" t="str">
        <f t="shared" ca="1" si="21"/>
        <v/>
      </c>
    </row>
    <row r="1402" spans="1:10">
      <c r="A1402" s="103"/>
      <c r="B1402" s="104"/>
      <c r="C1402" s="105"/>
      <c r="D1402" s="104"/>
      <c r="F1402" s="106"/>
      <c r="G1402" s="104"/>
      <c r="H1402" s="106"/>
      <c r="I1402" s="106"/>
      <c r="J1402" s="101" t="str">
        <f t="shared" ca="1" si="21"/>
        <v/>
      </c>
    </row>
    <row r="1403" spans="1:10">
      <c r="A1403" s="103"/>
      <c r="B1403" s="104"/>
      <c r="C1403" s="105"/>
      <c r="D1403" s="104"/>
      <c r="F1403" s="106"/>
      <c r="G1403" s="104"/>
      <c r="H1403" s="106"/>
      <c r="I1403" s="106"/>
      <c r="J1403" s="101" t="str">
        <f t="shared" ca="1" si="21"/>
        <v/>
      </c>
    </row>
    <row r="1404" spans="1:10">
      <c r="A1404" s="103"/>
      <c r="B1404" s="104"/>
      <c r="C1404" s="105"/>
      <c r="D1404" s="104"/>
      <c r="F1404" s="106"/>
      <c r="G1404" s="104"/>
      <c r="H1404" s="106"/>
      <c r="I1404" s="106"/>
      <c r="J1404" s="101" t="str">
        <f t="shared" ca="1" si="21"/>
        <v/>
      </c>
    </row>
    <row r="1405" spans="1:10">
      <c r="A1405" s="103"/>
      <c r="B1405" s="104"/>
      <c r="C1405" s="105"/>
      <c r="D1405" s="104"/>
      <c r="F1405" s="106"/>
      <c r="G1405" s="104"/>
      <c r="H1405" s="106"/>
      <c r="I1405" s="106"/>
      <c r="J1405" s="101" t="str">
        <f t="shared" ca="1" si="21"/>
        <v/>
      </c>
    </row>
    <row r="1406" spans="1:10">
      <c r="A1406" s="103"/>
      <c r="B1406" s="104"/>
      <c r="C1406" s="105"/>
      <c r="D1406" s="104"/>
      <c r="F1406" s="106"/>
      <c r="G1406" s="104"/>
      <c r="H1406" s="106"/>
      <c r="I1406" s="106"/>
      <c r="J1406" s="101" t="str">
        <f t="shared" ca="1" si="21"/>
        <v/>
      </c>
    </row>
    <row r="1407" spans="1:10">
      <c r="A1407" s="103"/>
      <c r="B1407" s="104"/>
      <c r="C1407" s="105"/>
      <c r="D1407" s="104"/>
      <c r="F1407" s="106"/>
      <c r="G1407" s="104"/>
      <c r="H1407" s="106"/>
      <c r="I1407" s="106"/>
      <c r="J1407" s="101" t="str">
        <f t="shared" ca="1" si="21"/>
        <v/>
      </c>
    </row>
    <row r="1408" spans="1:10">
      <c r="A1408" s="103"/>
      <c r="B1408" s="104"/>
      <c r="C1408" s="105"/>
      <c r="D1408" s="104"/>
      <c r="F1408" s="106"/>
      <c r="G1408" s="104"/>
      <c r="H1408" s="106"/>
      <c r="I1408" s="106"/>
      <c r="J1408" s="101" t="str">
        <f t="shared" ca="1" si="21"/>
        <v/>
      </c>
    </row>
    <row r="1409" spans="1:10">
      <c r="A1409" s="103"/>
      <c r="B1409" s="104"/>
      <c r="C1409" s="105"/>
      <c r="D1409" s="104"/>
      <c r="F1409" s="106"/>
      <c r="G1409" s="104"/>
      <c r="H1409" s="106"/>
      <c r="I1409" s="106"/>
      <c r="J1409" s="101" t="str">
        <f t="shared" ca="1" si="21"/>
        <v/>
      </c>
    </row>
    <row r="1410" spans="1:10">
      <c r="A1410" s="103"/>
      <c r="B1410" s="104"/>
      <c r="C1410" s="105"/>
      <c r="D1410" s="104"/>
      <c r="F1410" s="106"/>
      <c r="G1410" s="104"/>
      <c r="H1410" s="106"/>
      <c r="I1410" s="106"/>
      <c r="J1410" s="101" t="str">
        <f t="shared" ca="1" si="21"/>
        <v/>
      </c>
    </row>
    <row r="1411" spans="1:10">
      <c r="A1411" s="103"/>
      <c r="B1411" s="104"/>
      <c r="C1411" s="105"/>
      <c r="D1411" s="104"/>
      <c r="F1411" s="106"/>
      <c r="G1411" s="104"/>
      <c r="H1411" s="106"/>
      <c r="I1411" s="106"/>
      <c r="J1411" s="101" t="str">
        <f t="shared" ref="J1411:J1474" ca="1" si="22">_xlfn.LET(
    _xlpm.AllCellsFilled, COUNTA(A1411:I1411) = 9,
    _xlpm.QtyIsInt, AND(ISNUMBER(G1411), G1411=INT(G1411)),
    _xlpm.AvailDateIsValid, AND(ISNUMBER(F1411), F1411&gt;=TODAY()),
    _xlpm.ReqDateIsValid, AND(ISNUMBER(H1411), H1411&gt;=TODAY()),
    _xlpm.EmailIsValid, RIGHT(I1411,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IF(A1411="", "", IF(_xlpm.error_messages = "", "Yes", _xlpm.error_messages))
)</f>
        <v/>
      </c>
    </row>
    <row r="1412" spans="1:10">
      <c r="A1412" s="103"/>
      <c r="B1412" s="104"/>
      <c r="C1412" s="105"/>
      <c r="D1412" s="104"/>
      <c r="F1412" s="106"/>
      <c r="G1412" s="104"/>
      <c r="H1412" s="106"/>
      <c r="I1412" s="106"/>
      <c r="J1412" s="101" t="str">
        <f t="shared" ca="1" si="22"/>
        <v/>
      </c>
    </row>
    <row r="1413" spans="1:10">
      <c r="A1413" s="103"/>
      <c r="B1413" s="104"/>
      <c r="C1413" s="105"/>
      <c r="D1413" s="104"/>
      <c r="F1413" s="106"/>
      <c r="G1413" s="104"/>
      <c r="H1413" s="106"/>
      <c r="I1413" s="106"/>
      <c r="J1413" s="101" t="str">
        <f t="shared" ca="1" si="22"/>
        <v/>
      </c>
    </row>
    <row r="1414" spans="1:10">
      <c r="A1414" s="103"/>
      <c r="B1414" s="104"/>
      <c r="C1414" s="105"/>
      <c r="D1414" s="104"/>
      <c r="F1414" s="106"/>
      <c r="G1414" s="104"/>
      <c r="H1414" s="106"/>
      <c r="I1414" s="106"/>
      <c r="J1414" s="101" t="str">
        <f t="shared" ca="1" si="22"/>
        <v/>
      </c>
    </row>
    <row r="1415" spans="1:10">
      <c r="A1415" s="103"/>
      <c r="B1415" s="104"/>
      <c r="C1415" s="105"/>
      <c r="D1415" s="104"/>
      <c r="F1415" s="106"/>
      <c r="G1415" s="104"/>
      <c r="H1415" s="106"/>
      <c r="I1415" s="106"/>
      <c r="J1415" s="101" t="str">
        <f t="shared" ca="1" si="22"/>
        <v/>
      </c>
    </row>
    <row r="1416" spans="1:10">
      <c r="A1416" s="103"/>
      <c r="B1416" s="104"/>
      <c r="C1416" s="105"/>
      <c r="D1416" s="104"/>
      <c r="F1416" s="106"/>
      <c r="G1416" s="104"/>
      <c r="H1416" s="106"/>
      <c r="I1416" s="106"/>
      <c r="J1416" s="101" t="str">
        <f t="shared" ca="1" si="22"/>
        <v/>
      </c>
    </row>
    <row r="1417" spans="1:10">
      <c r="A1417" s="103"/>
      <c r="B1417" s="104"/>
      <c r="C1417" s="105"/>
      <c r="D1417" s="104"/>
      <c r="F1417" s="106"/>
      <c r="G1417" s="104"/>
      <c r="H1417" s="106"/>
      <c r="I1417" s="106"/>
      <c r="J1417" s="101" t="str">
        <f t="shared" ca="1" si="22"/>
        <v/>
      </c>
    </row>
    <row r="1418" spans="1:10">
      <c r="A1418" s="103"/>
      <c r="B1418" s="104"/>
      <c r="C1418" s="105"/>
      <c r="D1418" s="104"/>
      <c r="F1418" s="106"/>
      <c r="G1418" s="104"/>
      <c r="H1418" s="106"/>
      <c r="I1418" s="106"/>
      <c r="J1418" s="101" t="str">
        <f t="shared" ca="1" si="22"/>
        <v/>
      </c>
    </row>
    <row r="1419" spans="1:10">
      <c r="A1419" s="103"/>
      <c r="B1419" s="104"/>
      <c r="C1419" s="105"/>
      <c r="D1419" s="104"/>
      <c r="F1419" s="106"/>
      <c r="G1419" s="104"/>
      <c r="H1419" s="106"/>
      <c r="I1419" s="106"/>
      <c r="J1419" s="101" t="str">
        <f t="shared" ca="1" si="22"/>
        <v/>
      </c>
    </row>
    <row r="1420" spans="1:10">
      <c r="A1420" s="103"/>
      <c r="B1420" s="104"/>
      <c r="C1420" s="105"/>
      <c r="D1420" s="104"/>
      <c r="F1420" s="106"/>
      <c r="G1420" s="104"/>
      <c r="H1420" s="106"/>
      <c r="I1420" s="106"/>
      <c r="J1420" s="101" t="str">
        <f t="shared" ca="1" si="22"/>
        <v/>
      </c>
    </row>
    <row r="1421" spans="1:10">
      <c r="A1421" s="103"/>
      <c r="B1421" s="104"/>
      <c r="C1421" s="105"/>
      <c r="D1421" s="104"/>
      <c r="F1421" s="106"/>
      <c r="G1421" s="104"/>
      <c r="H1421" s="106"/>
      <c r="I1421" s="106"/>
      <c r="J1421" s="101" t="str">
        <f t="shared" ca="1" si="22"/>
        <v/>
      </c>
    </row>
    <row r="1422" spans="1:10">
      <c r="A1422" s="103"/>
      <c r="B1422" s="104"/>
      <c r="C1422" s="105"/>
      <c r="D1422" s="104"/>
      <c r="F1422" s="106"/>
      <c r="G1422" s="104"/>
      <c r="H1422" s="106"/>
      <c r="I1422" s="106"/>
      <c r="J1422" s="101" t="str">
        <f t="shared" ca="1" si="22"/>
        <v/>
      </c>
    </row>
    <row r="1423" spans="1:10">
      <c r="A1423" s="103"/>
      <c r="B1423" s="104"/>
      <c r="C1423" s="105"/>
      <c r="D1423" s="104"/>
      <c r="F1423" s="106"/>
      <c r="G1423" s="104"/>
      <c r="H1423" s="106"/>
      <c r="I1423" s="106"/>
      <c r="J1423" s="101" t="str">
        <f t="shared" ca="1" si="22"/>
        <v/>
      </c>
    </row>
    <row r="1424" spans="1:10">
      <c r="A1424" s="103"/>
      <c r="B1424" s="104"/>
      <c r="C1424" s="105"/>
      <c r="D1424" s="104"/>
      <c r="F1424" s="106"/>
      <c r="G1424" s="104"/>
      <c r="H1424" s="106"/>
      <c r="I1424" s="106"/>
      <c r="J1424" s="101" t="str">
        <f t="shared" ca="1" si="22"/>
        <v/>
      </c>
    </row>
    <row r="1425" spans="1:10">
      <c r="A1425" s="103"/>
      <c r="B1425" s="104"/>
      <c r="C1425" s="105"/>
      <c r="D1425" s="104"/>
      <c r="F1425" s="106"/>
      <c r="G1425" s="104"/>
      <c r="H1425" s="106"/>
      <c r="I1425" s="106"/>
      <c r="J1425" s="101" t="str">
        <f t="shared" ca="1" si="22"/>
        <v/>
      </c>
    </row>
    <row r="1426" spans="1:10">
      <c r="A1426" s="103"/>
      <c r="B1426" s="104"/>
      <c r="C1426" s="105"/>
      <c r="D1426" s="104"/>
      <c r="F1426" s="106"/>
      <c r="G1426" s="104"/>
      <c r="H1426" s="106"/>
      <c r="I1426" s="106"/>
      <c r="J1426" s="101" t="str">
        <f t="shared" ca="1" si="22"/>
        <v/>
      </c>
    </row>
    <row r="1427" spans="1:10">
      <c r="A1427" s="103"/>
      <c r="B1427" s="104"/>
      <c r="C1427" s="105"/>
      <c r="D1427" s="104"/>
      <c r="F1427" s="106"/>
      <c r="G1427" s="104"/>
      <c r="H1427" s="106"/>
      <c r="I1427" s="106"/>
      <c r="J1427" s="101" t="str">
        <f t="shared" ca="1" si="22"/>
        <v/>
      </c>
    </row>
    <row r="1428" spans="1:10">
      <c r="A1428" s="103"/>
      <c r="B1428" s="104"/>
      <c r="C1428" s="105"/>
      <c r="D1428" s="104"/>
      <c r="F1428" s="106"/>
      <c r="G1428" s="104"/>
      <c r="H1428" s="106"/>
      <c r="I1428" s="106"/>
      <c r="J1428" s="101" t="str">
        <f t="shared" ca="1" si="22"/>
        <v/>
      </c>
    </row>
    <row r="1429" spans="1:10">
      <c r="A1429" s="103"/>
      <c r="B1429" s="104"/>
      <c r="C1429" s="105"/>
      <c r="D1429" s="104"/>
      <c r="F1429" s="106"/>
      <c r="G1429" s="104"/>
      <c r="H1429" s="106"/>
      <c r="I1429" s="106"/>
      <c r="J1429" s="101" t="str">
        <f t="shared" ca="1" si="22"/>
        <v/>
      </c>
    </row>
    <row r="1430" spans="1:10">
      <c r="A1430" s="103"/>
      <c r="B1430" s="104"/>
      <c r="C1430" s="105"/>
      <c r="D1430" s="104"/>
      <c r="F1430" s="106"/>
      <c r="G1430" s="104"/>
      <c r="H1430" s="106"/>
      <c r="I1430" s="106"/>
      <c r="J1430" s="101" t="str">
        <f t="shared" ca="1" si="22"/>
        <v/>
      </c>
    </row>
    <row r="1431" spans="1:10">
      <c r="A1431" s="103"/>
      <c r="B1431" s="104"/>
      <c r="C1431" s="105"/>
      <c r="D1431" s="104"/>
      <c r="F1431" s="106"/>
      <c r="G1431" s="104"/>
      <c r="H1431" s="106"/>
      <c r="I1431" s="106"/>
      <c r="J1431" s="101" t="str">
        <f t="shared" ca="1" si="22"/>
        <v/>
      </c>
    </row>
    <row r="1432" spans="1:10">
      <c r="A1432" s="103"/>
      <c r="B1432" s="104"/>
      <c r="C1432" s="105"/>
      <c r="D1432" s="104"/>
      <c r="F1432" s="106"/>
      <c r="G1432" s="104"/>
      <c r="H1432" s="106"/>
      <c r="I1432" s="106"/>
      <c r="J1432" s="101" t="str">
        <f t="shared" ca="1" si="22"/>
        <v/>
      </c>
    </row>
    <row r="1433" spans="1:10">
      <c r="A1433" s="103"/>
      <c r="B1433" s="104"/>
      <c r="C1433" s="105"/>
      <c r="D1433" s="104"/>
      <c r="F1433" s="106"/>
      <c r="G1433" s="104"/>
      <c r="H1433" s="106"/>
      <c r="I1433" s="106"/>
      <c r="J1433" s="101" t="str">
        <f t="shared" ca="1" si="22"/>
        <v/>
      </c>
    </row>
    <row r="1434" spans="1:10">
      <c r="A1434" s="103"/>
      <c r="B1434" s="104"/>
      <c r="C1434" s="105"/>
      <c r="D1434" s="104"/>
      <c r="F1434" s="106"/>
      <c r="G1434" s="104"/>
      <c r="H1434" s="106"/>
      <c r="I1434" s="106"/>
      <c r="J1434" s="101" t="str">
        <f t="shared" ca="1" si="22"/>
        <v/>
      </c>
    </row>
    <row r="1435" spans="1:10">
      <c r="A1435" s="103"/>
      <c r="B1435" s="104"/>
      <c r="C1435" s="105"/>
      <c r="D1435" s="104"/>
      <c r="F1435" s="106"/>
      <c r="G1435" s="104"/>
      <c r="H1435" s="106"/>
      <c r="I1435" s="106"/>
      <c r="J1435" s="101" t="str">
        <f t="shared" ca="1" si="22"/>
        <v/>
      </c>
    </row>
    <row r="1436" spans="1:10">
      <c r="A1436" s="103"/>
      <c r="B1436" s="104"/>
      <c r="C1436" s="105"/>
      <c r="D1436" s="104"/>
      <c r="F1436" s="106"/>
      <c r="G1436" s="104"/>
      <c r="H1436" s="106"/>
      <c r="I1436" s="106"/>
      <c r="J1436" s="101" t="str">
        <f t="shared" ca="1" si="22"/>
        <v/>
      </c>
    </row>
    <row r="1437" spans="1:10">
      <c r="A1437" s="103"/>
      <c r="B1437" s="104"/>
      <c r="C1437" s="105"/>
      <c r="D1437" s="104"/>
      <c r="F1437" s="106"/>
      <c r="G1437" s="104"/>
      <c r="H1437" s="106"/>
      <c r="I1437" s="106"/>
      <c r="J1437" s="101" t="str">
        <f t="shared" ca="1" si="22"/>
        <v/>
      </c>
    </row>
    <row r="1438" spans="1:10">
      <c r="A1438" s="103"/>
      <c r="B1438" s="104"/>
      <c r="C1438" s="105"/>
      <c r="D1438" s="104"/>
      <c r="F1438" s="106"/>
      <c r="G1438" s="104"/>
      <c r="H1438" s="106"/>
      <c r="I1438" s="106"/>
      <c r="J1438" s="101" t="str">
        <f t="shared" ca="1" si="22"/>
        <v/>
      </c>
    </row>
    <row r="1439" spans="1:10">
      <c r="A1439" s="103"/>
      <c r="B1439" s="104"/>
      <c r="C1439" s="105"/>
      <c r="D1439" s="104"/>
      <c r="F1439" s="106"/>
      <c r="G1439" s="104"/>
      <c r="H1439" s="106"/>
      <c r="I1439" s="106"/>
      <c r="J1439" s="101" t="str">
        <f t="shared" ca="1" si="22"/>
        <v/>
      </c>
    </row>
    <row r="1440" spans="1:10">
      <c r="A1440" s="103"/>
      <c r="B1440" s="104"/>
      <c r="C1440" s="105"/>
      <c r="D1440" s="104"/>
      <c r="F1440" s="106"/>
      <c r="G1440" s="104"/>
      <c r="H1440" s="106"/>
      <c r="I1440" s="106"/>
      <c r="J1440" s="101" t="str">
        <f t="shared" ca="1" si="22"/>
        <v/>
      </c>
    </row>
    <row r="1441" spans="1:10">
      <c r="A1441" s="103"/>
      <c r="B1441" s="104"/>
      <c r="C1441" s="105"/>
      <c r="D1441" s="104"/>
      <c r="F1441" s="106"/>
      <c r="G1441" s="104"/>
      <c r="H1441" s="106"/>
      <c r="I1441" s="106"/>
      <c r="J1441" s="101" t="str">
        <f t="shared" ca="1" si="22"/>
        <v/>
      </c>
    </row>
    <row r="1442" spans="1:10">
      <c r="A1442" s="103"/>
      <c r="B1442" s="104"/>
      <c r="C1442" s="105"/>
      <c r="D1442" s="104"/>
      <c r="F1442" s="106"/>
      <c r="G1442" s="104"/>
      <c r="H1442" s="106"/>
      <c r="I1442" s="106"/>
      <c r="J1442" s="101" t="str">
        <f t="shared" ca="1" si="22"/>
        <v/>
      </c>
    </row>
    <row r="1443" spans="1:10">
      <c r="A1443" s="103"/>
      <c r="B1443" s="104"/>
      <c r="C1443" s="105"/>
      <c r="D1443" s="104"/>
      <c r="F1443" s="106"/>
      <c r="G1443" s="104"/>
      <c r="H1443" s="106"/>
      <c r="I1443" s="106"/>
      <c r="J1443" s="101" t="str">
        <f t="shared" ca="1" si="22"/>
        <v/>
      </c>
    </row>
    <row r="1444" spans="1:10">
      <c r="A1444" s="103"/>
      <c r="B1444" s="104"/>
      <c r="C1444" s="105"/>
      <c r="D1444" s="104"/>
      <c r="F1444" s="106"/>
      <c r="G1444" s="104"/>
      <c r="H1444" s="106"/>
      <c r="I1444" s="106"/>
      <c r="J1444" s="101" t="str">
        <f t="shared" ca="1" si="22"/>
        <v/>
      </c>
    </row>
    <row r="1445" spans="1:10">
      <c r="A1445" s="103"/>
      <c r="B1445" s="104"/>
      <c r="C1445" s="105"/>
      <c r="D1445" s="104"/>
      <c r="F1445" s="106"/>
      <c r="G1445" s="104"/>
      <c r="H1445" s="106"/>
      <c r="I1445" s="106"/>
      <c r="J1445" s="101" t="str">
        <f t="shared" ca="1" si="22"/>
        <v/>
      </c>
    </row>
    <row r="1446" spans="1:10">
      <c r="A1446" s="103"/>
      <c r="B1446" s="104"/>
      <c r="C1446" s="105"/>
      <c r="D1446" s="104"/>
      <c r="F1446" s="106"/>
      <c r="G1446" s="104"/>
      <c r="H1446" s="106"/>
      <c r="I1446" s="106"/>
      <c r="J1446" s="101" t="str">
        <f t="shared" ca="1" si="22"/>
        <v/>
      </c>
    </row>
    <row r="1447" spans="1:10">
      <c r="A1447" s="103"/>
      <c r="B1447" s="104"/>
      <c r="C1447" s="105"/>
      <c r="D1447" s="104"/>
      <c r="F1447" s="106"/>
      <c r="G1447" s="104"/>
      <c r="H1447" s="106"/>
      <c r="I1447" s="106"/>
      <c r="J1447" s="101" t="str">
        <f t="shared" ca="1" si="22"/>
        <v/>
      </c>
    </row>
    <row r="1448" spans="1:10">
      <c r="A1448" s="103"/>
      <c r="B1448" s="104"/>
      <c r="C1448" s="105"/>
      <c r="D1448" s="104"/>
      <c r="F1448" s="106"/>
      <c r="G1448" s="104"/>
      <c r="H1448" s="106"/>
      <c r="I1448" s="106"/>
      <c r="J1448" s="101" t="str">
        <f t="shared" ca="1" si="22"/>
        <v/>
      </c>
    </row>
    <row r="1449" spans="1:10">
      <c r="A1449" s="103"/>
      <c r="B1449" s="104"/>
      <c r="C1449" s="105"/>
      <c r="D1449" s="104"/>
      <c r="F1449" s="106"/>
      <c r="G1449" s="104"/>
      <c r="H1449" s="106"/>
      <c r="I1449" s="106"/>
      <c r="J1449" s="101" t="str">
        <f t="shared" ca="1" si="22"/>
        <v/>
      </c>
    </row>
    <row r="1450" spans="1:10">
      <c r="A1450" s="103"/>
      <c r="B1450" s="104"/>
      <c r="C1450" s="105"/>
      <c r="D1450" s="104"/>
      <c r="F1450" s="106"/>
      <c r="G1450" s="104"/>
      <c r="H1450" s="106"/>
      <c r="I1450" s="106"/>
      <c r="J1450" s="101" t="str">
        <f t="shared" ca="1" si="22"/>
        <v/>
      </c>
    </row>
    <row r="1451" spans="1:10">
      <c r="A1451" s="103"/>
      <c r="B1451" s="104"/>
      <c r="C1451" s="105"/>
      <c r="D1451" s="104"/>
      <c r="F1451" s="106"/>
      <c r="G1451" s="104"/>
      <c r="H1451" s="106"/>
      <c r="I1451" s="106"/>
      <c r="J1451" s="101" t="str">
        <f t="shared" ca="1" si="22"/>
        <v/>
      </c>
    </row>
    <row r="1452" spans="1:10">
      <c r="A1452" s="103"/>
      <c r="B1452" s="104"/>
      <c r="C1452" s="105"/>
      <c r="D1452" s="104"/>
      <c r="F1452" s="106"/>
      <c r="G1452" s="104"/>
      <c r="H1452" s="106"/>
      <c r="I1452" s="106"/>
      <c r="J1452" s="101" t="str">
        <f t="shared" ca="1" si="22"/>
        <v/>
      </c>
    </row>
    <row r="1453" spans="1:10">
      <c r="A1453" s="103"/>
      <c r="B1453" s="104"/>
      <c r="C1453" s="105"/>
      <c r="D1453" s="104"/>
      <c r="F1453" s="106"/>
      <c r="G1453" s="104"/>
      <c r="H1453" s="106"/>
      <c r="I1453" s="106"/>
      <c r="J1453" s="101" t="str">
        <f t="shared" ca="1" si="22"/>
        <v/>
      </c>
    </row>
    <row r="1454" spans="1:10">
      <c r="A1454" s="103"/>
      <c r="B1454" s="104"/>
      <c r="C1454" s="105"/>
      <c r="D1454" s="104"/>
      <c r="F1454" s="106"/>
      <c r="G1454" s="104"/>
      <c r="H1454" s="106"/>
      <c r="I1454" s="106"/>
      <c r="J1454" s="101" t="str">
        <f t="shared" ca="1" si="22"/>
        <v/>
      </c>
    </row>
    <row r="1455" spans="1:10">
      <c r="A1455" s="103"/>
      <c r="B1455" s="104"/>
      <c r="C1455" s="105"/>
      <c r="D1455" s="104"/>
      <c r="F1455" s="106"/>
      <c r="G1455" s="104"/>
      <c r="H1455" s="106"/>
      <c r="I1455" s="106"/>
      <c r="J1455" s="101" t="str">
        <f t="shared" ca="1" si="22"/>
        <v/>
      </c>
    </row>
    <row r="1456" spans="1:10">
      <c r="A1456" s="103"/>
      <c r="B1456" s="104"/>
      <c r="C1456" s="105"/>
      <c r="D1456" s="104"/>
      <c r="F1456" s="106"/>
      <c r="G1456" s="104"/>
      <c r="H1456" s="106"/>
      <c r="I1456" s="106"/>
      <c r="J1456" s="101" t="str">
        <f t="shared" ca="1" si="22"/>
        <v/>
      </c>
    </row>
    <row r="1457" spans="1:10">
      <c r="A1457" s="103"/>
      <c r="B1457" s="104"/>
      <c r="C1457" s="105"/>
      <c r="D1457" s="104"/>
      <c r="F1457" s="106"/>
      <c r="G1457" s="104"/>
      <c r="H1457" s="106"/>
      <c r="I1457" s="106"/>
      <c r="J1457" s="101" t="str">
        <f t="shared" ca="1" si="22"/>
        <v/>
      </c>
    </row>
    <row r="1458" spans="1:10">
      <c r="A1458" s="103"/>
      <c r="B1458" s="104"/>
      <c r="C1458" s="105"/>
      <c r="D1458" s="104"/>
      <c r="F1458" s="106"/>
      <c r="G1458" s="104"/>
      <c r="H1458" s="106"/>
      <c r="I1458" s="106"/>
      <c r="J1458" s="101" t="str">
        <f t="shared" ca="1" si="22"/>
        <v/>
      </c>
    </row>
    <row r="1459" spans="1:10">
      <c r="A1459" s="103"/>
      <c r="B1459" s="104"/>
      <c r="C1459" s="105"/>
      <c r="D1459" s="104"/>
      <c r="F1459" s="106"/>
      <c r="G1459" s="104"/>
      <c r="H1459" s="106"/>
      <c r="I1459" s="106"/>
      <c r="J1459" s="101" t="str">
        <f t="shared" ca="1" si="22"/>
        <v/>
      </c>
    </row>
    <row r="1460" spans="1:10">
      <c r="A1460" s="103"/>
      <c r="B1460" s="104"/>
      <c r="C1460" s="105"/>
      <c r="D1460" s="104"/>
      <c r="F1460" s="106"/>
      <c r="G1460" s="104"/>
      <c r="H1460" s="106"/>
      <c r="I1460" s="106"/>
      <c r="J1460" s="101" t="str">
        <f t="shared" ca="1" si="22"/>
        <v/>
      </c>
    </row>
    <row r="1461" spans="1:10">
      <c r="A1461" s="103"/>
      <c r="B1461" s="104"/>
      <c r="C1461" s="105"/>
      <c r="D1461" s="104"/>
      <c r="F1461" s="106"/>
      <c r="G1461" s="104"/>
      <c r="H1461" s="106"/>
      <c r="I1461" s="106"/>
      <c r="J1461" s="101" t="str">
        <f t="shared" ca="1" si="22"/>
        <v/>
      </c>
    </row>
    <row r="1462" spans="1:10">
      <c r="A1462" s="103"/>
      <c r="B1462" s="104"/>
      <c r="C1462" s="105"/>
      <c r="D1462" s="104"/>
      <c r="F1462" s="106"/>
      <c r="G1462" s="104"/>
      <c r="H1462" s="106"/>
      <c r="I1462" s="106"/>
      <c r="J1462" s="101" t="str">
        <f t="shared" ca="1" si="22"/>
        <v/>
      </c>
    </row>
    <row r="1463" spans="1:10">
      <c r="A1463" s="103"/>
      <c r="B1463" s="104"/>
      <c r="C1463" s="105"/>
      <c r="D1463" s="104"/>
      <c r="F1463" s="106"/>
      <c r="G1463" s="104"/>
      <c r="H1463" s="106"/>
      <c r="I1463" s="106"/>
      <c r="J1463" s="101" t="str">
        <f t="shared" ca="1" si="22"/>
        <v/>
      </c>
    </row>
    <row r="1464" spans="1:10">
      <c r="A1464" s="103"/>
      <c r="B1464" s="104"/>
      <c r="C1464" s="105"/>
      <c r="D1464" s="104"/>
      <c r="F1464" s="106"/>
      <c r="G1464" s="104"/>
      <c r="H1464" s="106"/>
      <c r="I1464" s="106"/>
      <c r="J1464" s="101" t="str">
        <f t="shared" ca="1" si="22"/>
        <v/>
      </c>
    </row>
    <row r="1465" spans="1:10">
      <c r="A1465" s="103"/>
      <c r="B1465" s="104"/>
      <c r="C1465" s="105"/>
      <c r="D1465" s="104"/>
      <c r="F1465" s="106"/>
      <c r="G1465" s="104"/>
      <c r="H1465" s="106"/>
      <c r="I1465" s="106"/>
      <c r="J1465" s="101" t="str">
        <f t="shared" ca="1" si="22"/>
        <v/>
      </c>
    </row>
    <row r="1466" spans="1:10">
      <c r="A1466" s="103"/>
      <c r="B1466" s="104"/>
      <c r="C1466" s="105"/>
      <c r="D1466" s="104"/>
      <c r="F1466" s="106"/>
      <c r="G1466" s="104"/>
      <c r="H1466" s="106"/>
      <c r="I1466" s="106"/>
      <c r="J1466" s="101" t="str">
        <f t="shared" ca="1" si="22"/>
        <v/>
      </c>
    </row>
    <row r="1467" spans="1:10">
      <c r="A1467" s="103"/>
      <c r="B1467" s="104"/>
      <c r="C1467" s="105"/>
      <c r="D1467" s="104"/>
      <c r="F1467" s="106"/>
      <c r="G1467" s="104"/>
      <c r="H1467" s="106"/>
      <c r="I1467" s="106"/>
      <c r="J1467" s="101" t="str">
        <f t="shared" ca="1" si="22"/>
        <v/>
      </c>
    </row>
    <row r="1468" spans="1:10">
      <c r="A1468" s="103"/>
      <c r="B1468" s="104"/>
      <c r="C1468" s="105"/>
      <c r="D1468" s="104"/>
      <c r="F1468" s="106"/>
      <c r="G1468" s="104"/>
      <c r="H1468" s="106"/>
      <c r="I1468" s="106"/>
      <c r="J1468" s="101" t="str">
        <f t="shared" ca="1" si="22"/>
        <v/>
      </c>
    </row>
    <row r="1469" spans="1:10">
      <c r="A1469" s="103"/>
      <c r="B1469" s="104"/>
      <c r="C1469" s="105"/>
      <c r="D1469" s="104"/>
      <c r="F1469" s="106"/>
      <c r="G1469" s="104"/>
      <c r="H1469" s="106"/>
      <c r="I1469" s="106"/>
      <c r="J1469" s="101" t="str">
        <f t="shared" ca="1" si="22"/>
        <v/>
      </c>
    </row>
    <row r="1470" spans="1:10">
      <c r="A1470" s="103"/>
      <c r="B1470" s="104"/>
      <c r="C1470" s="105"/>
      <c r="D1470" s="104"/>
      <c r="F1470" s="106"/>
      <c r="G1470" s="104"/>
      <c r="H1470" s="106"/>
      <c r="I1470" s="106"/>
      <c r="J1470" s="101" t="str">
        <f t="shared" ca="1" si="22"/>
        <v/>
      </c>
    </row>
    <row r="1471" spans="1:10">
      <c r="A1471" s="103"/>
      <c r="B1471" s="104"/>
      <c r="C1471" s="105"/>
      <c r="D1471" s="104"/>
      <c r="F1471" s="106"/>
      <c r="G1471" s="104"/>
      <c r="H1471" s="106"/>
      <c r="I1471" s="106"/>
      <c r="J1471" s="101" t="str">
        <f t="shared" ca="1" si="22"/>
        <v/>
      </c>
    </row>
    <row r="1472" spans="1:10">
      <c r="A1472" s="103"/>
      <c r="B1472" s="104"/>
      <c r="C1472" s="105"/>
      <c r="D1472" s="104"/>
      <c r="F1472" s="106"/>
      <c r="G1472" s="104"/>
      <c r="H1472" s="106"/>
      <c r="I1472" s="106"/>
      <c r="J1472" s="101" t="str">
        <f t="shared" ca="1" si="22"/>
        <v/>
      </c>
    </row>
    <row r="1473" spans="1:10">
      <c r="A1473" s="103"/>
      <c r="B1473" s="104"/>
      <c r="C1473" s="105"/>
      <c r="D1473" s="104"/>
      <c r="F1473" s="106"/>
      <c r="G1473" s="104"/>
      <c r="H1473" s="106"/>
      <c r="I1473" s="106"/>
      <c r="J1473" s="101" t="str">
        <f t="shared" ca="1" si="22"/>
        <v/>
      </c>
    </row>
    <row r="1474" spans="1:10">
      <c r="A1474" s="103"/>
      <c r="B1474" s="104"/>
      <c r="C1474" s="105"/>
      <c r="D1474" s="104"/>
      <c r="F1474" s="106"/>
      <c r="G1474" s="104"/>
      <c r="H1474" s="106"/>
      <c r="I1474" s="106"/>
      <c r="J1474" s="101" t="str">
        <f t="shared" ca="1" si="22"/>
        <v/>
      </c>
    </row>
    <row r="1475" spans="1:10">
      <c r="A1475" s="103"/>
      <c r="B1475" s="104"/>
      <c r="C1475" s="105"/>
      <c r="D1475" s="104"/>
      <c r="F1475" s="106"/>
      <c r="G1475" s="104"/>
      <c r="H1475" s="106"/>
      <c r="I1475" s="106"/>
      <c r="J1475" s="101" t="str">
        <f t="shared" ref="J1475:J1538" ca="1" si="23">_xlfn.LET(
    _xlpm.AllCellsFilled, COUNTA(A1475:I1475) = 9,
    _xlpm.QtyIsInt, AND(ISNUMBER(G1475), G1475=INT(G1475)),
    _xlpm.AvailDateIsValid, AND(ISNUMBER(F1475), F1475&gt;=TODAY()),
    _xlpm.ReqDateIsValid, AND(ISNUMBER(H1475), H1475&gt;=TODAY()),
    _xlpm.EmailIsValid, RIGHT(I1475,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IF(A1475="", "", IF(_xlpm.error_messages = "", "Yes", _xlpm.error_messages))
)</f>
        <v/>
      </c>
    </row>
    <row r="1476" spans="1:10">
      <c r="A1476" s="103"/>
      <c r="B1476" s="104"/>
      <c r="C1476" s="105"/>
      <c r="D1476" s="104"/>
      <c r="F1476" s="106"/>
      <c r="G1476" s="104"/>
      <c r="H1476" s="106"/>
      <c r="I1476" s="106"/>
      <c r="J1476" s="101" t="str">
        <f t="shared" ca="1" si="23"/>
        <v/>
      </c>
    </row>
    <row r="1477" spans="1:10">
      <c r="A1477" s="103"/>
      <c r="B1477" s="104"/>
      <c r="C1477" s="105"/>
      <c r="D1477" s="104"/>
      <c r="F1477" s="106"/>
      <c r="G1477" s="104"/>
      <c r="H1477" s="106"/>
      <c r="I1477" s="106"/>
      <c r="J1477" s="101" t="str">
        <f t="shared" ca="1" si="23"/>
        <v/>
      </c>
    </row>
    <row r="1478" spans="1:10">
      <c r="A1478" s="103"/>
      <c r="B1478" s="104"/>
      <c r="C1478" s="105"/>
      <c r="D1478" s="104"/>
      <c r="F1478" s="106"/>
      <c r="G1478" s="104"/>
      <c r="H1478" s="106"/>
      <c r="I1478" s="106"/>
      <c r="J1478" s="101" t="str">
        <f t="shared" ca="1" si="23"/>
        <v/>
      </c>
    </row>
    <row r="1479" spans="1:10">
      <c r="A1479" s="103"/>
      <c r="B1479" s="104"/>
      <c r="C1479" s="105"/>
      <c r="D1479" s="104"/>
      <c r="F1479" s="106"/>
      <c r="G1479" s="104"/>
      <c r="H1479" s="106"/>
      <c r="I1479" s="106"/>
      <c r="J1479" s="101" t="str">
        <f t="shared" ca="1" si="23"/>
        <v/>
      </c>
    </row>
    <row r="1480" spans="1:10">
      <c r="A1480" s="103"/>
      <c r="B1480" s="104"/>
      <c r="C1480" s="105"/>
      <c r="D1480" s="104"/>
      <c r="F1480" s="106"/>
      <c r="G1480" s="104"/>
      <c r="H1480" s="106"/>
      <c r="I1480" s="106"/>
      <c r="J1480" s="101" t="str">
        <f t="shared" ca="1" si="23"/>
        <v/>
      </c>
    </row>
    <row r="1481" spans="1:10">
      <c r="A1481" s="103"/>
      <c r="B1481" s="104"/>
      <c r="C1481" s="105"/>
      <c r="D1481" s="104"/>
      <c r="F1481" s="106"/>
      <c r="G1481" s="104"/>
      <c r="H1481" s="106"/>
      <c r="I1481" s="106"/>
      <c r="J1481" s="101" t="str">
        <f t="shared" ca="1" si="23"/>
        <v/>
      </c>
    </row>
    <row r="1482" spans="1:10">
      <c r="A1482" s="103"/>
      <c r="B1482" s="104"/>
      <c r="C1482" s="105"/>
      <c r="D1482" s="104"/>
      <c r="F1482" s="106"/>
      <c r="G1482" s="104"/>
      <c r="H1482" s="106"/>
      <c r="I1482" s="106"/>
      <c r="J1482" s="101" t="str">
        <f t="shared" ca="1" si="23"/>
        <v/>
      </c>
    </row>
    <row r="1483" spans="1:10">
      <c r="A1483" s="103"/>
      <c r="B1483" s="104"/>
      <c r="C1483" s="105"/>
      <c r="D1483" s="104"/>
      <c r="F1483" s="106"/>
      <c r="G1483" s="104"/>
      <c r="H1483" s="106"/>
      <c r="I1483" s="106"/>
      <c r="J1483" s="101" t="str">
        <f t="shared" ca="1" si="23"/>
        <v/>
      </c>
    </row>
    <row r="1484" spans="1:10">
      <c r="A1484" s="103"/>
      <c r="B1484" s="104"/>
      <c r="C1484" s="105"/>
      <c r="D1484" s="104"/>
      <c r="F1484" s="106"/>
      <c r="G1484" s="104"/>
      <c r="H1484" s="106"/>
      <c r="I1484" s="106"/>
      <c r="J1484" s="101" t="str">
        <f t="shared" ca="1" si="23"/>
        <v/>
      </c>
    </row>
    <row r="1485" spans="1:10">
      <c r="A1485" s="103"/>
      <c r="B1485" s="104"/>
      <c r="C1485" s="105"/>
      <c r="D1485" s="104"/>
      <c r="F1485" s="106"/>
      <c r="G1485" s="104"/>
      <c r="H1485" s="106"/>
      <c r="I1485" s="106"/>
      <c r="J1485" s="101" t="str">
        <f t="shared" ca="1" si="23"/>
        <v/>
      </c>
    </row>
    <row r="1486" spans="1:10">
      <c r="A1486" s="103"/>
      <c r="B1486" s="104"/>
      <c r="C1486" s="105"/>
      <c r="D1486" s="104"/>
      <c r="F1486" s="106"/>
      <c r="G1486" s="104"/>
      <c r="H1486" s="106"/>
      <c r="I1486" s="106"/>
      <c r="J1486" s="101" t="str">
        <f t="shared" ca="1" si="23"/>
        <v/>
      </c>
    </row>
    <row r="1487" spans="1:10">
      <c r="A1487" s="103"/>
      <c r="B1487" s="104"/>
      <c r="C1487" s="105"/>
      <c r="D1487" s="104"/>
      <c r="F1487" s="106"/>
      <c r="G1487" s="104"/>
      <c r="H1487" s="106"/>
      <c r="I1487" s="106"/>
      <c r="J1487" s="101" t="str">
        <f t="shared" ca="1" si="23"/>
        <v/>
      </c>
    </row>
    <row r="1488" spans="1:10">
      <c r="A1488" s="103"/>
      <c r="B1488" s="104"/>
      <c r="C1488" s="105"/>
      <c r="D1488" s="104"/>
      <c r="F1488" s="106"/>
      <c r="G1488" s="104"/>
      <c r="H1488" s="106"/>
      <c r="I1488" s="106"/>
      <c r="J1488" s="101" t="str">
        <f t="shared" ca="1" si="23"/>
        <v/>
      </c>
    </row>
    <row r="1489" spans="1:10">
      <c r="A1489" s="103"/>
      <c r="B1489" s="104"/>
      <c r="C1489" s="105"/>
      <c r="D1489" s="104"/>
      <c r="F1489" s="106"/>
      <c r="G1489" s="104"/>
      <c r="H1489" s="106"/>
      <c r="I1489" s="106"/>
      <c r="J1489" s="101" t="str">
        <f t="shared" ca="1" si="23"/>
        <v/>
      </c>
    </row>
    <row r="1490" spans="1:10">
      <c r="A1490" s="103"/>
      <c r="B1490" s="104"/>
      <c r="C1490" s="105"/>
      <c r="D1490" s="104"/>
      <c r="F1490" s="106"/>
      <c r="G1490" s="104"/>
      <c r="H1490" s="106"/>
      <c r="I1490" s="106"/>
      <c r="J1490" s="101" t="str">
        <f t="shared" ca="1" si="23"/>
        <v/>
      </c>
    </row>
    <row r="1491" spans="1:10">
      <c r="A1491" s="103"/>
      <c r="B1491" s="104"/>
      <c r="C1491" s="105"/>
      <c r="D1491" s="104"/>
      <c r="F1491" s="106"/>
      <c r="G1491" s="104"/>
      <c r="H1491" s="106"/>
      <c r="I1491" s="106"/>
      <c r="J1491" s="101" t="str">
        <f t="shared" ca="1" si="23"/>
        <v/>
      </c>
    </row>
    <row r="1492" spans="1:10">
      <c r="A1492" s="103"/>
      <c r="B1492" s="104"/>
      <c r="C1492" s="105"/>
      <c r="D1492" s="104"/>
      <c r="F1492" s="106"/>
      <c r="G1492" s="104"/>
      <c r="H1492" s="106"/>
      <c r="I1492" s="106"/>
      <c r="J1492" s="101" t="str">
        <f t="shared" ca="1" si="23"/>
        <v/>
      </c>
    </row>
    <row r="1493" spans="1:10">
      <c r="A1493" s="103"/>
      <c r="B1493" s="104"/>
      <c r="C1493" s="105"/>
      <c r="D1493" s="104"/>
      <c r="F1493" s="106"/>
      <c r="G1493" s="104"/>
      <c r="H1493" s="106"/>
      <c r="I1493" s="106"/>
      <c r="J1493" s="101" t="str">
        <f t="shared" ca="1" si="23"/>
        <v/>
      </c>
    </row>
    <row r="1494" spans="1:10">
      <c r="A1494" s="103"/>
      <c r="B1494" s="104"/>
      <c r="C1494" s="105"/>
      <c r="D1494" s="104"/>
      <c r="F1494" s="106"/>
      <c r="G1494" s="104"/>
      <c r="H1494" s="106"/>
      <c r="I1494" s="106"/>
      <c r="J1494" s="101" t="str">
        <f t="shared" ca="1" si="23"/>
        <v/>
      </c>
    </row>
    <row r="1495" spans="1:10">
      <c r="A1495" s="103"/>
      <c r="B1495" s="104"/>
      <c r="C1495" s="105"/>
      <c r="D1495" s="104"/>
      <c r="F1495" s="106"/>
      <c r="G1495" s="104"/>
      <c r="H1495" s="106"/>
      <c r="I1495" s="106"/>
      <c r="J1495" s="101" t="str">
        <f t="shared" ca="1" si="23"/>
        <v/>
      </c>
    </row>
    <row r="1496" spans="1:10">
      <c r="A1496" s="103"/>
      <c r="B1496" s="104"/>
      <c r="C1496" s="105"/>
      <c r="D1496" s="104"/>
      <c r="F1496" s="106"/>
      <c r="G1496" s="104"/>
      <c r="H1496" s="106"/>
      <c r="I1496" s="106"/>
      <c r="J1496" s="101" t="str">
        <f t="shared" ca="1" si="23"/>
        <v/>
      </c>
    </row>
    <row r="1497" spans="1:10">
      <c r="A1497" s="103"/>
      <c r="B1497" s="104"/>
      <c r="C1497" s="105"/>
      <c r="D1497" s="104"/>
      <c r="F1497" s="106"/>
      <c r="G1497" s="104"/>
      <c r="H1497" s="106"/>
      <c r="I1497" s="106"/>
      <c r="J1497" s="101" t="str">
        <f t="shared" ca="1" si="23"/>
        <v/>
      </c>
    </row>
    <row r="1498" spans="1:10">
      <c r="A1498" s="103"/>
      <c r="B1498" s="104"/>
      <c r="C1498" s="105"/>
      <c r="D1498" s="104"/>
      <c r="F1498" s="106"/>
      <c r="G1498" s="104"/>
      <c r="H1498" s="106"/>
      <c r="I1498" s="106"/>
      <c r="J1498" s="101" t="str">
        <f t="shared" ca="1" si="23"/>
        <v/>
      </c>
    </row>
    <row r="1499" spans="1:10">
      <c r="A1499" s="103"/>
      <c r="B1499" s="104"/>
      <c r="C1499" s="105"/>
      <c r="D1499" s="104"/>
      <c r="F1499" s="106"/>
      <c r="G1499" s="104"/>
      <c r="H1499" s="106"/>
      <c r="I1499" s="106"/>
      <c r="J1499" s="101" t="str">
        <f t="shared" ca="1" si="23"/>
        <v/>
      </c>
    </row>
    <row r="1500" spans="1:10">
      <c r="A1500" s="103"/>
      <c r="B1500" s="104"/>
      <c r="C1500" s="105"/>
      <c r="D1500" s="104"/>
      <c r="F1500" s="106"/>
      <c r="G1500" s="104"/>
      <c r="H1500" s="106"/>
      <c r="I1500" s="106"/>
      <c r="J1500" s="101" t="str">
        <f t="shared" ca="1" si="23"/>
        <v/>
      </c>
    </row>
    <row r="1501" spans="1:10">
      <c r="A1501" s="103"/>
      <c r="B1501" s="104"/>
      <c r="C1501" s="105"/>
      <c r="D1501" s="104"/>
      <c r="F1501" s="106"/>
      <c r="G1501" s="104"/>
      <c r="H1501" s="106"/>
      <c r="I1501" s="106"/>
      <c r="J1501" s="101" t="str">
        <f t="shared" ca="1" si="23"/>
        <v/>
      </c>
    </row>
    <row r="1502" spans="1:10">
      <c r="A1502" s="103"/>
      <c r="B1502" s="104"/>
      <c r="C1502" s="105"/>
      <c r="D1502" s="104"/>
      <c r="F1502" s="106"/>
      <c r="G1502" s="104"/>
      <c r="H1502" s="106"/>
      <c r="I1502" s="106"/>
      <c r="J1502" s="101" t="str">
        <f t="shared" ca="1" si="23"/>
        <v/>
      </c>
    </row>
    <row r="1503" spans="1:10">
      <c r="A1503" s="103"/>
      <c r="B1503" s="104"/>
      <c r="C1503" s="105"/>
      <c r="D1503" s="104"/>
      <c r="F1503" s="106"/>
      <c r="G1503" s="104"/>
      <c r="H1503" s="106"/>
      <c r="I1503" s="106"/>
      <c r="J1503" s="101" t="str">
        <f t="shared" ca="1" si="23"/>
        <v/>
      </c>
    </row>
    <row r="1504" spans="1:10">
      <c r="A1504" s="103"/>
      <c r="B1504" s="104"/>
      <c r="C1504" s="105"/>
      <c r="D1504" s="104"/>
      <c r="F1504" s="106"/>
      <c r="G1504" s="104"/>
      <c r="H1504" s="106"/>
      <c r="I1504" s="106"/>
      <c r="J1504" s="101" t="str">
        <f t="shared" ca="1" si="23"/>
        <v/>
      </c>
    </row>
    <row r="1505" spans="1:10">
      <c r="A1505" s="103"/>
      <c r="B1505" s="104"/>
      <c r="C1505" s="105"/>
      <c r="D1505" s="104"/>
      <c r="F1505" s="106"/>
      <c r="G1505" s="104"/>
      <c r="H1505" s="106"/>
      <c r="I1505" s="106"/>
      <c r="J1505" s="101" t="str">
        <f t="shared" ca="1" si="23"/>
        <v/>
      </c>
    </row>
    <row r="1506" spans="1:10">
      <c r="A1506" s="103"/>
      <c r="B1506" s="104"/>
      <c r="C1506" s="105"/>
      <c r="D1506" s="104"/>
      <c r="F1506" s="106"/>
      <c r="G1506" s="104"/>
      <c r="H1506" s="106"/>
      <c r="I1506" s="106"/>
      <c r="J1506" s="101" t="str">
        <f t="shared" ca="1" si="23"/>
        <v/>
      </c>
    </row>
    <row r="1507" spans="1:10">
      <c r="A1507" s="103"/>
      <c r="B1507" s="104"/>
      <c r="C1507" s="105"/>
      <c r="D1507" s="104"/>
      <c r="F1507" s="106"/>
      <c r="G1507" s="104"/>
      <c r="H1507" s="106"/>
      <c r="I1507" s="106"/>
      <c r="J1507" s="101" t="str">
        <f t="shared" ca="1" si="23"/>
        <v/>
      </c>
    </row>
    <row r="1508" spans="1:10">
      <c r="A1508" s="103"/>
      <c r="B1508" s="104"/>
      <c r="C1508" s="105"/>
      <c r="D1508" s="104"/>
      <c r="F1508" s="106"/>
      <c r="G1508" s="104"/>
      <c r="H1508" s="106"/>
      <c r="I1508" s="106"/>
      <c r="J1508" s="101" t="str">
        <f t="shared" ca="1" si="23"/>
        <v/>
      </c>
    </row>
    <row r="1509" spans="1:10">
      <c r="A1509" s="103"/>
      <c r="B1509" s="104"/>
      <c r="C1509" s="105"/>
      <c r="D1509" s="104"/>
      <c r="F1509" s="106"/>
      <c r="G1509" s="104"/>
      <c r="H1509" s="106"/>
      <c r="I1509" s="106"/>
      <c r="J1509" s="101" t="str">
        <f t="shared" ca="1" si="23"/>
        <v/>
      </c>
    </row>
    <row r="1510" spans="1:10">
      <c r="A1510" s="103"/>
      <c r="B1510" s="104"/>
      <c r="C1510" s="105"/>
      <c r="D1510" s="104"/>
      <c r="F1510" s="106"/>
      <c r="G1510" s="104"/>
      <c r="H1510" s="106"/>
      <c r="I1510" s="106"/>
      <c r="J1510" s="101" t="str">
        <f t="shared" ca="1" si="23"/>
        <v/>
      </c>
    </row>
    <row r="1511" spans="1:10">
      <c r="A1511" s="103"/>
      <c r="B1511" s="104"/>
      <c r="C1511" s="105"/>
      <c r="D1511" s="104"/>
      <c r="F1511" s="106"/>
      <c r="G1511" s="104"/>
      <c r="H1511" s="106"/>
      <c r="I1511" s="106"/>
      <c r="J1511" s="101" t="str">
        <f t="shared" ca="1" si="23"/>
        <v/>
      </c>
    </row>
    <row r="1512" spans="1:10">
      <c r="A1512" s="103"/>
      <c r="B1512" s="104"/>
      <c r="C1512" s="105"/>
      <c r="D1512" s="104"/>
      <c r="F1512" s="106"/>
      <c r="G1512" s="104"/>
      <c r="H1512" s="106"/>
      <c r="I1512" s="106"/>
      <c r="J1512" s="101" t="str">
        <f t="shared" ca="1" si="23"/>
        <v/>
      </c>
    </row>
    <row r="1513" spans="1:10">
      <c r="A1513" s="103"/>
      <c r="B1513" s="104"/>
      <c r="C1513" s="105"/>
      <c r="D1513" s="104"/>
      <c r="F1513" s="106"/>
      <c r="G1513" s="104"/>
      <c r="H1513" s="106"/>
      <c r="I1513" s="106"/>
      <c r="J1513" s="101" t="str">
        <f t="shared" ca="1" si="23"/>
        <v/>
      </c>
    </row>
    <row r="1514" spans="1:10">
      <c r="A1514" s="103"/>
      <c r="B1514" s="104"/>
      <c r="C1514" s="105"/>
      <c r="D1514" s="104"/>
      <c r="F1514" s="106"/>
      <c r="G1514" s="104"/>
      <c r="H1514" s="106"/>
      <c r="I1514" s="106"/>
      <c r="J1514" s="101" t="str">
        <f t="shared" ca="1" si="23"/>
        <v/>
      </c>
    </row>
    <row r="1515" spans="1:10">
      <c r="A1515" s="103"/>
      <c r="B1515" s="104"/>
      <c r="C1515" s="105"/>
      <c r="D1515" s="104"/>
      <c r="F1515" s="106"/>
      <c r="G1515" s="104"/>
      <c r="H1515" s="106"/>
      <c r="I1515" s="106"/>
      <c r="J1515" s="101" t="str">
        <f t="shared" ca="1" si="23"/>
        <v/>
      </c>
    </row>
    <row r="1516" spans="1:10">
      <c r="A1516" s="103"/>
      <c r="B1516" s="104"/>
      <c r="C1516" s="105"/>
      <c r="D1516" s="104"/>
      <c r="F1516" s="106"/>
      <c r="G1516" s="104"/>
      <c r="H1516" s="106"/>
      <c r="I1516" s="106"/>
      <c r="J1516" s="101" t="str">
        <f t="shared" ca="1" si="23"/>
        <v/>
      </c>
    </row>
    <row r="1517" spans="1:10">
      <c r="A1517" s="103"/>
      <c r="B1517" s="104"/>
      <c r="C1517" s="105"/>
      <c r="D1517" s="104"/>
      <c r="F1517" s="106"/>
      <c r="G1517" s="104"/>
      <c r="H1517" s="106"/>
      <c r="I1517" s="106"/>
      <c r="J1517" s="101" t="str">
        <f t="shared" ca="1" si="23"/>
        <v/>
      </c>
    </row>
    <row r="1518" spans="1:10">
      <c r="A1518" s="103"/>
      <c r="B1518" s="104"/>
      <c r="C1518" s="105"/>
      <c r="D1518" s="104"/>
      <c r="F1518" s="106"/>
      <c r="G1518" s="104"/>
      <c r="H1518" s="106"/>
      <c r="I1518" s="106"/>
      <c r="J1518" s="101" t="str">
        <f t="shared" ca="1" si="23"/>
        <v/>
      </c>
    </row>
    <row r="1519" spans="1:10">
      <c r="A1519" s="103"/>
      <c r="B1519" s="104"/>
      <c r="C1519" s="105"/>
      <c r="D1519" s="104"/>
      <c r="F1519" s="106"/>
      <c r="G1519" s="104"/>
      <c r="H1519" s="106"/>
      <c r="I1519" s="106"/>
      <c r="J1519" s="101" t="str">
        <f t="shared" ca="1" si="23"/>
        <v/>
      </c>
    </row>
    <row r="1520" spans="1:10">
      <c r="A1520" s="103"/>
      <c r="B1520" s="104"/>
      <c r="C1520" s="105"/>
      <c r="D1520" s="104"/>
      <c r="F1520" s="106"/>
      <c r="G1520" s="104"/>
      <c r="H1520" s="106"/>
      <c r="I1520" s="106"/>
      <c r="J1520" s="101" t="str">
        <f t="shared" ca="1" si="23"/>
        <v/>
      </c>
    </row>
    <row r="1521" spans="1:10">
      <c r="A1521" s="103"/>
      <c r="B1521" s="104"/>
      <c r="C1521" s="105"/>
      <c r="D1521" s="104"/>
      <c r="F1521" s="106"/>
      <c r="G1521" s="104"/>
      <c r="H1521" s="106"/>
      <c r="I1521" s="106"/>
      <c r="J1521" s="101" t="str">
        <f t="shared" ca="1" si="23"/>
        <v/>
      </c>
    </row>
    <row r="1522" spans="1:10">
      <c r="A1522" s="103"/>
      <c r="B1522" s="104"/>
      <c r="C1522" s="105"/>
      <c r="D1522" s="104"/>
      <c r="F1522" s="106"/>
      <c r="G1522" s="104"/>
      <c r="H1522" s="106"/>
      <c r="I1522" s="106"/>
      <c r="J1522" s="101" t="str">
        <f t="shared" ca="1" si="23"/>
        <v/>
      </c>
    </row>
    <row r="1523" spans="1:10">
      <c r="A1523" s="103"/>
      <c r="B1523" s="104"/>
      <c r="C1523" s="105"/>
      <c r="D1523" s="104"/>
      <c r="F1523" s="106"/>
      <c r="G1523" s="104"/>
      <c r="H1523" s="106"/>
      <c r="I1523" s="106"/>
      <c r="J1523" s="101" t="str">
        <f t="shared" ca="1" si="23"/>
        <v/>
      </c>
    </row>
    <row r="1524" spans="1:10">
      <c r="A1524" s="103"/>
      <c r="B1524" s="104"/>
      <c r="C1524" s="105"/>
      <c r="D1524" s="104"/>
      <c r="F1524" s="106"/>
      <c r="G1524" s="104"/>
      <c r="H1524" s="106"/>
      <c r="I1524" s="106"/>
      <c r="J1524" s="101" t="str">
        <f t="shared" ca="1" si="23"/>
        <v/>
      </c>
    </row>
    <row r="1525" spans="1:10">
      <c r="A1525" s="103"/>
      <c r="B1525" s="104"/>
      <c r="C1525" s="105"/>
      <c r="D1525" s="104"/>
      <c r="F1525" s="106"/>
      <c r="G1525" s="104"/>
      <c r="H1525" s="106"/>
      <c r="I1525" s="106"/>
      <c r="J1525" s="101" t="str">
        <f t="shared" ca="1" si="23"/>
        <v/>
      </c>
    </row>
    <row r="1526" spans="1:10">
      <c r="A1526" s="103"/>
      <c r="B1526" s="104"/>
      <c r="C1526" s="105"/>
      <c r="D1526" s="104"/>
      <c r="F1526" s="106"/>
      <c r="G1526" s="104"/>
      <c r="H1526" s="106"/>
      <c r="I1526" s="106"/>
      <c r="J1526" s="101" t="str">
        <f t="shared" ca="1" si="23"/>
        <v/>
      </c>
    </row>
    <row r="1527" spans="1:10">
      <c r="A1527" s="103"/>
      <c r="B1527" s="104"/>
      <c r="C1527" s="105"/>
      <c r="D1527" s="104"/>
      <c r="F1527" s="106"/>
      <c r="G1527" s="104"/>
      <c r="H1527" s="106"/>
      <c r="I1527" s="106"/>
      <c r="J1527" s="101" t="str">
        <f t="shared" ca="1" si="23"/>
        <v/>
      </c>
    </row>
    <row r="1528" spans="1:10">
      <c r="A1528" s="103"/>
      <c r="B1528" s="104"/>
      <c r="C1528" s="105"/>
      <c r="D1528" s="104"/>
      <c r="F1528" s="106"/>
      <c r="G1528" s="104"/>
      <c r="H1528" s="106"/>
      <c r="I1528" s="106"/>
      <c r="J1528" s="101" t="str">
        <f t="shared" ca="1" si="23"/>
        <v/>
      </c>
    </row>
    <row r="1529" spans="1:10">
      <c r="A1529" s="103"/>
      <c r="B1529" s="104"/>
      <c r="C1529" s="105"/>
      <c r="D1529" s="104"/>
      <c r="F1529" s="106"/>
      <c r="G1529" s="104"/>
      <c r="H1529" s="106"/>
      <c r="I1529" s="106"/>
      <c r="J1529" s="101" t="str">
        <f t="shared" ca="1" si="23"/>
        <v/>
      </c>
    </row>
    <row r="1530" spans="1:10">
      <c r="A1530" s="103"/>
      <c r="B1530" s="104"/>
      <c r="C1530" s="105"/>
      <c r="D1530" s="104"/>
      <c r="F1530" s="106"/>
      <c r="G1530" s="104"/>
      <c r="H1530" s="106"/>
      <c r="I1530" s="106"/>
      <c r="J1530" s="101" t="str">
        <f t="shared" ca="1" si="23"/>
        <v/>
      </c>
    </row>
    <row r="1531" spans="1:10">
      <c r="A1531" s="103"/>
      <c r="B1531" s="104"/>
      <c r="C1531" s="105"/>
      <c r="D1531" s="104"/>
      <c r="F1531" s="106"/>
      <c r="G1531" s="104"/>
      <c r="H1531" s="106"/>
      <c r="I1531" s="106"/>
      <c r="J1531" s="101" t="str">
        <f t="shared" ca="1" si="23"/>
        <v/>
      </c>
    </row>
    <row r="1532" spans="1:10">
      <c r="A1532" s="103"/>
      <c r="B1532" s="104"/>
      <c r="C1532" s="105"/>
      <c r="D1532" s="104"/>
      <c r="F1532" s="106"/>
      <c r="G1532" s="104"/>
      <c r="H1532" s="106"/>
      <c r="I1532" s="106"/>
      <c r="J1532" s="101" t="str">
        <f t="shared" ca="1" si="23"/>
        <v/>
      </c>
    </row>
    <row r="1533" spans="1:10">
      <c r="A1533" s="103"/>
      <c r="B1533" s="104"/>
      <c r="C1533" s="105"/>
      <c r="D1533" s="104"/>
      <c r="F1533" s="106"/>
      <c r="G1533" s="104"/>
      <c r="H1533" s="106"/>
      <c r="I1533" s="106"/>
      <c r="J1533" s="101" t="str">
        <f t="shared" ca="1" si="23"/>
        <v/>
      </c>
    </row>
    <row r="1534" spans="1:10">
      <c r="A1534" s="103"/>
      <c r="B1534" s="104"/>
      <c r="C1534" s="105"/>
      <c r="D1534" s="104"/>
      <c r="F1534" s="106"/>
      <c r="G1534" s="104"/>
      <c r="H1534" s="106"/>
      <c r="I1534" s="106"/>
      <c r="J1534" s="101" t="str">
        <f t="shared" ca="1" si="23"/>
        <v/>
      </c>
    </row>
    <row r="1535" spans="1:10">
      <c r="A1535" s="103"/>
      <c r="B1535" s="104"/>
      <c r="C1535" s="105"/>
      <c r="D1535" s="104"/>
      <c r="F1535" s="106"/>
      <c r="G1535" s="104"/>
      <c r="H1535" s="106"/>
      <c r="I1535" s="106"/>
      <c r="J1535" s="101" t="str">
        <f t="shared" ca="1" si="23"/>
        <v/>
      </c>
    </row>
    <row r="1536" spans="1:10">
      <c r="A1536" s="103"/>
      <c r="B1536" s="104"/>
      <c r="C1536" s="105"/>
      <c r="D1536" s="104"/>
      <c r="F1536" s="106"/>
      <c r="G1536" s="104"/>
      <c r="H1536" s="106"/>
      <c r="I1536" s="106"/>
      <c r="J1536" s="101" t="str">
        <f t="shared" ca="1" si="23"/>
        <v/>
      </c>
    </row>
    <row r="1537" spans="1:10">
      <c r="A1537" s="103"/>
      <c r="B1537" s="104"/>
      <c r="C1537" s="105"/>
      <c r="D1537" s="104"/>
      <c r="F1537" s="106"/>
      <c r="G1537" s="104"/>
      <c r="H1537" s="106"/>
      <c r="I1537" s="106"/>
      <c r="J1537" s="101" t="str">
        <f t="shared" ca="1" si="23"/>
        <v/>
      </c>
    </row>
    <row r="1538" spans="1:10">
      <c r="A1538" s="103"/>
      <c r="B1538" s="104"/>
      <c r="C1538" s="105"/>
      <c r="D1538" s="104"/>
      <c r="F1538" s="106"/>
      <c r="G1538" s="104"/>
      <c r="H1538" s="106"/>
      <c r="I1538" s="106"/>
      <c r="J1538" s="101" t="str">
        <f t="shared" ca="1" si="23"/>
        <v/>
      </c>
    </row>
    <row r="1539" spans="1:10">
      <c r="A1539" s="103"/>
      <c r="B1539" s="104"/>
      <c r="C1539" s="105"/>
      <c r="D1539" s="104"/>
      <c r="F1539" s="106"/>
      <c r="G1539" s="104"/>
      <c r="H1539" s="106"/>
      <c r="I1539" s="106"/>
      <c r="J1539" s="101" t="str">
        <f t="shared" ref="J1539:J1602" ca="1" si="24">_xlfn.LET(
    _xlpm.AllCellsFilled, COUNTA(A1539:I1539) = 9,
    _xlpm.QtyIsInt, AND(ISNUMBER(G1539), G1539=INT(G1539)),
    _xlpm.AvailDateIsValid, AND(ISNUMBER(F1539), F1539&gt;=TODAY()),
    _xlpm.ReqDateIsValid, AND(ISNUMBER(H1539), H1539&gt;=TODAY()),
    _xlpm.EmailIsValid, RIGHT(I1539,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IF(A1539="", "", IF(_xlpm.error_messages = "", "Yes", _xlpm.error_messages))
)</f>
        <v/>
      </c>
    </row>
    <row r="1540" spans="1:10">
      <c r="A1540" s="103"/>
      <c r="B1540" s="104"/>
      <c r="C1540" s="105"/>
      <c r="D1540" s="104"/>
      <c r="F1540" s="106"/>
      <c r="G1540" s="104"/>
      <c r="H1540" s="106"/>
      <c r="I1540" s="106"/>
      <c r="J1540" s="101" t="str">
        <f t="shared" ca="1" si="24"/>
        <v/>
      </c>
    </row>
    <row r="1541" spans="1:10">
      <c r="A1541" s="103"/>
      <c r="B1541" s="104"/>
      <c r="C1541" s="105"/>
      <c r="D1541" s="104"/>
      <c r="F1541" s="106"/>
      <c r="G1541" s="104"/>
      <c r="H1541" s="106"/>
      <c r="I1541" s="106"/>
      <c r="J1541" s="101" t="str">
        <f t="shared" ca="1" si="24"/>
        <v/>
      </c>
    </row>
    <row r="1542" spans="1:10">
      <c r="A1542" s="103"/>
      <c r="B1542" s="104"/>
      <c r="C1542" s="105"/>
      <c r="D1542" s="104"/>
      <c r="F1542" s="106"/>
      <c r="G1542" s="104"/>
      <c r="H1542" s="106"/>
      <c r="I1542" s="106"/>
      <c r="J1542" s="101" t="str">
        <f t="shared" ca="1" si="24"/>
        <v/>
      </c>
    </row>
    <row r="1543" spans="1:10">
      <c r="A1543" s="103"/>
      <c r="B1543" s="104"/>
      <c r="C1543" s="105"/>
      <c r="D1543" s="104"/>
      <c r="F1543" s="106"/>
      <c r="G1543" s="104"/>
      <c r="H1543" s="106"/>
      <c r="I1543" s="106"/>
      <c r="J1543" s="101" t="str">
        <f t="shared" ca="1" si="24"/>
        <v/>
      </c>
    </row>
    <row r="1544" spans="1:10">
      <c r="A1544" s="103"/>
      <c r="B1544" s="104"/>
      <c r="C1544" s="105"/>
      <c r="D1544" s="104"/>
      <c r="F1544" s="106"/>
      <c r="G1544" s="104"/>
      <c r="H1544" s="106"/>
      <c r="I1544" s="106"/>
      <c r="J1544" s="101" t="str">
        <f t="shared" ca="1" si="24"/>
        <v/>
      </c>
    </row>
    <row r="1545" spans="1:10">
      <c r="A1545" s="103"/>
      <c r="B1545" s="104"/>
      <c r="C1545" s="105"/>
      <c r="D1545" s="104"/>
      <c r="F1545" s="106"/>
      <c r="G1545" s="104"/>
      <c r="H1545" s="106"/>
      <c r="I1545" s="106"/>
      <c r="J1545" s="101" t="str">
        <f t="shared" ca="1" si="24"/>
        <v/>
      </c>
    </row>
    <row r="1546" spans="1:10">
      <c r="A1546" s="103"/>
      <c r="B1546" s="104"/>
      <c r="C1546" s="105"/>
      <c r="D1546" s="104"/>
      <c r="F1546" s="106"/>
      <c r="G1546" s="104"/>
      <c r="H1546" s="106"/>
      <c r="I1546" s="106"/>
      <c r="J1546" s="101" t="str">
        <f t="shared" ca="1" si="24"/>
        <v/>
      </c>
    </row>
    <row r="1547" spans="1:10">
      <c r="A1547" s="103"/>
      <c r="B1547" s="104"/>
      <c r="C1547" s="105"/>
      <c r="D1547" s="104"/>
      <c r="F1547" s="106"/>
      <c r="G1547" s="104"/>
      <c r="H1547" s="106"/>
      <c r="I1547" s="106"/>
      <c r="J1547" s="101" t="str">
        <f t="shared" ca="1" si="24"/>
        <v/>
      </c>
    </row>
    <row r="1548" spans="1:10">
      <c r="A1548" s="103"/>
      <c r="B1548" s="104"/>
      <c r="C1548" s="105"/>
      <c r="D1548" s="104"/>
      <c r="F1548" s="106"/>
      <c r="G1548" s="104"/>
      <c r="H1548" s="106"/>
      <c r="I1548" s="106"/>
      <c r="J1548" s="101" t="str">
        <f t="shared" ca="1" si="24"/>
        <v/>
      </c>
    </row>
    <row r="1549" spans="1:10">
      <c r="A1549" s="103"/>
      <c r="B1549" s="104"/>
      <c r="C1549" s="105"/>
      <c r="D1549" s="104"/>
      <c r="F1549" s="106"/>
      <c r="G1549" s="104"/>
      <c r="H1549" s="106"/>
      <c r="I1549" s="106"/>
      <c r="J1549" s="101" t="str">
        <f t="shared" ca="1" si="24"/>
        <v/>
      </c>
    </row>
    <row r="1550" spans="1:10">
      <c r="A1550" s="103"/>
      <c r="B1550" s="104"/>
      <c r="C1550" s="105"/>
      <c r="D1550" s="104"/>
      <c r="F1550" s="106"/>
      <c r="G1550" s="104"/>
      <c r="H1550" s="106"/>
      <c r="I1550" s="106"/>
      <c r="J1550" s="101" t="str">
        <f t="shared" ca="1" si="24"/>
        <v/>
      </c>
    </row>
    <row r="1551" spans="1:10">
      <c r="A1551" s="103"/>
      <c r="B1551" s="104"/>
      <c r="C1551" s="105"/>
      <c r="D1551" s="104"/>
      <c r="F1551" s="106"/>
      <c r="G1551" s="104"/>
      <c r="H1551" s="106"/>
      <c r="I1551" s="106"/>
      <c r="J1551" s="101" t="str">
        <f t="shared" ca="1" si="24"/>
        <v/>
      </c>
    </row>
    <row r="1552" spans="1:10">
      <c r="A1552" s="103"/>
      <c r="B1552" s="104"/>
      <c r="C1552" s="105"/>
      <c r="D1552" s="104"/>
      <c r="F1552" s="106"/>
      <c r="G1552" s="104"/>
      <c r="H1552" s="106"/>
      <c r="I1552" s="106"/>
      <c r="J1552" s="101" t="str">
        <f t="shared" ca="1" si="24"/>
        <v/>
      </c>
    </row>
    <row r="1553" spans="1:10">
      <c r="A1553" s="103"/>
      <c r="B1553" s="104"/>
      <c r="C1553" s="105"/>
      <c r="D1553" s="104"/>
      <c r="F1553" s="106"/>
      <c r="G1553" s="104"/>
      <c r="H1553" s="106"/>
      <c r="I1553" s="106"/>
      <c r="J1553" s="101" t="str">
        <f t="shared" ca="1" si="24"/>
        <v/>
      </c>
    </row>
    <row r="1554" spans="1:10">
      <c r="A1554" s="103"/>
      <c r="B1554" s="104"/>
      <c r="C1554" s="105"/>
      <c r="D1554" s="104"/>
      <c r="F1554" s="106"/>
      <c r="G1554" s="104"/>
      <c r="H1554" s="106"/>
      <c r="I1554" s="106"/>
      <c r="J1554" s="101" t="str">
        <f t="shared" ca="1" si="24"/>
        <v/>
      </c>
    </row>
    <row r="1555" spans="1:10">
      <c r="A1555" s="103"/>
      <c r="B1555" s="104"/>
      <c r="C1555" s="105"/>
      <c r="D1555" s="104"/>
      <c r="F1555" s="106"/>
      <c r="G1555" s="104"/>
      <c r="H1555" s="106"/>
      <c r="I1555" s="106"/>
      <c r="J1555" s="101" t="str">
        <f t="shared" ca="1" si="24"/>
        <v/>
      </c>
    </row>
    <row r="1556" spans="1:10">
      <c r="A1556" s="103"/>
      <c r="B1556" s="104"/>
      <c r="C1556" s="105"/>
      <c r="D1556" s="104"/>
      <c r="F1556" s="106"/>
      <c r="G1556" s="104"/>
      <c r="H1556" s="106"/>
      <c r="I1556" s="106"/>
      <c r="J1556" s="101" t="str">
        <f t="shared" ca="1" si="24"/>
        <v/>
      </c>
    </row>
    <row r="1557" spans="1:10">
      <c r="A1557" s="103"/>
      <c r="B1557" s="104"/>
      <c r="C1557" s="105"/>
      <c r="D1557" s="104"/>
      <c r="F1557" s="106"/>
      <c r="G1557" s="104"/>
      <c r="H1557" s="106"/>
      <c r="I1557" s="106"/>
      <c r="J1557" s="101" t="str">
        <f t="shared" ca="1" si="24"/>
        <v/>
      </c>
    </row>
    <row r="1558" spans="1:10">
      <c r="A1558" s="103"/>
      <c r="B1558" s="104"/>
      <c r="C1558" s="105"/>
      <c r="D1558" s="104"/>
      <c r="F1558" s="106"/>
      <c r="G1558" s="104"/>
      <c r="H1558" s="106"/>
      <c r="I1558" s="106"/>
      <c r="J1558" s="101" t="str">
        <f t="shared" ca="1" si="24"/>
        <v/>
      </c>
    </row>
    <row r="1559" spans="1:10">
      <c r="A1559" s="103"/>
      <c r="B1559" s="104"/>
      <c r="C1559" s="105"/>
      <c r="D1559" s="104"/>
      <c r="F1559" s="106"/>
      <c r="G1559" s="104"/>
      <c r="H1559" s="106"/>
      <c r="I1559" s="106"/>
      <c r="J1559" s="101" t="str">
        <f t="shared" ca="1" si="24"/>
        <v/>
      </c>
    </row>
    <row r="1560" spans="1:10">
      <c r="A1560" s="103"/>
      <c r="B1560" s="104"/>
      <c r="C1560" s="105"/>
      <c r="D1560" s="104"/>
      <c r="F1560" s="106"/>
      <c r="G1560" s="104"/>
      <c r="H1560" s="106"/>
      <c r="I1560" s="106"/>
      <c r="J1560" s="101" t="str">
        <f t="shared" ca="1" si="24"/>
        <v/>
      </c>
    </row>
    <row r="1561" spans="1:10">
      <c r="A1561" s="103"/>
      <c r="B1561" s="104"/>
      <c r="C1561" s="105"/>
      <c r="D1561" s="104"/>
      <c r="F1561" s="106"/>
      <c r="G1561" s="104"/>
      <c r="H1561" s="106"/>
      <c r="I1561" s="106"/>
      <c r="J1561" s="101" t="str">
        <f t="shared" ca="1" si="24"/>
        <v/>
      </c>
    </row>
    <row r="1562" spans="1:10">
      <c r="A1562" s="103"/>
      <c r="B1562" s="104"/>
      <c r="C1562" s="105"/>
      <c r="D1562" s="104"/>
      <c r="F1562" s="106"/>
      <c r="G1562" s="104"/>
      <c r="H1562" s="106"/>
      <c r="I1562" s="106"/>
      <c r="J1562" s="101" t="str">
        <f t="shared" ca="1" si="24"/>
        <v/>
      </c>
    </row>
    <row r="1563" spans="1:10">
      <c r="A1563" s="103"/>
      <c r="B1563" s="104"/>
      <c r="C1563" s="105"/>
      <c r="D1563" s="104"/>
      <c r="F1563" s="106"/>
      <c r="G1563" s="104"/>
      <c r="H1563" s="106"/>
      <c r="I1563" s="106"/>
      <c r="J1563" s="101" t="str">
        <f t="shared" ca="1" si="24"/>
        <v/>
      </c>
    </row>
    <row r="1564" spans="1:10">
      <c r="A1564" s="103"/>
      <c r="B1564" s="104"/>
      <c r="C1564" s="105"/>
      <c r="D1564" s="104"/>
      <c r="F1564" s="106"/>
      <c r="G1564" s="104"/>
      <c r="H1564" s="106"/>
      <c r="I1564" s="106"/>
      <c r="J1564" s="101" t="str">
        <f t="shared" ca="1" si="24"/>
        <v/>
      </c>
    </row>
    <row r="1565" spans="1:10">
      <c r="A1565" s="103"/>
      <c r="B1565" s="104"/>
      <c r="C1565" s="105"/>
      <c r="D1565" s="104"/>
      <c r="F1565" s="106"/>
      <c r="G1565" s="104"/>
      <c r="H1565" s="106"/>
      <c r="I1565" s="106"/>
      <c r="J1565" s="101" t="str">
        <f t="shared" ca="1" si="24"/>
        <v/>
      </c>
    </row>
    <row r="1566" spans="1:10">
      <c r="A1566" s="103"/>
      <c r="B1566" s="104"/>
      <c r="C1566" s="105"/>
      <c r="D1566" s="104"/>
      <c r="F1566" s="106"/>
      <c r="G1566" s="104"/>
      <c r="H1566" s="106"/>
      <c r="I1566" s="106"/>
      <c r="J1566" s="101" t="str">
        <f t="shared" ca="1" si="24"/>
        <v/>
      </c>
    </row>
    <row r="1567" spans="1:10">
      <c r="A1567" s="103"/>
      <c r="B1567" s="104"/>
      <c r="C1567" s="105"/>
      <c r="D1567" s="104"/>
      <c r="F1567" s="106"/>
      <c r="G1567" s="104"/>
      <c r="H1567" s="106"/>
      <c r="I1567" s="106"/>
      <c r="J1567" s="101" t="str">
        <f t="shared" ca="1" si="24"/>
        <v/>
      </c>
    </row>
    <row r="1568" spans="1:10">
      <c r="A1568" s="103"/>
      <c r="B1568" s="104"/>
      <c r="C1568" s="105"/>
      <c r="D1568" s="104"/>
      <c r="F1568" s="106"/>
      <c r="G1568" s="104"/>
      <c r="H1568" s="106"/>
      <c r="I1568" s="106"/>
      <c r="J1568" s="101" t="str">
        <f t="shared" ca="1" si="24"/>
        <v/>
      </c>
    </row>
    <row r="1569" spans="1:10">
      <c r="A1569" s="103"/>
      <c r="B1569" s="104"/>
      <c r="C1569" s="105"/>
      <c r="D1569" s="104"/>
      <c r="F1569" s="106"/>
      <c r="G1569" s="104"/>
      <c r="H1569" s="106"/>
      <c r="I1569" s="106"/>
      <c r="J1569" s="101" t="str">
        <f t="shared" ca="1" si="24"/>
        <v/>
      </c>
    </row>
    <row r="1570" spans="1:10">
      <c r="A1570" s="103"/>
      <c r="B1570" s="104"/>
      <c r="C1570" s="105"/>
      <c r="D1570" s="104"/>
      <c r="F1570" s="106"/>
      <c r="G1570" s="104"/>
      <c r="H1570" s="106"/>
      <c r="I1570" s="106"/>
      <c r="J1570" s="101" t="str">
        <f t="shared" ca="1" si="24"/>
        <v/>
      </c>
    </row>
    <row r="1571" spans="1:10">
      <c r="A1571" s="103"/>
      <c r="B1571" s="104"/>
      <c r="C1571" s="105"/>
      <c r="D1571" s="104"/>
      <c r="F1571" s="106"/>
      <c r="G1571" s="104"/>
      <c r="H1571" s="106"/>
      <c r="I1571" s="106"/>
      <c r="J1571" s="101" t="str">
        <f t="shared" ca="1" si="24"/>
        <v/>
      </c>
    </row>
    <row r="1572" spans="1:10">
      <c r="A1572" s="103"/>
      <c r="B1572" s="104"/>
      <c r="C1572" s="105"/>
      <c r="D1572" s="104"/>
      <c r="F1572" s="106"/>
      <c r="G1572" s="104"/>
      <c r="H1572" s="106"/>
      <c r="I1572" s="106"/>
      <c r="J1572" s="101" t="str">
        <f t="shared" ca="1" si="24"/>
        <v/>
      </c>
    </row>
    <row r="1573" spans="1:10">
      <c r="A1573" s="103"/>
      <c r="B1573" s="104"/>
      <c r="C1573" s="105"/>
      <c r="D1573" s="104"/>
      <c r="F1573" s="106"/>
      <c r="G1573" s="104"/>
      <c r="H1573" s="106"/>
      <c r="I1573" s="106"/>
      <c r="J1573" s="101" t="str">
        <f t="shared" ca="1" si="24"/>
        <v/>
      </c>
    </row>
    <row r="1574" spans="1:10">
      <c r="A1574" s="103"/>
      <c r="B1574" s="104"/>
      <c r="C1574" s="105"/>
      <c r="D1574" s="104"/>
      <c r="F1574" s="106"/>
      <c r="G1574" s="104"/>
      <c r="H1574" s="106"/>
      <c r="I1574" s="106"/>
      <c r="J1574" s="101" t="str">
        <f t="shared" ca="1" si="24"/>
        <v/>
      </c>
    </row>
    <row r="1575" spans="1:10">
      <c r="A1575" s="103"/>
      <c r="B1575" s="104"/>
      <c r="C1575" s="105"/>
      <c r="D1575" s="104"/>
      <c r="F1575" s="106"/>
      <c r="G1575" s="104"/>
      <c r="H1575" s="106"/>
      <c r="I1575" s="106"/>
      <c r="J1575" s="101" t="str">
        <f t="shared" ca="1" si="24"/>
        <v/>
      </c>
    </row>
    <row r="1576" spans="1:10">
      <c r="A1576" s="103"/>
      <c r="B1576" s="104"/>
      <c r="C1576" s="105"/>
      <c r="D1576" s="104"/>
      <c r="F1576" s="106"/>
      <c r="G1576" s="104"/>
      <c r="H1576" s="106"/>
      <c r="I1576" s="106"/>
      <c r="J1576" s="101" t="str">
        <f t="shared" ca="1" si="24"/>
        <v/>
      </c>
    </row>
    <row r="1577" spans="1:10">
      <c r="A1577" s="103"/>
      <c r="B1577" s="104"/>
      <c r="C1577" s="105"/>
      <c r="D1577" s="104"/>
      <c r="F1577" s="106"/>
      <c r="G1577" s="104"/>
      <c r="H1577" s="106"/>
      <c r="I1577" s="106"/>
      <c r="J1577" s="101" t="str">
        <f t="shared" ca="1" si="24"/>
        <v/>
      </c>
    </row>
    <row r="1578" spans="1:10">
      <c r="A1578" s="103"/>
      <c r="B1578" s="104"/>
      <c r="C1578" s="105"/>
      <c r="D1578" s="104"/>
      <c r="F1578" s="106"/>
      <c r="G1578" s="104"/>
      <c r="H1578" s="106"/>
      <c r="I1578" s="106"/>
      <c r="J1578" s="101" t="str">
        <f t="shared" ca="1" si="24"/>
        <v/>
      </c>
    </row>
    <row r="1579" spans="1:10">
      <c r="A1579" s="103"/>
      <c r="B1579" s="104"/>
      <c r="C1579" s="105"/>
      <c r="D1579" s="104"/>
      <c r="F1579" s="106"/>
      <c r="G1579" s="104"/>
      <c r="H1579" s="106"/>
      <c r="I1579" s="106"/>
      <c r="J1579" s="101" t="str">
        <f t="shared" ca="1" si="24"/>
        <v/>
      </c>
    </row>
    <row r="1580" spans="1:10">
      <c r="A1580" s="103"/>
      <c r="B1580" s="104"/>
      <c r="C1580" s="105"/>
      <c r="D1580" s="104"/>
      <c r="F1580" s="106"/>
      <c r="G1580" s="104"/>
      <c r="H1580" s="106"/>
      <c r="I1580" s="106"/>
      <c r="J1580" s="101" t="str">
        <f t="shared" ca="1" si="24"/>
        <v/>
      </c>
    </row>
    <row r="1581" spans="1:10">
      <c r="A1581" s="103"/>
      <c r="B1581" s="104"/>
      <c r="C1581" s="105"/>
      <c r="D1581" s="104"/>
      <c r="F1581" s="106"/>
      <c r="G1581" s="104"/>
      <c r="H1581" s="106"/>
      <c r="I1581" s="106"/>
      <c r="J1581" s="101" t="str">
        <f t="shared" ca="1" si="24"/>
        <v/>
      </c>
    </row>
    <row r="1582" spans="1:10">
      <c r="A1582" s="103"/>
      <c r="B1582" s="104"/>
      <c r="C1582" s="105"/>
      <c r="D1582" s="104"/>
      <c r="F1582" s="106"/>
      <c r="G1582" s="104"/>
      <c r="H1582" s="106"/>
      <c r="I1582" s="106"/>
      <c r="J1582" s="101" t="str">
        <f t="shared" ca="1" si="24"/>
        <v/>
      </c>
    </row>
    <row r="1583" spans="1:10">
      <c r="A1583" s="103"/>
      <c r="B1583" s="104"/>
      <c r="C1583" s="105"/>
      <c r="D1583" s="104"/>
      <c r="F1583" s="106"/>
      <c r="G1583" s="104"/>
      <c r="H1583" s="106"/>
      <c r="I1583" s="106"/>
      <c r="J1583" s="101" t="str">
        <f t="shared" ca="1" si="24"/>
        <v/>
      </c>
    </row>
    <row r="1584" spans="1:10">
      <c r="A1584" s="103"/>
      <c r="B1584" s="104"/>
      <c r="C1584" s="105"/>
      <c r="D1584" s="104"/>
      <c r="F1584" s="106"/>
      <c r="G1584" s="104"/>
      <c r="H1584" s="106"/>
      <c r="I1584" s="106"/>
      <c r="J1584" s="101" t="str">
        <f t="shared" ca="1" si="24"/>
        <v/>
      </c>
    </row>
    <row r="1585" spans="1:10">
      <c r="A1585" s="103"/>
      <c r="B1585" s="104"/>
      <c r="C1585" s="105"/>
      <c r="D1585" s="104"/>
      <c r="F1585" s="106"/>
      <c r="G1585" s="104"/>
      <c r="H1585" s="106"/>
      <c r="I1585" s="106"/>
      <c r="J1585" s="101" t="str">
        <f t="shared" ca="1" si="24"/>
        <v/>
      </c>
    </row>
    <row r="1586" spans="1:10">
      <c r="A1586" s="103"/>
      <c r="B1586" s="104"/>
      <c r="C1586" s="105"/>
      <c r="D1586" s="104"/>
      <c r="F1586" s="106"/>
      <c r="G1586" s="104"/>
      <c r="H1586" s="106"/>
      <c r="I1586" s="106"/>
      <c r="J1586" s="101" t="str">
        <f t="shared" ca="1" si="24"/>
        <v/>
      </c>
    </row>
    <row r="1587" spans="1:10">
      <c r="A1587" s="103"/>
      <c r="B1587" s="104"/>
      <c r="C1587" s="105"/>
      <c r="D1587" s="104"/>
      <c r="F1587" s="106"/>
      <c r="G1587" s="104"/>
      <c r="H1587" s="106"/>
      <c r="I1587" s="106"/>
      <c r="J1587" s="101" t="str">
        <f t="shared" ca="1" si="24"/>
        <v/>
      </c>
    </row>
    <row r="1588" spans="1:10">
      <c r="A1588" s="103"/>
      <c r="B1588" s="104"/>
      <c r="C1588" s="105"/>
      <c r="D1588" s="104"/>
      <c r="F1588" s="106"/>
      <c r="G1588" s="104"/>
      <c r="H1588" s="106"/>
      <c r="I1588" s="106"/>
      <c r="J1588" s="101" t="str">
        <f t="shared" ca="1" si="24"/>
        <v/>
      </c>
    </row>
    <row r="1589" spans="1:10">
      <c r="A1589" s="103"/>
      <c r="B1589" s="104"/>
      <c r="C1589" s="105"/>
      <c r="D1589" s="104"/>
      <c r="F1589" s="106"/>
      <c r="G1589" s="104"/>
      <c r="H1589" s="106"/>
      <c r="I1589" s="106"/>
      <c r="J1589" s="101" t="str">
        <f t="shared" ca="1" si="24"/>
        <v/>
      </c>
    </row>
    <row r="1590" spans="1:10">
      <c r="A1590" s="103"/>
      <c r="B1590" s="104"/>
      <c r="C1590" s="105"/>
      <c r="D1590" s="104"/>
      <c r="F1590" s="106"/>
      <c r="G1590" s="104"/>
      <c r="H1590" s="106"/>
      <c r="I1590" s="106"/>
      <c r="J1590" s="101" t="str">
        <f t="shared" ca="1" si="24"/>
        <v/>
      </c>
    </row>
    <row r="1591" spans="1:10">
      <c r="A1591" s="103"/>
      <c r="B1591" s="104"/>
      <c r="C1591" s="105"/>
      <c r="D1591" s="104"/>
      <c r="F1591" s="106"/>
      <c r="G1591" s="104"/>
      <c r="H1591" s="106"/>
      <c r="I1591" s="106"/>
      <c r="J1591" s="101" t="str">
        <f t="shared" ca="1" si="24"/>
        <v/>
      </c>
    </row>
    <row r="1592" spans="1:10">
      <c r="A1592" s="103"/>
      <c r="B1592" s="104"/>
      <c r="C1592" s="105"/>
      <c r="D1592" s="104"/>
      <c r="F1592" s="106"/>
      <c r="G1592" s="104"/>
      <c r="H1592" s="106"/>
      <c r="I1592" s="106"/>
      <c r="J1592" s="101" t="str">
        <f t="shared" ca="1" si="24"/>
        <v/>
      </c>
    </row>
    <row r="1593" spans="1:10">
      <c r="A1593" s="103"/>
      <c r="B1593" s="104"/>
      <c r="C1593" s="105"/>
      <c r="D1593" s="104"/>
      <c r="F1593" s="106"/>
      <c r="G1593" s="104"/>
      <c r="H1593" s="106"/>
      <c r="I1593" s="106"/>
      <c r="J1593" s="101" t="str">
        <f t="shared" ca="1" si="24"/>
        <v/>
      </c>
    </row>
    <row r="1594" spans="1:10">
      <c r="A1594" s="103"/>
      <c r="B1594" s="104"/>
      <c r="C1594" s="105"/>
      <c r="D1594" s="104"/>
      <c r="F1594" s="106"/>
      <c r="G1594" s="104"/>
      <c r="H1594" s="106"/>
      <c r="I1594" s="106"/>
      <c r="J1594" s="101" t="str">
        <f t="shared" ca="1" si="24"/>
        <v/>
      </c>
    </row>
    <row r="1595" spans="1:10">
      <c r="A1595" s="103"/>
      <c r="B1595" s="104"/>
      <c r="C1595" s="105"/>
      <c r="D1595" s="104"/>
      <c r="F1595" s="106"/>
      <c r="G1595" s="104"/>
      <c r="H1595" s="106"/>
      <c r="I1595" s="106"/>
      <c r="J1595" s="101" t="str">
        <f t="shared" ca="1" si="24"/>
        <v/>
      </c>
    </row>
    <row r="1596" spans="1:10">
      <c r="A1596" s="103"/>
      <c r="B1596" s="104"/>
      <c r="C1596" s="105"/>
      <c r="D1596" s="104"/>
      <c r="F1596" s="106"/>
      <c r="G1596" s="104"/>
      <c r="H1596" s="106"/>
      <c r="I1596" s="106"/>
      <c r="J1596" s="101" t="str">
        <f t="shared" ca="1" si="24"/>
        <v/>
      </c>
    </row>
    <row r="1597" spans="1:10">
      <c r="A1597" s="103"/>
      <c r="B1597" s="104"/>
      <c r="C1597" s="105"/>
      <c r="D1597" s="104"/>
      <c r="F1597" s="106"/>
      <c r="G1597" s="104"/>
      <c r="H1597" s="106"/>
      <c r="I1597" s="106"/>
      <c r="J1597" s="101" t="str">
        <f t="shared" ca="1" si="24"/>
        <v/>
      </c>
    </row>
    <row r="1598" spans="1:10">
      <c r="A1598" s="103"/>
      <c r="B1598" s="104"/>
      <c r="C1598" s="105"/>
      <c r="D1598" s="104"/>
      <c r="F1598" s="106"/>
      <c r="G1598" s="104"/>
      <c r="H1598" s="106"/>
      <c r="I1598" s="106"/>
      <c r="J1598" s="101" t="str">
        <f t="shared" ca="1" si="24"/>
        <v/>
      </c>
    </row>
    <row r="1599" spans="1:10">
      <c r="A1599" s="103"/>
      <c r="B1599" s="104"/>
      <c r="C1599" s="105"/>
      <c r="D1599" s="104"/>
      <c r="F1599" s="106"/>
      <c r="G1599" s="104"/>
      <c r="H1599" s="106"/>
      <c r="I1599" s="106"/>
      <c r="J1599" s="101" t="str">
        <f t="shared" ca="1" si="24"/>
        <v/>
      </c>
    </row>
    <row r="1600" spans="1:10">
      <c r="A1600" s="103"/>
      <c r="B1600" s="104"/>
      <c r="C1600" s="105"/>
      <c r="D1600" s="104"/>
      <c r="F1600" s="106"/>
      <c r="G1600" s="104"/>
      <c r="H1600" s="106"/>
      <c r="I1600" s="106"/>
      <c r="J1600" s="101" t="str">
        <f t="shared" ca="1" si="24"/>
        <v/>
      </c>
    </row>
    <row r="1601" spans="1:10">
      <c r="A1601" s="103"/>
      <c r="B1601" s="104"/>
      <c r="C1601" s="105"/>
      <c r="D1601" s="104"/>
      <c r="F1601" s="106"/>
      <c r="G1601" s="104"/>
      <c r="H1601" s="106"/>
      <c r="I1601" s="106"/>
      <c r="J1601" s="101" t="str">
        <f t="shared" ca="1" si="24"/>
        <v/>
      </c>
    </row>
    <row r="1602" spans="1:10">
      <c r="A1602" s="103"/>
      <c r="B1602" s="104"/>
      <c r="C1602" s="105"/>
      <c r="D1602" s="104"/>
      <c r="F1602" s="106"/>
      <c r="G1602" s="104"/>
      <c r="H1602" s="106"/>
      <c r="I1602" s="106"/>
      <c r="J1602" s="101" t="str">
        <f t="shared" ca="1" si="24"/>
        <v/>
      </c>
    </row>
    <row r="1603" spans="1:10">
      <c r="A1603" s="103"/>
      <c r="B1603" s="104"/>
      <c r="C1603" s="105"/>
      <c r="D1603" s="104"/>
      <c r="F1603" s="106"/>
      <c r="G1603" s="104"/>
      <c r="H1603" s="106"/>
      <c r="I1603" s="106"/>
      <c r="J1603" s="101" t="str">
        <f t="shared" ref="J1603:J1666" ca="1" si="25">_xlfn.LET(
    _xlpm.AllCellsFilled, COUNTA(A1603:I1603) = 9,
    _xlpm.QtyIsInt, AND(ISNUMBER(G1603), G1603=INT(G1603)),
    _xlpm.AvailDateIsValid, AND(ISNUMBER(F1603), F1603&gt;=TODAY()),
    _xlpm.ReqDateIsValid, AND(ISNUMBER(H1603), H1603&gt;=TODAY()),
    _xlpm.EmailIsValid, RIGHT(I1603,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IF(A1603="", "", IF(_xlpm.error_messages = "", "Yes", _xlpm.error_messages))
)</f>
        <v/>
      </c>
    </row>
    <row r="1604" spans="1:10">
      <c r="A1604" s="103"/>
      <c r="B1604" s="104"/>
      <c r="C1604" s="105"/>
      <c r="D1604" s="104"/>
      <c r="F1604" s="106"/>
      <c r="G1604" s="104"/>
      <c r="H1604" s="106"/>
      <c r="I1604" s="106"/>
      <c r="J1604" s="101" t="str">
        <f t="shared" ca="1" si="25"/>
        <v/>
      </c>
    </row>
    <row r="1605" spans="1:10">
      <c r="A1605" s="103"/>
      <c r="B1605" s="104"/>
      <c r="C1605" s="105"/>
      <c r="D1605" s="104"/>
      <c r="F1605" s="106"/>
      <c r="G1605" s="104"/>
      <c r="H1605" s="106"/>
      <c r="I1605" s="106"/>
      <c r="J1605" s="101" t="str">
        <f t="shared" ca="1" si="25"/>
        <v/>
      </c>
    </row>
    <row r="1606" spans="1:10">
      <c r="A1606" s="103"/>
      <c r="B1606" s="104"/>
      <c r="C1606" s="105"/>
      <c r="D1606" s="104"/>
      <c r="F1606" s="106"/>
      <c r="G1606" s="104"/>
      <c r="H1606" s="106"/>
      <c r="I1606" s="106"/>
      <c r="J1606" s="101" t="str">
        <f t="shared" ca="1" si="25"/>
        <v/>
      </c>
    </row>
    <row r="1607" spans="1:10">
      <c r="A1607" s="103"/>
      <c r="B1607" s="104"/>
      <c r="C1607" s="105"/>
      <c r="D1607" s="104"/>
      <c r="F1607" s="106"/>
      <c r="G1607" s="104"/>
      <c r="H1607" s="106"/>
      <c r="I1607" s="106"/>
      <c r="J1607" s="101" t="str">
        <f t="shared" ca="1" si="25"/>
        <v/>
      </c>
    </row>
    <row r="1608" spans="1:10">
      <c r="A1608" s="103"/>
      <c r="B1608" s="104"/>
      <c r="C1608" s="105"/>
      <c r="D1608" s="104"/>
      <c r="F1608" s="106"/>
      <c r="G1608" s="104"/>
      <c r="H1608" s="106"/>
      <c r="I1608" s="106"/>
      <c r="J1608" s="101" t="str">
        <f t="shared" ca="1" si="25"/>
        <v/>
      </c>
    </row>
    <row r="1609" spans="1:10">
      <c r="A1609" s="103"/>
      <c r="B1609" s="104"/>
      <c r="C1609" s="105"/>
      <c r="D1609" s="104"/>
      <c r="F1609" s="106"/>
      <c r="G1609" s="104"/>
      <c r="H1609" s="106"/>
      <c r="I1609" s="106"/>
      <c r="J1609" s="101" t="str">
        <f t="shared" ca="1" si="25"/>
        <v/>
      </c>
    </row>
    <row r="1610" spans="1:10">
      <c r="A1610" s="103"/>
      <c r="B1610" s="104"/>
      <c r="C1610" s="105"/>
      <c r="D1610" s="104"/>
      <c r="F1610" s="106"/>
      <c r="G1610" s="104"/>
      <c r="H1610" s="106"/>
      <c r="I1610" s="106"/>
      <c r="J1610" s="101" t="str">
        <f t="shared" ca="1" si="25"/>
        <v/>
      </c>
    </row>
    <row r="1611" spans="1:10">
      <c r="A1611" s="103"/>
      <c r="B1611" s="104"/>
      <c r="C1611" s="105"/>
      <c r="D1611" s="104"/>
      <c r="F1611" s="106"/>
      <c r="G1611" s="104"/>
      <c r="H1611" s="106"/>
      <c r="I1611" s="106"/>
      <c r="J1611" s="101" t="str">
        <f t="shared" ca="1" si="25"/>
        <v/>
      </c>
    </row>
    <row r="1612" spans="1:10">
      <c r="A1612" s="103"/>
      <c r="B1612" s="104"/>
      <c r="C1612" s="105"/>
      <c r="D1612" s="104"/>
      <c r="F1612" s="106"/>
      <c r="G1612" s="104"/>
      <c r="H1612" s="106"/>
      <c r="I1612" s="106"/>
      <c r="J1612" s="101" t="str">
        <f t="shared" ca="1" si="25"/>
        <v/>
      </c>
    </row>
    <row r="1613" spans="1:10">
      <c r="A1613" s="103"/>
      <c r="B1613" s="104"/>
      <c r="C1613" s="105"/>
      <c r="D1613" s="104"/>
      <c r="F1613" s="106"/>
      <c r="G1613" s="104"/>
      <c r="H1613" s="106"/>
      <c r="I1613" s="106"/>
      <c r="J1613" s="101" t="str">
        <f t="shared" ca="1" si="25"/>
        <v/>
      </c>
    </row>
    <row r="1614" spans="1:10">
      <c r="A1614" s="103"/>
      <c r="B1614" s="104"/>
      <c r="C1614" s="105"/>
      <c r="D1614" s="104"/>
      <c r="F1614" s="106"/>
      <c r="G1614" s="104"/>
      <c r="H1614" s="106"/>
      <c r="I1614" s="106"/>
      <c r="J1614" s="101" t="str">
        <f t="shared" ca="1" si="25"/>
        <v/>
      </c>
    </row>
    <row r="1615" spans="1:10">
      <c r="A1615" s="103"/>
      <c r="B1615" s="104"/>
      <c r="C1615" s="105"/>
      <c r="D1615" s="104"/>
      <c r="F1615" s="106"/>
      <c r="G1615" s="104"/>
      <c r="H1615" s="106"/>
      <c r="I1615" s="106"/>
      <c r="J1615" s="101" t="str">
        <f t="shared" ca="1" si="25"/>
        <v/>
      </c>
    </row>
    <row r="1616" spans="1:10">
      <c r="A1616" s="103"/>
      <c r="B1616" s="104"/>
      <c r="C1616" s="105"/>
      <c r="D1616" s="104"/>
      <c r="F1616" s="106"/>
      <c r="G1616" s="104"/>
      <c r="H1616" s="106"/>
      <c r="I1616" s="106"/>
      <c r="J1616" s="101" t="str">
        <f t="shared" ca="1" si="25"/>
        <v/>
      </c>
    </row>
    <row r="1617" spans="1:10">
      <c r="A1617" s="103"/>
      <c r="B1617" s="104"/>
      <c r="C1617" s="105"/>
      <c r="D1617" s="104"/>
      <c r="F1617" s="106"/>
      <c r="G1617" s="104"/>
      <c r="H1617" s="106"/>
      <c r="I1617" s="106"/>
      <c r="J1617" s="101" t="str">
        <f t="shared" ca="1" si="25"/>
        <v/>
      </c>
    </row>
    <row r="1618" spans="1:10">
      <c r="A1618" s="103"/>
      <c r="B1618" s="104"/>
      <c r="C1618" s="105"/>
      <c r="D1618" s="104"/>
      <c r="F1618" s="106"/>
      <c r="G1618" s="104"/>
      <c r="H1618" s="106"/>
      <c r="I1618" s="106"/>
      <c r="J1618" s="101" t="str">
        <f t="shared" ca="1" si="25"/>
        <v/>
      </c>
    </row>
    <row r="1619" spans="1:10">
      <c r="A1619" s="103"/>
      <c r="B1619" s="104"/>
      <c r="C1619" s="105"/>
      <c r="D1619" s="104"/>
      <c r="F1619" s="106"/>
      <c r="G1619" s="104"/>
      <c r="H1619" s="106"/>
      <c r="I1619" s="106"/>
      <c r="J1619" s="101" t="str">
        <f t="shared" ca="1" si="25"/>
        <v/>
      </c>
    </row>
    <row r="1620" spans="1:10">
      <c r="A1620" s="103"/>
      <c r="B1620" s="104"/>
      <c r="C1620" s="105"/>
      <c r="D1620" s="104"/>
      <c r="F1620" s="106"/>
      <c r="G1620" s="104"/>
      <c r="H1620" s="106"/>
      <c r="I1620" s="106"/>
      <c r="J1620" s="101" t="str">
        <f t="shared" ca="1" si="25"/>
        <v/>
      </c>
    </row>
    <row r="1621" spans="1:10">
      <c r="A1621" s="103"/>
      <c r="B1621" s="104"/>
      <c r="C1621" s="105"/>
      <c r="D1621" s="104"/>
      <c r="F1621" s="106"/>
      <c r="G1621" s="104"/>
      <c r="H1621" s="106"/>
      <c r="I1621" s="106"/>
      <c r="J1621" s="101" t="str">
        <f t="shared" ca="1" si="25"/>
        <v/>
      </c>
    </row>
    <row r="1622" spans="1:10">
      <c r="A1622" s="103"/>
      <c r="B1622" s="104"/>
      <c r="C1622" s="105"/>
      <c r="D1622" s="104"/>
      <c r="F1622" s="106"/>
      <c r="G1622" s="104"/>
      <c r="H1622" s="106"/>
      <c r="I1622" s="106"/>
      <c r="J1622" s="101" t="str">
        <f t="shared" ca="1" si="25"/>
        <v/>
      </c>
    </row>
    <row r="1623" spans="1:10">
      <c r="A1623" s="103"/>
      <c r="B1623" s="104"/>
      <c r="C1623" s="105"/>
      <c r="D1623" s="104"/>
      <c r="F1623" s="106"/>
      <c r="G1623" s="104"/>
      <c r="H1623" s="106"/>
      <c r="I1623" s="106"/>
      <c r="J1623" s="101" t="str">
        <f t="shared" ca="1" si="25"/>
        <v/>
      </c>
    </row>
    <row r="1624" spans="1:10">
      <c r="A1624" s="103"/>
      <c r="B1624" s="104"/>
      <c r="C1624" s="105"/>
      <c r="D1624" s="104"/>
      <c r="F1624" s="106"/>
      <c r="G1624" s="104"/>
      <c r="H1624" s="106"/>
      <c r="I1624" s="106"/>
      <c r="J1624" s="101" t="str">
        <f t="shared" ca="1" si="25"/>
        <v/>
      </c>
    </row>
    <row r="1625" spans="1:10">
      <c r="A1625" s="103"/>
      <c r="B1625" s="104"/>
      <c r="C1625" s="105"/>
      <c r="D1625" s="104"/>
      <c r="F1625" s="106"/>
      <c r="G1625" s="104"/>
      <c r="H1625" s="106"/>
      <c r="I1625" s="106"/>
      <c r="J1625" s="101" t="str">
        <f t="shared" ca="1" si="25"/>
        <v/>
      </c>
    </row>
    <row r="1626" spans="1:10">
      <c r="A1626" s="103"/>
      <c r="B1626" s="104"/>
      <c r="C1626" s="105"/>
      <c r="D1626" s="104"/>
      <c r="F1626" s="106"/>
      <c r="G1626" s="104"/>
      <c r="H1626" s="106"/>
      <c r="I1626" s="106"/>
      <c r="J1626" s="101" t="str">
        <f t="shared" ca="1" si="25"/>
        <v/>
      </c>
    </row>
    <row r="1627" spans="1:10">
      <c r="A1627" s="103"/>
      <c r="B1627" s="104"/>
      <c r="C1627" s="105"/>
      <c r="D1627" s="104"/>
      <c r="F1627" s="106"/>
      <c r="G1627" s="104"/>
      <c r="H1627" s="106"/>
      <c r="I1627" s="106"/>
      <c r="J1627" s="101" t="str">
        <f t="shared" ca="1" si="25"/>
        <v/>
      </c>
    </row>
    <row r="1628" spans="1:10">
      <c r="A1628" s="103"/>
      <c r="B1628" s="104"/>
      <c r="C1628" s="105"/>
      <c r="D1628" s="104"/>
      <c r="F1628" s="106"/>
      <c r="G1628" s="104"/>
      <c r="H1628" s="106"/>
      <c r="I1628" s="106"/>
      <c r="J1628" s="101" t="str">
        <f t="shared" ca="1" si="25"/>
        <v/>
      </c>
    </row>
    <row r="1629" spans="1:10">
      <c r="A1629" s="103"/>
      <c r="B1629" s="104"/>
      <c r="C1629" s="105"/>
      <c r="D1629" s="104"/>
      <c r="F1629" s="106"/>
      <c r="G1629" s="104"/>
      <c r="H1629" s="106"/>
      <c r="I1629" s="106"/>
      <c r="J1629" s="101" t="str">
        <f t="shared" ca="1" si="25"/>
        <v/>
      </c>
    </row>
    <row r="1630" spans="1:10">
      <c r="A1630" s="103"/>
      <c r="B1630" s="104"/>
      <c r="C1630" s="105"/>
      <c r="D1630" s="104"/>
      <c r="F1630" s="106"/>
      <c r="G1630" s="104"/>
      <c r="H1630" s="106"/>
      <c r="I1630" s="106"/>
      <c r="J1630" s="101" t="str">
        <f t="shared" ca="1" si="25"/>
        <v/>
      </c>
    </row>
    <row r="1631" spans="1:10">
      <c r="A1631" s="103"/>
      <c r="B1631" s="104"/>
      <c r="C1631" s="105"/>
      <c r="D1631" s="104"/>
      <c r="F1631" s="106"/>
      <c r="G1631" s="104"/>
      <c r="H1631" s="106"/>
      <c r="I1631" s="106"/>
      <c r="J1631" s="101" t="str">
        <f t="shared" ca="1" si="25"/>
        <v/>
      </c>
    </row>
    <row r="1632" spans="1:10">
      <c r="A1632" s="103"/>
      <c r="B1632" s="104"/>
      <c r="C1632" s="105"/>
      <c r="D1632" s="104"/>
      <c r="F1632" s="106"/>
      <c r="G1632" s="104"/>
      <c r="H1632" s="106"/>
      <c r="I1632" s="106"/>
      <c r="J1632" s="101" t="str">
        <f t="shared" ca="1" si="25"/>
        <v/>
      </c>
    </row>
    <row r="1633" spans="1:10">
      <c r="A1633" s="103"/>
      <c r="B1633" s="104"/>
      <c r="C1633" s="105"/>
      <c r="D1633" s="104"/>
      <c r="F1633" s="106"/>
      <c r="G1633" s="104"/>
      <c r="H1633" s="106"/>
      <c r="I1633" s="106"/>
      <c r="J1633" s="101" t="str">
        <f t="shared" ca="1" si="25"/>
        <v/>
      </c>
    </row>
    <row r="1634" spans="1:10">
      <c r="A1634" s="103"/>
      <c r="B1634" s="104"/>
      <c r="C1634" s="105"/>
      <c r="D1634" s="104"/>
      <c r="F1634" s="106"/>
      <c r="G1634" s="104"/>
      <c r="H1634" s="106"/>
      <c r="I1634" s="106"/>
      <c r="J1634" s="101" t="str">
        <f t="shared" ca="1" si="25"/>
        <v/>
      </c>
    </row>
    <row r="1635" spans="1:10">
      <c r="A1635" s="103"/>
      <c r="B1635" s="104"/>
      <c r="C1635" s="105"/>
      <c r="D1635" s="104"/>
      <c r="F1635" s="106"/>
      <c r="G1635" s="104"/>
      <c r="H1635" s="106"/>
      <c r="I1635" s="106"/>
      <c r="J1635" s="101" t="str">
        <f t="shared" ca="1" si="25"/>
        <v/>
      </c>
    </row>
    <row r="1636" spans="1:10">
      <c r="A1636" s="103"/>
      <c r="B1636" s="104"/>
      <c r="C1636" s="105"/>
      <c r="D1636" s="104"/>
      <c r="F1636" s="106"/>
      <c r="G1636" s="104"/>
      <c r="H1636" s="106"/>
      <c r="I1636" s="106"/>
      <c r="J1636" s="101" t="str">
        <f t="shared" ca="1" si="25"/>
        <v/>
      </c>
    </row>
    <row r="1637" spans="1:10">
      <c r="A1637" s="103"/>
      <c r="B1637" s="104"/>
      <c r="C1637" s="105"/>
      <c r="D1637" s="104"/>
      <c r="F1637" s="106"/>
      <c r="G1637" s="104"/>
      <c r="H1637" s="106"/>
      <c r="I1637" s="106"/>
      <c r="J1637" s="101" t="str">
        <f t="shared" ca="1" si="25"/>
        <v/>
      </c>
    </row>
    <row r="1638" spans="1:10">
      <c r="A1638" s="103"/>
      <c r="B1638" s="104"/>
      <c r="C1638" s="105"/>
      <c r="D1638" s="104"/>
      <c r="F1638" s="106"/>
      <c r="G1638" s="104"/>
      <c r="H1638" s="106"/>
      <c r="I1638" s="106"/>
      <c r="J1638" s="101" t="str">
        <f t="shared" ca="1" si="25"/>
        <v/>
      </c>
    </row>
    <row r="1639" spans="1:10">
      <c r="A1639" s="103"/>
      <c r="B1639" s="104"/>
      <c r="C1639" s="105"/>
      <c r="D1639" s="104"/>
      <c r="F1639" s="106"/>
      <c r="G1639" s="104"/>
      <c r="H1639" s="106"/>
      <c r="I1639" s="106"/>
      <c r="J1639" s="101" t="str">
        <f t="shared" ca="1" si="25"/>
        <v/>
      </c>
    </row>
    <row r="1640" spans="1:10">
      <c r="A1640" s="103"/>
      <c r="B1640" s="104"/>
      <c r="C1640" s="105"/>
      <c r="D1640" s="104"/>
      <c r="F1640" s="106"/>
      <c r="G1640" s="104"/>
      <c r="H1640" s="106"/>
      <c r="I1640" s="106"/>
      <c r="J1640" s="101" t="str">
        <f t="shared" ca="1" si="25"/>
        <v/>
      </c>
    </row>
    <row r="1641" spans="1:10">
      <c r="A1641" s="103"/>
      <c r="B1641" s="104"/>
      <c r="C1641" s="105"/>
      <c r="D1641" s="104"/>
      <c r="F1641" s="106"/>
      <c r="G1641" s="104"/>
      <c r="H1641" s="106"/>
      <c r="I1641" s="106"/>
      <c r="J1641" s="101" t="str">
        <f t="shared" ca="1" si="25"/>
        <v/>
      </c>
    </row>
    <row r="1642" spans="1:10">
      <c r="A1642" s="103"/>
      <c r="B1642" s="104"/>
      <c r="C1642" s="105"/>
      <c r="D1642" s="104"/>
      <c r="F1642" s="106"/>
      <c r="G1642" s="104"/>
      <c r="H1642" s="106"/>
      <c r="I1642" s="106"/>
      <c r="J1642" s="101" t="str">
        <f t="shared" ca="1" si="25"/>
        <v/>
      </c>
    </row>
    <row r="1643" spans="1:10">
      <c r="A1643" s="103"/>
      <c r="B1643" s="104"/>
      <c r="C1643" s="105"/>
      <c r="D1643" s="104"/>
      <c r="F1643" s="106"/>
      <c r="G1643" s="104"/>
      <c r="H1643" s="106"/>
      <c r="I1643" s="106"/>
      <c r="J1643" s="101" t="str">
        <f t="shared" ca="1" si="25"/>
        <v/>
      </c>
    </row>
    <row r="1644" spans="1:10">
      <c r="A1644" s="103"/>
      <c r="B1644" s="104"/>
      <c r="C1644" s="105"/>
      <c r="D1644" s="104"/>
      <c r="F1644" s="106"/>
      <c r="G1644" s="104"/>
      <c r="H1644" s="106"/>
      <c r="I1644" s="106"/>
      <c r="J1644" s="101" t="str">
        <f t="shared" ca="1" si="25"/>
        <v/>
      </c>
    </row>
    <row r="1645" spans="1:10">
      <c r="A1645" s="103"/>
      <c r="B1645" s="104"/>
      <c r="C1645" s="105"/>
      <c r="D1645" s="104"/>
      <c r="F1645" s="106"/>
      <c r="G1645" s="104"/>
      <c r="H1645" s="106"/>
      <c r="I1645" s="106"/>
      <c r="J1645" s="101" t="str">
        <f t="shared" ca="1" si="25"/>
        <v/>
      </c>
    </row>
    <row r="1646" spans="1:10">
      <c r="A1646" s="103"/>
      <c r="B1646" s="104"/>
      <c r="C1646" s="105"/>
      <c r="D1646" s="104"/>
      <c r="F1646" s="106"/>
      <c r="G1646" s="104"/>
      <c r="H1646" s="106"/>
      <c r="I1646" s="106"/>
      <c r="J1646" s="101" t="str">
        <f t="shared" ca="1" si="25"/>
        <v/>
      </c>
    </row>
    <row r="1647" spans="1:10">
      <c r="A1647" s="103"/>
      <c r="B1647" s="104"/>
      <c r="C1647" s="105"/>
      <c r="D1647" s="104"/>
      <c r="F1647" s="106"/>
      <c r="G1647" s="104"/>
      <c r="H1647" s="106"/>
      <c r="I1647" s="106"/>
      <c r="J1647" s="101" t="str">
        <f t="shared" ca="1" si="25"/>
        <v/>
      </c>
    </row>
    <row r="1648" spans="1:10">
      <c r="A1648" s="103"/>
      <c r="B1648" s="104"/>
      <c r="C1648" s="105"/>
      <c r="D1648" s="104"/>
      <c r="F1648" s="106"/>
      <c r="G1648" s="104"/>
      <c r="H1648" s="106"/>
      <c r="I1648" s="106"/>
      <c r="J1648" s="101" t="str">
        <f t="shared" ca="1" si="25"/>
        <v/>
      </c>
    </row>
    <row r="1649" spans="1:10">
      <c r="A1649" s="103"/>
      <c r="B1649" s="104"/>
      <c r="C1649" s="105"/>
      <c r="D1649" s="104"/>
      <c r="F1649" s="106"/>
      <c r="G1649" s="104"/>
      <c r="H1649" s="106"/>
      <c r="I1649" s="106"/>
      <c r="J1649" s="101" t="str">
        <f t="shared" ca="1" si="25"/>
        <v/>
      </c>
    </row>
    <row r="1650" spans="1:10">
      <c r="A1650" s="103"/>
      <c r="B1650" s="104"/>
      <c r="C1650" s="105"/>
      <c r="D1650" s="104"/>
      <c r="F1650" s="106"/>
      <c r="G1650" s="104"/>
      <c r="H1650" s="106"/>
      <c r="I1650" s="106"/>
      <c r="J1650" s="101" t="str">
        <f t="shared" ca="1" si="25"/>
        <v/>
      </c>
    </row>
    <row r="1651" spans="1:10">
      <c r="A1651" s="103"/>
      <c r="B1651" s="104"/>
      <c r="C1651" s="105"/>
      <c r="D1651" s="104"/>
      <c r="F1651" s="106"/>
      <c r="G1651" s="104"/>
      <c r="H1651" s="106"/>
      <c r="I1651" s="106"/>
      <c r="J1651" s="101" t="str">
        <f t="shared" ca="1" si="25"/>
        <v/>
      </c>
    </row>
    <row r="1652" spans="1:10">
      <c r="A1652" s="103"/>
      <c r="B1652" s="104"/>
      <c r="C1652" s="105"/>
      <c r="D1652" s="104"/>
      <c r="F1652" s="106"/>
      <c r="G1652" s="104"/>
      <c r="H1652" s="106"/>
      <c r="I1652" s="106"/>
      <c r="J1652" s="101" t="str">
        <f t="shared" ca="1" si="25"/>
        <v/>
      </c>
    </row>
    <row r="1653" spans="1:10">
      <c r="A1653" s="103"/>
      <c r="B1653" s="104"/>
      <c r="C1653" s="105"/>
      <c r="D1653" s="104"/>
      <c r="F1653" s="106"/>
      <c r="G1653" s="104"/>
      <c r="H1653" s="106"/>
      <c r="I1653" s="106"/>
      <c r="J1653" s="101" t="str">
        <f t="shared" ca="1" si="25"/>
        <v/>
      </c>
    </row>
    <row r="1654" spans="1:10">
      <c r="A1654" s="103"/>
      <c r="B1654" s="104"/>
      <c r="C1654" s="105"/>
      <c r="D1654" s="104"/>
      <c r="F1654" s="106"/>
      <c r="G1654" s="104"/>
      <c r="H1654" s="106"/>
      <c r="I1654" s="106"/>
      <c r="J1654" s="101" t="str">
        <f t="shared" ca="1" si="25"/>
        <v/>
      </c>
    </row>
    <row r="1655" spans="1:10">
      <c r="A1655" s="103"/>
      <c r="B1655" s="104"/>
      <c r="C1655" s="105"/>
      <c r="D1655" s="104"/>
      <c r="F1655" s="106"/>
      <c r="G1655" s="104"/>
      <c r="H1655" s="106"/>
      <c r="I1655" s="106"/>
      <c r="J1655" s="101" t="str">
        <f t="shared" ca="1" si="25"/>
        <v/>
      </c>
    </row>
    <row r="1656" spans="1:10">
      <c r="A1656" s="103"/>
      <c r="B1656" s="104"/>
      <c r="C1656" s="105"/>
      <c r="D1656" s="104"/>
      <c r="F1656" s="106"/>
      <c r="G1656" s="104"/>
      <c r="H1656" s="106"/>
      <c r="I1656" s="106"/>
      <c r="J1656" s="101" t="str">
        <f t="shared" ca="1" si="25"/>
        <v/>
      </c>
    </row>
    <row r="1657" spans="1:10">
      <c r="A1657" s="103"/>
      <c r="B1657" s="104"/>
      <c r="C1657" s="105"/>
      <c r="D1657" s="104"/>
      <c r="F1657" s="106"/>
      <c r="G1657" s="104"/>
      <c r="H1657" s="106"/>
      <c r="I1657" s="106"/>
      <c r="J1657" s="101" t="str">
        <f t="shared" ca="1" si="25"/>
        <v/>
      </c>
    </row>
    <row r="1658" spans="1:10">
      <c r="A1658" s="103"/>
      <c r="B1658" s="104"/>
      <c r="C1658" s="105"/>
      <c r="D1658" s="104"/>
      <c r="F1658" s="106"/>
      <c r="G1658" s="104"/>
      <c r="H1658" s="106"/>
      <c r="I1658" s="106"/>
      <c r="J1658" s="101" t="str">
        <f t="shared" ca="1" si="25"/>
        <v/>
      </c>
    </row>
    <row r="1659" spans="1:10">
      <c r="A1659" s="103"/>
      <c r="B1659" s="104"/>
      <c r="C1659" s="105"/>
      <c r="D1659" s="104"/>
      <c r="F1659" s="106"/>
      <c r="G1659" s="104"/>
      <c r="H1659" s="106"/>
      <c r="I1659" s="106"/>
      <c r="J1659" s="101" t="str">
        <f t="shared" ca="1" si="25"/>
        <v/>
      </c>
    </row>
    <row r="1660" spans="1:10">
      <c r="A1660" s="103"/>
      <c r="B1660" s="104"/>
      <c r="C1660" s="105"/>
      <c r="D1660" s="104"/>
      <c r="F1660" s="106"/>
      <c r="G1660" s="104"/>
      <c r="H1660" s="106"/>
      <c r="I1660" s="106"/>
      <c r="J1660" s="101" t="str">
        <f t="shared" ca="1" si="25"/>
        <v/>
      </c>
    </row>
    <row r="1661" spans="1:10">
      <c r="A1661" s="103"/>
      <c r="B1661" s="104"/>
      <c r="C1661" s="105"/>
      <c r="D1661" s="104"/>
      <c r="F1661" s="106"/>
      <c r="G1661" s="104"/>
      <c r="H1661" s="106"/>
      <c r="I1661" s="106"/>
      <c r="J1661" s="101" t="str">
        <f t="shared" ca="1" si="25"/>
        <v/>
      </c>
    </row>
    <row r="1662" spans="1:10">
      <c r="A1662" s="103"/>
      <c r="B1662" s="104"/>
      <c r="C1662" s="105"/>
      <c r="D1662" s="104"/>
      <c r="F1662" s="106"/>
      <c r="G1662" s="104"/>
      <c r="H1662" s="106"/>
      <c r="I1662" s="106"/>
      <c r="J1662" s="101" t="str">
        <f t="shared" ca="1" si="25"/>
        <v/>
      </c>
    </row>
    <row r="1663" spans="1:10">
      <c r="A1663" s="103"/>
      <c r="B1663" s="104"/>
      <c r="C1663" s="105"/>
      <c r="D1663" s="104"/>
      <c r="F1663" s="106"/>
      <c r="G1663" s="104"/>
      <c r="H1663" s="106"/>
      <c r="I1663" s="106"/>
      <c r="J1663" s="101" t="str">
        <f t="shared" ca="1" si="25"/>
        <v/>
      </c>
    </row>
    <row r="1664" spans="1:10">
      <c r="A1664" s="103"/>
      <c r="B1664" s="104"/>
      <c r="C1664" s="105"/>
      <c r="D1664" s="104"/>
      <c r="F1664" s="106"/>
      <c r="G1664" s="104"/>
      <c r="H1664" s="106"/>
      <c r="I1664" s="106"/>
      <c r="J1664" s="101" t="str">
        <f t="shared" ca="1" si="25"/>
        <v/>
      </c>
    </row>
    <row r="1665" spans="1:10">
      <c r="A1665" s="103"/>
      <c r="B1665" s="104"/>
      <c r="C1665" s="105"/>
      <c r="D1665" s="104"/>
      <c r="F1665" s="106"/>
      <c r="G1665" s="104"/>
      <c r="H1665" s="106"/>
      <c r="I1665" s="106"/>
      <c r="J1665" s="101" t="str">
        <f t="shared" ca="1" si="25"/>
        <v/>
      </c>
    </row>
    <row r="1666" spans="1:10">
      <c r="A1666" s="103"/>
      <c r="B1666" s="104"/>
      <c r="C1666" s="105"/>
      <c r="D1666" s="104"/>
      <c r="F1666" s="106"/>
      <c r="G1666" s="104"/>
      <c r="H1666" s="106"/>
      <c r="I1666" s="106"/>
      <c r="J1666" s="101" t="str">
        <f t="shared" ca="1" si="25"/>
        <v/>
      </c>
    </row>
    <row r="1667" spans="1:10">
      <c r="A1667" s="103"/>
      <c r="B1667" s="104"/>
      <c r="C1667" s="105"/>
      <c r="D1667" s="104"/>
      <c r="F1667" s="106"/>
      <c r="G1667" s="104"/>
      <c r="H1667" s="106"/>
      <c r="I1667" s="106"/>
      <c r="J1667" s="101" t="str">
        <f t="shared" ref="J1667:J1730" ca="1" si="26">_xlfn.LET(
    _xlpm.AllCellsFilled, COUNTA(A1667:I1667) = 9,
    _xlpm.QtyIsInt, AND(ISNUMBER(G1667), G1667=INT(G1667)),
    _xlpm.AvailDateIsValid, AND(ISNUMBER(F1667), F1667&gt;=TODAY()),
    _xlpm.ReqDateIsValid, AND(ISNUMBER(H1667), H1667&gt;=TODAY()),
    _xlpm.EmailIsValid, RIGHT(I1667,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IF(A1667="", "", IF(_xlpm.error_messages = "", "Yes", _xlpm.error_messages))
)</f>
        <v/>
      </c>
    </row>
    <row r="1668" spans="1:10">
      <c r="A1668" s="103"/>
      <c r="B1668" s="104"/>
      <c r="C1668" s="105"/>
      <c r="D1668" s="104"/>
      <c r="F1668" s="106"/>
      <c r="G1668" s="104"/>
      <c r="H1668" s="106"/>
      <c r="I1668" s="106"/>
      <c r="J1668" s="101" t="str">
        <f t="shared" ca="1" si="26"/>
        <v/>
      </c>
    </row>
    <row r="1669" spans="1:10">
      <c r="A1669" s="103"/>
      <c r="B1669" s="104"/>
      <c r="C1669" s="105"/>
      <c r="D1669" s="104"/>
      <c r="F1669" s="106"/>
      <c r="G1669" s="104"/>
      <c r="H1669" s="106"/>
      <c r="I1669" s="106"/>
      <c r="J1669" s="101" t="str">
        <f t="shared" ca="1" si="26"/>
        <v/>
      </c>
    </row>
    <row r="1670" spans="1:10">
      <c r="A1670" s="103"/>
      <c r="B1670" s="104"/>
      <c r="C1670" s="105"/>
      <c r="D1670" s="104"/>
      <c r="F1670" s="106"/>
      <c r="G1670" s="104"/>
      <c r="H1670" s="106"/>
      <c r="I1670" s="106"/>
      <c r="J1670" s="101" t="str">
        <f t="shared" ca="1" si="26"/>
        <v/>
      </c>
    </row>
    <row r="1671" spans="1:10">
      <c r="A1671" s="103"/>
      <c r="B1671" s="104"/>
      <c r="C1671" s="105"/>
      <c r="D1671" s="104"/>
      <c r="F1671" s="106"/>
      <c r="G1671" s="104"/>
      <c r="H1671" s="106"/>
      <c r="I1671" s="106"/>
      <c r="J1671" s="101" t="str">
        <f t="shared" ca="1" si="26"/>
        <v/>
      </c>
    </row>
    <row r="1672" spans="1:10">
      <c r="A1672" s="103"/>
      <c r="B1672" s="104"/>
      <c r="C1672" s="105"/>
      <c r="D1672" s="104"/>
      <c r="F1672" s="106"/>
      <c r="G1672" s="104"/>
      <c r="H1672" s="106"/>
      <c r="I1672" s="106"/>
      <c r="J1672" s="101" t="str">
        <f t="shared" ca="1" si="26"/>
        <v/>
      </c>
    </row>
    <row r="1673" spans="1:10">
      <c r="A1673" s="103"/>
      <c r="B1673" s="104"/>
      <c r="C1673" s="105"/>
      <c r="D1673" s="104"/>
      <c r="F1673" s="106"/>
      <c r="G1673" s="104"/>
      <c r="H1673" s="106"/>
      <c r="I1673" s="106"/>
      <c r="J1673" s="101" t="str">
        <f t="shared" ca="1" si="26"/>
        <v/>
      </c>
    </row>
    <row r="1674" spans="1:10">
      <c r="A1674" s="103"/>
      <c r="B1674" s="104"/>
      <c r="C1674" s="105"/>
      <c r="D1674" s="104"/>
      <c r="F1674" s="106"/>
      <c r="G1674" s="104"/>
      <c r="H1674" s="106"/>
      <c r="I1674" s="106"/>
      <c r="J1674" s="101" t="str">
        <f t="shared" ca="1" si="26"/>
        <v/>
      </c>
    </row>
    <row r="1675" spans="1:10">
      <c r="A1675" s="103"/>
      <c r="B1675" s="104"/>
      <c r="C1675" s="105"/>
      <c r="D1675" s="104"/>
      <c r="F1675" s="106"/>
      <c r="G1675" s="104"/>
      <c r="H1675" s="106"/>
      <c r="I1675" s="106"/>
      <c r="J1675" s="101" t="str">
        <f t="shared" ca="1" si="26"/>
        <v/>
      </c>
    </row>
    <row r="1676" spans="1:10">
      <c r="A1676" s="103"/>
      <c r="B1676" s="104"/>
      <c r="C1676" s="105"/>
      <c r="D1676" s="104"/>
      <c r="F1676" s="106"/>
      <c r="G1676" s="104"/>
      <c r="H1676" s="106"/>
      <c r="I1676" s="106"/>
      <c r="J1676" s="101" t="str">
        <f t="shared" ca="1" si="26"/>
        <v/>
      </c>
    </row>
    <row r="1677" spans="1:10">
      <c r="A1677" s="103"/>
      <c r="B1677" s="104"/>
      <c r="C1677" s="105"/>
      <c r="D1677" s="104"/>
      <c r="F1677" s="106"/>
      <c r="G1677" s="104"/>
      <c r="H1677" s="106"/>
      <c r="I1677" s="106"/>
      <c r="J1677" s="101" t="str">
        <f t="shared" ca="1" si="26"/>
        <v/>
      </c>
    </row>
    <row r="1678" spans="1:10">
      <c r="A1678" s="103"/>
      <c r="B1678" s="104"/>
      <c r="C1678" s="105"/>
      <c r="D1678" s="104"/>
      <c r="F1678" s="106"/>
      <c r="G1678" s="104"/>
      <c r="H1678" s="106"/>
      <c r="I1678" s="106"/>
      <c r="J1678" s="101" t="str">
        <f t="shared" ca="1" si="26"/>
        <v/>
      </c>
    </row>
    <row r="1679" spans="1:10">
      <c r="A1679" s="103"/>
      <c r="B1679" s="104"/>
      <c r="C1679" s="105"/>
      <c r="D1679" s="104"/>
      <c r="F1679" s="106"/>
      <c r="G1679" s="104"/>
      <c r="H1679" s="106"/>
      <c r="I1679" s="106"/>
      <c r="J1679" s="101" t="str">
        <f t="shared" ca="1" si="26"/>
        <v/>
      </c>
    </row>
    <row r="1680" spans="1:10">
      <c r="A1680" s="103"/>
      <c r="B1680" s="104"/>
      <c r="C1680" s="105"/>
      <c r="D1680" s="104"/>
      <c r="F1680" s="106"/>
      <c r="G1680" s="104"/>
      <c r="H1680" s="106"/>
      <c r="I1680" s="106"/>
      <c r="J1680" s="101" t="str">
        <f t="shared" ca="1" si="26"/>
        <v/>
      </c>
    </row>
    <row r="1681" spans="1:10">
      <c r="A1681" s="103"/>
      <c r="B1681" s="104"/>
      <c r="C1681" s="105"/>
      <c r="D1681" s="104"/>
      <c r="F1681" s="106"/>
      <c r="G1681" s="104"/>
      <c r="H1681" s="106"/>
      <c r="I1681" s="106"/>
      <c r="J1681" s="101" t="str">
        <f t="shared" ca="1" si="26"/>
        <v/>
      </c>
    </row>
    <row r="1682" spans="1:10">
      <c r="A1682" s="103"/>
      <c r="B1682" s="104"/>
      <c r="C1682" s="105"/>
      <c r="D1682" s="104"/>
      <c r="F1682" s="106"/>
      <c r="G1682" s="104"/>
      <c r="H1682" s="106"/>
      <c r="I1682" s="106"/>
      <c r="J1682" s="101" t="str">
        <f t="shared" ca="1" si="26"/>
        <v/>
      </c>
    </row>
    <row r="1683" spans="1:10">
      <c r="A1683" s="103"/>
      <c r="B1683" s="104"/>
      <c r="C1683" s="105"/>
      <c r="D1683" s="104"/>
      <c r="F1683" s="106"/>
      <c r="G1683" s="104"/>
      <c r="H1683" s="106"/>
      <c r="I1683" s="106"/>
      <c r="J1683" s="101" t="str">
        <f t="shared" ca="1" si="26"/>
        <v/>
      </c>
    </row>
    <row r="1684" spans="1:10">
      <c r="A1684" s="103"/>
      <c r="B1684" s="104"/>
      <c r="C1684" s="105"/>
      <c r="D1684" s="104"/>
      <c r="F1684" s="106"/>
      <c r="G1684" s="104"/>
      <c r="H1684" s="106"/>
      <c r="I1684" s="106"/>
      <c r="J1684" s="101" t="str">
        <f t="shared" ca="1" si="26"/>
        <v/>
      </c>
    </row>
    <row r="1685" spans="1:10">
      <c r="A1685" s="103"/>
      <c r="B1685" s="104"/>
      <c r="C1685" s="105"/>
      <c r="D1685" s="104"/>
      <c r="F1685" s="106"/>
      <c r="G1685" s="104"/>
      <c r="H1685" s="106"/>
      <c r="I1685" s="106"/>
      <c r="J1685" s="101" t="str">
        <f t="shared" ca="1" si="26"/>
        <v/>
      </c>
    </row>
    <row r="1686" spans="1:10">
      <c r="A1686" s="103"/>
      <c r="B1686" s="104"/>
      <c r="C1686" s="105"/>
      <c r="D1686" s="104"/>
      <c r="F1686" s="106"/>
      <c r="G1686" s="104"/>
      <c r="H1686" s="106"/>
      <c r="I1686" s="106"/>
      <c r="J1686" s="101" t="str">
        <f t="shared" ca="1" si="26"/>
        <v/>
      </c>
    </row>
    <row r="1687" spans="1:10">
      <c r="A1687" s="103"/>
      <c r="B1687" s="104"/>
      <c r="C1687" s="105"/>
      <c r="D1687" s="104"/>
      <c r="F1687" s="106"/>
      <c r="G1687" s="104"/>
      <c r="H1687" s="106"/>
      <c r="I1687" s="106"/>
      <c r="J1687" s="101" t="str">
        <f t="shared" ca="1" si="26"/>
        <v/>
      </c>
    </row>
    <row r="1688" spans="1:10">
      <c r="A1688" s="103"/>
      <c r="B1688" s="104"/>
      <c r="C1688" s="105"/>
      <c r="D1688" s="104"/>
      <c r="F1688" s="106"/>
      <c r="G1688" s="104"/>
      <c r="H1688" s="106"/>
      <c r="I1688" s="106"/>
      <c r="J1688" s="101" t="str">
        <f t="shared" ca="1" si="26"/>
        <v/>
      </c>
    </row>
    <row r="1689" spans="1:10">
      <c r="A1689" s="103"/>
      <c r="B1689" s="104"/>
      <c r="C1689" s="105"/>
      <c r="D1689" s="104"/>
      <c r="F1689" s="106"/>
      <c r="G1689" s="104"/>
      <c r="H1689" s="106"/>
      <c r="I1689" s="106"/>
      <c r="J1689" s="101" t="str">
        <f t="shared" ca="1" si="26"/>
        <v/>
      </c>
    </row>
    <row r="1690" spans="1:10">
      <c r="A1690" s="103"/>
      <c r="B1690" s="104"/>
      <c r="C1690" s="105"/>
      <c r="D1690" s="104"/>
      <c r="F1690" s="106"/>
      <c r="G1690" s="104"/>
      <c r="H1690" s="106"/>
      <c r="I1690" s="106"/>
      <c r="J1690" s="101" t="str">
        <f t="shared" ca="1" si="26"/>
        <v/>
      </c>
    </row>
    <row r="1691" spans="1:10">
      <c r="A1691" s="103"/>
      <c r="B1691" s="104"/>
      <c r="C1691" s="105"/>
      <c r="D1691" s="104"/>
      <c r="F1691" s="106"/>
      <c r="G1691" s="104"/>
      <c r="H1691" s="106"/>
      <c r="I1691" s="106"/>
      <c r="J1691" s="101" t="str">
        <f t="shared" ca="1" si="26"/>
        <v/>
      </c>
    </row>
    <row r="1692" spans="1:10">
      <c r="A1692" s="103"/>
      <c r="B1692" s="104"/>
      <c r="C1692" s="105"/>
      <c r="D1692" s="104"/>
      <c r="F1692" s="106"/>
      <c r="G1692" s="104"/>
      <c r="H1692" s="106"/>
      <c r="I1692" s="106"/>
      <c r="J1692" s="101" t="str">
        <f t="shared" ca="1" si="26"/>
        <v/>
      </c>
    </row>
    <row r="1693" spans="1:10">
      <c r="A1693" s="103"/>
      <c r="B1693" s="104"/>
      <c r="C1693" s="105"/>
      <c r="D1693" s="104"/>
      <c r="F1693" s="106"/>
      <c r="G1693" s="104"/>
      <c r="H1693" s="106"/>
      <c r="I1693" s="106"/>
      <c r="J1693" s="101" t="str">
        <f t="shared" ca="1" si="26"/>
        <v/>
      </c>
    </row>
    <row r="1694" spans="1:10">
      <c r="A1694" s="103"/>
      <c r="B1694" s="104"/>
      <c r="C1694" s="105"/>
      <c r="D1694" s="104"/>
      <c r="F1694" s="106"/>
      <c r="G1694" s="104"/>
      <c r="H1694" s="106"/>
      <c r="I1694" s="106"/>
      <c r="J1694" s="101" t="str">
        <f t="shared" ca="1" si="26"/>
        <v/>
      </c>
    </row>
    <row r="1695" spans="1:10">
      <c r="A1695" s="103"/>
      <c r="B1695" s="104"/>
      <c r="C1695" s="105"/>
      <c r="D1695" s="104"/>
      <c r="F1695" s="106"/>
      <c r="G1695" s="104"/>
      <c r="H1695" s="106"/>
      <c r="I1695" s="106"/>
      <c r="J1695" s="101" t="str">
        <f t="shared" ca="1" si="26"/>
        <v/>
      </c>
    </row>
    <row r="1696" spans="1:10">
      <c r="A1696" s="103"/>
      <c r="B1696" s="104"/>
      <c r="C1696" s="105"/>
      <c r="D1696" s="104"/>
      <c r="F1696" s="106"/>
      <c r="G1696" s="104"/>
      <c r="H1696" s="106"/>
      <c r="I1696" s="106"/>
      <c r="J1696" s="101" t="str">
        <f t="shared" ca="1" si="26"/>
        <v/>
      </c>
    </row>
    <row r="1697" spans="1:10">
      <c r="A1697" s="103"/>
      <c r="B1697" s="104"/>
      <c r="C1697" s="105"/>
      <c r="D1697" s="104"/>
      <c r="F1697" s="106"/>
      <c r="G1697" s="104"/>
      <c r="H1697" s="106"/>
      <c r="I1697" s="106"/>
      <c r="J1697" s="101" t="str">
        <f t="shared" ca="1" si="26"/>
        <v/>
      </c>
    </row>
    <row r="1698" spans="1:10">
      <c r="A1698" s="103"/>
      <c r="B1698" s="104"/>
      <c r="C1698" s="105"/>
      <c r="D1698" s="104"/>
      <c r="F1698" s="106"/>
      <c r="G1698" s="104"/>
      <c r="H1698" s="106"/>
      <c r="I1698" s="106"/>
      <c r="J1698" s="101" t="str">
        <f t="shared" ca="1" si="26"/>
        <v/>
      </c>
    </row>
    <row r="1699" spans="1:10">
      <c r="A1699" s="103"/>
      <c r="B1699" s="104"/>
      <c r="C1699" s="105"/>
      <c r="D1699" s="104"/>
      <c r="F1699" s="106"/>
      <c r="G1699" s="104"/>
      <c r="H1699" s="106"/>
      <c r="I1699" s="106"/>
      <c r="J1699" s="101" t="str">
        <f t="shared" ca="1" si="26"/>
        <v/>
      </c>
    </row>
    <row r="1700" spans="1:10">
      <c r="A1700" s="103"/>
      <c r="B1700" s="104"/>
      <c r="C1700" s="105"/>
      <c r="D1700" s="104"/>
      <c r="F1700" s="106"/>
      <c r="G1700" s="104"/>
      <c r="H1700" s="106"/>
      <c r="I1700" s="106"/>
      <c r="J1700" s="101" t="str">
        <f t="shared" ca="1" si="26"/>
        <v/>
      </c>
    </row>
    <row r="1701" spans="1:10">
      <c r="A1701" s="103"/>
      <c r="B1701" s="104"/>
      <c r="C1701" s="105"/>
      <c r="D1701" s="104"/>
      <c r="F1701" s="106"/>
      <c r="G1701" s="104"/>
      <c r="H1701" s="106"/>
      <c r="I1701" s="106"/>
      <c r="J1701" s="101" t="str">
        <f t="shared" ca="1" si="26"/>
        <v/>
      </c>
    </row>
    <row r="1702" spans="1:10">
      <c r="A1702" s="103"/>
      <c r="B1702" s="104"/>
      <c r="C1702" s="105"/>
      <c r="D1702" s="104"/>
      <c r="F1702" s="106"/>
      <c r="G1702" s="104"/>
      <c r="H1702" s="106"/>
      <c r="I1702" s="106"/>
      <c r="J1702" s="101" t="str">
        <f t="shared" ca="1" si="26"/>
        <v/>
      </c>
    </row>
    <row r="1703" spans="1:10">
      <c r="A1703" s="103"/>
      <c r="B1703" s="104"/>
      <c r="C1703" s="105"/>
      <c r="D1703" s="104"/>
      <c r="F1703" s="106"/>
      <c r="G1703" s="104"/>
      <c r="H1703" s="106"/>
      <c r="I1703" s="106"/>
      <c r="J1703" s="101" t="str">
        <f t="shared" ca="1" si="26"/>
        <v/>
      </c>
    </row>
    <row r="1704" spans="1:10">
      <c r="A1704" s="103"/>
      <c r="B1704" s="104"/>
      <c r="C1704" s="105"/>
      <c r="D1704" s="104"/>
      <c r="F1704" s="106"/>
      <c r="G1704" s="104"/>
      <c r="H1704" s="106"/>
      <c r="I1704" s="106"/>
      <c r="J1704" s="101" t="str">
        <f t="shared" ca="1" si="26"/>
        <v/>
      </c>
    </row>
    <row r="1705" spans="1:10">
      <c r="A1705" s="103"/>
      <c r="B1705" s="104"/>
      <c r="C1705" s="105"/>
      <c r="D1705" s="104"/>
      <c r="F1705" s="106"/>
      <c r="G1705" s="104"/>
      <c r="H1705" s="106"/>
      <c r="I1705" s="106"/>
      <c r="J1705" s="101" t="str">
        <f t="shared" ca="1" si="26"/>
        <v/>
      </c>
    </row>
    <row r="1706" spans="1:10">
      <c r="A1706" s="103"/>
      <c r="B1706" s="104"/>
      <c r="C1706" s="105"/>
      <c r="D1706" s="104"/>
      <c r="F1706" s="106"/>
      <c r="G1706" s="104"/>
      <c r="H1706" s="106"/>
      <c r="I1706" s="106"/>
      <c r="J1706" s="101" t="str">
        <f t="shared" ca="1" si="26"/>
        <v/>
      </c>
    </row>
    <row r="1707" spans="1:10">
      <c r="A1707" s="103"/>
      <c r="B1707" s="104"/>
      <c r="C1707" s="105"/>
      <c r="D1707" s="104"/>
      <c r="F1707" s="106"/>
      <c r="G1707" s="104"/>
      <c r="H1707" s="106"/>
      <c r="I1707" s="106"/>
      <c r="J1707" s="101" t="str">
        <f t="shared" ca="1" si="26"/>
        <v/>
      </c>
    </row>
    <row r="1708" spans="1:10">
      <c r="A1708" s="103"/>
      <c r="B1708" s="104"/>
      <c r="C1708" s="105"/>
      <c r="D1708" s="104"/>
      <c r="F1708" s="106"/>
      <c r="G1708" s="104"/>
      <c r="H1708" s="106"/>
      <c r="I1708" s="106"/>
      <c r="J1708" s="101" t="str">
        <f t="shared" ca="1" si="26"/>
        <v/>
      </c>
    </row>
    <row r="1709" spans="1:10">
      <c r="A1709" s="103"/>
      <c r="B1709" s="104"/>
      <c r="C1709" s="105"/>
      <c r="D1709" s="104"/>
      <c r="F1709" s="106"/>
      <c r="G1709" s="104"/>
      <c r="H1709" s="106"/>
      <c r="I1709" s="106"/>
      <c r="J1709" s="101" t="str">
        <f t="shared" ca="1" si="26"/>
        <v/>
      </c>
    </row>
    <row r="1710" spans="1:10">
      <c r="A1710" s="103"/>
      <c r="B1710" s="104"/>
      <c r="C1710" s="105"/>
      <c r="D1710" s="104"/>
      <c r="F1710" s="106"/>
      <c r="G1710" s="104"/>
      <c r="H1710" s="106"/>
      <c r="I1710" s="106"/>
      <c r="J1710" s="101" t="str">
        <f t="shared" ca="1" si="26"/>
        <v/>
      </c>
    </row>
    <row r="1711" spans="1:10">
      <c r="A1711" s="103"/>
      <c r="B1711" s="104"/>
      <c r="C1711" s="105"/>
      <c r="D1711" s="104"/>
      <c r="F1711" s="106"/>
      <c r="G1711" s="104"/>
      <c r="H1711" s="106"/>
      <c r="I1711" s="106"/>
      <c r="J1711" s="101" t="str">
        <f t="shared" ca="1" si="26"/>
        <v/>
      </c>
    </row>
    <row r="1712" spans="1:10">
      <c r="A1712" s="103"/>
      <c r="B1712" s="104"/>
      <c r="C1712" s="105"/>
      <c r="D1712" s="104"/>
      <c r="F1712" s="106"/>
      <c r="G1712" s="104"/>
      <c r="H1712" s="106"/>
      <c r="I1712" s="106"/>
      <c r="J1712" s="101" t="str">
        <f t="shared" ca="1" si="26"/>
        <v/>
      </c>
    </row>
    <row r="1713" spans="1:10">
      <c r="A1713" s="103"/>
      <c r="B1713" s="104"/>
      <c r="C1713" s="105"/>
      <c r="D1713" s="104"/>
      <c r="F1713" s="106"/>
      <c r="G1713" s="104"/>
      <c r="H1713" s="106"/>
      <c r="I1713" s="106"/>
      <c r="J1713" s="101" t="str">
        <f t="shared" ca="1" si="26"/>
        <v/>
      </c>
    </row>
    <row r="1714" spans="1:10">
      <c r="A1714" s="103"/>
      <c r="B1714" s="104"/>
      <c r="C1714" s="105"/>
      <c r="D1714" s="104"/>
      <c r="F1714" s="106"/>
      <c r="G1714" s="104"/>
      <c r="H1714" s="106"/>
      <c r="I1714" s="106"/>
      <c r="J1714" s="101" t="str">
        <f t="shared" ca="1" si="26"/>
        <v/>
      </c>
    </row>
    <row r="1715" spans="1:10">
      <c r="A1715" s="103"/>
      <c r="B1715" s="104"/>
      <c r="C1715" s="105"/>
      <c r="D1715" s="104"/>
      <c r="F1715" s="106"/>
      <c r="G1715" s="104"/>
      <c r="H1715" s="106"/>
      <c r="I1715" s="106"/>
      <c r="J1715" s="101" t="str">
        <f t="shared" ca="1" si="26"/>
        <v/>
      </c>
    </row>
    <row r="1716" spans="1:10">
      <c r="A1716" s="103"/>
      <c r="B1716" s="104"/>
      <c r="C1716" s="105"/>
      <c r="D1716" s="104"/>
      <c r="F1716" s="106"/>
      <c r="G1716" s="104"/>
      <c r="H1716" s="106"/>
      <c r="I1716" s="106"/>
      <c r="J1716" s="101" t="str">
        <f t="shared" ca="1" si="26"/>
        <v/>
      </c>
    </row>
    <row r="1717" spans="1:10">
      <c r="A1717" s="103"/>
      <c r="B1717" s="104"/>
      <c r="C1717" s="105"/>
      <c r="D1717" s="104"/>
      <c r="F1717" s="106"/>
      <c r="G1717" s="104"/>
      <c r="H1717" s="106"/>
      <c r="I1717" s="106"/>
      <c r="J1717" s="101" t="str">
        <f t="shared" ca="1" si="26"/>
        <v/>
      </c>
    </row>
    <row r="1718" spans="1:10">
      <c r="A1718" s="103"/>
      <c r="B1718" s="104"/>
      <c r="C1718" s="105"/>
      <c r="D1718" s="104"/>
      <c r="F1718" s="106"/>
      <c r="G1718" s="104"/>
      <c r="H1718" s="106"/>
      <c r="I1718" s="106"/>
      <c r="J1718" s="101" t="str">
        <f t="shared" ca="1" si="26"/>
        <v/>
      </c>
    </row>
    <row r="1719" spans="1:10">
      <c r="A1719" s="103"/>
      <c r="B1719" s="104"/>
      <c r="C1719" s="105"/>
      <c r="D1719" s="104"/>
      <c r="F1719" s="106"/>
      <c r="G1719" s="104"/>
      <c r="H1719" s="106"/>
      <c r="I1719" s="106"/>
      <c r="J1719" s="101" t="str">
        <f t="shared" ca="1" si="26"/>
        <v/>
      </c>
    </row>
    <row r="1720" spans="1:10">
      <c r="A1720" s="103"/>
      <c r="B1720" s="104"/>
      <c r="C1720" s="105"/>
      <c r="D1720" s="104"/>
      <c r="F1720" s="106"/>
      <c r="G1720" s="104"/>
      <c r="H1720" s="106"/>
      <c r="I1720" s="106"/>
      <c r="J1720" s="101" t="str">
        <f t="shared" ca="1" si="26"/>
        <v/>
      </c>
    </row>
    <row r="1721" spans="1:10">
      <c r="A1721" s="103"/>
      <c r="B1721" s="104"/>
      <c r="C1721" s="105"/>
      <c r="D1721" s="104"/>
      <c r="F1721" s="106"/>
      <c r="G1721" s="104"/>
      <c r="H1721" s="106"/>
      <c r="I1721" s="106"/>
      <c r="J1721" s="101" t="str">
        <f t="shared" ca="1" si="26"/>
        <v/>
      </c>
    </row>
    <row r="1722" spans="1:10">
      <c r="A1722" s="103"/>
      <c r="B1722" s="104"/>
      <c r="C1722" s="105"/>
      <c r="D1722" s="104"/>
      <c r="F1722" s="106"/>
      <c r="G1722" s="104"/>
      <c r="H1722" s="106"/>
      <c r="I1722" s="106"/>
      <c r="J1722" s="101" t="str">
        <f t="shared" ca="1" si="26"/>
        <v/>
      </c>
    </row>
    <row r="1723" spans="1:10">
      <c r="A1723" s="103"/>
      <c r="B1723" s="104"/>
      <c r="C1723" s="105"/>
      <c r="D1723" s="104"/>
      <c r="F1723" s="106"/>
      <c r="G1723" s="104"/>
      <c r="H1723" s="106"/>
      <c r="I1723" s="106"/>
      <c r="J1723" s="101" t="str">
        <f t="shared" ca="1" si="26"/>
        <v/>
      </c>
    </row>
    <row r="1724" spans="1:10">
      <c r="A1724" s="103"/>
      <c r="B1724" s="104"/>
      <c r="C1724" s="105"/>
      <c r="D1724" s="104"/>
      <c r="F1724" s="106"/>
      <c r="G1724" s="104"/>
      <c r="H1724" s="106"/>
      <c r="I1724" s="106"/>
      <c r="J1724" s="101" t="str">
        <f t="shared" ca="1" si="26"/>
        <v/>
      </c>
    </row>
    <row r="1725" spans="1:10">
      <c r="A1725" s="103"/>
      <c r="B1725" s="104"/>
      <c r="C1725" s="105"/>
      <c r="D1725" s="104"/>
      <c r="F1725" s="106"/>
      <c r="G1725" s="104"/>
      <c r="H1725" s="106"/>
      <c r="I1725" s="106"/>
      <c r="J1725" s="101" t="str">
        <f t="shared" ca="1" si="26"/>
        <v/>
      </c>
    </row>
    <row r="1726" spans="1:10">
      <c r="A1726" s="103"/>
      <c r="B1726" s="104"/>
      <c r="C1726" s="105"/>
      <c r="D1726" s="104"/>
      <c r="F1726" s="106"/>
      <c r="G1726" s="104"/>
      <c r="H1726" s="106"/>
      <c r="I1726" s="106"/>
      <c r="J1726" s="101" t="str">
        <f t="shared" ca="1" si="26"/>
        <v/>
      </c>
    </row>
    <row r="1727" spans="1:10">
      <c r="A1727" s="103"/>
      <c r="B1727" s="104"/>
      <c r="C1727" s="105"/>
      <c r="D1727" s="104"/>
      <c r="F1727" s="106"/>
      <c r="G1727" s="104"/>
      <c r="H1727" s="106"/>
      <c r="I1727" s="106"/>
      <c r="J1727" s="101" t="str">
        <f t="shared" ca="1" si="26"/>
        <v/>
      </c>
    </row>
    <row r="1728" spans="1:10">
      <c r="A1728" s="103"/>
      <c r="B1728" s="104"/>
      <c r="C1728" s="105"/>
      <c r="D1728" s="104"/>
      <c r="F1728" s="106"/>
      <c r="G1728" s="104"/>
      <c r="H1728" s="106"/>
      <c r="I1728" s="106"/>
      <c r="J1728" s="101" t="str">
        <f t="shared" ca="1" si="26"/>
        <v/>
      </c>
    </row>
    <row r="1729" spans="1:10">
      <c r="A1729" s="103"/>
      <c r="B1729" s="104"/>
      <c r="C1729" s="105"/>
      <c r="D1729" s="104"/>
      <c r="F1729" s="106"/>
      <c r="G1729" s="104"/>
      <c r="H1729" s="106"/>
      <c r="I1729" s="106"/>
      <c r="J1729" s="101" t="str">
        <f t="shared" ca="1" si="26"/>
        <v/>
      </c>
    </row>
    <row r="1730" spans="1:10">
      <c r="A1730" s="103"/>
      <c r="B1730" s="104"/>
      <c r="C1730" s="105"/>
      <c r="D1730" s="104"/>
      <c r="F1730" s="106"/>
      <c r="G1730" s="104"/>
      <c r="H1730" s="106"/>
      <c r="I1730" s="106"/>
      <c r="J1730" s="101" t="str">
        <f t="shared" ca="1" si="26"/>
        <v/>
      </c>
    </row>
    <row r="1731" spans="1:10">
      <c r="A1731" s="103"/>
      <c r="B1731" s="104"/>
      <c r="C1731" s="105"/>
      <c r="D1731" s="104"/>
      <c r="F1731" s="106"/>
      <c r="G1731" s="104"/>
      <c r="H1731" s="106"/>
      <c r="I1731" s="106"/>
      <c r="J1731" s="101" t="str">
        <f t="shared" ref="J1731:J1794" ca="1" si="27">_xlfn.LET(
    _xlpm.AllCellsFilled, COUNTA(A1731:I1731) = 9,
    _xlpm.QtyIsInt, AND(ISNUMBER(G1731), G1731=INT(G1731)),
    _xlpm.AvailDateIsValid, AND(ISNUMBER(F1731), F1731&gt;=TODAY()),
    _xlpm.ReqDateIsValid, AND(ISNUMBER(H1731), H1731&gt;=TODAY()),
    _xlpm.EmailIsValid, RIGHT(I1731,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IF(A1731="", "", IF(_xlpm.error_messages = "", "Yes", _xlpm.error_messages))
)</f>
        <v/>
      </c>
    </row>
    <row r="1732" spans="1:10">
      <c r="A1732" s="103"/>
      <c r="B1732" s="104"/>
      <c r="C1732" s="105"/>
      <c r="D1732" s="104"/>
      <c r="F1732" s="106"/>
      <c r="G1732" s="104"/>
      <c r="H1732" s="106"/>
      <c r="I1732" s="106"/>
      <c r="J1732" s="101" t="str">
        <f t="shared" ca="1" si="27"/>
        <v/>
      </c>
    </row>
    <row r="1733" spans="1:10">
      <c r="A1733" s="103"/>
      <c r="B1733" s="104"/>
      <c r="C1733" s="105"/>
      <c r="D1733" s="104"/>
      <c r="F1733" s="106"/>
      <c r="G1733" s="104"/>
      <c r="H1733" s="106"/>
      <c r="I1733" s="106"/>
      <c r="J1733" s="101" t="str">
        <f t="shared" ca="1" si="27"/>
        <v/>
      </c>
    </row>
    <row r="1734" spans="1:10">
      <c r="A1734" s="103"/>
      <c r="B1734" s="104"/>
      <c r="C1734" s="105"/>
      <c r="D1734" s="104"/>
      <c r="F1734" s="106"/>
      <c r="G1734" s="104"/>
      <c r="H1734" s="106"/>
      <c r="I1734" s="106"/>
      <c r="J1734" s="101" t="str">
        <f t="shared" ca="1" si="27"/>
        <v/>
      </c>
    </row>
    <row r="1735" spans="1:10">
      <c r="A1735" s="103"/>
      <c r="B1735" s="104"/>
      <c r="C1735" s="105"/>
      <c r="D1735" s="104"/>
      <c r="F1735" s="106"/>
      <c r="G1735" s="104"/>
      <c r="H1735" s="106"/>
      <c r="I1735" s="106"/>
      <c r="J1735" s="101" t="str">
        <f t="shared" ca="1" si="27"/>
        <v/>
      </c>
    </row>
    <row r="1736" spans="1:10">
      <c r="A1736" s="103"/>
      <c r="B1736" s="104"/>
      <c r="C1736" s="105"/>
      <c r="D1736" s="104"/>
      <c r="F1736" s="106"/>
      <c r="G1736" s="104"/>
      <c r="H1736" s="106"/>
      <c r="I1736" s="106"/>
      <c r="J1736" s="101" t="str">
        <f t="shared" ca="1" si="27"/>
        <v/>
      </c>
    </row>
    <row r="1737" spans="1:10">
      <c r="A1737" s="103"/>
      <c r="B1737" s="104"/>
      <c r="C1737" s="105"/>
      <c r="D1737" s="104"/>
      <c r="F1737" s="106"/>
      <c r="G1737" s="104"/>
      <c r="H1737" s="106"/>
      <c r="I1737" s="106"/>
      <c r="J1737" s="101" t="str">
        <f t="shared" ca="1" si="27"/>
        <v/>
      </c>
    </row>
    <row r="1738" spans="1:10">
      <c r="A1738" s="103"/>
      <c r="B1738" s="104"/>
      <c r="C1738" s="105"/>
      <c r="D1738" s="104"/>
      <c r="F1738" s="106"/>
      <c r="G1738" s="104"/>
      <c r="H1738" s="106"/>
      <c r="I1738" s="106"/>
      <c r="J1738" s="101" t="str">
        <f t="shared" ca="1" si="27"/>
        <v/>
      </c>
    </row>
    <row r="1739" spans="1:10">
      <c r="A1739" s="103"/>
      <c r="B1739" s="104"/>
      <c r="C1739" s="105"/>
      <c r="D1739" s="104"/>
      <c r="F1739" s="106"/>
      <c r="G1739" s="104"/>
      <c r="H1739" s="106"/>
      <c r="I1739" s="106"/>
      <c r="J1739" s="101" t="str">
        <f t="shared" ca="1" si="27"/>
        <v/>
      </c>
    </row>
    <row r="1740" spans="1:10">
      <c r="A1740" s="103"/>
      <c r="B1740" s="104"/>
      <c r="C1740" s="105"/>
      <c r="D1740" s="104"/>
      <c r="F1740" s="106"/>
      <c r="G1740" s="104"/>
      <c r="H1740" s="106"/>
      <c r="I1740" s="106"/>
      <c r="J1740" s="101" t="str">
        <f t="shared" ca="1" si="27"/>
        <v/>
      </c>
    </row>
    <row r="1741" spans="1:10">
      <c r="A1741" s="103"/>
      <c r="B1741" s="104"/>
      <c r="C1741" s="105"/>
      <c r="D1741" s="104"/>
      <c r="F1741" s="106"/>
      <c r="G1741" s="104"/>
      <c r="H1741" s="106"/>
      <c r="I1741" s="106"/>
      <c r="J1741" s="101" t="str">
        <f t="shared" ca="1" si="27"/>
        <v/>
      </c>
    </row>
    <row r="1742" spans="1:10">
      <c r="A1742" s="103"/>
      <c r="B1742" s="104"/>
      <c r="C1742" s="105"/>
      <c r="D1742" s="104"/>
      <c r="F1742" s="106"/>
      <c r="G1742" s="104"/>
      <c r="H1742" s="106"/>
      <c r="I1742" s="106"/>
      <c r="J1742" s="101" t="str">
        <f t="shared" ca="1" si="27"/>
        <v/>
      </c>
    </row>
    <row r="1743" spans="1:10">
      <c r="A1743" s="103"/>
      <c r="B1743" s="104"/>
      <c r="C1743" s="105"/>
      <c r="D1743" s="104"/>
      <c r="F1743" s="106"/>
      <c r="G1743" s="104"/>
      <c r="H1743" s="106"/>
      <c r="I1743" s="106"/>
      <c r="J1743" s="101" t="str">
        <f t="shared" ca="1" si="27"/>
        <v/>
      </c>
    </row>
    <row r="1744" spans="1:10">
      <c r="A1744" s="103"/>
      <c r="B1744" s="104"/>
      <c r="C1744" s="105"/>
      <c r="D1744" s="104"/>
      <c r="F1744" s="106"/>
      <c r="G1744" s="104"/>
      <c r="H1744" s="106"/>
      <c r="I1744" s="106"/>
      <c r="J1744" s="101" t="str">
        <f t="shared" ca="1" si="27"/>
        <v/>
      </c>
    </row>
    <row r="1745" spans="1:10">
      <c r="A1745" s="103"/>
      <c r="B1745" s="104"/>
      <c r="C1745" s="105"/>
      <c r="D1745" s="104"/>
      <c r="F1745" s="106"/>
      <c r="G1745" s="104"/>
      <c r="H1745" s="106"/>
      <c r="I1745" s="106"/>
      <c r="J1745" s="101" t="str">
        <f t="shared" ca="1" si="27"/>
        <v/>
      </c>
    </row>
    <row r="1746" spans="1:10">
      <c r="A1746" s="103"/>
      <c r="B1746" s="104"/>
      <c r="C1746" s="105"/>
      <c r="D1746" s="104"/>
      <c r="F1746" s="106"/>
      <c r="G1746" s="104"/>
      <c r="H1746" s="106"/>
      <c r="I1746" s="106"/>
      <c r="J1746" s="101" t="str">
        <f t="shared" ca="1" si="27"/>
        <v/>
      </c>
    </row>
    <row r="1747" spans="1:10">
      <c r="A1747" s="103"/>
      <c r="B1747" s="104"/>
      <c r="C1747" s="105"/>
      <c r="D1747" s="104"/>
      <c r="F1747" s="106"/>
      <c r="G1747" s="104"/>
      <c r="H1747" s="106"/>
      <c r="I1747" s="106"/>
      <c r="J1747" s="101" t="str">
        <f t="shared" ca="1" si="27"/>
        <v/>
      </c>
    </row>
    <row r="1748" spans="1:10">
      <c r="A1748" s="103"/>
      <c r="B1748" s="104"/>
      <c r="C1748" s="105"/>
      <c r="D1748" s="104"/>
      <c r="F1748" s="106"/>
      <c r="G1748" s="104"/>
      <c r="H1748" s="106"/>
      <c r="I1748" s="106"/>
      <c r="J1748" s="101" t="str">
        <f t="shared" ca="1" si="27"/>
        <v/>
      </c>
    </row>
    <row r="1749" spans="1:10">
      <c r="A1749" s="103"/>
      <c r="B1749" s="104"/>
      <c r="C1749" s="105"/>
      <c r="D1749" s="104"/>
      <c r="F1749" s="106"/>
      <c r="G1749" s="104"/>
      <c r="H1749" s="106"/>
      <c r="I1749" s="106"/>
      <c r="J1749" s="101" t="str">
        <f t="shared" ca="1" si="27"/>
        <v/>
      </c>
    </row>
    <row r="1750" spans="1:10">
      <c r="A1750" s="103"/>
      <c r="B1750" s="104"/>
      <c r="C1750" s="105"/>
      <c r="D1750" s="104"/>
      <c r="F1750" s="106"/>
      <c r="G1750" s="104"/>
      <c r="H1750" s="106"/>
      <c r="I1750" s="106"/>
      <c r="J1750" s="101" t="str">
        <f t="shared" ca="1" si="27"/>
        <v/>
      </c>
    </row>
    <row r="1751" spans="1:10">
      <c r="A1751" s="103"/>
      <c r="B1751" s="104"/>
      <c r="C1751" s="105"/>
      <c r="D1751" s="104"/>
      <c r="F1751" s="106"/>
      <c r="G1751" s="104"/>
      <c r="H1751" s="106"/>
      <c r="I1751" s="106"/>
      <c r="J1751" s="101" t="str">
        <f t="shared" ca="1" si="27"/>
        <v/>
      </c>
    </row>
    <row r="1752" spans="1:10">
      <c r="A1752" s="103"/>
      <c r="B1752" s="104"/>
      <c r="C1752" s="105"/>
      <c r="D1752" s="104"/>
      <c r="F1752" s="106"/>
      <c r="G1752" s="104"/>
      <c r="H1752" s="106"/>
      <c r="I1752" s="106"/>
      <c r="J1752" s="101" t="str">
        <f t="shared" ca="1" si="27"/>
        <v/>
      </c>
    </row>
    <row r="1753" spans="1:10">
      <c r="A1753" s="103"/>
      <c r="B1753" s="104"/>
      <c r="C1753" s="105"/>
      <c r="D1753" s="104"/>
      <c r="F1753" s="106"/>
      <c r="G1753" s="104"/>
      <c r="H1753" s="106"/>
      <c r="I1753" s="106"/>
      <c r="J1753" s="101" t="str">
        <f t="shared" ca="1" si="27"/>
        <v/>
      </c>
    </row>
    <row r="1754" spans="1:10">
      <c r="A1754" s="103"/>
      <c r="B1754" s="104"/>
      <c r="C1754" s="105"/>
      <c r="D1754" s="104"/>
      <c r="F1754" s="106"/>
      <c r="G1754" s="104"/>
      <c r="H1754" s="106"/>
      <c r="I1754" s="106"/>
      <c r="J1754" s="101" t="str">
        <f t="shared" ca="1" si="27"/>
        <v/>
      </c>
    </row>
    <row r="1755" spans="1:10">
      <c r="A1755" s="103"/>
      <c r="B1755" s="104"/>
      <c r="C1755" s="105"/>
      <c r="D1755" s="104"/>
      <c r="F1755" s="106"/>
      <c r="G1755" s="104"/>
      <c r="H1755" s="106"/>
      <c r="I1755" s="106"/>
      <c r="J1755" s="101" t="str">
        <f t="shared" ca="1" si="27"/>
        <v/>
      </c>
    </row>
    <row r="1756" spans="1:10">
      <c r="A1756" s="103"/>
      <c r="B1756" s="104"/>
      <c r="C1756" s="105"/>
      <c r="D1756" s="104"/>
      <c r="F1756" s="106"/>
      <c r="G1756" s="104"/>
      <c r="H1756" s="106"/>
      <c r="I1756" s="106"/>
      <c r="J1756" s="101" t="str">
        <f t="shared" ca="1" si="27"/>
        <v/>
      </c>
    </row>
    <row r="1757" spans="1:10">
      <c r="A1757" s="103"/>
      <c r="B1757" s="104"/>
      <c r="C1757" s="105"/>
      <c r="D1757" s="104"/>
      <c r="F1757" s="106"/>
      <c r="G1757" s="104"/>
      <c r="H1757" s="106"/>
      <c r="I1757" s="106"/>
      <c r="J1757" s="101" t="str">
        <f t="shared" ca="1" si="27"/>
        <v/>
      </c>
    </row>
    <row r="1758" spans="1:10">
      <c r="A1758" s="103"/>
      <c r="B1758" s="104"/>
      <c r="C1758" s="105"/>
      <c r="D1758" s="104"/>
      <c r="F1758" s="106"/>
      <c r="G1758" s="104"/>
      <c r="H1758" s="106"/>
      <c r="I1758" s="106"/>
      <c r="J1758" s="101" t="str">
        <f t="shared" ca="1" si="27"/>
        <v/>
      </c>
    </row>
    <row r="1759" spans="1:10">
      <c r="A1759" s="103"/>
      <c r="B1759" s="104"/>
      <c r="C1759" s="105"/>
      <c r="D1759" s="104"/>
      <c r="F1759" s="106"/>
      <c r="G1759" s="104"/>
      <c r="H1759" s="106"/>
      <c r="I1759" s="106"/>
      <c r="J1759" s="101" t="str">
        <f t="shared" ca="1" si="27"/>
        <v/>
      </c>
    </row>
    <row r="1760" spans="1:10">
      <c r="A1760" s="103"/>
      <c r="B1760" s="104"/>
      <c r="C1760" s="105"/>
      <c r="D1760" s="104"/>
      <c r="F1760" s="106"/>
      <c r="G1760" s="104"/>
      <c r="H1760" s="106"/>
      <c r="I1760" s="106"/>
      <c r="J1760" s="101" t="str">
        <f t="shared" ca="1" si="27"/>
        <v/>
      </c>
    </row>
    <row r="1761" spans="1:10">
      <c r="A1761" s="103"/>
      <c r="B1761" s="104"/>
      <c r="C1761" s="105"/>
      <c r="D1761" s="104"/>
      <c r="F1761" s="106"/>
      <c r="G1761" s="104"/>
      <c r="H1761" s="106"/>
      <c r="I1761" s="106"/>
      <c r="J1761" s="101" t="str">
        <f t="shared" ca="1" si="27"/>
        <v/>
      </c>
    </row>
    <row r="1762" spans="1:10">
      <c r="A1762" s="103"/>
      <c r="B1762" s="104"/>
      <c r="C1762" s="105"/>
      <c r="D1762" s="104"/>
      <c r="F1762" s="106"/>
      <c r="G1762" s="104"/>
      <c r="H1762" s="106"/>
      <c r="I1762" s="106"/>
      <c r="J1762" s="101" t="str">
        <f t="shared" ca="1" si="27"/>
        <v/>
      </c>
    </row>
    <row r="1763" spans="1:10">
      <c r="A1763" s="103"/>
      <c r="B1763" s="104"/>
      <c r="C1763" s="105"/>
      <c r="D1763" s="104"/>
      <c r="F1763" s="106"/>
      <c r="G1763" s="104"/>
      <c r="H1763" s="106"/>
      <c r="I1763" s="106"/>
      <c r="J1763" s="101" t="str">
        <f t="shared" ca="1" si="27"/>
        <v/>
      </c>
    </row>
    <row r="1764" spans="1:10">
      <c r="A1764" s="103"/>
      <c r="B1764" s="104"/>
      <c r="C1764" s="105"/>
      <c r="D1764" s="104"/>
      <c r="F1764" s="106"/>
      <c r="G1764" s="104"/>
      <c r="H1764" s="106"/>
      <c r="I1764" s="106"/>
      <c r="J1764" s="101" t="str">
        <f t="shared" ca="1" si="27"/>
        <v/>
      </c>
    </row>
    <row r="1765" spans="1:10">
      <c r="A1765" s="103"/>
      <c r="B1765" s="104"/>
      <c r="C1765" s="105"/>
      <c r="D1765" s="104"/>
      <c r="F1765" s="106"/>
      <c r="G1765" s="104"/>
      <c r="H1765" s="106"/>
      <c r="I1765" s="106"/>
      <c r="J1765" s="101" t="str">
        <f t="shared" ca="1" si="27"/>
        <v/>
      </c>
    </row>
    <row r="1766" spans="1:10">
      <c r="A1766" s="103"/>
      <c r="B1766" s="104"/>
      <c r="C1766" s="105"/>
      <c r="D1766" s="104"/>
      <c r="F1766" s="106"/>
      <c r="G1766" s="104"/>
      <c r="H1766" s="106"/>
      <c r="I1766" s="106"/>
      <c r="J1766" s="101" t="str">
        <f t="shared" ca="1" si="27"/>
        <v/>
      </c>
    </row>
    <row r="1767" spans="1:10">
      <c r="A1767" s="103"/>
      <c r="B1767" s="104"/>
      <c r="C1767" s="105"/>
      <c r="D1767" s="104"/>
      <c r="F1767" s="106"/>
      <c r="G1767" s="104"/>
      <c r="H1767" s="106"/>
      <c r="I1767" s="106"/>
      <c r="J1767" s="101" t="str">
        <f t="shared" ca="1" si="27"/>
        <v/>
      </c>
    </row>
    <row r="1768" spans="1:10">
      <c r="A1768" s="103"/>
      <c r="B1768" s="104"/>
      <c r="C1768" s="105"/>
      <c r="D1768" s="104"/>
      <c r="F1768" s="106"/>
      <c r="G1768" s="104"/>
      <c r="H1768" s="106"/>
      <c r="I1768" s="106"/>
      <c r="J1768" s="101" t="str">
        <f t="shared" ca="1" si="27"/>
        <v/>
      </c>
    </row>
    <row r="1769" spans="1:10">
      <c r="A1769" s="103"/>
      <c r="B1769" s="104"/>
      <c r="C1769" s="105"/>
      <c r="D1769" s="104"/>
      <c r="F1769" s="106"/>
      <c r="G1769" s="104"/>
      <c r="H1769" s="106"/>
      <c r="I1769" s="106"/>
      <c r="J1769" s="101" t="str">
        <f t="shared" ca="1" si="27"/>
        <v/>
      </c>
    </row>
    <row r="1770" spans="1:10">
      <c r="A1770" s="103"/>
      <c r="B1770" s="104"/>
      <c r="C1770" s="105"/>
      <c r="D1770" s="104"/>
      <c r="F1770" s="106"/>
      <c r="G1770" s="104"/>
      <c r="H1770" s="106"/>
      <c r="I1770" s="106"/>
      <c r="J1770" s="101" t="str">
        <f t="shared" ca="1" si="27"/>
        <v/>
      </c>
    </row>
    <row r="1771" spans="1:10">
      <c r="A1771" s="103"/>
      <c r="B1771" s="104"/>
      <c r="C1771" s="105"/>
      <c r="D1771" s="104"/>
      <c r="F1771" s="106"/>
      <c r="G1771" s="104"/>
      <c r="H1771" s="106"/>
      <c r="I1771" s="106"/>
      <c r="J1771" s="101" t="str">
        <f t="shared" ca="1" si="27"/>
        <v/>
      </c>
    </row>
    <row r="1772" spans="1:10">
      <c r="A1772" s="103"/>
      <c r="B1772" s="104"/>
      <c r="C1772" s="105"/>
      <c r="D1772" s="104"/>
      <c r="F1772" s="106"/>
      <c r="G1772" s="104"/>
      <c r="H1772" s="106"/>
      <c r="I1772" s="106"/>
      <c r="J1772" s="101" t="str">
        <f t="shared" ca="1" si="27"/>
        <v/>
      </c>
    </row>
    <row r="1773" spans="1:10">
      <c r="A1773" s="103"/>
      <c r="B1773" s="104"/>
      <c r="C1773" s="105"/>
      <c r="D1773" s="104"/>
      <c r="F1773" s="106"/>
      <c r="G1773" s="104"/>
      <c r="H1773" s="106"/>
      <c r="I1773" s="106"/>
      <c r="J1773" s="101" t="str">
        <f t="shared" ca="1" si="27"/>
        <v/>
      </c>
    </row>
    <row r="1774" spans="1:10">
      <c r="A1774" s="103"/>
      <c r="B1774" s="104"/>
      <c r="C1774" s="105"/>
      <c r="D1774" s="104"/>
      <c r="F1774" s="106"/>
      <c r="G1774" s="104"/>
      <c r="H1774" s="106"/>
      <c r="I1774" s="106"/>
      <c r="J1774" s="101" t="str">
        <f t="shared" ca="1" si="27"/>
        <v/>
      </c>
    </row>
    <row r="1775" spans="1:10">
      <c r="A1775" s="103"/>
      <c r="B1775" s="104"/>
      <c r="C1775" s="105"/>
      <c r="D1775" s="104"/>
      <c r="F1775" s="106"/>
      <c r="G1775" s="104"/>
      <c r="H1775" s="106"/>
      <c r="I1775" s="106"/>
      <c r="J1775" s="101" t="str">
        <f t="shared" ca="1" si="27"/>
        <v/>
      </c>
    </row>
    <row r="1776" spans="1:10">
      <c r="A1776" s="103"/>
      <c r="B1776" s="104"/>
      <c r="C1776" s="105"/>
      <c r="D1776" s="104"/>
      <c r="F1776" s="106"/>
      <c r="G1776" s="104"/>
      <c r="H1776" s="106"/>
      <c r="I1776" s="106"/>
      <c r="J1776" s="101" t="str">
        <f t="shared" ca="1" si="27"/>
        <v/>
      </c>
    </row>
    <row r="1777" spans="1:10">
      <c r="A1777" s="103"/>
      <c r="B1777" s="104"/>
      <c r="C1777" s="105"/>
      <c r="D1777" s="104"/>
      <c r="F1777" s="106"/>
      <c r="G1777" s="104"/>
      <c r="H1777" s="106"/>
      <c r="I1777" s="106"/>
      <c r="J1777" s="101" t="str">
        <f t="shared" ca="1" si="27"/>
        <v/>
      </c>
    </row>
    <row r="1778" spans="1:10">
      <c r="A1778" s="103"/>
      <c r="B1778" s="104"/>
      <c r="C1778" s="105"/>
      <c r="D1778" s="104"/>
      <c r="F1778" s="106"/>
      <c r="G1778" s="104"/>
      <c r="H1778" s="106"/>
      <c r="I1778" s="106"/>
      <c r="J1778" s="101" t="str">
        <f t="shared" ca="1" si="27"/>
        <v/>
      </c>
    </row>
    <row r="1779" spans="1:10">
      <c r="A1779" s="103"/>
      <c r="B1779" s="104"/>
      <c r="C1779" s="105"/>
      <c r="D1779" s="104"/>
      <c r="F1779" s="106"/>
      <c r="G1779" s="104"/>
      <c r="H1779" s="106"/>
      <c r="I1779" s="106"/>
      <c r="J1779" s="101" t="str">
        <f t="shared" ca="1" si="27"/>
        <v/>
      </c>
    </row>
    <row r="1780" spans="1:10">
      <c r="A1780" s="103"/>
      <c r="B1780" s="104"/>
      <c r="C1780" s="105"/>
      <c r="D1780" s="104"/>
      <c r="F1780" s="106"/>
      <c r="G1780" s="104"/>
      <c r="H1780" s="106"/>
      <c r="I1780" s="106"/>
      <c r="J1780" s="101" t="str">
        <f t="shared" ca="1" si="27"/>
        <v/>
      </c>
    </row>
    <row r="1781" spans="1:10">
      <c r="A1781" s="103"/>
      <c r="B1781" s="104"/>
      <c r="C1781" s="105"/>
      <c r="D1781" s="104"/>
      <c r="F1781" s="106"/>
      <c r="G1781" s="104"/>
      <c r="H1781" s="106"/>
      <c r="I1781" s="106"/>
      <c r="J1781" s="101" t="str">
        <f t="shared" ca="1" si="27"/>
        <v/>
      </c>
    </row>
    <row r="1782" spans="1:10">
      <c r="A1782" s="103"/>
      <c r="B1782" s="104"/>
      <c r="C1782" s="105"/>
      <c r="D1782" s="104"/>
      <c r="F1782" s="106"/>
      <c r="G1782" s="104"/>
      <c r="H1782" s="106"/>
      <c r="I1782" s="106"/>
      <c r="J1782" s="101" t="str">
        <f t="shared" ca="1" si="27"/>
        <v/>
      </c>
    </row>
    <row r="1783" spans="1:10">
      <c r="A1783" s="103"/>
      <c r="B1783" s="104"/>
      <c r="C1783" s="105"/>
      <c r="D1783" s="104"/>
      <c r="F1783" s="106"/>
      <c r="G1783" s="104"/>
      <c r="H1783" s="106"/>
      <c r="I1783" s="106"/>
      <c r="J1783" s="101" t="str">
        <f t="shared" ca="1" si="27"/>
        <v/>
      </c>
    </row>
    <row r="1784" spans="1:10">
      <c r="A1784" s="103"/>
      <c r="B1784" s="104"/>
      <c r="C1784" s="105"/>
      <c r="D1784" s="104"/>
      <c r="F1784" s="106"/>
      <c r="G1784" s="104"/>
      <c r="H1784" s="106"/>
      <c r="I1784" s="106"/>
      <c r="J1784" s="101" t="str">
        <f t="shared" ca="1" si="27"/>
        <v/>
      </c>
    </row>
    <row r="1785" spans="1:10">
      <c r="A1785" s="103"/>
      <c r="B1785" s="104"/>
      <c r="C1785" s="105"/>
      <c r="D1785" s="104"/>
      <c r="F1785" s="106"/>
      <c r="G1785" s="104"/>
      <c r="H1785" s="106"/>
      <c r="I1785" s="106"/>
      <c r="J1785" s="101" t="str">
        <f t="shared" ca="1" si="27"/>
        <v/>
      </c>
    </row>
    <row r="1786" spans="1:10">
      <c r="A1786" s="103"/>
      <c r="B1786" s="104"/>
      <c r="C1786" s="105"/>
      <c r="D1786" s="104"/>
      <c r="F1786" s="106"/>
      <c r="G1786" s="104"/>
      <c r="H1786" s="106"/>
      <c r="I1786" s="106"/>
      <c r="J1786" s="101" t="str">
        <f t="shared" ca="1" si="27"/>
        <v/>
      </c>
    </row>
    <row r="1787" spans="1:10">
      <c r="A1787" s="103"/>
      <c r="B1787" s="104"/>
      <c r="C1787" s="105"/>
      <c r="D1787" s="104"/>
      <c r="F1787" s="106"/>
      <c r="G1787" s="104"/>
      <c r="H1787" s="106"/>
      <c r="I1787" s="106"/>
      <c r="J1787" s="101" t="str">
        <f t="shared" ca="1" si="27"/>
        <v/>
      </c>
    </row>
    <row r="1788" spans="1:10">
      <c r="A1788" s="103"/>
      <c r="B1788" s="104"/>
      <c r="C1788" s="105"/>
      <c r="D1788" s="104"/>
      <c r="F1788" s="106"/>
      <c r="G1788" s="104"/>
      <c r="H1788" s="106"/>
      <c r="I1788" s="106"/>
      <c r="J1788" s="101" t="str">
        <f t="shared" ca="1" si="27"/>
        <v/>
      </c>
    </row>
    <row r="1789" spans="1:10">
      <c r="A1789" s="103"/>
      <c r="B1789" s="104"/>
      <c r="C1789" s="105"/>
      <c r="D1789" s="104"/>
      <c r="F1789" s="106"/>
      <c r="G1789" s="104"/>
      <c r="H1789" s="106"/>
      <c r="I1789" s="106"/>
      <c r="J1789" s="101" t="str">
        <f t="shared" ca="1" si="27"/>
        <v/>
      </c>
    </row>
    <row r="1790" spans="1:10">
      <c r="A1790" s="103"/>
      <c r="B1790" s="104"/>
      <c r="C1790" s="105"/>
      <c r="D1790" s="104"/>
      <c r="F1790" s="106"/>
      <c r="G1790" s="104"/>
      <c r="H1790" s="106"/>
      <c r="I1790" s="106"/>
      <c r="J1790" s="101" t="str">
        <f t="shared" ca="1" si="27"/>
        <v/>
      </c>
    </row>
    <row r="1791" spans="1:10">
      <c r="A1791" s="103"/>
      <c r="B1791" s="104"/>
      <c r="C1791" s="105"/>
      <c r="D1791" s="104"/>
      <c r="F1791" s="106"/>
      <c r="G1791" s="104"/>
      <c r="H1791" s="106"/>
      <c r="I1791" s="106"/>
      <c r="J1791" s="101" t="str">
        <f t="shared" ca="1" si="27"/>
        <v/>
      </c>
    </row>
    <row r="1792" spans="1:10">
      <c r="A1792" s="103"/>
      <c r="B1792" s="104"/>
      <c r="C1792" s="105"/>
      <c r="D1792" s="104"/>
      <c r="F1792" s="106"/>
      <c r="G1792" s="104"/>
      <c r="H1792" s="106"/>
      <c r="I1792" s="106"/>
      <c r="J1792" s="101" t="str">
        <f t="shared" ca="1" si="27"/>
        <v/>
      </c>
    </row>
    <row r="1793" spans="1:10">
      <c r="A1793" s="103"/>
      <c r="B1793" s="104"/>
      <c r="C1793" s="105"/>
      <c r="D1793" s="104"/>
      <c r="F1793" s="106"/>
      <c r="G1793" s="104"/>
      <c r="H1793" s="106"/>
      <c r="I1793" s="106"/>
      <c r="J1793" s="101" t="str">
        <f t="shared" ca="1" si="27"/>
        <v/>
      </c>
    </row>
    <row r="1794" spans="1:10">
      <c r="A1794" s="103"/>
      <c r="B1794" s="104"/>
      <c r="C1794" s="105"/>
      <c r="D1794" s="104"/>
      <c r="F1794" s="106"/>
      <c r="G1794" s="104"/>
      <c r="H1794" s="106"/>
      <c r="I1794" s="106"/>
      <c r="J1794" s="101" t="str">
        <f t="shared" ca="1" si="27"/>
        <v/>
      </c>
    </row>
    <row r="1795" spans="1:10">
      <c r="A1795" s="103"/>
      <c r="B1795" s="104"/>
      <c r="C1795" s="105"/>
      <c r="D1795" s="104"/>
      <c r="F1795" s="106"/>
      <c r="G1795" s="104"/>
      <c r="H1795" s="106"/>
      <c r="I1795" s="106"/>
      <c r="J1795" s="101" t="str">
        <f t="shared" ref="J1795:J1858" ca="1" si="28">_xlfn.LET(
    _xlpm.AllCellsFilled, COUNTA(A1795:I1795) = 9,
    _xlpm.QtyIsInt, AND(ISNUMBER(G1795), G1795=INT(G1795)),
    _xlpm.AvailDateIsValid, AND(ISNUMBER(F1795), F1795&gt;=TODAY()),
    _xlpm.ReqDateIsValid, AND(ISNUMBER(H1795), H1795&gt;=TODAY()),
    _xlpm.EmailIsValid, RIGHT(I1795,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IF(A1795="", "", IF(_xlpm.error_messages = "", "Yes", _xlpm.error_messages))
)</f>
        <v/>
      </c>
    </row>
    <row r="1796" spans="1:10">
      <c r="A1796" s="103"/>
      <c r="B1796" s="104"/>
      <c r="C1796" s="105"/>
      <c r="D1796" s="104"/>
      <c r="F1796" s="106"/>
      <c r="G1796" s="104"/>
      <c r="H1796" s="106"/>
      <c r="I1796" s="106"/>
      <c r="J1796" s="101" t="str">
        <f t="shared" ca="1" si="28"/>
        <v/>
      </c>
    </row>
    <row r="1797" spans="1:10">
      <c r="A1797" s="103"/>
      <c r="B1797" s="104"/>
      <c r="C1797" s="105"/>
      <c r="D1797" s="104"/>
      <c r="F1797" s="106"/>
      <c r="G1797" s="104"/>
      <c r="H1797" s="106"/>
      <c r="I1797" s="106"/>
      <c r="J1797" s="101" t="str">
        <f t="shared" ca="1" si="28"/>
        <v/>
      </c>
    </row>
    <row r="1798" spans="1:10">
      <c r="A1798" s="103"/>
      <c r="B1798" s="104"/>
      <c r="C1798" s="105"/>
      <c r="D1798" s="104"/>
      <c r="F1798" s="106"/>
      <c r="G1798" s="104"/>
      <c r="H1798" s="106"/>
      <c r="I1798" s="106"/>
      <c r="J1798" s="101" t="str">
        <f t="shared" ca="1" si="28"/>
        <v/>
      </c>
    </row>
    <row r="1799" spans="1:10">
      <c r="A1799" s="103"/>
      <c r="B1799" s="104"/>
      <c r="C1799" s="105"/>
      <c r="D1799" s="104"/>
      <c r="F1799" s="106"/>
      <c r="G1799" s="104"/>
      <c r="H1799" s="106"/>
      <c r="I1799" s="106"/>
      <c r="J1799" s="101" t="str">
        <f t="shared" ca="1" si="28"/>
        <v/>
      </c>
    </row>
    <row r="1800" spans="1:10">
      <c r="A1800" s="103"/>
      <c r="B1800" s="104"/>
      <c r="C1800" s="105"/>
      <c r="D1800" s="104"/>
      <c r="F1800" s="106"/>
      <c r="G1800" s="104"/>
      <c r="H1800" s="106"/>
      <c r="I1800" s="106"/>
      <c r="J1800" s="101" t="str">
        <f t="shared" ca="1" si="28"/>
        <v/>
      </c>
    </row>
    <row r="1801" spans="1:10">
      <c r="A1801" s="103"/>
      <c r="B1801" s="104"/>
      <c r="C1801" s="105"/>
      <c r="D1801" s="104"/>
      <c r="F1801" s="106"/>
      <c r="G1801" s="104"/>
      <c r="H1801" s="106"/>
      <c r="I1801" s="106"/>
      <c r="J1801" s="101" t="str">
        <f t="shared" ca="1" si="28"/>
        <v/>
      </c>
    </row>
    <row r="1802" spans="1:10">
      <c r="A1802" s="103"/>
      <c r="B1802" s="104"/>
      <c r="C1802" s="105"/>
      <c r="D1802" s="104"/>
      <c r="F1802" s="106"/>
      <c r="G1802" s="104"/>
      <c r="H1802" s="106"/>
      <c r="I1802" s="106"/>
      <c r="J1802" s="101" t="str">
        <f t="shared" ca="1" si="28"/>
        <v/>
      </c>
    </row>
    <row r="1803" spans="1:10">
      <c r="A1803" s="103"/>
      <c r="B1803" s="104"/>
      <c r="C1803" s="105"/>
      <c r="D1803" s="104"/>
      <c r="F1803" s="106"/>
      <c r="G1803" s="104"/>
      <c r="H1803" s="106"/>
      <c r="I1803" s="106"/>
      <c r="J1803" s="101" t="str">
        <f t="shared" ca="1" si="28"/>
        <v/>
      </c>
    </row>
    <row r="1804" spans="1:10">
      <c r="A1804" s="103"/>
      <c r="B1804" s="104"/>
      <c r="C1804" s="105"/>
      <c r="D1804" s="104"/>
      <c r="F1804" s="106"/>
      <c r="G1804" s="104"/>
      <c r="H1804" s="106"/>
      <c r="I1804" s="106"/>
      <c r="J1804" s="101" t="str">
        <f t="shared" ca="1" si="28"/>
        <v/>
      </c>
    </row>
    <row r="1805" spans="1:10">
      <c r="A1805" s="103"/>
      <c r="B1805" s="104"/>
      <c r="C1805" s="105"/>
      <c r="D1805" s="104"/>
      <c r="F1805" s="106"/>
      <c r="G1805" s="104"/>
      <c r="H1805" s="106"/>
      <c r="I1805" s="106"/>
      <c r="J1805" s="101" t="str">
        <f t="shared" ca="1" si="28"/>
        <v/>
      </c>
    </row>
    <row r="1806" spans="1:10">
      <c r="A1806" s="103"/>
      <c r="B1806" s="104"/>
      <c r="C1806" s="105"/>
      <c r="D1806" s="104"/>
      <c r="F1806" s="106"/>
      <c r="G1806" s="104"/>
      <c r="H1806" s="106"/>
      <c r="I1806" s="106"/>
      <c r="J1806" s="101" t="str">
        <f t="shared" ca="1" si="28"/>
        <v/>
      </c>
    </row>
    <row r="1807" spans="1:10">
      <c r="A1807" s="103"/>
      <c r="B1807" s="104"/>
      <c r="C1807" s="105"/>
      <c r="D1807" s="104"/>
      <c r="F1807" s="106"/>
      <c r="G1807" s="104"/>
      <c r="H1807" s="106"/>
      <c r="I1807" s="106"/>
      <c r="J1807" s="101" t="str">
        <f t="shared" ca="1" si="28"/>
        <v/>
      </c>
    </row>
    <row r="1808" spans="1:10">
      <c r="A1808" s="103"/>
      <c r="B1808" s="104"/>
      <c r="C1808" s="105"/>
      <c r="D1808" s="104"/>
      <c r="F1808" s="106"/>
      <c r="G1808" s="104"/>
      <c r="H1808" s="106"/>
      <c r="I1808" s="106"/>
      <c r="J1808" s="101" t="str">
        <f t="shared" ca="1" si="28"/>
        <v/>
      </c>
    </row>
    <row r="1809" spans="1:10">
      <c r="A1809" s="103"/>
      <c r="B1809" s="104"/>
      <c r="C1809" s="105"/>
      <c r="D1809" s="104"/>
      <c r="F1809" s="106"/>
      <c r="G1809" s="104"/>
      <c r="H1809" s="106"/>
      <c r="I1809" s="106"/>
      <c r="J1809" s="101" t="str">
        <f t="shared" ca="1" si="28"/>
        <v/>
      </c>
    </row>
    <row r="1810" spans="1:10">
      <c r="A1810" s="103"/>
      <c r="B1810" s="104"/>
      <c r="C1810" s="105"/>
      <c r="D1810" s="104"/>
      <c r="F1810" s="106"/>
      <c r="G1810" s="104"/>
      <c r="H1810" s="106"/>
      <c r="I1810" s="106"/>
      <c r="J1810" s="101" t="str">
        <f t="shared" ca="1" si="28"/>
        <v/>
      </c>
    </row>
    <row r="1811" spans="1:10">
      <c r="A1811" s="103"/>
      <c r="B1811" s="104"/>
      <c r="C1811" s="105"/>
      <c r="D1811" s="104"/>
      <c r="F1811" s="106"/>
      <c r="G1811" s="104"/>
      <c r="H1811" s="106"/>
      <c r="I1811" s="106"/>
      <c r="J1811" s="101" t="str">
        <f t="shared" ca="1" si="28"/>
        <v/>
      </c>
    </row>
    <row r="1812" spans="1:10">
      <c r="A1812" s="103"/>
      <c r="B1812" s="104"/>
      <c r="C1812" s="105"/>
      <c r="D1812" s="104"/>
      <c r="F1812" s="106"/>
      <c r="G1812" s="104"/>
      <c r="H1812" s="106"/>
      <c r="I1812" s="106"/>
      <c r="J1812" s="101" t="str">
        <f t="shared" ca="1" si="28"/>
        <v/>
      </c>
    </row>
    <row r="1813" spans="1:10">
      <c r="A1813" s="103"/>
      <c r="B1813" s="104"/>
      <c r="C1813" s="105"/>
      <c r="D1813" s="104"/>
      <c r="F1813" s="106"/>
      <c r="G1813" s="104"/>
      <c r="H1813" s="106"/>
      <c r="I1813" s="106"/>
      <c r="J1813" s="101" t="str">
        <f t="shared" ca="1" si="28"/>
        <v/>
      </c>
    </row>
    <row r="1814" spans="1:10">
      <c r="A1814" s="103"/>
      <c r="B1814" s="104"/>
      <c r="C1814" s="105"/>
      <c r="D1814" s="104"/>
      <c r="F1814" s="106"/>
      <c r="G1814" s="104"/>
      <c r="H1814" s="106"/>
      <c r="I1814" s="106"/>
      <c r="J1814" s="101" t="str">
        <f t="shared" ca="1" si="28"/>
        <v/>
      </c>
    </row>
    <row r="1815" spans="1:10">
      <c r="A1815" s="103"/>
      <c r="B1815" s="104"/>
      <c r="C1815" s="105"/>
      <c r="D1815" s="104"/>
      <c r="F1815" s="106"/>
      <c r="G1815" s="104"/>
      <c r="H1815" s="106"/>
      <c r="I1815" s="106"/>
      <c r="J1815" s="101" t="str">
        <f t="shared" ca="1" si="28"/>
        <v/>
      </c>
    </row>
    <row r="1816" spans="1:10">
      <c r="A1816" s="103"/>
      <c r="B1816" s="104"/>
      <c r="C1816" s="105"/>
      <c r="D1816" s="104"/>
      <c r="F1816" s="106"/>
      <c r="G1816" s="104"/>
      <c r="H1816" s="106"/>
      <c r="I1816" s="106"/>
      <c r="J1816" s="101" t="str">
        <f t="shared" ca="1" si="28"/>
        <v/>
      </c>
    </row>
    <row r="1817" spans="1:10">
      <c r="A1817" s="103"/>
      <c r="B1817" s="104"/>
      <c r="C1817" s="105"/>
      <c r="D1817" s="104"/>
      <c r="F1817" s="106"/>
      <c r="G1817" s="104"/>
      <c r="H1817" s="106"/>
      <c r="I1817" s="106"/>
      <c r="J1817" s="101" t="str">
        <f t="shared" ca="1" si="28"/>
        <v/>
      </c>
    </row>
    <row r="1818" spans="1:10">
      <c r="A1818" s="103"/>
      <c r="B1818" s="104"/>
      <c r="C1818" s="105"/>
      <c r="D1818" s="104"/>
      <c r="F1818" s="106"/>
      <c r="G1818" s="104"/>
      <c r="H1818" s="106"/>
      <c r="I1818" s="106"/>
      <c r="J1818" s="101" t="str">
        <f t="shared" ca="1" si="28"/>
        <v/>
      </c>
    </row>
    <row r="1819" spans="1:10">
      <c r="A1819" s="103"/>
      <c r="B1819" s="104"/>
      <c r="C1819" s="105"/>
      <c r="D1819" s="104"/>
      <c r="F1819" s="106"/>
      <c r="G1819" s="104"/>
      <c r="H1819" s="106"/>
      <c r="I1819" s="106"/>
      <c r="J1819" s="101" t="str">
        <f t="shared" ca="1" si="28"/>
        <v/>
      </c>
    </row>
    <row r="1820" spans="1:10">
      <c r="A1820" s="103"/>
      <c r="B1820" s="104"/>
      <c r="C1820" s="105"/>
      <c r="D1820" s="104"/>
      <c r="F1820" s="106"/>
      <c r="G1820" s="104"/>
      <c r="H1820" s="106"/>
      <c r="I1820" s="106"/>
      <c r="J1820" s="101" t="str">
        <f t="shared" ca="1" si="28"/>
        <v/>
      </c>
    </row>
    <row r="1821" spans="1:10">
      <c r="A1821" s="103"/>
      <c r="B1821" s="104"/>
      <c r="C1821" s="105"/>
      <c r="D1821" s="104"/>
      <c r="F1821" s="106"/>
      <c r="G1821" s="104"/>
      <c r="H1821" s="106"/>
      <c r="I1821" s="106"/>
      <c r="J1821" s="101" t="str">
        <f t="shared" ca="1" si="28"/>
        <v/>
      </c>
    </row>
    <row r="1822" spans="1:10">
      <c r="A1822" s="103"/>
      <c r="B1822" s="104"/>
      <c r="C1822" s="105"/>
      <c r="D1822" s="104"/>
      <c r="F1822" s="106"/>
      <c r="G1822" s="104"/>
      <c r="H1822" s="106"/>
      <c r="I1822" s="106"/>
      <c r="J1822" s="101" t="str">
        <f t="shared" ca="1" si="28"/>
        <v/>
      </c>
    </row>
    <row r="1823" spans="1:10">
      <c r="A1823" s="103"/>
      <c r="B1823" s="104"/>
      <c r="C1823" s="105"/>
      <c r="D1823" s="104"/>
      <c r="F1823" s="106"/>
      <c r="G1823" s="104"/>
      <c r="H1823" s="106"/>
      <c r="I1823" s="106"/>
      <c r="J1823" s="101" t="str">
        <f t="shared" ca="1" si="28"/>
        <v/>
      </c>
    </row>
    <row r="1824" spans="1:10">
      <c r="A1824" s="103"/>
      <c r="B1824" s="104"/>
      <c r="C1824" s="105"/>
      <c r="D1824" s="104"/>
      <c r="F1824" s="106"/>
      <c r="G1824" s="104"/>
      <c r="H1824" s="106"/>
      <c r="I1824" s="106"/>
      <c r="J1824" s="101" t="str">
        <f t="shared" ca="1" si="28"/>
        <v/>
      </c>
    </row>
    <row r="1825" spans="1:10">
      <c r="A1825" s="103"/>
      <c r="B1825" s="104"/>
      <c r="C1825" s="105"/>
      <c r="D1825" s="104"/>
      <c r="F1825" s="106"/>
      <c r="G1825" s="104"/>
      <c r="H1825" s="106"/>
      <c r="I1825" s="106"/>
      <c r="J1825" s="101" t="str">
        <f t="shared" ca="1" si="28"/>
        <v/>
      </c>
    </row>
    <row r="1826" spans="1:10">
      <c r="A1826" s="103"/>
      <c r="B1826" s="104"/>
      <c r="C1826" s="105"/>
      <c r="D1826" s="104"/>
      <c r="F1826" s="106"/>
      <c r="G1826" s="104"/>
      <c r="H1826" s="106"/>
      <c r="I1826" s="106"/>
      <c r="J1826" s="101" t="str">
        <f t="shared" ca="1" si="28"/>
        <v/>
      </c>
    </row>
    <row r="1827" spans="1:10">
      <c r="A1827" s="103"/>
      <c r="B1827" s="104"/>
      <c r="C1827" s="105"/>
      <c r="D1827" s="104"/>
      <c r="F1827" s="106"/>
      <c r="G1827" s="104"/>
      <c r="H1827" s="106"/>
      <c r="I1827" s="106"/>
      <c r="J1827" s="101" t="str">
        <f t="shared" ca="1" si="28"/>
        <v/>
      </c>
    </row>
    <row r="1828" spans="1:10">
      <c r="A1828" s="103"/>
      <c r="B1828" s="104"/>
      <c r="C1828" s="105"/>
      <c r="D1828" s="104"/>
      <c r="F1828" s="106"/>
      <c r="G1828" s="104"/>
      <c r="H1828" s="106"/>
      <c r="I1828" s="106"/>
      <c r="J1828" s="101" t="str">
        <f t="shared" ca="1" si="28"/>
        <v/>
      </c>
    </row>
    <row r="1829" spans="1:10">
      <c r="A1829" s="103"/>
      <c r="B1829" s="104"/>
      <c r="C1829" s="105"/>
      <c r="D1829" s="104"/>
      <c r="F1829" s="106"/>
      <c r="G1829" s="104"/>
      <c r="H1829" s="106"/>
      <c r="I1829" s="106"/>
      <c r="J1829" s="101" t="str">
        <f t="shared" ca="1" si="28"/>
        <v/>
      </c>
    </row>
    <row r="1830" spans="1:10">
      <c r="A1830" s="103"/>
      <c r="B1830" s="104"/>
      <c r="C1830" s="105"/>
      <c r="D1830" s="104"/>
      <c r="F1830" s="106"/>
      <c r="G1830" s="104"/>
      <c r="H1830" s="106"/>
      <c r="I1830" s="106"/>
      <c r="J1830" s="101" t="str">
        <f t="shared" ca="1" si="28"/>
        <v/>
      </c>
    </row>
    <row r="1831" spans="1:10">
      <c r="A1831" s="103"/>
      <c r="B1831" s="104"/>
      <c r="C1831" s="105"/>
      <c r="D1831" s="104"/>
      <c r="F1831" s="106"/>
      <c r="G1831" s="104"/>
      <c r="H1831" s="106"/>
      <c r="I1831" s="106"/>
      <c r="J1831" s="101" t="str">
        <f t="shared" ca="1" si="28"/>
        <v/>
      </c>
    </row>
    <row r="1832" spans="1:10">
      <c r="A1832" s="103"/>
      <c r="B1832" s="104"/>
      <c r="C1832" s="105"/>
      <c r="D1832" s="104"/>
      <c r="F1832" s="106"/>
      <c r="G1832" s="104"/>
      <c r="H1832" s="106"/>
      <c r="I1832" s="106"/>
      <c r="J1832" s="101" t="str">
        <f t="shared" ca="1" si="28"/>
        <v/>
      </c>
    </row>
    <row r="1833" spans="1:10">
      <c r="A1833" s="103"/>
      <c r="B1833" s="104"/>
      <c r="C1833" s="105"/>
      <c r="D1833" s="104"/>
      <c r="F1833" s="106"/>
      <c r="G1833" s="104"/>
      <c r="H1833" s="106"/>
      <c r="I1833" s="106"/>
      <c r="J1833" s="101" t="str">
        <f t="shared" ca="1" si="28"/>
        <v/>
      </c>
    </row>
    <row r="1834" spans="1:10">
      <c r="A1834" s="103"/>
      <c r="B1834" s="104"/>
      <c r="C1834" s="105"/>
      <c r="D1834" s="104"/>
      <c r="F1834" s="106"/>
      <c r="G1834" s="104"/>
      <c r="H1834" s="106"/>
      <c r="I1834" s="106"/>
      <c r="J1834" s="101" t="str">
        <f t="shared" ca="1" si="28"/>
        <v/>
      </c>
    </row>
    <row r="1835" spans="1:10">
      <c r="A1835" s="103"/>
      <c r="B1835" s="104"/>
      <c r="C1835" s="105"/>
      <c r="D1835" s="104"/>
      <c r="F1835" s="106"/>
      <c r="G1835" s="104"/>
      <c r="H1835" s="106"/>
      <c r="I1835" s="106"/>
      <c r="J1835" s="101" t="str">
        <f t="shared" ca="1" si="28"/>
        <v/>
      </c>
    </row>
    <row r="1836" spans="1:10">
      <c r="A1836" s="103"/>
      <c r="B1836" s="104"/>
      <c r="C1836" s="105"/>
      <c r="D1836" s="104"/>
      <c r="F1836" s="106"/>
      <c r="G1836" s="104"/>
      <c r="H1836" s="106"/>
      <c r="I1836" s="106"/>
      <c r="J1836" s="101" t="str">
        <f t="shared" ca="1" si="28"/>
        <v/>
      </c>
    </row>
    <row r="1837" spans="1:10">
      <c r="A1837" s="103"/>
      <c r="B1837" s="104"/>
      <c r="C1837" s="105"/>
      <c r="D1837" s="104"/>
      <c r="F1837" s="106"/>
      <c r="G1837" s="104"/>
      <c r="H1837" s="106"/>
      <c r="I1837" s="106"/>
      <c r="J1837" s="101" t="str">
        <f t="shared" ca="1" si="28"/>
        <v/>
      </c>
    </row>
    <row r="1838" spans="1:10">
      <c r="A1838" s="103"/>
      <c r="B1838" s="104"/>
      <c r="C1838" s="105"/>
      <c r="D1838" s="104"/>
      <c r="F1838" s="106"/>
      <c r="G1838" s="104"/>
      <c r="H1838" s="106"/>
      <c r="I1838" s="106"/>
      <c r="J1838" s="101" t="str">
        <f t="shared" ca="1" si="28"/>
        <v/>
      </c>
    </row>
    <row r="1839" spans="1:10">
      <c r="A1839" s="103"/>
      <c r="B1839" s="104"/>
      <c r="C1839" s="105"/>
      <c r="D1839" s="104"/>
      <c r="F1839" s="106"/>
      <c r="G1839" s="104"/>
      <c r="H1839" s="106"/>
      <c r="I1839" s="106"/>
      <c r="J1839" s="101" t="str">
        <f t="shared" ca="1" si="28"/>
        <v/>
      </c>
    </row>
    <row r="1840" spans="1:10">
      <c r="A1840" s="103"/>
      <c r="B1840" s="104"/>
      <c r="C1840" s="105"/>
      <c r="D1840" s="104"/>
      <c r="F1840" s="106"/>
      <c r="G1840" s="104"/>
      <c r="H1840" s="106"/>
      <c r="I1840" s="106"/>
      <c r="J1840" s="101" t="str">
        <f t="shared" ca="1" si="28"/>
        <v/>
      </c>
    </row>
    <row r="1841" spans="1:10">
      <c r="A1841" s="103"/>
      <c r="B1841" s="104"/>
      <c r="C1841" s="105"/>
      <c r="D1841" s="104"/>
      <c r="F1841" s="106"/>
      <c r="G1841" s="104"/>
      <c r="H1841" s="106"/>
      <c r="I1841" s="106"/>
      <c r="J1841" s="101" t="str">
        <f t="shared" ca="1" si="28"/>
        <v/>
      </c>
    </row>
    <row r="1842" spans="1:10">
      <c r="A1842" s="103"/>
      <c r="B1842" s="104"/>
      <c r="C1842" s="105"/>
      <c r="D1842" s="104"/>
      <c r="F1842" s="106"/>
      <c r="G1842" s="104"/>
      <c r="H1842" s="106"/>
      <c r="I1842" s="106"/>
      <c r="J1842" s="101" t="str">
        <f t="shared" ca="1" si="28"/>
        <v/>
      </c>
    </row>
    <row r="1843" spans="1:10">
      <c r="A1843" s="103"/>
      <c r="B1843" s="104"/>
      <c r="C1843" s="105"/>
      <c r="D1843" s="104"/>
      <c r="F1843" s="106"/>
      <c r="G1843" s="104"/>
      <c r="H1843" s="106"/>
      <c r="I1843" s="106"/>
      <c r="J1843" s="101" t="str">
        <f t="shared" ca="1" si="28"/>
        <v/>
      </c>
    </row>
    <row r="1844" spans="1:10">
      <c r="A1844" s="103"/>
      <c r="B1844" s="104"/>
      <c r="C1844" s="105"/>
      <c r="D1844" s="104"/>
      <c r="F1844" s="106"/>
      <c r="G1844" s="104"/>
      <c r="H1844" s="106"/>
      <c r="I1844" s="106"/>
      <c r="J1844" s="101" t="str">
        <f t="shared" ca="1" si="28"/>
        <v/>
      </c>
    </row>
    <row r="1845" spans="1:10">
      <c r="A1845" s="103"/>
      <c r="B1845" s="104"/>
      <c r="C1845" s="105"/>
      <c r="D1845" s="104"/>
      <c r="F1845" s="106"/>
      <c r="G1845" s="104"/>
      <c r="H1845" s="106"/>
      <c r="I1845" s="106"/>
      <c r="J1845" s="101" t="str">
        <f t="shared" ca="1" si="28"/>
        <v/>
      </c>
    </row>
    <row r="1846" spans="1:10">
      <c r="A1846" s="103"/>
      <c r="B1846" s="104"/>
      <c r="C1846" s="105"/>
      <c r="D1846" s="104"/>
      <c r="F1846" s="106"/>
      <c r="G1846" s="104"/>
      <c r="H1846" s="106"/>
      <c r="I1846" s="106"/>
      <c r="J1846" s="101" t="str">
        <f t="shared" ca="1" si="28"/>
        <v/>
      </c>
    </row>
    <row r="1847" spans="1:10">
      <c r="A1847" s="103"/>
      <c r="B1847" s="104"/>
      <c r="C1847" s="105"/>
      <c r="D1847" s="104"/>
      <c r="F1847" s="106"/>
      <c r="G1847" s="104"/>
      <c r="H1847" s="106"/>
      <c r="I1847" s="106"/>
      <c r="J1847" s="101" t="str">
        <f t="shared" ca="1" si="28"/>
        <v/>
      </c>
    </row>
    <row r="1848" spans="1:10">
      <c r="A1848" s="103"/>
      <c r="B1848" s="104"/>
      <c r="C1848" s="105"/>
      <c r="D1848" s="104"/>
      <c r="F1848" s="106"/>
      <c r="G1848" s="104"/>
      <c r="H1848" s="106"/>
      <c r="I1848" s="106"/>
      <c r="J1848" s="101" t="str">
        <f t="shared" ca="1" si="28"/>
        <v/>
      </c>
    </row>
    <row r="1849" spans="1:10">
      <c r="A1849" s="103"/>
      <c r="B1849" s="104"/>
      <c r="C1849" s="105"/>
      <c r="D1849" s="104"/>
      <c r="F1849" s="106"/>
      <c r="G1849" s="104"/>
      <c r="H1849" s="106"/>
      <c r="I1849" s="106"/>
      <c r="J1849" s="101" t="str">
        <f t="shared" ca="1" si="28"/>
        <v/>
      </c>
    </row>
    <row r="1850" spans="1:10">
      <c r="A1850" s="103"/>
      <c r="B1850" s="104"/>
      <c r="C1850" s="105"/>
      <c r="D1850" s="104"/>
      <c r="F1850" s="106"/>
      <c r="G1850" s="104"/>
      <c r="H1850" s="106"/>
      <c r="I1850" s="106"/>
      <c r="J1850" s="101" t="str">
        <f t="shared" ca="1" si="28"/>
        <v/>
      </c>
    </row>
    <row r="1851" spans="1:10">
      <c r="A1851" s="103"/>
      <c r="B1851" s="104"/>
      <c r="C1851" s="105"/>
      <c r="D1851" s="104"/>
      <c r="F1851" s="106"/>
      <c r="G1851" s="104"/>
      <c r="H1851" s="106"/>
      <c r="I1851" s="106"/>
      <c r="J1851" s="101" t="str">
        <f t="shared" ca="1" si="28"/>
        <v/>
      </c>
    </row>
    <row r="1852" spans="1:10">
      <c r="A1852" s="103"/>
      <c r="B1852" s="104"/>
      <c r="C1852" s="105"/>
      <c r="D1852" s="104"/>
      <c r="F1852" s="106"/>
      <c r="G1852" s="104"/>
      <c r="H1852" s="106"/>
      <c r="I1852" s="106"/>
      <c r="J1852" s="101" t="str">
        <f t="shared" ca="1" si="28"/>
        <v/>
      </c>
    </row>
    <row r="1853" spans="1:10">
      <c r="A1853" s="103"/>
      <c r="B1853" s="104"/>
      <c r="C1853" s="105"/>
      <c r="D1853" s="104"/>
      <c r="F1853" s="106"/>
      <c r="G1853" s="104"/>
      <c r="H1853" s="106"/>
      <c r="I1853" s="106"/>
      <c r="J1853" s="101" t="str">
        <f t="shared" ca="1" si="28"/>
        <v/>
      </c>
    </row>
    <row r="1854" spans="1:10">
      <c r="A1854" s="103"/>
      <c r="B1854" s="104"/>
      <c r="C1854" s="105"/>
      <c r="D1854" s="104"/>
      <c r="F1854" s="106"/>
      <c r="G1854" s="104"/>
      <c r="H1854" s="106"/>
      <c r="I1854" s="106"/>
      <c r="J1854" s="101" t="str">
        <f t="shared" ca="1" si="28"/>
        <v/>
      </c>
    </row>
    <row r="1855" spans="1:10">
      <c r="A1855" s="103"/>
      <c r="B1855" s="104"/>
      <c r="C1855" s="105"/>
      <c r="D1855" s="104"/>
      <c r="F1855" s="106"/>
      <c r="G1855" s="104"/>
      <c r="H1855" s="106"/>
      <c r="I1855" s="106"/>
      <c r="J1855" s="101" t="str">
        <f t="shared" ca="1" si="28"/>
        <v/>
      </c>
    </row>
    <row r="1856" spans="1:10">
      <c r="A1856" s="103"/>
      <c r="B1856" s="104"/>
      <c r="C1856" s="105"/>
      <c r="D1856" s="104"/>
      <c r="F1856" s="106"/>
      <c r="G1856" s="104"/>
      <c r="H1856" s="106"/>
      <c r="I1856" s="106"/>
      <c r="J1856" s="101" t="str">
        <f t="shared" ca="1" si="28"/>
        <v/>
      </c>
    </row>
    <row r="1857" spans="1:10">
      <c r="A1857" s="103"/>
      <c r="B1857" s="104"/>
      <c r="C1857" s="105"/>
      <c r="D1857" s="104"/>
      <c r="F1857" s="106"/>
      <c r="G1857" s="104"/>
      <c r="H1857" s="106"/>
      <c r="I1857" s="106"/>
      <c r="J1857" s="101" t="str">
        <f t="shared" ca="1" si="28"/>
        <v/>
      </c>
    </row>
    <row r="1858" spans="1:10">
      <c r="A1858" s="103"/>
      <c r="B1858" s="104"/>
      <c r="C1858" s="105"/>
      <c r="D1858" s="104"/>
      <c r="F1858" s="106"/>
      <c r="G1858" s="104"/>
      <c r="H1858" s="106"/>
      <c r="I1858" s="106"/>
      <c r="J1858" s="101" t="str">
        <f t="shared" ca="1" si="28"/>
        <v/>
      </c>
    </row>
    <row r="1859" spans="1:10">
      <c r="A1859" s="103"/>
      <c r="B1859" s="104"/>
      <c r="C1859" s="105"/>
      <c r="D1859" s="104"/>
      <c r="F1859" s="106"/>
      <c r="G1859" s="104"/>
      <c r="H1859" s="106"/>
      <c r="I1859" s="106"/>
      <c r="J1859" s="101" t="str">
        <f t="shared" ref="J1859:J1922" ca="1" si="29">_xlfn.LET(
    _xlpm.AllCellsFilled, COUNTA(A1859:I1859) = 9,
    _xlpm.QtyIsInt, AND(ISNUMBER(G1859), G1859=INT(G1859)),
    _xlpm.AvailDateIsValid, AND(ISNUMBER(F1859), F1859&gt;=TODAY()),
    _xlpm.ReqDateIsValid, AND(ISNUMBER(H1859), H1859&gt;=TODAY()),
    _xlpm.EmailIsValid, RIGHT(I1859,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IF(A1859="", "", IF(_xlpm.error_messages = "", "Yes", _xlpm.error_messages))
)</f>
        <v/>
      </c>
    </row>
    <row r="1860" spans="1:10">
      <c r="A1860" s="103"/>
      <c r="B1860" s="104"/>
      <c r="C1860" s="105"/>
      <c r="D1860" s="104"/>
      <c r="F1860" s="106"/>
      <c r="G1860" s="104"/>
      <c r="H1860" s="106"/>
      <c r="I1860" s="106"/>
      <c r="J1860" s="101" t="str">
        <f t="shared" ca="1" si="29"/>
        <v/>
      </c>
    </row>
    <row r="1861" spans="1:10">
      <c r="A1861" s="103"/>
      <c r="B1861" s="104"/>
      <c r="C1861" s="105"/>
      <c r="D1861" s="104"/>
      <c r="F1861" s="106"/>
      <c r="G1861" s="104"/>
      <c r="H1861" s="106"/>
      <c r="I1861" s="106"/>
      <c r="J1861" s="101" t="str">
        <f t="shared" ca="1" si="29"/>
        <v/>
      </c>
    </row>
    <row r="1862" spans="1:10">
      <c r="A1862" s="103"/>
      <c r="B1862" s="104"/>
      <c r="C1862" s="105"/>
      <c r="D1862" s="104"/>
      <c r="F1862" s="106"/>
      <c r="G1862" s="104"/>
      <c r="H1862" s="106"/>
      <c r="I1862" s="106"/>
      <c r="J1862" s="101" t="str">
        <f t="shared" ca="1" si="29"/>
        <v/>
      </c>
    </row>
    <row r="1863" spans="1:10">
      <c r="A1863" s="103"/>
      <c r="B1863" s="104"/>
      <c r="C1863" s="105"/>
      <c r="D1863" s="104"/>
      <c r="F1863" s="106"/>
      <c r="G1863" s="104"/>
      <c r="H1863" s="106"/>
      <c r="I1863" s="106"/>
      <c r="J1863" s="101" t="str">
        <f t="shared" ca="1" si="29"/>
        <v/>
      </c>
    </row>
    <row r="1864" spans="1:10">
      <c r="A1864" s="103"/>
      <c r="B1864" s="104"/>
      <c r="C1864" s="105"/>
      <c r="D1864" s="104"/>
      <c r="F1864" s="106"/>
      <c r="G1864" s="104"/>
      <c r="H1864" s="106"/>
      <c r="I1864" s="106"/>
      <c r="J1864" s="101" t="str">
        <f t="shared" ca="1" si="29"/>
        <v/>
      </c>
    </row>
    <row r="1865" spans="1:10">
      <c r="A1865" s="103"/>
      <c r="B1865" s="104"/>
      <c r="C1865" s="105"/>
      <c r="D1865" s="104"/>
      <c r="F1865" s="106"/>
      <c r="G1865" s="104"/>
      <c r="H1865" s="106"/>
      <c r="I1865" s="106"/>
      <c r="J1865" s="101" t="str">
        <f t="shared" ca="1" si="29"/>
        <v/>
      </c>
    </row>
    <row r="1866" spans="1:10">
      <c r="A1866" s="103"/>
      <c r="B1866" s="104"/>
      <c r="C1866" s="105"/>
      <c r="D1866" s="104"/>
      <c r="F1866" s="106"/>
      <c r="G1866" s="104"/>
      <c r="H1866" s="106"/>
      <c r="I1866" s="106"/>
      <c r="J1866" s="101" t="str">
        <f t="shared" ca="1" si="29"/>
        <v/>
      </c>
    </row>
    <row r="1867" spans="1:10">
      <c r="A1867" s="103"/>
      <c r="B1867" s="104"/>
      <c r="C1867" s="105"/>
      <c r="D1867" s="104"/>
      <c r="F1867" s="106"/>
      <c r="G1867" s="104"/>
      <c r="H1867" s="106"/>
      <c r="I1867" s="106"/>
      <c r="J1867" s="101" t="str">
        <f t="shared" ca="1" si="29"/>
        <v/>
      </c>
    </row>
    <row r="1868" spans="1:10">
      <c r="A1868" s="103"/>
      <c r="B1868" s="104"/>
      <c r="C1868" s="105"/>
      <c r="D1868" s="104"/>
      <c r="F1868" s="106"/>
      <c r="G1868" s="104"/>
      <c r="H1868" s="106"/>
      <c r="I1868" s="106"/>
      <c r="J1868" s="101" t="str">
        <f t="shared" ca="1" si="29"/>
        <v/>
      </c>
    </row>
    <row r="1869" spans="1:10">
      <c r="A1869" s="103"/>
      <c r="B1869" s="104"/>
      <c r="C1869" s="105"/>
      <c r="D1869" s="104"/>
      <c r="F1869" s="106"/>
      <c r="G1869" s="104"/>
      <c r="H1869" s="106"/>
      <c r="I1869" s="106"/>
      <c r="J1869" s="101" t="str">
        <f t="shared" ca="1" si="29"/>
        <v/>
      </c>
    </row>
    <row r="1870" spans="1:10">
      <c r="A1870" s="103"/>
      <c r="B1870" s="104"/>
      <c r="C1870" s="105"/>
      <c r="D1870" s="104"/>
      <c r="F1870" s="106"/>
      <c r="G1870" s="104"/>
      <c r="H1870" s="106"/>
      <c r="I1870" s="106"/>
      <c r="J1870" s="101" t="str">
        <f t="shared" ca="1" si="29"/>
        <v/>
      </c>
    </row>
    <row r="1871" spans="1:10">
      <c r="A1871" s="103"/>
      <c r="B1871" s="104"/>
      <c r="C1871" s="105"/>
      <c r="D1871" s="104"/>
      <c r="F1871" s="106"/>
      <c r="G1871" s="104"/>
      <c r="H1871" s="106"/>
      <c r="I1871" s="106"/>
      <c r="J1871" s="101" t="str">
        <f t="shared" ca="1" si="29"/>
        <v/>
      </c>
    </row>
    <row r="1872" spans="1:10">
      <c r="A1872" s="103"/>
      <c r="B1872" s="104"/>
      <c r="C1872" s="105"/>
      <c r="D1872" s="104"/>
      <c r="F1872" s="106"/>
      <c r="G1872" s="104"/>
      <c r="H1872" s="106"/>
      <c r="I1872" s="106"/>
      <c r="J1872" s="101" t="str">
        <f t="shared" ca="1" si="29"/>
        <v/>
      </c>
    </row>
    <row r="1873" spans="1:10">
      <c r="A1873" s="103"/>
      <c r="B1873" s="104"/>
      <c r="C1873" s="105"/>
      <c r="D1873" s="104"/>
      <c r="F1873" s="106"/>
      <c r="G1873" s="104"/>
      <c r="H1873" s="106"/>
      <c r="I1873" s="106"/>
      <c r="J1873" s="101" t="str">
        <f t="shared" ca="1" si="29"/>
        <v/>
      </c>
    </row>
    <row r="1874" spans="1:10">
      <c r="A1874" s="103"/>
      <c r="B1874" s="104"/>
      <c r="C1874" s="105"/>
      <c r="D1874" s="104"/>
      <c r="F1874" s="106"/>
      <c r="G1874" s="104"/>
      <c r="H1874" s="106"/>
      <c r="I1874" s="106"/>
      <c r="J1874" s="101" t="str">
        <f t="shared" ca="1" si="29"/>
        <v/>
      </c>
    </row>
    <row r="1875" spans="1:10">
      <c r="A1875" s="103"/>
      <c r="B1875" s="104"/>
      <c r="C1875" s="105"/>
      <c r="D1875" s="104"/>
      <c r="F1875" s="106"/>
      <c r="G1875" s="104"/>
      <c r="H1875" s="106"/>
      <c r="I1875" s="106"/>
      <c r="J1875" s="101" t="str">
        <f t="shared" ca="1" si="29"/>
        <v/>
      </c>
    </row>
    <row r="1876" spans="1:10">
      <c r="A1876" s="103"/>
      <c r="B1876" s="104"/>
      <c r="C1876" s="105"/>
      <c r="D1876" s="104"/>
      <c r="F1876" s="106"/>
      <c r="G1876" s="104"/>
      <c r="H1876" s="106"/>
      <c r="I1876" s="106"/>
      <c r="J1876" s="101" t="str">
        <f t="shared" ca="1" si="29"/>
        <v/>
      </c>
    </row>
    <row r="1877" spans="1:10">
      <c r="A1877" s="103"/>
      <c r="B1877" s="104"/>
      <c r="C1877" s="105"/>
      <c r="D1877" s="104"/>
      <c r="F1877" s="106"/>
      <c r="G1877" s="104"/>
      <c r="H1877" s="106"/>
      <c r="I1877" s="106"/>
      <c r="J1877" s="101" t="str">
        <f t="shared" ca="1" si="29"/>
        <v/>
      </c>
    </row>
    <row r="1878" spans="1:10">
      <c r="A1878" s="103"/>
      <c r="B1878" s="104"/>
      <c r="C1878" s="105"/>
      <c r="D1878" s="104"/>
      <c r="F1878" s="106"/>
      <c r="G1878" s="104"/>
      <c r="H1878" s="106"/>
      <c r="I1878" s="106"/>
      <c r="J1878" s="101" t="str">
        <f t="shared" ca="1" si="29"/>
        <v/>
      </c>
    </row>
    <row r="1879" spans="1:10">
      <c r="A1879" s="103"/>
      <c r="B1879" s="104"/>
      <c r="C1879" s="105"/>
      <c r="D1879" s="104"/>
      <c r="F1879" s="106"/>
      <c r="G1879" s="104"/>
      <c r="H1879" s="106"/>
      <c r="I1879" s="106"/>
      <c r="J1879" s="101" t="str">
        <f t="shared" ca="1" si="29"/>
        <v/>
      </c>
    </row>
    <row r="1880" spans="1:10">
      <c r="A1880" s="103"/>
      <c r="B1880" s="104"/>
      <c r="C1880" s="105"/>
      <c r="D1880" s="104"/>
      <c r="F1880" s="106"/>
      <c r="G1880" s="104"/>
      <c r="H1880" s="106"/>
      <c r="I1880" s="106"/>
      <c r="J1880" s="101" t="str">
        <f t="shared" ca="1" si="29"/>
        <v/>
      </c>
    </row>
    <row r="1881" spans="1:10">
      <c r="A1881" s="103"/>
      <c r="B1881" s="104"/>
      <c r="C1881" s="105"/>
      <c r="D1881" s="104"/>
      <c r="F1881" s="106"/>
      <c r="G1881" s="104"/>
      <c r="H1881" s="106"/>
      <c r="I1881" s="106"/>
      <c r="J1881" s="101" t="str">
        <f t="shared" ca="1" si="29"/>
        <v/>
      </c>
    </row>
    <row r="1882" spans="1:10">
      <c r="A1882" s="103"/>
      <c r="B1882" s="104"/>
      <c r="C1882" s="105"/>
      <c r="D1882" s="104"/>
      <c r="F1882" s="106"/>
      <c r="G1882" s="104"/>
      <c r="H1882" s="106"/>
      <c r="I1882" s="106"/>
      <c r="J1882" s="101" t="str">
        <f t="shared" ca="1" si="29"/>
        <v/>
      </c>
    </row>
    <row r="1883" spans="1:10">
      <c r="A1883" s="103"/>
      <c r="B1883" s="104"/>
      <c r="C1883" s="105"/>
      <c r="D1883" s="104"/>
      <c r="F1883" s="106"/>
      <c r="G1883" s="104"/>
      <c r="H1883" s="106"/>
      <c r="I1883" s="106"/>
      <c r="J1883" s="101" t="str">
        <f t="shared" ca="1" si="29"/>
        <v/>
      </c>
    </row>
    <row r="1884" spans="1:10">
      <c r="A1884" s="103"/>
      <c r="B1884" s="104"/>
      <c r="C1884" s="105"/>
      <c r="D1884" s="104"/>
      <c r="F1884" s="106"/>
      <c r="G1884" s="104"/>
      <c r="H1884" s="106"/>
      <c r="I1884" s="106"/>
      <c r="J1884" s="101" t="str">
        <f t="shared" ca="1" si="29"/>
        <v/>
      </c>
    </row>
    <row r="1885" spans="1:10">
      <c r="A1885" s="103"/>
      <c r="B1885" s="104"/>
      <c r="C1885" s="105"/>
      <c r="D1885" s="104"/>
      <c r="F1885" s="106"/>
      <c r="G1885" s="104"/>
      <c r="H1885" s="106"/>
      <c r="I1885" s="106"/>
      <c r="J1885" s="101" t="str">
        <f t="shared" ca="1" si="29"/>
        <v/>
      </c>
    </row>
    <row r="1886" spans="1:10">
      <c r="A1886" s="103"/>
      <c r="B1886" s="104"/>
      <c r="C1886" s="105"/>
      <c r="D1886" s="104"/>
      <c r="F1886" s="106"/>
      <c r="G1886" s="104"/>
      <c r="H1886" s="106"/>
      <c r="I1886" s="106"/>
      <c r="J1886" s="101" t="str">
        <f t="shared" ca="1" si="29"/>
        <v/>
      </c>
    </row>
    <row r="1887" spans="1:10">
      <c r="A1887" s="103"/>
      <c r="B1887" s="104"/>
      <c r="C1887" s="105"/>
      <c r="D1887" s="104"/>
      <c r="F1887" s="106"/>
      <c r="G1887" s="104"/>
      <c r="H1887" s="106"/>
      <c r="I1887" s="106"/>
      <c r="J1887" s="101" t="str">
        <f t="shared" ca="1" si="29"/>
        <v/>
      </c>
    </row>
    <row r="1888" spans="1:10">
      <c r="A1888" s="103"/>
      <c r="B1888" s="104"/>
      <c r="C1888" s="105"/>
      <c r="D1888" s="104"/>
      <c r="F1888" s="106"/>
      <c r="G1888" s="104"/>
      <c r="H1888" s="106"/>
      <c r="I1888" s="106"/>
      <c r="J1888" s="101" t="str">
        <f t="shared" ca="1" si="29"/>
        <v/>
      </c>
    </row>
    <row r="1889" spans="1:10">
      <c r="A1889" s="103"/>
      <c r="B1889" s="104"/>
      <c r="C1889" s="105"/>
      <c r="D1889" s="104"/>
      <c r="F1889" s="106"/>
      <c r="G1889" s="104"/>
      <c r="H1889" s="106"/>
      <c r="I1889" s="106"/>
      <c r="J1889" s="101" t="str">
        <f t="shared" ca="1" si="29"/>
        <v/>
      </c>
    </row>
    <row r="1890" spans="1:10">
      <c r="A1890" s="103"/>
      <c r="B1890" s="104"/>
      <c r="C1890" s="105"/>
      <c r="D1890" s="104"/>
      <c r="F1890" s="106"/>
      <c r="G1890" s="104"/>
      <c r="H1890" s="106"/>
      <c r="I1890" s="106"/>
      <c r="J1890" s="101" t="str">
        <f t="shared" ca="1" si="29"/>
        <v/>
      </c>
    </row>
    <row r="1891" spans="1:10">
      <c r="A1891" s="103"/>
      <c r="B1891" s="104"/>
      <c r="C1891" s="105"/>
      <c r="D1891" s="104"/>
      <c r="F1891" s="106"/>
      <c r="G1891" s="104"/>
      <c r="H1891" s="106"/>
      <c r="I1891" s="106"/>
      <c r="J1891" s="101" t="str">
        <f t="shared" ca="1" si="29"/>
        <v/>
      </c>
    </row>
    <row r="1892" spans="1:10">
      <c r="A1892" s="103"/>
      <c r="B1892" s="104"/>
      <c r="C1892" s="105"/>
      <c r="D1892" s="104"/>
      <c r="F1892" s="106"/>
      <c r="G1892" s="104"/>
      <c r="H1892" s="106"/>
      <c r="I1892" s="106"/>
      <c r="J1892" s="101" t="str">
        <f t="shared" ca="1" si="29"/>
        <v/>
      </c>
    </row>
    <row r="1893" spans="1:10">
      <c r="A1893" s="103"/>
      <c r="B1893" s="104"/>
      <c r="C1893" s="105"/>
      <c r="D1893" s="104"/>
      <c r="F1893" s="106"/>
      <c r="G1893" s="104"/>
      <c r="H1893" s="106"/>
      <c r="I1893" s="106"/>
      <c r="J1893" s="101" t="str">
        <f t="shared" ca="1" si="29"/>
        <v/>
      </c>
    </row>
    <row r="1894" spans="1:10">
      <c r="A1894" s="103"/>
      <c r="B1894" s="104"/>
      <c r="C1894" s="105"/>
      <c r="D1894" s="104"/>
      <c r="F1894" s="106"/>
      <c r="G1894" s="104"/>
      <c r="H1894" s="106"/>
      <c r="I1894" s="106"/>
      <c r="J1894" s="101" t="str">
        <f t="shared" ca="1" si="29"/>
        <v/>
      </c>
    </row>
    <row r="1895" spans="1:10">
      <c r="A1895" s="103"/>
      <c r="B1895" s="104"/>
      <c r="C1895" s="105"/>
      <c r="D1895" s="104"/>
      <c r="F1895" s="106"/>
      <c r="G1895" s="104"/>
      <c r="H1895" s="106"/>
      <c r="I1895" s="106"/>
      <c r="J1895" s="101" t="str">
        <f t="shared" ca="1" si="29"/>
        <v/>
      </c>
    </row>
    <row r="1896" spans="1:10">
      <c r="A1896" s="103"/>
      <c r="B1896" s="104"/>
      <c r="C1896" s="105"/>
      <c r="D1896" s="104"/>
      <c r="F1896" s="106"/>
      <c r="G1896" s="104"/>
      <c r="H1896" s="106"/>
      <c r="I1896" s="106"/>
      <c r="J1896" s="101" t="str">
        <f t="shared" ca="1" si="29"/>
        <v/>
      </c>
    </row>
    <row r="1897" spans="1:10">
      <c r="A1897" s="103"/>
      <c r="B1897" s="104"/>
      <c r="C1897" s="105"/>
      <c r="D1897" s="104"/>
      <c r="F1897" s="106"/>
      <c r="G1897" s="104"/>
      <c r="H1897" s="106"/>
      <c r="I1897" s="106"/>
      <c r="J1897" s="101" t="str">
        <f t="shared" ca="1" si="29"/>
        <v/>
      </c>
    </row>
    <row r="1898" spans="1:10">
      <c r="A1898" s="103"/>
      <c r="B1898" s="104"/>
      <c r="C1898" s="105"/>
      <c r="D1898" s="104"/>
      <c r="F1898" s="106"/>
      <c r="G1898" s="104"/>
      <c r="H1898" s="106"/>
      <c r="I1898" s="106"/>
      <c r="J1898" s="101" t="str">
        <f t="shared" ca="1" si="29"/>
        <v/>
      </c>
    </row>
    <row r="1899" spans="1:10">
      <c r="A1899" s="103"/>
      <c r="B1899" s="104"/>
      <c r="C1899" s="105"/>
      <c r="D1899" s="104"/>
      <c r="F1899" s="106"/>
      <c r="G1899" s="104"/>
      <c r="H1899" s="106"/>
      <c r="I1899" s="106"/>
      <c r="J1899" s="101" t="str">
        <f t="shared" ca="1" si="29"/>
        <v/>
      </c>
    </row>
    <row r="1900" spans="1:10">
      <c r="A1900" s="103"/>
      <c r="B1900" s="104"/>
      <c r="C1900" s="105"/>
      <c r="D1900" s="104"/>
      <c r="F1900" s="106"/>
      <c r="G1900" s="104"/>
      <c r="H1900" s="106"/>
      <c r="I1900" s="106"/>
      <c r="J1900" s="101" t="str">
        <f t="shared" ca="1" si="29"/>
        <v/>
      </c>
    </row>
    <row r="1901" spans="1:10">
      <c r="A1901" s="103"/>
      <c r="B1901" s="104"/>
      <c r="C1901" s="105"/>
      <c r="D1901" s="104"/>
      <c r="F1901" s="106"/>
      <c r="G1901" s="104"/>
      <c r="H1901" s="106"/>
      <c r="I1901" s="106"/>
      <c r="J1901" s="101" t="str">
        <f t="shared" ca="1" si="29"/>
        <v/>
      </c>
    </row>
    <row r="1902" spans="1:10">
      <c r="A1902" s="103"/>
      <c r="B1902" s="104"/>
      <c r="C1902" s="105"/>
      <c r="D1902" s="104"/>
      <c r="F1902" s="106"/>
      <c r="G1902" s="104"/>
      <c r="H1902" s="106"/>
      <c r="I1902" s="106"/>
      <c r="J1902" s="101" t="str">
        <f t="shared" ca="1" si="29"/>
        <v/>
      </c>
    </row>
    <row r="1903" spans="1:10">
      <c r="A1903" s="103"/>
      <c r="B1903" s="104"/>
      <c r="C1903" s="105"/>
      <c r="D1903" s="104"/>
      <c r="F1903" s="106"/>
      <c r="G1903" s="104"/>
      <c r="H1903" s="106"/>
      <c r="I1903" s="106"/>
      <c r="J1903" s="101" t="str">
        <f t="shared" ca="1" si="29"/>
        <v/>
      </c>
    </row>
    <row r="1904" spans="1:10">
      <c r="A1904" s="103"/>
      <c r="B1904" s="104"/>
      <c r="C1904" s="105"/>
      <c r="D1904" s="104"/>
      <c r="F1904" s="106"/>
      <c r="G1904" s="104"/>
      <c r="H1904" s="106"/>
      <c r="I1904" s="106"/>
      <c r="J1904" s="101" t="str">
        <f t="shared" ca="1" si="29"/>
        <v/>
      </c>
    </row>
    <row r="1905" spans="1:10">
      <c r="A1905" s="103"/>
      <c r="B1905" s="104"/>
      <c r="C1905" s="105"/>
      <c r="D1905" s="104"/>
      <c r="F1905" s="106"/>
      <c r="G1905" s="104"/>
      <c r="H1905" s="106"/>
      <c r="I1905" s="106"/>
      <c r="J1905" s="101" t="str">
        <f t="shared" ca="1" si="29"/>
        <v/>
      </c>
    </row>
    <row r="1906" spans="1:10">
      <c r="A1906" s="103"/>
      <c r="B1906" s="104"/>
      <c r="C1906" s="105"/>
      <c r="D1906" s="104"/>
      <c r="F1906" s="106"/>
      <c r="G1906" s="104"/>
      <c r="H1906" s="106"/>
      <c r="I1906" s="106"/>
      <c r="J1906" s="101" t="str">
        <f t="shared" ca="1" si="29"/>
        <v/>
      </c>
    </row>
    <row r="1907" spans="1:10">
      <c r="A1907" s="103"/>
      <c r="B1907" s="104"/>
      <c r="C1907" s="105"/>
      <c r="D1907" s="104"/>
      <c r="F1907" s="106"/>
      <c r="G1907" s="104"/>
      <c r="H1907" s="106"/>
      <c r="I1907" s="106"/>
      <c r="J1907" s="101" t="str">
        <f t="shared" ca="1" si="29"/>
        <v/>
      </c>
    </row>
    <row r="1908" spans="1:10">
      <c r="A1908" s="103"/>
      <c r="B1908" s="104"/>
      <c r="C1908" s="105"/>
      <c r="D1908" s="104"/>
      <c r="F1908" s="106"/>
      <c r="G1908" s="104"/>
      <c r="H1908" s="106"/>
      <c r="I1908" s="106"/>
      <c r="J1908" s="101" t="str">
        <f t="shared" ca="1" si="29"/>
        <v/>
      </c>
    </row>
    <row r="1909" spans="1:10">
      <c r="A1909" s="103"/>
      <c r="B1909" s="104"/>
      <c r="C1909" s="105"/>
      <c r="D1909" s="104"/>
      <c r="F1909" s="106"/>
      <c r="G1909" s="104"/>
      <c r="H1909" s="106"/>
      <c r="I1909" s="106"/>
      <c r="J1909" s="101" t="str">
        <f t="shared" ca="1" si="29"/>
        <v/>
      </c>
    </row>
    <row r="1910" spans="1:10">
      <c r="A1910" s="103"/>
      <c r="B1910" s="104"/>
      <c r="C1910" s="105"/>
      <c r="D1910" s="104"/>
      <c r="F1910" s="106"/>
      <c r="G1910" s="104"/>
      <c r="H1910" s="106"/>
      <c r="I1910" s="106"/>
      <c r="J1910" s="101" t="str">
        <f t="shared" ca="1" si="29"/>
        <v/>
      </c>
    </row>
    <row r="1911" spans="1:10">
      <c r="A1911" s="103"/>
      <c r="B1911" s="104"/>
      <c r="C1911" s="105"/>
      <c r="D1911" s="104"/>
      <c r="F1911" s="106"/>
      <c r="G1911" s="104"/>
      <c r="H1911" s="106"/>
      <c r="I1911" s="106"/>
      <c r="J1911" s="101" t="str">
        <f t="shared" ca="1" si="29"/>
        <v/>
      </c>
    </row>
    <row r="1912" spans="1:10">
      <c r="A1912" s="103"/>
      <c r="B1912" s="104"/>
      <c r="C1912" s="105"/>
      <c r="D1912" s="104"/>
      <c r="F1912" s="106"/>
      <c r="G1912" s="104"/>
      <c r="H1912" s="106"/>
      <c r="I1912" s="106"/>
      <c r="J1912" s="101" t="str">
        <f t="shared" ca="1" si="29"/>
        <v/>
      </c>
    </row>
    <row r="1913" spans="1:10">
      <c r="A1913" s="103"/>
      <c r="B1913" s="104"/>
      <c r="C1913" s="105"/>
      <c r="D1913" s="104"/>
      <c r="F1913" s="106"/>
      <c r="G1913" s="104"/>
      <c r="H1913" s="106"/>
      <c r="I1913" s="106"/>
      <c r="J1913" s="101" t="str">
        <f t="shared" ca="1" si="29"/>
        <v/>
      </c>
    </row>
    <row r="1914" spans="1:10">
      <c r="A1914" s="103"/>
      <c r="B1914" s="104"/>
      <c r="C1914" s="105"/>
      <c r="D1914" s="104"/>
      <c r="F1914" s="106"/>
      <c r="G1914" s="104"/>
      <c r="H1914" s="106"/>
      <c r="I1914" s="106"/>
      <c r="J1914" s="101" t="str">
        <f t="shared" ca="1" si="29"/>
        <v/>
      </c>
    </row>
    <row r="1915" spans="1:10">
      <c r="A1915" s="103"/>
      <c r="B1915" s="104"/>
      <c r="C1915" s="105"/>
      <c r="D1915" s="104"/>
      <c r="F1915" s="106"/>
      <c r="G1915" s="104"/>
      <c r="H1915" s="106"/>
      <c r="I1915" s="106"/>
      <c r="J1915" s="101" t="str">
        <f t="shared" ca="1" si="29"/>
        <v/>
      </c>
    </row>
    <row r="1916" spans="1:10">
      <c r="A1916" s="103"/>
      <c r="B1916" s="104"/>
      <c r="C1916" s="105"/>
      <c r="D1916" s="104"/>
      <c r="F1916" s="106"/>
      <c r="G1916" s="104"/>
      <c r="H1916" s="106"/>
      <c r="I1916" s="106"/>
      <c r="J1916" s="101" t="str">
        <f t="shared" ca="1" si="29"/>
        <v/>
      </c>
    </row>
    <row r="1917" spans="1:10">
      <c r="A1917" s="103"/>
      <c r="B1917" s="104"/>
      <c r="C1917" s="105"/>
      <c r="D1917" s="104"/>
      <c r="F1917" s="106"/>
      <c r="G1917" s="104"/>
      <c r="H1917" s="106"/>
      <c r="I1917" s="106"/>
      <c r="J1917" s="101" t="str">
        <f t="shared" ca="1" si="29"/>
        <v/>
      </c>
    </row>
    <row r="1918" spans="1:10">
      <c r="A1918" s="103"/>
      <c r="B1918" s="104"/>
      <c r="C1918" s="105"/>
      <c r="D1918" s="104"/>
      <c r="F1918" s="106"/>
      <c r="G1918" s="104"/>
      <c r="H1918" s="106"/>
      <c r="I1918" s="106"/>
      <c r="J1918" s="101" t="str">
        <f t="shared" ca="1" si="29"/>
        <v/>
      </c>
    </row>
    <row r="1919" spans="1:10">
      <c r="A1919" s="103"/>
      <c r="B1919" s="104"/>
      <c r="C1919" s="105"/>
      <c r="D1919" s="104"/>
      <c r="F1919" s="106"/>
      <c r="G1919" s="104"/>
      <c r="H1919" s="106"/>
      <c r="I1919" s="106"/>
      <c r="J1919" s="101" t="str">
        <f t="shared" ca="1" si="29"/>
        <v/>
      </c>
    </row>
    <row r="1920" spans="1:10">
      <c r="A1920" s="103"/>
      <c r="B1920" s="104"/>
      <c r="C1920" s="105"/>
      <c r="D1920" s="104"/>
      <c r="F1920" s="106"/>
      <c r="G1920" s="104"/>
      <c r="H1920" s="106"/>
      <c r="I1920" s="106"/>
      <c r="J1920" s="101" t="str">
        <f t="shared" ca="1" si="29"/>
        <v/>
      </c>
    </row>
    <row r="1921" spans="1:10">
      <c r="A1921" s="103"/>
      <c r="B1921" s="104"/>
      <c r="C1921" s="105"/>
      <c r="D1921" s="104"/>
      <c r="F1921" s="106"/>
      <c r="G1921" s="104"/>
      <c r="H1921" s="106"/>
      <c r="I1921" s="106"/>
      <c r="J1921" s="101" t="str">
        <f t="shared" ca="1" si="29"/>
        <v/>
      </c>
    </row>
    <row r="1922" spans="1:10">
      <c r="A1922" s="103"/>
      <c r="B1922" s="104"/>
      <c r="C1922" s="105"/>
      <c r="D1922" s="104"/>
      <c r="F1922" s="106"/>
      <c r="G1922" s="104"/>
      <c r="H1922" s="106"/>
      <c r="I1922" s="106"/>
      <c r="J1922" s="101" t="str">
        <f t="shared" ca="1" si="29"/>
        <v/>
      </c>
    </row>
    <row r="1923" spans="1:10">
      <c r="A1923" s="103"/>
      <c r="B1923" s="104"/>
      <c r="C1923" s="105"/>
      <c r="D1923" s="104"/>
      <c r="F1923" s="106"/>
      <c r="G1923" s="104"/>
      <c r="H1923" s="106"/>
      <c r="I1923" s="106"/>
      <c r="J1923" s="101" t="str">
        <f t="shared" ref="J1923:J1986" ca="1" si="30">_xlfn.LET(
    _xlpm.AllCellsFilled, COUNTA(A1923:I1923) = 9,
    _xlpm.QtyIsInt, AND(ISNUMBER(G1923), G1923=INT(G1923)),
    _xlpm.AvailDateIsValid, AND(ISNUMBER(F1923), F1923&gt;=TODAY()),
    _xlpm.ReqDateIsValid, AND(ISNUMBER(H1923), H1923&gt;=TODAY()),
    _xlpm.EmailIsValid, RIGHT(I1923,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IF(A1923="", "", IF(_xlpm.error_messages = "", "Yes", _xlpm.error_messages))
)</f>
        <v/>
      </c>
    </row>
    <row r="1924" spans="1:10">
      <c r="A1924" s="103"/>
      <c r="B1924" s="104"/>
      <c r="C1924" s="105"/>
      <c r="D1924" s="104"/>
      <c r="F1924" s="106"/>
      <c r="G1924" s="104"/>
      <c r="H1924" s="106"/>
      <c r="I1924" s="106"/>
      <c r="J1924" s="101" t="str">
        <f t="shared" ca="1" si="30"/>
        <v/>
      </c>
    </row>
    <row r="1925" spans="1:10">
      <c r="A1925" s="103"/>
      <c r="B1925" s="104"/>
      <c r="C1925" s="105"/>
      <c r="D1925" s="104"/>
      <c r="F1925" s="106"/>
      <c r="G1925" s="104"/>
      <c r="H1925" s="106"/>
      <c r="I1925" s="106"/>
      <c r="J1925" s="101" t="str">
        <f t="shared" ca="1" si="30"/>
        <v/>
      </c>
    </row>
    <row r="1926" spans="1:10">
      <c r="A1926" s="103"/>
      <c r="B1926" s="104"/>
      <c r="C1926" s="105"/>
      <c r="D1926" s="104"/>
      <c r="F1926" s="106"/>
      <c r="G1926" s="104"/>
      <c r="H1926" s="106"/>
      <c r="I1926" s="106"/>
      <c r="J1926" s="101" t="str">
        <f t="shared" ca="1" si="30"/>
        <v/>
      </c>
    </row>
    <row r="1927" spans="1:10">
      <c r="A1927" s="103"/>
      <c r="B1927" s="104"/>
      <c r="C1927" s="105"/>
      <c r="D1927" s="104"/>
      <c r="F1927" s="106"/>
      <c r="G1927" s="104"/>
      <c r="H1927" s="106"/>
      <c r="I1927" s="106"/>
      <c r="J1927" s="101" t="str">
        <f t="shared" ca="1" si="30"/>
        <v/>
      </c>
    </row>
    <row r="1928" spans="1:10">
      <c r="A1928" s="103"/>
      <c r="B1928" s="104"/>
      <c r="C1928" s="105"/>
      <c r="D1928" s="104"/>
      <c r="F1928" s="106"/>
      <c r="G1928" s="104"/>
      <c r="H1928" s="106"/>
      <c r="I1928" s="106"/>
      <c r="J1928" s="101" t="str">
        <f t="shared" ca="1" si="30"/>
        <v/>
      </c>
    </row>
    <row r="1929" spans="1:10">
      <c r="A1929" s="103"/>
      <c r="B1929" s="104"/>
      <c r="C1929" s="105"/>
      <c r="D1929" s="104"/>
      <c r="F1929" s="106"/>
      <c r="G1929" s="104"/>
      <c r="H1929" s="106"/>
      <c r="I1929" s="106"/>
      <c r="J1929" s="101" t="str">
        <f t="shared" ca="1" si="30"/>
        <v/>
      </c>
    </row>
    <row r="1930" spans="1:10">
      <c r="A1930" s="103"/>
      <c r="B1930" s="104"/>
      <c r="C1930" s="105"/>
      <c r="D1930" s="104"/>
      <c r="F1930" s="106"/>
      <c r="G1930" s="104"/>
      <c r="H1930" s="106"/>
      <c r="I1930" s="106"/>
      <c r="J1930" s="101" t="str">
        <f t="shared" ca="1" si="30"/>
        <v/>
      </c>
    </row>
    <row r="1931" spans="1:10">
      <c r="A1931" s="103"/>
      <c r="B1931" s="104"/>
      <c r="C1931" s="105"/>
      <c r="D1931" s="104"/>
      <c r="F1931" s="106"/>
      <c r="G1931" s="104"/>
      <c r="H1931" s="106"/>
      <c r="I1931" s="106"/>
      <c r="J1931" s="101" t="str">
        <f t="shared" ca="1" si="30"/>
        <v/>
      </c>
    </row>
    <row r="1932" spans="1:10">
      <c r="A1932" s="103"/>
      <c r="B1932" s="104"/>
      <c r="C1932" s="105"/>
      <c r="D1932" s="104"/>
      <c r="F1932" s="106"/>
      <c r="G1932" s="104"/>
      <c r="H1932" s="106"/>
      <c r="I1932" s="106"/>
      <c r="J1932" s="101" t="str">
        <f t="shared" ca="1" si="30"/>
        <v/>
      </c>
    </row>
    <row r="1933" spans="1:10">
      <c r="A1933" s="103"/>
      <c r="B1933" s="104"/>
      <c r="C1933" s="105"/>
      <c r="D1933" s="104"/>
      <c r="F1933" s="106"/>
      <c r="G1933" s="104"/>
      <c r="H1933" s="106"/>
      <c r="I1933" s="106"/>
      <c r="J1933" s="101" t="str">
        <f t="shared" ca="1" si="30"/>
        <v/>
      </c>
    </row>
    <row r="1934" spans="1:10">
      <c r="A1934" s="103"/>
      <c r="B1934" s="104"/>
      <c r="C1934" s="105"/>
      <c r="D1934" s="104"/>
      <c r="F1934" s="106"/>
      <c r="G1934" s="104"/>
      <c r="H1934" s="106"/>
      <c r="I1934" s="106"/>
      <c r="J1934" s="101" t="str">
        <f t="shared" ca="1" si="30"/>
        <v/>
      </c>
    </row>
    <row r="1935" spans="1:10">
      <c r="A1935" s="103"/>
      <c r="B1935" s="104"/>
      <c r="C1935" s="105"/>
      <c r="D1935" s="104"/>
      <c r="F1935" s="106"/>
      <c r="G1935" s="104"/>
      <c r="H1935" s="106"/>
      <c r="I1935" s="106"/>
      <c r="J1935" s="101" t="str">
        <f t="shared" ca="1" si="30"/>
        <v/>
      </c>
    </row>
    <row r="1936" spans="1:10">
      <c r="A1936" s="103"/>
      <c r="B1936" s="104"/>
      <c r="C1936" s="105"/>
      <c r="D1936" s="104"/>
      <c r="F1936" s="106"/>
      <c r="G1936" s="104"/>
      <c r="H1936" s="106"/>
      <c r="I1936" s="106"/>
      <c r="J1936" s="101" t="str">
        <f t="shared" ca="1" si="30"/>
        <v/>
      </c>
    </row>
    <row r="1937" spans="1:10">
      <c r="A1937" s="103"/>
      <c r="B1937" s="104"/>
      <c r="C1937" s="105"/>
      <c r="D1937" s="104"/>
      <c r="F1937" s="106"/>
      <c r="G1937" s="104"/>
      <c r="H1937" s="106"/>
      <c r="I1937" s="106"/>
      <c r="J1937" s="101" t="str">
        <f t="shared" ca="1" si="30"/>
        <v/>
      </c>
    </row>
    <row r="1938" spans="1:10">
      <c r="A1938" s="103"/>
      <c r="B1938" s="104"/>
      <c r="C1938" s="105"/>
      <c r="D1938" s="104"/>
      <c r="F1938" s="106"/>
      <c r="G1938" s="104"/>
      <c r="H1938" s="106"/>
      <c r="I1938" s="106"/>
      <c r="J1938" s="101" t="str">
        <f t="shared" ca="1" si="30"/>
        <v/>
      </c>
    </row>
    <row r="1939" spans="1:10">
      <c r="A1939" s="103"/>
      <c r="B1939" s="104"/>
      <c r="C1939" s="105"/>
      <c r="D1939" s="104"/>
      <c r="F1939" s="106"/>
      <c r="G1939" s="104"/>
      <c r="H1939" s="106"/>
      <c r="I1939" s="106"/>
      <c r="J1939" s="101" t="str">
        <f t="shared" ca="1" si="30"/>
        <v/>
      </c>
    </row>
    <row r="1940" spans="1:10">
      <c r="A1940" s="103"/>
      <c r="B1940" s="104"/>
      <c r="C1940" s="105"/>
      <c r="D1940" s="104"/>
      <c r="F1940" s="106"/>
      <c r="G1940" s="104"/>
      <c r="H1940" s="106"/>
      <c r="I1940" s="106"/>
      <c r="J1940" s="101" t="str">
        <f t="shared" ca="1" si="30"/>
        <v/>
      </c>
    </row>
    <row r="1941" spans="1:10">
      <c r="A1941" s="103"/>
      <c r="B1941" s="104"/>
      <c r="C1941" s="105"/>
      <c r="D1941" s="104"/>
      <c r="F1941" s="106"/>
      <c r="G1941" s="104"/>
      <c r="H1941" s="106"/>
      <c r="I1941" s="106"/>
      <c r="J1941" s="101" t="str">
        <f t="shared" ca="1" si="30"/>
        <v/>
      </c>
    </row>
    <row r="1942" spans="1:10">
      <c r="A1942" s="103"/>
      <c r="B1942" s="104"/>
      <c r="C1942" s="105"/>
      <c r="D1942" s="104"/>
      <c r="F1942" s="106"/>
      <c r="G1942" s="104"/>
      <c r="H1942" s="106"/>
      <c r="I1942" s="106"/>
      <c r="J1942" s="101" t="str">
        <f t="shared" ca="1" si="30"/>
        <v/>
      </c>
    </row>
    <row r="1943" spans="1:10">
      <c r="A1943" s="103"/>
      <c r="B1943" s="104"/>
      <c r="C1943" s="105"/>
      <c r="D1943" s="104"/>
      <c r="F1943" s="106"/>
      <c r="G1943" s="104"/>
      <c r="H1943" s="106"/>
      <c r="I1943" s="106"/>
      <c r="J1943" s="101" t="str">
        <f t="shared" ca="1" si="30"/>
        <v/>
      </c>
    </row>
    <row r="1944" spans="1:10">
      <c r="A1944" s="103"/>
      <c r="B1944" s="104"/>
      <c r="C1944" s="105"/>
      <c r="D1944" s="104"/>
      <c r="F1944" s="106"/>
      <c r="G1944" s="104"/>
      <c r="H1944" s="106"/>
      <c r="I1944" s="106"/>
      <c r="J1944" s="101" t="str">
        <f t="shared" ca="1" si="30"/>
        <v/>
      </c>
    </row>
    <row r="1945" spans="1:10">
      <c r="A1945" s="103"/>
      <c r="B1945" s="104"/>
      <c r="C1945" s="105"/>
      <c r="D1945" s="104"/>
      <c r="F1945" s="106"/>
      <c r="G1945" s="104"/>
      <c r="H1945" s="106"/>
      <c r="I1945" s="106"/>
      <c r="J1945" s="101" t="str">
        <f t="shared" ca="1" si="30"/>
        <v/>
      </c>
    </row>
    <row r="1946" spans="1:10">
      <c r="A1946" s="103"/>
      <c r="B1946" s="104"/>
      <c r="C1946" s="105"/>
      <c r="D1946" s="104"/>
      <c r="F1946" s="106"/>
      <c r="G1946" s="104"/>
      <c r="H1946" s="106"/>
      <c r="I1946" s="106"/>
      <c r="J1946" s="101" t="str">
        <f t="shared" ca="1" si="30"/>
        <v/>
      </c>
    </row>
    <row r="1947" spans="1:10">
      <c r="A1947" s="103"/>
      <c r="B1947" s="104"/>
      <c r="C1947" s="105"/>
      <c r="D1947" s="104"/>
      <c r="F1947" s="106"/>
      <c r="G1947" s="104"/>
      <c r="H1947" s="106"/>
      <c r="I1947" s="106"/>
      <c r="J1947" s="101" t="str">
        <f t="shared" ca="1" si="30"/>
        <v/>
      </c>
    </row>
    <row r="1948" spans="1:10">
      <c r="A1948" s="103"/>
      <c r="B1948" s="104"/>
      <c r="C1948" s="105"/>
      <c r="D1948" s="104"/>
      <c r="F1948" s="106"/>
      <c r="G1948" s="104"/>
      <c r="H1948" s="106"/>
      <c r="I1948" s="106"/>
      <c r="J1948" s="101" t="str">
        <f t="shared" ca="1" si="30"/>
        <v/>
      </c>
    </row>
    <row r="1949" spans="1:10">
      <c r="A1949" s="103"/>
      <c r="B1949" s="104"/>
      <c r="C1949" s="105"/>
      <c r="D1949" s="104"/>
      <c r="F1949" s="106"/>
      <c r="G1949" s="104"/>
      <c r="H1949" s="106"/>
      <c r="I1949" s="106"/>
      <c r="J1949" s="101" t="str">
        <f t="shared" ca="1" si="30"/>
        <v/>
      </c>
    </row>
    <row r="1950" spans="1:10">
      <c r="A1950" s="103"/>
      <c r="B1950" s="104"/>
      <c r="C1950" s="105"/>
      <c r="D1950" s="104"/>
      <c r="F1950" s="106"/>
      <c r="G1950" s="104"/>
      <c r="H1950" s="106"/>
      <c r="I1950" s="106"/>
      <c r="J1950" s="101" t="str">
        <f t="shared" ca="1" si="30"/>
        <v/>
      </c>
    </row>
    <row r="1951" spans="1:10">
      <c r="A1951" s="103"/>
      <c r="B1951" s="104"/>
      <c r="C1951" s="105"/>
      <c r="D1951" s="104"/>
      <c r="F1951" s="106"/>
      <c r="G1951" s="104"/>
      <c r="H1951" s="106"/>
      <c r="I1951" s="106"/>
      <c r="J1951" s="101" t="str">
        <f t="shared" ca="1" si="30"/>
        <v/>
      </c>
    </row>
    <row r="1952" spans="1:10">
      <c r="A1952" s="103"/>
      <c r="B1952" s="104"/>
      <c r="C1952" s="105"/>
      <c r="D1952" s="104"/>
      <c r="F1952" s="106"/>
      <c r="G1952" s="104"/>
      <c r="H1952" s="106"/>
      <c r="I1952" s="106"/>
      <c r="J1952" s="101" t="str">
        <f t="shared" ca="1" si="30"/>
        <v/>
      </c>
    </row>
    <row r="1953" spans="1:10">
      <c r="A1953" s="103"/>
      <c r="B1953" s="104"/>
      <c r="C1953" s="105"/>
      <c r="D1953" s="104"/>
      <c r="F1953" s="106"/>
      <c r="G1953" s="104"/>
      <c r="H1953" s="106"/>
      <c r="I1953" s="106"/>
      <c r="J1953" s="101" t="str">
        <f t="shared" ca="1" si="30"/>
        <v/>
      </c>
    </row>
    <row r="1954" spans="1:10">
      <c r="A1954" s="103"/>
      <c r="B1954" s="104"/>
      <c r="C1954" s="105"/>
      <c r="D1954" s="104"/>
      <c r="F1954" s="106"/>
      <c r="G1954" s="104"/>
      <c r="H1954" s="106"/>
      <c r="I1954" s="106"/>
      <c r="J1954" s="101" t="str">
        <f t="shared" ca="1" si="30"/>
        <v/>
      </c>
    </row>
    <row r="1955" spans="1:10">
      <c r="A1955" s="103"/>
      <c r="B1955" s="104"/>
      <c r="C1955" s="105"/>
      <c r="D1955" s="104"/>
      <c r="F1955" s="106"/>
      <c r="G1955" s="104"/>
      <c r="H1955" s="106"/>
      <c r="I1955" s="106"/>
      <c r="J1955" s="101" t="str">
        <f t="shared" ca="1" si="30"/>
        <v/>
      </c>
    </row>
    <row r="1956" spans="1:10">
      <c r="A1956" s="103"/>
      <c r="B1956" s="104"/>
      <c r="C1956" s="105"/>
      <c r="D1956" s="104"/>
      <c r="F1956" s="106"/>
      <c r="G1956" s="104"/>
      <c r="H1956" s="106"/>
      <c r="I1956" s="106"/>
      <c r="J1956" s="101" t="str">
        <f t="shared" ca="1" si="30"/>
        <v/>
      </c>
    </row>
    <row r="1957" spans="1:10">
      <c r="A1957" s="103"/>
      <c r="B1957" s="104"/>
      <c r="C1957" s="105"/>
      <c r="D1957" s="104"/>
      <c r="F1957" s="106"/>
      <c r="G1957" s="104"/>
      <c r="H1957" s="106"/>
      <c r="I1957" s="106"/>
      <c r="J1957" s="101" t="str">
        <f t="shared" ca="1" si="30"/>
        <v/>
      </c>
    </row>
    <row r="1958" spans="1:10">
      <c r="A1958" s="103"/>
      <c r="B1958" s="104"/>
      <c r="C1958" s="105"/>
      <c r="D1958" s="104"/>
      <c r="F1958" s="106"/>
      <c r="G1958" s="104"/>
      <c r="H1958" s="106"/>
      <c r="I1958" s="106"/>
      <c r="J1958" s="101" t="str">
        <f t="shared" ca="1" si="30"/>
        <v/>
      </c>
    </row>
    <row r="1959" spans="1:10">
      <c r="A1959" s="103"/>
      <c r="B1959" s="104"/>
      <c r="C1959" s="105"/>
      <c r="D1959" s="104"/>
      <c r="F1959" s="106"/>
      <c r="G1959" s="104"/>
      <c r="H1959" s="106"/>
      <c r="I1959" s="106"/>
      <c r="J1959" s="101" t="str">
        <f t="shared" ca="1" si="30"/>
        <v/>
      </c>
    </row>
    <row r="1960" spans="1:10">
      <c r="A1960" s="103"/>
      <c r="B1960" s="104"/>
      <c r="C1960" s="105"/>
      <c r="D1960" s="104"/>
      <c r="F1960" s="106"/>
      <c r="G1960" s="104"/>
      <c r="H1960" s="106"/>
      <c r="I1960" s="106"/>
      <c r="J1960" s="101" t="str">
        <f t="shared" ca="1" si="30"/>
        <v/>
      </c>
    </row>
    <row r="1961" spans="1:10">
      <c r="A1961" s="103"/>
      <c r="B1961" s="104"/>
      <c r="C1961" s="105"/>
      <c r="D1961" s="104"/>
      <c r="F1961" s="106"/>
      <c r="G1961" s="104"/>
      <c r="H1961" s="106"/>
      <c r="I1961" s="106"/>
      <c r="J1961" s="101" t="str">
        <f t="shared" ca="1" si="30"/>
        <v/>
      </c>
    </row>
    <row r="1962" spans="1:10">
      <c r="A1962" s="103"/>
      <c r="B1962" s="104"/>
      <c r="C1962" s="105"/>
      <c r="D1962" s="104"/>
      <c r="F1962" s="106"/>
      <c r="G1962" s="104"/>
      <c r="H1962" s="106"/>
      <c r="I1962" s="106"/>
      <c r="J1962" s="101" t="str">
        <f t="shared" ca="1" si="30"/>
        <v/>
      </c>
    </row>
    <row r="1963" spans="1:10">
      <c r="A1963" s="103"/>
      <c r="B1963" s="104"/>
      <c r="C1963" s="105"/>
      <c r="D1963" s="104"/>
      <c r="F1963" s="106"/>
      <c r="G1963" s="104"/>
      <c r="H1963" s="106"/>
      <c r="I1963" s="106"/>
      <c r="J1963" s="101" t="str">
        <f t="shared" ca="1" si="30"/>
        <v/>
      </c>
    </row>
    <row r="1964" spans="1:10">
      <c r="A1964" s="103"/>
      <c r="B1964" s="104"/>
      <c r="C1964" s="105"/>
      <c r="D1964" s="104"/>
      <c r="F1964" s="106"/>
      <c r="G1964" s="104"/>
      <c r="H1964" s="106"/>
      <c r="I1964" s="106"/>
      <c r="J1964" s="101" t="str">
        <f t="shared" ca="1" si="30"/>
        <v/>
      </c>
    </row>
    <row r="1965" spans="1:10">
      <c r="A1965" s="103"/>
      <c r="B1965" s="104"/>
      <c r="C1965" s="105"/>
      <c r="D1965" s="104"/>
      <c r="F1965" s="106"/>
      <c r="G1965" s="104"/>
      <c r="H1965" s="106"/>
      <c r="I1965" s="106"/>
      <c r="J1965" s="101" t="str">
        <f t="shared" ca="1" si="30"/>
        <v/>
      </c>
    </row>
    <row r="1966" spans="1:10">
      <c r="A1966" s="103"/>
      <c r="B1966" s="104"/>
      <c r="C1966" s="105"/>
      <c r="D1966" s="104"/>
      <c r="F1966" s="106"/>
      <c r="G1966" s="104"/>
      <c r="H1966" s="106"/>
      <c r="I1966" s="106"/>
      <c r="J1966" s="101" t="str">
        <f t="shared" ca="1" si="30"/>
        <v/>
      </c>
    </row>
    <row r="1967" spans="1:10">
      <c r="A1967" s="103"/>
      <c r="B1967" s="104"/>
      <c r="C1967" s="105"/>
      <c r="D1967" s="104"/>
      <c r="F1967" s="106"/>
      <c r="G1967" s="104"/>
      <c r="H1967" s="106"/>
      <c r="I1967" s="106"/>
      <c r="J1967" s="101" t="str">
        <f t="shared" ca="1" si="30"/>
        <v/>
      </c>
    </row>
    <row r="1968" spans="1:10">
      <c r="A1968" s="103"/>
      <c r="B1968" s="104"/>
      <c r="C1968" s="105"/>
      <c r="D1968" s="104"/>
      <c r="F1968" s="106"/>
      <c r="G1968" s="104"/>
      <c r="H1968" s="106"/>
      <c r="I1968" s="106"/>
      <c r="J1968" s="101" t="str">
        <f t="shared" ca="1" si="30"/>
        <v/>
      </c>
    </row>
    <row r="1969" spans="1:10">
      <c r="A1969" s="103"/>
      <c r="B1969" s="104"/>
      <c r="C1969" s="105"/>
      <c r="D1969" s="104"/>
      <c r="F1969" s="106"/>
      <c r="G1969" s="104"/>
      <c r="H1969" s="106"/>
      <c r="I1969" s="106"/>
      <c r="J1969" s="101" t="str">
        <f t="shared" ca="1" si="30"/>
        <v/>
      </c>
    </row>
    <row r="1970" spans="1:10">
      <c r="A1970" s="103"/>
      <c r="B1970" s="104"/>
      <c r="C1970" s="105"/>
      <c r="D1970" s="104"/>
      <c r="F1970" s="106"/>
      <c r="G1970" s="104"/>
      <c r="H1970" s="106"/>
      <c r="I1970" s="106"/>
      <c r="J1970" s="101" t="str">
        <f t="shared" ca="1" si="30"/>
        <v/>
      </c>
    </row>
    <row r="1971" spans="1:10">
      <c r="A1971" s="103"/>
      <c r="B1971" s="104"/>
      <c r="C1971" s="105"/>
      <c r="D1971" s="104"/>
      <c r="F1971" s="106"/>
      <c r="G1971" s="104"/>
      <c r="H1971" s="106"/>
      <c r="I1971" s="106"/>
      <c r="J1971" s="101" t="str">
        <f t="shared" ca="1" si="30"/>
        <v/>
      </c>
    </row>
    <row r="1972" spans="1:10">
      <c r="A1972" s="103"/>
      <c r="B1972" s="104"/>
      <c r="C1972" s="105"/>
      <c r="D1972" s="104"/>
      <c r="F1972" s="106"/>
      <c r="G1972" s="104"/>
      <c r="H1972" s="106"/>
      <c r="I1972" s="106"/>
      <c r="J1972" s="101" t="str">
        <f t="shared" ca="1" si="30"/>
        <v/>
      </c>
    </row>
    <row r="1973" spans="1:10">
      <c r="A1973" s="103"/>
      <c r="B1973" s="104"/>
      <c r="C1973" s="105"/>
      <c r="D1973" s="104"/>
      <c r="F1973" s="106"/>
      <c r="G1973" s="104"/>
      <c r="H1973" s="106"/>
      <c r="I1973" s="106"/>
      <c r="J1973" s="101" t="str">
        <f t="shared" ca="1" si="30"/>
        <v/>
      </c>
    </row>
    <row r="1974" spans="1:10">
      <c r="A1974" s="103"/>
      <c r="B1974" s="104"/>
      <c r="C1974" s="105"/>
      <c r="D1974" s="104"/>
      <c r="F1974" s="106"/>
      <c r="G1974" s="104"/>
      <c r="H1974" s="106"/>
      <c r="I1974" s="106"/>
      <c r="J1974" s="101" t="str">
        <f t="shared" ca="1" si="30"/>
        <v/>
      </c>
    </row>
    <row r="1975" spans="1:10">
      <c r="A1975" s="103"/>
      <c r="B1975" s="104"/>
      <c r="C1975" s="105"/>
      <c r="D1975" s="104"/>
      <c r="F1975" s="106"/>
      <c r="G1975" s="104"/>
      <c r="H1975" s="106"/>
      <c r="I1975" s="106"/>
      <c r="J1975" s="101" t="str">
        <f t="shared" ca="1" si="30"/>
        <v/>
      </c>
    </row>
    <row r="1976" spans="1:10">
      <c r="A1976" s="103"/>
      <c r="B1976" s="104"/>
      <c r="C1976" s="105"/>
      <c r="D1976" s="104"/>
      <c r="F1976" s="106"/>
      <c r="G1976" s="104"/>
      <c r="H1976" s="106"/>
      <c r="I1976" s="106"/>
      <c r="J1976" s="101" t="str">
        <f t="shared" ca="1" si="30"/>
        <v/>
      </c>
    </row>
    <row r="1977" spans="1:10">
      <c r="A1977" s="103"/>
      <c r="B1977" s="104"/>
      <c r="C1977" s="105"/>
      <c r="D1977" s="104"/>
      <c r="F1977" s="106"/>
      <c r="G1977" s="104"/>
      <c r="H1977" s="106"/>
      <c r="I1977" s="106"/>
      <c r="J1977" s="101" t="str">
        <f t="shared" ca="1" si="30"/>
        <v/>
      </c>
    </row>
    <row r="1978" spans="1:10">
      <c r="A1978" s="103"/>
      <c r="B1978" s="104"/>
      <c r="C1978" s="105"/>
      <c r="D1978" s="104"/>
      <c r="F1978" s="106"/>
      <c r="G1978" s="104"/>
      <c r="H1978" s="106"/>
      <c r="I1978" s="106"/>
      <c r="J1978" s="101" t="str">
        <f t="shared" ca="1" si="30"/>
        <v/>
      </c>
    </row>
    <row r="1979" spans="1:10">
      <c r="A1979" s="103"/>
      <c r="B1979" s="104"/>
      <c r="C1979" s="105"/>
      <c r="D1979" s="104"/>
      <c r="F1979" s="106"/>
      <c r="G1979" s="104"/>
      <c r="H1979" s="106"/>
      <c r="I1979" s="106"/>
      <c r="J1979" s="101" t="str">
        <f t="shared" ca="1" si="30"/>
        <v/>
      </c>
    </row>
    <row r="1980" spans="1:10">
      <c r="A1980" s="103"/>
      <c r="B1980" s="104"/>
      <c r="C1980" s="105"/>
      <c r="D1980" s="104"/>
      <c r="F1980" s="106"/>
      <c r="G1980" s="104"/>
      <c r="H1980" s="106"/>
      <c r="I1980" s="106"/>
      <c r="J1980" s="101" t="str">
        <f t="shared" ca="1" si="30"/>
        <v/>
      </c>
    </row>
    <row r="1981" spans="1:10">
      <c r="A1981" s="103"/>
      <c r="B1981" s="104"/>
      <c r="C1981" s="105"/>
      <c r="D1981" s="104"/>
      <c r="F1981" s="106"/>
      <c r="G1981" s="104"/>
      <c r="H1981" s="106"/>
      <c r="I1981" s="106"/>
      <c r="J1981" s="101" t="str">
        <f t="shared" ca="1" si="30"/>
        <v/>
      </c>
    </row>
    <row r="1982" spans="1:10">
      <c r="A1982" s="103"/>
      <c r="B1982" s="104"/>
      <c r="C1982" s="105"/>
      <c r="D1982" s="104"/>
      <c r="F1982" s="106"/>
      <c r="G1982" s="104"/>
      <c r="H1982" s="106"/>
      <c r="I1982" s="106"/>
      <c r="J1982" s="101" t="str">
        <f t="shared" ca="1" si="30"/>
        <v/>
      </c>
    </row>
    <row r="1983" spans="1:10">
      <c r="A1983" s="103"/>
      <c r="B1983" s="104"/>
      <c r="C1983" s="105"/>
      <c r="D1983" s="104"/>
      <c r="F1983" s="106"/>
      <c r="G1983" s="104"/>
      <c r="H1983" s="106"/>
      <c r="I1983" s="106"/>
      <c r="J1983" s="101" t="str">
        <f t="shared" ca="1" si="30"/>
        <v/>
      </c>
    </row>
    <row r="1984" spans="1:10">
      <c r="A1984" s="103"/>
      <c r="B1984" s="104"/>
      <c r="C1984" s="105"/>
      <c r="D1984" s="104"/>
      <c r="F1984" s="106"/>
      <c r="G1984" s="104"/>
      <c r="H1984" s="106"/>
      <c r="I1984" s="106"/>
      <c r="J1984" s="101" t="str">
        <f t="shared" ca="1" si="30"/>
        <v/>
      </c>
    </row>
    <row r="1985" spans="1:10">
      <c r="A1985" s="103"/>
      <c r="B1985" s="104"/>
      <c r="C1985" s="105"/>
      <c r="D1985" s="104"/>
      <c r="F1985" s="106"/>
      <c r="G1985" s="104"/>
      <c r="H1985" s="106"/>
      <c r="I1985" s="106"/>
      <c r="J1985" s="101" t="str">
        <f t="shared" ca="1" si="30"/>
        <v/>
      </c>
    </row>
    <row r="1986" spans="1:10">
      <c r="A1986" s="103"/>
      <c r="B1986" s="104"/>
      <c r="C1986" s="105"/>
      <c r="D1986" s="104"/>
      <c r="F1986" s="106"/>
      <c r="G1986" s="104"/>
      <c r="H1986" s="106"/>
      <c r="I1986" s="106"/>
      <c r="J1986" s="101" t="str">
        <f t="shared" ca="1" si="30"/>
        <v/>
      </c>
    </row>
    <row r="1987" spans="1:10">
      <c r="A1987" s="103"/>
      <c r="B1987" s="104"/>
      <c r="C1987" s="105"/>
      <c r="D1987" s="104"/>
      <c r="F1987" s="106"/>
      <c r="G1987" s="104"/>
      <c r="H1987" s="106"/>
      <c r="I1987" s="106"/>
      <c r="J1987" s="101" t="str">
        <f t="shared" ref="J1987:J2024" ca="1" si="31">_xlfn.LET(
    _xlpm.AllCellsFilled, COUNTA(A1987:I1987) = 9,
    _xlpm.QtyIsInt, AND(ISNUMBER(G1987), G1987=INT(G1987)),
    _xlpm.AvailDateIsValid, AND(ISNUMBER(F1987), F1987&gt;=TODAY()),
    _xlpm.ReqDateIsValid, AND(ISNUMBER(H1987), H1987&gt;=TODAY()),
    _xlpm.EmailIsValid, RIGHT(I1987,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IF(A1987="", "", IF(_xlpm.error_messages = "", "Yes", _xlpm.error_messages))
)</f>
        <v/>
      </c>
    </row>
    <row r="1988" spans="1:10">
      <c r="A1988" s="103"/>
      <c r="B1988" s="104"/>
      <c r="C1988" s="105"/>
      <c r="D1988" s="104"/>
      <c r="F1988" s="106"/>
      <c r="G1988" s="104"/>
      <c r="H1988" s="106"/>
      <c r="I1988" s="106"/>
      <c r="J1988" s="101" t="str">
        <f t="shared" ca="1" si="31"/>
        <v/>
      </c>
    </row>
    <row r="1989" spans="1:10">
      <c r="A1989" s="103"/>
      <c r="B1989" s="104"/>
      <c r="C1989" s="105"/>
      <c r="D1989" s="104"/>
      <c r="F1989" s="106"/>
      <c r="G1989" s="104"/>
      <c r="H1989" s="106"/>
      <c r="I1989" s="106"/>
      <c r="J1989" s="101" t="str">
        <f t="shared" ca="1" si="31"/>
        <v/>
      </c>
    </row>
    <row r="1990" spans="1:10">
      <c r="A1990" s="103"/>
      <c r="B1990" s="104"/>
      <c r="C1990" s="105"/>
      <c r="D1990" s="104"/>
      <c r="F1990" s="106"/>
      <c r="G1990" s="104"/>
      <c r="H1990" s="106"/>
      <c r="I1990" s="106"/>
      <c r="J1990" s="101" t="str">
        <f t="shared" ca="1" si="31"/>
        <v/>
      </c>
    </row>
    <row r="1991" spans="1:10">
      <c r="A1991" s="103"/>
      <c r="B1991" s="104"/>
      <c r="C1991" s="105"/>
      <c r="D1991" s="104"/>
      <c r="F1991" s="106"/>
      <c r="G1991" s="104"/>
      <c r="H1991" s="106"/>
      <c r="I1991" s="106"/>
      <c r="J1991" s="101" t="str">
        <f t="shared" ca="1" si="31"/>
        <v/>
      </c>
    </row>
    <row r="1992" spans="1:10">
      <c r="A1992" s="103"/>
      <c r="B1992" s="104"/>
      <c r="C1992" s="105"/>
      <c r="D1992" s="104"/>
      <c r="F1992" s="106"/>
      <c r="G1992" s="104"/>
      <c r="H1992" s="106"/>
      <c r="I1992" s="106"/>
      <c r="J1992" s="101" t="str">
        <f t="shared" ca="1" si="31"/>
        <v/>
      </c>
    </row>
    <row r="1993" spans="1:10">
      <c r="A1993" s="103"/>
      <c r="B1993" s="104"/>
      <c r="C1993" s="105"/>
      <c r="D1993" s="104"/>
      <c r="F1993" s="106"/>
      <c r="G1993" s="104"/>
      <c r="H1993" s="106"/>
      <c r="I1993" s="106"/>
      <c r="J1993" s="101" t="str">
        <f t="shared" ca="1" si="31"/>
        <v/>
      </c>
    </row>
    <row r="1994" spans="1:10">
      <c r="A1994" s="103"/>
      <c r="B1994" s="104"/>
      <c r="C1994" s="105"/>
      <c r="D1994" s="104"/>
      <c r="F1994" s="106"/>
      <c r="G1994" s="104"/>
      <c r="H1994" s="106"/>
      <c r="I1994" s="106"/>
      <c r="J1994" s="101" t="str">
        <f t="shared" ca="1" si="31"/>
        <v/>
      </c>
    </row>
    <row r="1995" spans="1:10">
      <c r="A1995" s="103"/>
      <c r="B1995" s="104"/>
      <c r="C1995" s="105"/>
      <c r="D1995" s="104"/>
      <c r="F1995" s="106"/>
      <c r="G1995" s="104"/>
      <c r="H1995" s="106"/>
      <c r="I1995" s="106"/>
      <c r="J1995" s="101" t="str">
        <f t="shared" ca="1" si="31"/>
        <v/>
      </c>
    </row>
    <row r="1996" spans="1:10">
      <c r="A1996" s="103"/>
      <c r="B1996" s="104"/>
      <c r="C1996" s="105"/>
      <c r="D1996" s="104"/>
      <c r="F1996" s="106"/>
      <c r="G1996" s="104"/>
      <c r="H1996" s="106"/>
      <c r="I1996" s="106"/>
      <c r="J1996" s="101" t="str">
        <f t="shared" ca="1" si="31"/>
        <v/>
      </c>
    </row>
    <row r="1997" spans="1:10">
      <c r="A1997" s="103"/>
      <c r="B1997" s="104"/>
      <c r="C1997" s="105"/>
      <c r="D1997" s="104"/>
      <c r="F1997" s="106"/>
      <c r="G1997" s="104"/>
      <c r="H1997" s="106"/>
      <c r="I1997" s="106"/>
      <c r="J1997" s="101" t="str">
        <f t="shared" ca="1" si="31"/>
        <v/>
      </c>
    </row>
    <row r="1998" spans="1:10">
      <c r="A1998" s="103"/>
      <c r="B1998" s="104"/>
      <c r="C1998" s="105"/>
      <c r="D1998" s="104"/>
      <c r="F1998" s="106"/>
      <c r="G1998" s="104"/>
      <c r="H1998" s="106"/>
      <c r="I1998" s="106"/>
      <c r="J1998" s="101" t="str">
        <f t="shared" ca="1" si="31"/>
        <v/>
      </c>
    </row>
    <row r="1999" spans="1:10">
      <c r="A1999" s="103"/>
      <c r="B1999" s="104"/>
      <c r="C1999" s="105"/>
      <c r="D1999" s="104"/>
      <c r="F1999" s="106"/>
      <c r="G1999" s="104"/>
      <c r="H1999" s="106"/>
      <c r="I1999" s="106"/>
      <c r="J1999" s="101" t="str">
        <f t="shared" ca="1" si="31"/>
        <v/>
      </c>
    </row>
    <row r="2000" spans="1:10">
      <c r="A2000" s="103"/>
      <c r="B2000" s="104"/>
      <c r="C2000" s="105"/>
      <c r="D2000" s="104"/>
      <c r="F2000" s="106"/>
      <c r="G2000" s="104"/>
      <c r="H2000" s="106"/>
      <c r="I2000" s="106"/>
      <c r="J2000" s="101" t="str">
        <f t="shared" ca="1" si="31"/>
        <v/>
      </c>
    </row>
    <row r="2001" spans="1:10">
      <c r="A2001" s="103"/>
      <c r="B2001" s="104"/>
      <c r="C2001" s="105"/>
      <c r="D2001" s="104"/>
      <c r="F2001" s="106"/>
      <c r="G2001" s="104"/>
      <c r="H2001" s="106"/>
      <c r="I2001" s="106"/>
      <c r="J2001" s="101" t="str">
        <f t="shared" ca="1" si="31"/>
        <v/>
      </c>
    </row>
    <row r="2002" spans="1:10">
      <c r="A2002" s="103"/>
      <c r="B2002" s="104"/>
      <c r="C2002" s="105"/>
      <c r="D2002" s="104"/>
      <c r="F2002" s="106"/>
      <c r="G2002" s="104"/>
      <c r="H2002" s="106"/>
      <c r="I2002" s="106"/>
      <c r="J2002" s="101" t="str">
        <f t="shared" ca="1" si="31"/>
        <v/>
      </c>
    </row>
    <row r="2003" spans="1:10">
      <c r="A2003" s="103"/>
      <c r="B2003" s="104"/>
      <c r="C2003" s="105"/>
      <c r="D2003" s="104"/>
      <c r="F2003" s="106"/>
      <c r="G2003" s="104"/>
      <c r="H2003" s="106"/>
      <c r="I2003" s="106"/>
      <c r="J2003" s="101" t="str">
        <f t="shared" ca="1" si="31"/>
        <v/>
      </c>
    </row>
    <row r="2004" spans="1:10">
      <c r="A2004" s="103"/>
      <c r="B2004" s="104"/>
      <c r="C2004" s="105"/>
      <c r="D2004" s="104"/>
      <c r="F2004" s="106"/>
      <c r="G2004" s="104"/>
      <c r="H2004" s="106"/>
      <c r="I2004" s="106"/>
      <c r="J2004" s="101" t="str">
        <f t="shared" ca="1" si="31"/>
        <v/>
      </c>
    </row>
    <row r="2005" spans="1:10">
      <c r="A2005" s="103"/>
      <c r="B2005" s="104"/>
      <c r="C2005" s="105"/>
      <c r="D2005" s="104"/>
      <c r="F2005" s="106"/>
      <c r="G2005" s="104"/>
      <c r="H2005" s="106"/>
      <c r="I2005" s="106"/>
      <c r="J2005" s="101" t="str">
        <f t="shared" ca="1" si="31"/>
        <v/>
      </c>
    </row>
    <row r="2006" spans="1:10">
      <c r="A2006" s="103"/>
      <c r="B2006" s="104"/>
      <c r="C2006" s="105"/>
      <c r="D2006" s="104"/>
      <c r="F2006" s="106"/>
      <c r="G2006" s="104"/>
      <c r="H2006" s="106"/>
      <c r="I2006" s="106"/>
      <c r="J2006" s="101" t="str">
        <f t="shared" ca="1" si="31"/>
        <v/>
      </c>
    </row>
    <row r="2007" spans="1:10">
      <c r="A2007" s="103"/>
      <c r="B2007" s="104"/>
      <c r="C2007" s="105"/>
      <c r="D2007" s="104"/>
      <c r="F2007" s="106"/>
      <c r="G2007" s="104"/>
      <c r="H2007" s="106"/>
      <c r="I2007" s="106"/>
      <c r="J2007" s="101" t="str">
        <f t="shared" ca="1" si="31"/>
        <v/>
      </c>
    </row>
    <row r="2008" spans="1:10">
      <c r="A2008" s="103"/>
      <c r="B2008" s="104"/>
      <c r="C2008" s="105"/>
      <c r="D2008" s="104"/>
      <c r="F2008" s="106"/>
      <c r="G2008" s="104"/>
      <c r="H2008" s="106"/>
      <c r="I2008" s="106"/>
      <c r="J2008" s="101" t="str">
        <f t="shared" ca="1" si="31"/>
        <v/>
      </c>
    </row>
    <row r="2009" spans="1:10">
      <c r="A2009" s="103"/>
      <c r="B2009" s="104"/>
      <c r="C2009" s="105"/>
      <c r="D2009" s="104"/>
      <c r="F2009" s="106"/>
      <c r="G2009" s="104"/>
      <c r="H2009" s="106"/>
      <c r="I2009" s="106"/>
      <c r="J2009" s="101" t="str">
        <f t="shared" ca="1" si="31"/>
        <v/>
      </c>
    </row>
    <row r="2010" spans="1:10">
      <c r="A2010" s="103"/>
      <c r="B2010" s="104"/>
      <c r="C2010" s="105"/>
      <c r="D2010" s="104"/>
      <c r="F2010" s="106"/>
      <c r="G2010" s="104"/>
      <c r="H2010" s="106"/>
      <c r="I2010" s="106"/>
      <c r="J2010" s="101" t="str">
        <f t="shared" ca="1" si="31"/>
        <v/>
      </c>
    </row>
    <row r="2011" spans="1:10">
      <c r="A2011" s="103"/>
      <c r="B2011" s="104"/>
      <c r="C2011" s="105"/>
      <c r="D2011" s="104"/>
      <c r="F2011" s="106"/>
      <c r="G2011" s="104"/>
      <c r="H2011" s="106"/>
      <c r="I2011" s="106"/>
      <c r="J2011" s="101" t="str">
        <f t="shared" ca="1" si="31"/>
        <v/>
      </c>
    </row>
    <row r="2012" spans="1:10">
      <c r="A2012" s="103"/>
      <c r="B2012" s="104"/>
      <c r="C2012" s="105"/>
      <c r="D2012" s="104"/>
      <c r="F2012" s="106"/>
      <c r="G2012" s="104"/>
      <c r="H2012" s="106"/>
      <c r="I2012" s="106"/>
      <c r="J2012" s="101" t="str">
        <f t="shared" ca="1" si="31"/>
        <v/>
      </c>
    </row>
    <row r="2013" spans="1:10">
      <c r="A2013" s="103"/>
      <c r="B2013" s="104"/>
      <c r="C2013" s="105"/>
      <c r="D2013" s="104"/>
      <c r="F2013" s="106"/>
      <c r="G2013" s="104"/>
      <c r="H2013" s="106"/>
      <c r="I2013" s="106"/>
      <c r="J2013" s="101" t="str">
        <f t="shared" ca="1" si="31"/>
        <v/>
      </c>
    </row>
    <row r="2014" spans="1:10">
      <c r="A2014" s="103"/>
      <c r="B2014" s="104"/>
      <c r="C2014" s="105"/>
      <c r="D2014" s="104"/>
      <c r="F2014" s="106"/>
      <c r="G2014" s="104"/>
      <c r="H2014" s="106"/>
      <c r="I2014" s="106"/>
      <c r="J2014" s="101" t="str">
        <f t="shared" ca="1" si="31"/>
        <v/>
      </c>
    </row>
    <row r="2015" spans="1:10">
      <c r="A2015" s="103"/>
      <c r="B2015" s="104"/>
      <c r="C2015" s="105"/>
      <c r="D2015" s="104"/>
      <c r="F2015" s="106"/>
      <c r="G2015" s="104"/>
      <c r="H2015" s="106"/>
      <c r="I2015" s="106"/>
      <c r="J2015" s="101" t="str">
        <f t="shared" ca="1" si="31"/>
        <v/>
      </c>
    </row>
    <row r="2016" spans="1:10">
      <c r="A2016" s="103"/>
      <c r="B2016" s="104"/>
      <c r="C2016" s="105"/>
      <c r="D2016" s="104"/>
      <c r="F2016" s="106"/>
      <c r="G2016" s="104"/>
      <c r="H2016" s="106"/>
      <c r="I2016" s="106"/>
      <c r="J2016" s="101" t="str">
        <f t="shared" ca="1" si="31"/>
        <v/>
      </c>
    </row>
    <row r="2017" spans="1:10">
      <c r="A2017" s="103"/>
      <c r="B2017" s="104"/>
      <c r="C2017" s="105"/>
      <c r="D2017" s="104"/>
      <c r="F2017" s="106"/>
      <c r="G2017" s="104"/>
      <c r="H2017" s="106"/>
      <c r="I2017" s="106"/>
      <c r="J2017" s="101" t="str">
        <f t="shared" ca="1" si="31"/>
        <v/>
      </c>
    </row>
    <row r="2018" spans="1:10">
      <c r="A2018" s="103"/>
      <c r="B2018" s="104"/>
      <c r="C2018" s="105"/>
      <c r="D2018" s="104"/>
      <c r="F2018" s="106"/>
      <c r="G2018" s="104"/>
      <c r="H2018" s="106"/>
      <c r="I2018" s="106"/>
      <c r="J2018" s="101" t="str">
        <f t="shared" ca="1" si="31"/>
        <v/>
      </c>
    </row>
    <row r="2019" spans="1:10">
      <c r="A2019" s="103"/>
      <c r="B2019" s="104"/>
      <c r="C2019" s="105"/>
      <c r="D2019" s="104"/>
      <c r="F2019" s="106"/>
      <c r="G2019" s="104"/>
      <c r="H2019" s="106"/>
      <c r="I2019" s="106"/>
      <c r="J2019" s="101" t="str">
        <f t="shared" ca="1" si="31"/>
        <v/>
      </c>
    </row>
    <row r="2020" spans="1:10">
      <c r="A2020" s="103"/>
      <c r="B2020" s="104"/>
      <c r="C2020" s="105"/>
      <c r="D2020" s="104"/>
      <c r="F2020" s="106"/>
      <c r="G2020" s="104"/>
      <c r="H2020" s="106"/>
      <c r="I2020" s="106"/>
      <c r="J2020" s="101" t="str">
        <f t="shared" ca="1" si="31"/>
        <v/>
      </c>
    </row>
    <row r="2021" spans="1:10">
      <c r="A2021" s="103"/>
      <c r="B2021" s="104"/>
      <c r="C2021" s="105"/>
      <c r="D2021" s="104"/>
      <c r="F2021" s="106"/>
      <c r="G2021" s="104"/>
      <c r="H2021" s="106"/>
      <c r="I2021" s="106"/>
      <c r="J2021" s="101" t="str">
        <f t="shared" ca="1" si="31"/>
        <v/>
      </c>
    </row>
    <row r="2022" spans="1:10">
      <c r="A2022" s="103"/>
      <c r="B2022" s="104"/>
      <c r="C2022" s="105"/>
      <c r="D2022" s="104"/>
      <c r="F2022" s="106"/>
      <c r="G2022" s="104"/>
      <c r="H2022" s="106"/>
      <c r="I2022" s="106"/>
      <c r="J2022" s="101" t="str">
        <f t="shared" ca="1" si="31"/>
        <v/>
      </c>
    </row>
    <row r="2023" spans="1:10">
      <c r="A2023" s="103"/>
      <c r="B2023" s="104"/>
      <c r="C2023" s="105"/>
      <c r="D2023" s="104"/>
      <c r="F2023" s="106"/>
      <c r="G2023" s="104"/>
      <c r="H2023" s="106"/>
      <c r="I2023" s="106"/>
      <c r="J2023" s="101" t="str">
        <f t="shared" ca="1" si="31"/>
        <v/>
      </c>
    </row>
    <row r="2024" spans="1:10">
      <c r="A2024" s="103"/>
      <c r="B2024" s="104"/>
      <c r="C2024" s="105"/>
      <c r="D2024" s="104"/>
      <c r="F2024" s="106"/>
      <c r="G2024" s="104"/>
      <c r="H2024" s="106"/>
      <c r="I2024" s="106"/>
      <c r="J2024" s="101" t="str">
        <f t="shared" ca="1" si="31"/>
        <v/>
      </c>
    </row>
  </sheetData>
  <sheetProtection sheet="1" objects="1" scenarios="1"/>
  <phoneticPr fontId="2" type="noConversion"/>
  <conditionalFormatting sqref="J1:J1048576">
    <cfRule type="containsText" dxfId="64" priority="1" operator="containsText" text="Yes">
      <formula>NOT(ISERROR(SEARCH("Yes",J1)))</formula>
    </cfRule>
  </conditionalFormatting>
  <pageMargins left="0.7" right="0.7" top="0.75" bottom="0.75" header="0.3" footer="0.3"/>
  <pageSetup orientation="portrait" r:id="rId1"/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BE5E1-247D-450F-AD9D-FB438D509A18}">
          <x14:formula1>
            <xm:f>'Value format'!$A$1:$A$4</xm:f>
          </x14:formula1>
          <xm:sqref>E1 E723:E1048576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7EEE3-D41D-4437-B344-5EF1E6782984}">
  <sheetPr codeName="Sheet10">
    <tabColor rgb="FFFF0000"/>
  </sheetPr>
  <dimension ref="A1:L2024"/>
  <sheetViews>
    <sheetView tabSelected="1" zoomScale="85" zoomScaleNormal="85" workbookViewId="0">
      <selection activeCell="J17" sqref="J17"/>
    </sheetView>
  </sheetViews>
  <sheetFormatPr defaultRowHeight="15"/>
  <cols>
    <col min="1" max="1" width="20.42578125" style="89" customWidth="1" collapsed="1"/>
    <col min="2" max="2" width="43.5703125" style="89" bestFit="1" customWidth="1" collapsed="1"/>
    <col min="3" max="3" width="8.7109375" style="89" customWidth="1" collapsed="1"/>
    <col min="4" max="4" width="20.7109375" style="89" customWidth="1" collapsed="1"/>
    <col min="5" max="5" width="26.85546875" style="89" customWidth="1" collapsed="1"/>
    <col min="6" max="6" width="19.5703125" style="89" bestFit="1" customWidth="1" collapsed="1"/>
    <col min="7" max="7" width="11.5703125" style="89" bestFit="1" customWidth="1" collapsed="1"/>
    <col min="8" max="8" width="16.42578125" style="90" bestFit="1" customWidth="1" collapsed="1"/>
    <col min="9" max="9" width="19" style="89" bestFit="1" customWidth="1" collapsed="1"/>
    <col min="10" max="10" width="20.42578125" style="89" customWidth="1" collapsed="1"/>
    <col min="11" max="11" width="23.28515625" style="89" customWidth="1" collapsed="1"/>
    <col min="12" max="12" width="22.85546875" style="40" bestFit="1" customWidth="1"/>
    <col min="13" max="16384" width="9.140625" style="89"/>
  </cols>
  <sheetData>
    <row r="1" spans="1:12">
      <c r="A1" s="86" t="s">
        <v>126</v>
      </c>
      <c r="B1" s="84" t="s">
        <v>92</v>
      </c>
      <c r="C1" s="85" t="s">
        <v>4</v>
      </c>
      <c r="D1" s="86" t="s">
        <v>127</v>
      </c>
      <c r="E1" s="84" t="s">
        <v>128</v>
      </c>
      <c r="F1" s="87" t="s">
        <v>129</v>
      </c>
      <c r="G1" s="86" t="s">
        <v>98</v>
      </c>
      <c r="H1" s="88" t="s">
        <v>93</v>
      </c>
      <c r="I1" s="84" t="s">
        <v>130</v>
      </c>
      <c r="J1" s="91" t="s">
        <v>132</v>
      </c>
      <c r="K1" s="91" t="s">
        <v>133</v>
      </c>
      <c r="L1" s="98" t="s">
        <v>131</v>
      </c>
    </row>
    <row r="2" spans="1:12">
      <c r="A2" s="159"/>
      <c r="B2" s="159"/>
      <c r="C2" s="160"/>
      <c r="D2" s="159"/>
      <c r="E2" s="159"/>
      <c r="F2" s="161"/>
      <c r="G2" s="159"/>
      <c r="H2" s="161"/>
      <c r="I2" s="161"/>
      <c r="J2" s="162"/>
      <c r="K2" s="159"/>
      <c r="L2" s="99" t="str">
        <f ca="1">_xlfn.LET(
    _xlpm.res_no, J2,
    _xlpm.record_sheet, 'MatRes Record'!J:M,
    _xlpm.AllCellsFilled, COUNTA(A2:K2) = 11,
    _xlpm.QtyIsInt, AND(ISNUMBER(G2), G2=INT(G2)),
    _xlpm.ReqDateIsValid, AND(ISNUMBER(H2), H2&gt;=TODAY()),
    _xlpm.EmailIsValid, RIGHT(I2,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IF(A2="", "", IF(_xlpm.error_messages = "", "Yes", _xlpm.error_messages))
)</f>
        <v/>
      </c>
    </row>
    <row r="3" spans="1:12">
      <c r="A3" s="163"/>
      <c r="B3" s="163"/>
      <c r="C3" s="164"/>
      <c r="D3" s="163"/>
      <c r="E3" s="163"/>
      <c r="F3" s="165"/>
      <c r="G3" s="163"/>
      <c r="H3" s="165"/>
      <c r="I3" s="165"/>
      <c r="J3" s="166"/>
      <c r="K3" s="163"/>
      <c r="L3" s="99" t="str">
        <f ca="1">_xlfn.LET(
    _xlpm.res_no, J3,
    _xlpm.record_sheet, 'MatRes Record'!J:M,
    _xlpm.AllCellsFilled, COUNTA(A3:K3) = 11,
    _xlpm.QtyIsInt, AND(ISNUMBER(G3), G3=INT(G3)),
    _xlpm.ReqDateIsValid, AND(ISNUMBER(H3), H3&gt;=TODAY()),
    _xlpm.EmailIsValid, RIGHT(I3,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IF(A3="", "", IF(_xlpm.error_messages = "", "Yes", _xlpm.error_messages))
)</f>
        <v/>
      </c>
    </row>
    <row r="4" spans="1:12">
      <c r="A4" s="159"/>
      <c r="B4" s="159"/>
      <c r="C4" s="160"/>
      <c r="D4" s="159"/>
      <c r="E4" s="159"/>
      <c r="F4" s="161"/>
      <c r="G4" s="159"/>
      <c r="H4" s="161"/>
      <c r="I4" s="161"/>
      <c r="J4" s="162"/>
      <c r="K4" s="159"/>
      <c r="L4" s="99" t="str">
        <f ca="1">_xlfn.LET(
    _xlpm.res_no, J4,
    _xlpm.record_sheet, 'MatRes Record'!J:M,
    _xlpm.AllCellsFilled, COUNTA(A4:K4) = 11,
    _xlpm.QtyIsInt, AND(ISNUMBER(G4), G4=INT(G4)),
    _xlpm.ReqDateIsValid, AND(ISNUMBER(H4), H4&gt;=TODAY()),
    _xlpm.EmailIsValid, RIGHT(I4,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IF(A4="", "", IF(_xlpm.error_messages = "", "Yes", _xlpm.error_messages))
)</f>
        <v/>
      </c>
    </row>
    <row r="5" spans="1:12">
      <c r="A5" s="163"/>
      <c r="B5" s="163"/>
      <c r="C5" s="164"/>
      <c r="D5" s="163"/>
      <c r="E5" s="163"/>
      <c r="F5" s="165"/>
      <c r="G5" s="163"/>
      <c r="H5" s="165"/>
      <c r="I5" s="165"/>
      <c r="J5" s="166"/>
      <c r="K5" s="163"/>
      <c r="L5" s="99" t="str">
        <f ca="1">_xlfn.LET(
    _xlpm.res_no, J5,
    _xlpm.record_sheet, 'MatRes Record'!J:M,
    _xlpm.AllCellsFilled, COUNTA(A5:K5) = 11,
    _xlpm.QtyIsInt, AND(ISNUMBER(G5), G5=INT(G5)),
    _xlpm.ReqDateIsValid, AND(ISNUMBER(H5), H5&gt;=TODAY()),
    _xlpm.EmailIsValid, RIGHT(I5,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IF(A5="", "", IF(_xlpm.error_messages = "", "Yes", _xlpm.error_messages))
)</f>
        <v/>
      </c>
    </row>
    <row r="6" spans="1:12">
      <c r="A6" s="159"/>
      <c r="B6" s="159"/>
      <c r="C6" s="160"/>
      <c r="D6" s="159"/>
      <c r="E6" s="159"/>
      <c r="F6" s="161"/>
      <c r="G6" s="159"/>
      <c r="H6" s="161"/>
      <c r="I6" s="161"/>
      <c r="J6" s="162"/>
      <c r="K6" s="159"/>
      <c r="L6" s="99" t="str">
        <f ca="1">_xlfn.LET(
    _xlpm.res_no, J6,
    _xlpm.record_sheet, 'MatRes Record'!J:M,
    _xlpm.AllCellsFilled, COUNTA(A6:K6) = 11,
    _xlpm.QtyIsInt, AND(ISNUMBER(G6), G6=INT(G6)),
    _xlpm.ReqDateIsValid, AND(ISNUMBER(H6), H6&gt;=TODAY()),
    _xlpm.EmailIsValid, RIGHT(I6,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IF(A6="", "", IF(_xlpm.error_messages = "", "Yes", _xlpm.error_messages))
)</f>
        <v/>
      </c>
    </row>
    <row r="7" spans="1:12">
      <c r="A7" s="163"/>
      <c r="B7" s="163"/>
      <c r="C7" s="164"/>
      <c r="D7" s="163"/>
      <c r="E7" s="163"/>
      <c r="F7" s="165"/>
      <c r="G7" s="163"/>
      <c r="H7" s="165"/>
      <c r="I7" s="165"/>
      <c r="J7" s="166"/>
      <c r="K7" s="163"/>
      <c r="L7" s="99" t="str">
        <f ca="1">_xlfn.LET(
    _xlpm.res_no, J7,
    _xlpm.record_sheet, 'MatRes Record'!J:M,
    _xlpm.AllCellsFilled, COUNTA(A7:K7) = 11,
    _xlpm.QtyIsInt, AND(ISNUMBER(G7), G7=INT(G7)),
    _xlpm.ReqDateIsValid, AND(ISNUMBER(H7), H7&gt;=TODAY()),
    _xlpm.EmailIsValid, RIGHT(I7,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IF(A7="", "", IF(_xlpm.error_messages = "", "Yes", _xlpm.error_messages))
)</f>
        <v/>
      </c>
    </row>
    <row r="8" spans="1:12">
      <c r="A8" s="159"/>
      <c r="B8" s="159"/>
      <c r="C8" s="160"/>
      <c r="D8" s="159"/>
      <c r="E8" s="159"/>
      <c r="F8" s="161"/>
      <c r="G8" s="159"/>
      <c r="H8" s="161"/>
      <c r="I8" s="161"/>
      <c r="J8" s="162"/>
      <c r="K8" s="159"/>
      <c r="L8" s="99" t="str">
        <f ca="1">_xlfn.LET(
    _xlpm.res_no, J8,
    _xlpm.record_sheet, 'MatRes Record'!J:M,
    _xlpm.AllCellsFilled, COUNTA(A8:K8) = 11,
    _xlpm.QtyIsInt, AND(ISNUMBER(G8), G8=INT(G8)),
    _xlpm.ReqDateIsValid, AND(ISNUMBER(H8), H8&gt;=TODAY()),
    _xlpm.EmailIsValid, RIGHT(I8,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IF(A8="", "", IF(_xlpm.error_messages = "", "Yes", _xlpm.error_messages))
)</f>
        <v/>
      </c>
    </row>
    <row r="9" spans="1:12">
      <c r="A9" s="167"/>
      <c r="B9" s="166"/>
      <c r="C9" s="168"/>
      <c r="D9" s="167"/>
      <c r="E9" s="167"/>
      <c r="F9" s="169"/>
      <c r="G9" s="166"/>
      <c r="H9" s="165"/>
      <c r="I9" s="169"/>
      <c r="J9" s="166"/>
      <c r="K9" s="163"/>
      <c r="L9" s="99" t="str">
        <f ca="1">_xlfn.LET(
    _xlpm.res_no, J9,
    _xlpm.record_sheet, 'MatRes Record'!J:M,
    _xlpm.AllCellsFilled, COUNTA(A9:K9) = 11,
    _xlpm.QtyIsInt, AND(ISNUMBER(G9), G9=INT(G9)),
    _xlpm.ReqDateIsValid, AND(ISNUMBER(H9), H9&gt;=TODAY()),
    _xlpm.EmailIsValid, RIGHT(I9,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IF(A9="", "", IF(_xlpm.error_messages = "", "Yes", _xlpm.error_messages))
)</f>
        <v/>
      </c>
    </row>
    <row r="10" spans="1:12">
      <c r="A10" s="170"/>
      <c r="B10" s="162"/>
      <c r="C10" s="171"/>
      <c r="D10" s="170"/>
      <c r="E10" s="170"/>
      <c r="F10" s="172"/>
      <c r="G10" s="162"/>
      <c r="H10" s="161"/>
      <c r="I10" s="172"/>
      <c r="J10" s="162"/>
      <c r="K10" s="159"/>
      <c r="L10" s="99" t="str">
        <f ca="1">_xlfn.LET(
    _xlpm.res_no, J10,
    _xlpm.record_sheet, 'MatRes Record'!J:M,
    _xlpm.AllCellsFilled, COUNTA(A10:K10) = 11,
    _xlpm.QtyIsInt, AND(ISNUMBER(G10), G10=INT(G10)),
    _xlpm.ReqDateIsValid, AND(ISNUMBER(H10), H10&gt;=TODAY()),
    _xlpm.EmailIsValid, RIGHT(I10,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IF(A10="", "", IF(_xlpm.error_messages = "", "Yes", _xlpm.error_messages))
)</f>
        <v/>
      </c>
    </row>
    <row r="11" spans="1:12">
      <c r="A11" s="167"/>
      <c r="B11" s="168"/>
      <c r="C11" s="168"/>
      <c r="D11" s="167"/>
      <c r="E11" s="167"/>
      <c r="F11" s="169"/>
      <c r="G11" s="166"/>
      <c r="H11" s="165"/>
      <c r="I11" s="169"/>
      <c r="J11" s="168"/>
      <c r="K11" s="163"/>
      <c r="L11" s="99" t="str">
        <f ca="1">_xlfn.LET(
    _xlpm.res_no, J11,
    _xlpm.record_sheet, 'MatRes Record'!J:M,
    _xlpm.AllCellsFilled, COUNTA(A11:K11) = 11,
    _xlpm.QtyIsInt, AND(ISNUMBER(G11), G11=INT(G11)),
    _xlpm.ReqDateIsValid, AND(ISNUMBER(H11), H11&gt;=TODAY()),
    _xlpm.EmailIsValid, RIGHT(I11,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IF(A11="", "", IF(_xlpm.error_messages = "", "Yes", _xlpm.error_messages))
)</f>
        <v/>
      </c>
    </row>
    <row r="12" spans="1:12">
      <c r="A12" s="170"/>
      <c r="B12" s="171"/>
      <c r="C12" s="171"/>
      <c r="D12" s="170"/>
      <c r="E12" s="170"/>
      <c r="F12" s="172"/>
      <c r="G12" s="162"/>
      <c r="H12" s="161"/>
      <c r="I12" s="172"/>
      <c r="J12" s="171"/>
      <c r="K12" s="159"/>
      <c r="L12" s="99" t="str">
        <f ca="1">_xlfn.LET(
    _xlpm.res_no, J12,
    _xlpm.record_sheet, 'MatRes Record'!J:M,
    _xlpm.AllCellsFilled, COUNTA(A12:K12) = 11,
    _xlpm.QtyIsInt, AND(ISNUMBER(G12), G12=INT(G12)),
    _xlpm.ReqDateIsValid, AND(ISNUMBER(H12), H12&gt;=TODAY()),
    _xlpm.EmailIsValid, RIGHT(I12,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IF(A12="", "", IF(_xlpm.error_messages = "", "Yes", _xlpm.error_messages))
)</f>
        <v/>
      </c>
    </row>
    <row r="13" spans="1:12">
      <c r="A13" s="167"/>
      <c r="B13" s="168"/>
      <c r="C13" s="168"/>
      <c r="D13" s="167"/>
      <c r="E13" s="167"/>
      <c r="F13" s="169"/>
      <c r="G13" s="166"/>
      <c r="H13" s="165"/>
      <c r="I13" s="169"/>
      <c r="J13" s="168"/>
      <c r="K13" s="163"/>
      <c r="L13" s="99" t="str">
        <f ca="1">_xlfn.LET(
    _xlpm.res_no, J13,
    _xlpm.record_sheet, 'MatRes Record'!J:M,
    _xlpm.AllCellsFilled, COUNTA(A13:K13) = 11,
    _xlpm.QtyIsInt, AND(ISNUMBER(G13), G13=INT(G13)),
    _xlpm.ReqDateIsValid, AND(ISNUMBER(H13), H13&gt;=TODAY()),
    _xlpm.EmailIsValid, RIGHT(I13,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IF(A13="", "", IF(_xlpm.error_messages = "", "Yes", _xlpm.error_messages))
)</f>
        <v/>
      </c>
    </row>
    <row r="14" spans="1:12">
      <c r="A14" s="170"/>
      <c r="B14" s="171"/>
      <c r="C14" s="171"/>
      <c r="D14" s="170"/>
      <c r="E14" s="170"/>
      <c r="F14" s="172"/>
      <c r="G14" s="162"/>
      <c r="H14" s="161"/>
      <c r="I14" s="172"/>
      <c r="J14" s="171"/>
      <c r="K14" s="159"/>
      <c r="L14" s="99" t="str">
        <f ca="1">_xlfn.LET(
    _xlpm.res_no, J14,
    _xlpm.record_sheet, 'MatRes Record'!J:M,
    _xlpm.AllCellsFilled, COUNTA(A14:K14) = 11,
    _xlpm.QtyIsInt, AND(ISNUMBER(G14), G14=INT(G14)),
    _xlpm.ReqDateIsValid, AND(ISNUMBER(H14), H14&gt;=TODAY()),
    _xlpm.EmailIsValid, RIGHT(I14,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IF(A14="", "", IF(_xlpm.error_messages = "", "Yes", _xlpm.error_messages))
)</f>
        <v/>
      </c>
    </row>
    <row r="15" spans="1:12">
      <c r="A15" s="167"/>
      <c r="B15" s="168"/>
      <c r="C15" s="168"/>
      <c r="D15" s="167"/>
      <c r="E15" s="167"/>
      <c r="F15" s="169"/>
      <c r="G15" s="166"/>
      <c r="H15" s="165"/>
      <c r="I15" s="169"/>
      <c r="J15" s="168"/>
      <c r="K15" s="163"/>
      <c r="L15" s="99" t="str">
        <f ca="1">_xlfn.LET(
    _xlpm.res_no, J15,
    _xlpm.record_sheet, 'MatRes Record'!J:M,
    _xlpm.AllCellsFilled, COUNTA(A15:K15) = 11,
    _xlpm.QtyIsInt, AND(ISNUMBER(G15), G15=INT(G15)),
    _xlpm.ReqDateIsValid, AND(ISNUMBER(H15), H15&gt;=TODAY()),
    _xlpm.EmailIsValid, RIGHT(I15,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IF(A15="", "", IF(_xlpm.error_messages = "", "Yes", _xlpm.error_messages))
)</f>
        <v/>
      </c>
    </row>
    <row r="16" spans="1:12">
      <c r="A16" s="170"/>
      <c r="B16" s="171"/>
      <c r="C16" s="171"/>
      <c r="D16" s="170"/>
      <c r="E16" s="170"/>
      <c r="F16" s="172"/>
      <c r="G16" s="162"/>
      <c r="H16" s="161"/>
      <c r="I16" s="172"/>
      <c r="J16" s="171"/>
      <c r="K16" s="159"/>
      <c r="L16" s="99" t="str">
        <f ca="1">_xlfn.LET(
    _xlpm.res_no, J16,
    _xlpm.record_sheet, 'MatRes Record'!J:M,
    _xlpm.AllCellsFilled, COUNTA(A16:K16) = 11,
    _xlpm.QtyIsInt, AND(ISNUMBER(G16), G16=INT(G16)),
    _xlpm.ReqDateIsValid, AND(ISNUMBER(H16), H16&gt;=TODAY()),
    _xlpm.EmailIsValid, RIGHT(I16,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IF(A16="", "", IF(_xlpm.error_messages = "", "Yes", _xlpm.error_messages))
)</f>
        <v/>
      </c>
    </row>
    <row r="17" spans="1:12">
      <c r="A17" s="167"/>
      <c r="B17" s="168"/>
      <c r="C17" s="168"/>
      <c r="D17" s="167"/>
      <c r="E17" s="167"/>
      <c r="F17" s="169"/>
      <c r="G17" s="166"/>
      <c r="H17" s="165"/>
      <c r="I17" s="169"/>
      <c r="J17" s="168"/>
      <c r="K17" s="163"/>
      <c r="L17" s="99" t="str">
        <f ca="1">_xlfn.LET(
    _xlpm.res_no, J17,
    _xlpm.record_sheet, 'MatRes Record'!J:M,
    _xlpm.AllCellsFilled, COUNTA(A17:K17) = 11,
    _xlpm.QtyIsInt, AND(ISNUMBER(G17), G17=INT(G17)),
    _xlpm.ReqDateIsValid, AND(ISNUMBER(H17), H17&gt;=TODAY()),
    _xlpm.EmailIsValid, RIGHT(I17,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IF(A17="", "", IF(_xlpm.error_messages = "", "Yes", _xlpm.error_messages))
)</f>
        <v/>
      </c>
    </row>
    <row r="18" spans="1:12">
      <c r="A18" s="170"/>
      <c r="B18" s="171"/>
      <c r="C18" s="171"/>
      <c r="D18" s="170"/>
      <c r="E18" s="170"/>
      <c r="F18" s="172"/>
      <c r="G18" s="162"/>
      <c r="H18" s="161"/>
      <c r="I18" s="172"/>
      <c r="J18" s="171"/>
      <c r="K18" s="159"/>
      <c r="L18" s="99" t="str">
        <f ca="1">_xlfn.LET(
    _xlpm.res_no, J18,
    _xlpm.record_sheet, 'MatRes Record'!J:M,
    _xlpm.AllCellsFilled, COUNTA(A18:K18) = 11,
    _xlpm.QtyIsInt, AND(ISNUMBER(G18), G18=INT(G18)),
    _xlpm.ReqDateIsValid, AND(ISNUMBER(H18), H18&gt;=TODAY()),
    _xlpm.EmailIsValid, RIGHT(I18,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IF(A18="", "", IF(_xlpm.error_messages = "", "Yes", _xlpm.error_messages))
)</f>
        <v/>
      </c>
    </row>
    <row r="19" spans="1:12">
      <c r="A19" s="167"/>
      <c r="B19" s="168"/>
      <c r="C19" s="168"/>
      <c r="D19" s="167"/>
      <c r="E19" s="167"/>
      <c r="F19" s="169"/>
      <c r="G19" s="166"/>
      <c r="H19" s="165"/>
      <c r="I19" s="169"/>
      <c r="J19" s="168"/>
      <c r="K19" s="163"/>
      <c r="L19" s="99" t="str">
        <f ca="1">_xlfn.LET(
    _xlpm.res_no, J19,
    _xlpm.record_sheet, 'MatRes Record'!J:M,
    _xlpm.AllCellsFilled, COUNTA(A19:K19) = 11,
    _xlpm.QtyIsInt, AND(ISNUMBER(G19), G19=INT(G19)),
    _xlpm.ReqDateIsValid, AND(ISNUMBER(H19), H19&gt;=TODAY()),
    _xlpm.EmailIsValid, RIGHT(I19,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IF(A19="", "", IF(_xlpm.error_messages = "", "Yes", _xlpm.error_messages))
)</f>
        <v/>
      </c>
    </row>
    <row r="20" spans="1:12">
      <c r="A20" s="170"/>
      <c r="B20" s="171"/>
      <c r="C20" s="171"/>
      <c r="D20" s="170"/>
      <c r="E20" s="170"/>
      <c r="F20" s="172"/>
      <c r="G20" s="162"/>
      <c r="H20" s="161"/>
      <c r="I20" s="172"/>
      <c r="J20" s="171"/>
      <c r="K20" s="159"/>
      <c r="L20" s="99" t="str">
        <f ca="1">_xlfn.LET(
    _xlpm.res_no, J20,
    _xlpm.record_sheet, 'MatRes Record'!J:M,
    _xlpm.AllCellsFilled, COUNTA(A20:K20) = 11,
    _xlpm.QtyIsInt, AND(ISNUMBER(G20), G20=INT(G20)),
    _xlpm.ReqDateIsValid, AND(ISNUMBER(H20), H20&gt;=TODAY()),
    _xlpm.EmailIsValid, RIGHT(I20,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IF(A20="", "", IF(_xlpm.error_messages = "", "Yes", _xlpm.error_messages))
)</f>
        <v/>
      </c>
    </row>
    <row r="21" spans="1:12">
      <c r="A21" s="167"/>
      <c r="B21" s="168"/>
      <c r="C21" s="168"/>
      <c r="D21" s="167"/>
      <c r="E21" s="167"/>
      <c r="F21" s="169"/>
      <c r="G21" s="166"/>
      <c r="H21" s="165"/>
      <c r="I21" s="169"/>
      <c r="J21" s="168"/>
      <c r="K21" s="163"/>
      <c r="L21" s="99" t="str">
        <f ca="1">_xlfn.LET(
    _xlpm.res_no, J21,
    _xlpm.record_sheet, 'MatRes Record'!J:M,
    _xlpm.AllCellsFilled, COUNTA(A21:K21) = 11,
    _xlpm.QtyIsInt, AND(ISNUMBER(G21), G21=INT(G21)),
    _xlpm.ReqDateIsValid, AND(ISNUMBER(H21), H21&gt;=TODAY()),
    _xlpm.EmailIsValid, RIGHT(I21,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IF(A21="", "", IF(_xlpm.error_messages = "", "Yes", _xlpm.error_messages))
)</f>
        <v/>
      </c>
    </row>
    <row r="22" spans="1:12">
      <c r="A22" s="170"/>
      <c r="B22" s="171"/>
      <c r="C22" s="171"/>
      <c r="D22" s="170"/>
      <c r="E22" s="170"/>
      <c r="F22" s="172"/>
      <c r="G22" s="162"/>
      <c r="H22" s="161"/>
      <c r="I22" s="172"/>
      <c r="J22" s="171"/>
      <c r="K22" s="159"/>
      <c r="L22" s="99" t="str">
        <f ca="1">_xlfn.LET(
    _xlpm.res_no, J22,
    _xlpm.record_sheet, 'MatRes Record'!J:M,
    _xlpm.AllCellsFilled, COUNTA(A22:K22) = 11,
    _xlpm.QtyIsInt, AND(ISNUMBER(G22), G22=INT(G22)),
    _xlpm.ReqDateIsValid, AND(ISNUMBER(H22), H22&gt;=TODAY()),
    _xlpm.EmailIsValid, RIGHT(I22,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IF(A22="", "", IF(_xlpm.error_messages = "", "Yes", _xlpm.error_messages))
)</f>
        <v/>
      </c>
    </row>
    <row r="23" spans="1:12">
      <c r="A23" s="167"/>
      <c r="B23" s="168"/>
      <c r="C23" s="168"/>
      <c r="D23" s="167"/>
      <c r="E23" s="167"/>
      <c r="F23" s="169"/>
      <c r="G23" s="166"/>
      <c r="H23" s="165"/>
      <c r="I23" s="169"/>
      <c r="J23" s="168"/>
      <c r="K23" s="163"/>
      <c r="L23" s="99" t="str">
        <f ca="1">_xlfn.LET(
    _xlpm.res_no, J23,
    _xlpm.record_sheet, 'MatRes Record'!J:M,
    _xlpm.AllCellsFilled, COUNTA(A23:K23) = 11,
    _xlpm.QtyIsInt, AND(ISNUMBER(G23), G23=INT(G23)),
    _xlpm.ReqDateIsValid, AND(ISNUMBER(H23), H23&gt;=TODAY()),
    _xlpm.EmailIsValid, RIGHT(I23,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IF(A23="", "", IF(_xlpm.error_messages = "", "Yes", _xlpm.error_messages))
)</f>
        <v/>
      </c>
    </row>
    <row r="24" spans="1:12">
      <c r="A24" s="170"/>
      <c r="B24" s="171"/>
      <c r="C24" s="171"/>
      <c r="D24" s="170"/>
      <c r="E24" s="170"/>
      <c r="F24" s="172"/>
      <c r="G24" s="162"/>
      <c r="H24" s="161"/>
      <c r="I24" s="172"/>
      <c r="J24" s="171"/>
      <c r="K24" s="159"/>
      <c r="L24" s="99" t="str">
        <f ca="1">_xlfn.LET(
    _xlpm.res_no, J24,
    _xlpm.record_sheet, 'MatRes Record'!J:M,
    _xlpm.AllCellsFilled, COUNTA(A24:K24) = 11,
    _xlpm.QtyIsInt, AND(ISNUMBER(G24), G24=INT(G24)),
    _xlpm.ReqDateIsValid, AND(ISNUMBER(H24), H24&gt;=TODAY()),
    _xlpm.EmailIsValid, RIGHT(I24,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IF(A24="", "", IF(_xlpm.error_messages = "", "Yes", _xlpm.error_messages))
)</f>
        <v/>
      </c>
    </row>
    <row r="25" spans="1:12">
      <c r="A25" s="167"/>
      <c r="B25" s="168"/>
      <c r="C25" s="168"/>
      <c r="D25" s="167"/>
      <c r="E25" s="167"/>
      <c r="F25" s="169"/>
      <c r="G25" s="166"/>
      <c r="H25" s="165"/>
      <c r="I25" s="169"/>
      <c r="J25" s="168"/>
      <c r="K25" s="163"/>
      <c r="L25" s="99" t="str">
        <f ca="1">_xlfn.LET(
    _xlpm.res_no, J25,
    _xlpm.record_sheet, 'MatRes Record'!J:M,
    _xlpm.AllCellsFilled, COUNTA(A25:K25) = 11,
    _xlpm.QtyIsInt, AND(ISNUMBER(G25), G25=INT(G25)),
    _xlpm.ReqDateIsValid, AND(ISNUMBER(H25), H25&gt;=TODAY()),
    _xlpm.EmailIsValid, RIGHT(I25,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IF(A25="", "", IF(_xlpm.error_messages = "", "Yes", _xlpm.error_messages))
)</f>
        <v/>
      </c>
    </row>
    <row r="26" spans="1:12">
      <c r="A26" s="170"/>
      <c r="B26" s="171"/>
      <c r="C26" s="171"/>
      <c r="D26" s="170"/>
      <c r="E26" s="170"/>
      <c r="F26" s="172"/>
      <c r="G26" s="162"/>
      <c r="H26" s="161"/>
      <c r="I26" s="172"/>
      <c r="J26" s="171"/>
      <c r="K26" s="159"/>
      <c r="L26" s="99" t="str">
        <f ca="1">_xlfn.LET(
    _xlpm.res_no, J26,
    _xlpm.record_sheet, 'MatRes Record'!J:M,
    _xlpm.AllCellsFilled, COUNTA(A26:K26) = 11,
    _xlpm.QtyIsInt, AND(ISNUMBER(G26), G26=INT(G26)),
    _xlpm.ReqDateIsValid, AND(ISNUMBER(H26), H26&gt;=TODAY()),
    _xlpm.EmailIsValid, RIGHT(I26,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IF(A26="", "", IF(_xlpm.error_messages = "", "Yes", _xlpm.error_messages))
)</f>
        <v/>
      </c>
    </row>
    <row r="27" spans="1:12">
      <c r="A27" s="167"/>
      <c r="B27" s="168"/>
      <c r="C27" s="168"/>
      <c r="D27" s="167"/>
      <c r="E27" s="167"/>
      <c r="F27" s="169"/>
      <c r="G27" s="166"/>
      <c r="H27" s="165"/>
      <c r="I27" s="169"/>
      <c r="J27" s="168"/>
      <c r="K27" s="163"/>
      <c r="L27" s="99" t="str">
        <f ca="1">_xlfn.LET(
    _xlpm.res_no, J27,
    _xlpm.record_sheet, 'MatRes Record'!J:M,
    _xlpm.AllCellsFilled, COUNTA(A27:K27) = 11,
    _xlpm.QtyIsInt, AND(ISNUMBER(G27), G27=INT(G27)),
    _xlpm.ReqDateIsValid, AND(ISNUMBER(H27), H27&gt;=TODAY()),
    _xlpm.EmailIsValid, RIGHT(I27,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IF(A27="", "", IF(_xlpm.error_messages = "", "Yes", _xlpm.error_messages))
)</f>
        <v/>
      </c>
    </row>
    <row r="28" spans="1:12">
      <c r="A28" s="170"/>
      <c r="B28" s="171"/>
      <c r="C28" s="171"/>
      <c r="D28" s="170"/>
      <c r="E28" s="170"/>
      <c r="F28" s="172"/>
      <c r="G28" s="162"/>
      <c r="H28" s="161"/>
      <c r="I28" s="172"/>
      <c r="J28" s="171"/>
      <c r="K28" s="159"/>
      <c r="L28" s="99" t="str">
        <f ca="1">_xlfn.LET(
    _xlpm.res_no, J28,
    _xlpm.record_sheet, 'MatRes Record'!J:M,
    _xlpm.AllCellsFilled, COUNTA(A28:K28) = 11,
    _xlpm.QtyIsInt, AND(ISNUMBER(G28), G28=INT(G28)),
    _xlpm.ReqDateIsValid, AND(ISNUMBER(H28), H28&gt;=TODAY()),
    _xlpm.EmailIsValid, RIGHT(I28,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IF(A28="", "", IF(_xlpm.error_messages = "", "Yes", _xlpm.error_messages))
)</f>
        <v/>
      </c>
    </row>
    <row r="29" spans="1:12">
      <c r="A29" s="167"/>
      <c r="B29" s="168"/>
      <c r="C29" s="168"/>
      <c r="D29" s="167"/>
      <c r="E29" s="167"/>
      <c r="F29" s="169"/>
      <c r="G29" s="166"/>
      <c r="H29" s="165"/>
      <c r="I29" s="169"/>
      <c r="J29" s="168"/>
      <c r="K29" s="163"/>
      <c r="L29" s="99" t="str">
        <f ca="1">_xlfn.LET(
    _xlpm.res_no, J29,
    _xlpm.record_sheet, 'MatRes Record'!J:M,
    _xlpm.AllCellsFilled, COUNTA(A29:K29) = 11,
    _xlpm.QtyIsInt, AND(ISNUMBER(G29), G29=INT(G29)),
    _xlpm.ReqDateIsValid, AND(ISNUMBER(H29), H29&gt;=TODAY()),
    _xlpm.EmailIsValid, RIGHT(I29,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IF(A29="", "", IF(_xlpm.error_messages = "", "Yes", _xlpm.error_messages))
)</f>
        <v/>
      </c>
    </row>
    <row r="30" spans="1:12">
      <c r="A30" s="170"/>
      <c r="B30" s="171"/>
      <c r="C30" s="171"/>
      <c r="D30" s="170"/>
      <c r="E30" s="170"/>
      <c r="F30" s="172"/>
      <c r="G30" s="162"/>
      <c r="H30" s="161"/>
      <c r="I30" s="172"/>
      <c r="J30" s="171"/>
      <c r="K30" s="159"/>
      <c r="L30" s="99" t="str">
        <f ca="1">_xlfn.LET(
    _xlpm.res_no, J30,
    _xlpm.record_sheet, 'MatRes Record'!J:M,
    _xlpm.AllCellsFilled, COUNTA(A30:K30) = 11,
    _xlpm.QtyIsInt, AND(ISNUMBER(G30), G30=INT(G30)),
    _xlpm.ReqDateIsValid, AND(ISNUMBER(H30), H30&gt;=TODAY()),
    _xlpm.EmailIsValid, RIGHT(I30,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IF(A30="", "", IF(_xlpm.error_messages = "", "Yes", _xlpm.error_messages))
)</f>
        <v/>
      </c>
    </row>
    <row r="31" spans="1:12">
      <c r="A31" s="167"/>
      <c r="B31" s="168"/>
      <c r="C31" s="168"/>
      <c r="D31" s="167"/>
      <c r="E31" s="167"/>
      <c r="F31" s="169"/>
      <c r="G31" s="166"/>
      <c r="H31" s="165"/>
      <c r="I31" s="169"/>
      <c r="J31" s="168"/>
      <c r="K31" s="163"/>
      <c r="L31" s="99" t="str">
        <f ca="1">_xlfn.LET(
    _xlpm.res_no, J31,
    _xlpm.record_sheet, 'MatRes Record'!J:M,
    _xlpm.AllCellsFilled, COUNTA(A31:K31) = 11,
    _xlpm.QtyIsInt, AND(ISNUMBER(G31), G31=INT(G31)),
    _xlpm.ReqDateIsValid, AND(ISNUMBER(H31), H31&gt;=TODAY()),
    _xlpm.EmailIsValid, RIGHT(I31,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IF(A31="", "", IF(_xlpm.error_messages = "", "Yes", _xlpm.error_messages))
)</f>
        <v/>
      </c>
    </row>
    <row r="32" spans="1:12">
      <c r="A32" s="170"/>
      <c r="B32" s="171"/>
      <c r="C32" s="171"/>
      <c r="D32" s="170"/>
      <c r="E32" s="170"/>
      <c r="F32" s="172"/>
      <c r="G32" s="162"/>
      <c r="H32" s="161"/>
      <c r="I32" s="172"/>
      <c r="J32" s="171"/>
      <c r="K32" s="159"/>
      <c r="L32" s="99" t="str">
        <f ca="1">_xlfn.LET(
    _xlpm.res_no, J32,
    _xlpm.record_sheet, 'MatRes Record'!J:M,
    _xlpm.AllCellsFilled, COUNTA(A32:K32) = 11,
    _xlpm.QtyIsInt, AND(ISNUMBER(G32), G32=INT(G32)),
    _xlpm.ReqDateIsValid, AND(ISNUMBER(H32), H32&gt;=TODAY()),
    _xlpm.EmailIsValid, RIGHT(I32,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IF(A32="", "", IF(_xlpm.error_messages = "", "Yes", _xlpm.error_messages))
)</f>
        <v/>
      </c>
    </row>
    <row r="33" spans="1:12">
      <c r="A33" s="167"/>
      <c r="B33" s="168"/>
      <c r="C33" s="168"/>
      <c r="D33" s="167"/>
      <c r="E33" s="167"/>
      <c r="F33" s="169"/>
      <c r="G33" s="166"/>
      <c r="H33" s="165"/>
      <c r="I33" s="169"/>
      <c r="J33" s="168"/>
      <c r="K33" s="163"/>
      <c r="L33" s="99" t="str">
        <f ca="1">_xlfn.LET(
    _xlpm.res_no, J33,
    _xlpm.record_sheet, 'MatRes Record'!J:M,
    _xlpm.AllCellsFilled, COUNTA(A33:K33) = 11,
    _xlpm.QtyIsInt, AND(ISNUMBER(G33), G33=INT(G33)),
    _xlpm.ReqDateIsValid, AND(ISNUMBER(H33), H33&gt;=TODAY()),
    _xlpm.EmailIsValid, RIGHT(I33,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IF(A33="", "", IF(_xlpm.error_messages = "", "Yes", _xlpm.error_messages))
)</f>
        <v/>
      </c>
    </row>
    <row r="34" spans="1:12">
      <c r="A34" s="170"/>
      <c r="B34" s="171"/>
      <c r="C34" s="171"/>
      <c r="D34" s="170"/>
      <c r="E34" s="170"/>
      <c r="F34" s="172"/>
      <c r="G34" s="162"/>
      <c r="H34" s="161"/>
      <c r="I34" s="172"/>
      <c r="J34" s="171"/>
      <c r="K34" s="159"/>
      <c r="L34" s="99" t="str">
        <f ca="1">_xlfn.LET(
    _xlpm.res_no, J34,
    _xlpm.record_sheet, 'MatRes Record'!J:M,
    _xlpm.AllCellsFilled, COUNTA(A34:K34) = 11,
    _xlpm.QtyIsInt, AND(ISNUMBER(G34), G34=INT(G34)),
    _xlpm.ReqDateIsValid, AND(ISNUMBER(H34), H34&gt;=TODAY()),
    _xlpm.EmailIsValid, RIGHT(I34,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IF(A34="", "", IF(_xlpm.error_messages = "", "Yes", _xlpm.error_messages))
)</f>
        <v/>
      </c>
    </row>
    <row r="35" spans="1:12">
      <c r="A35" s="167"/>
      <c r="B35" s="168"/>
      <c r="C35" s="168"/>
      <c r="D35" s="167"/>
      <c r="E35" s="167"/>
      <c r="F35" s="169"/>
      <c r="G35" s="166"/>
      <c r="H35" s="165"/>
      <c r="I35" s="169"/>
      <c r="J35" s="168"/>
      <c r="K35" s="163"/>
      <c r="L35" s="99" t="str">
        <f ca="1">_xlfn.LET(
    _xlpm.res_no, J35,
    _xlpm.record_sheet, 'MatRes Record'!J:M,
    _xlpm.AllCellsFilled, COUNTA(A35:K35) = 11,
    _xlpm.QtyIsInt, AND(ISNUMBER(G35), G35=INT(G35)),
    _xlpm.ReqDateIsValid, AND(ISNUMBER(H35), H35&gt;=TODAY()),
    _xlpm.EmailIsValid, RIGHT(I35,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IF(A35="", "", IF(_xlpm.error_messages = "", "Yes", _xlpm.error_messages))
)</f>
        <v/>
      </c>
    </row>
    <row r="36" spans="1:12">
      <c r="A36" s="170"/>
      <c r="B36" s="171"/>
      <c r="C36" s="171"/>
      <c r="D36" s="170"/>
      <c r="E36" s="170"/>
      <c r="F36" s="172"/>
      <c r="G36" s="162"/>
      <c r="H36" s="161"/>
      <c r="I36" s="172"/>
      <c r="J36" s="171"/>
      <c r="K36" s="159"/>
      <c r="L36" s="99" t="str">
        <f ca="1">_xlfn.LET(
    _xlpm.res_no, J36,
    _xlpm.record_sheet, 'MatRes Record'!J:M,
    _xlpm.AllCellsFilled, COUNTA(A36:K36) = 11,
    _xlpm.QtyIsInt, AND(ISNUMBER(G36), G36=INT(G36)),
    _xlpm.ReqDateIsValid, AND(ISNUMBER(H36), H36&gt;=TODAY()),
    _xlpm.EmailIsValid, RIGHT(I36,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IF(A36="", "", IF(_xlpm.error_messages = "", "Yes", _xlpm.error_messages))
)</f>
        <v/>
      </c>
    </row>
    <row r="37" spans="1:12">
      <c r="A37" s="167"/>
      <c r="B37" s="168"/>
      <c r="C37" s="168"/>
      <c r="D37" s="167"/>
      <c r="E37" s="167"/>
      <c r="F37" s="169"/>
      <c r="G37" s="166"/>
      <c r="H37" s="165"/>
      <c r="I37" s="169"/>
      <c r="J37" s="168"/>
      <c r="K37" s="163"/>
      <c r="L37" s="99" t="str">
        <f ca="1">_xlfn.LET(
    _xlpm.res_no, J37,
    _xlpm.record_sheet, 'MatRes Record'!J:M,
    _xlpm.AllCellsFilled, COUNTA(A37:K37) = 11,
    _xlpm.QtyIsInt, AND(ISNUMBER(G37), G37=INT(G37)),
    _xlpm.ReqDateIsValid, AND(ISNUMBER(H37), H37&gt;=TODAY()),
    _xlpm.EmailIsValid, RIGHT(I37,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IF(A37="", "", IF(_xlpm.error_messages = "", "Yes", _xlpm.error_messages))
)</f>
        <v/>
      </c>
    </row>
    <row r="38" spans="1:12">
      <c r="A38" s="170"/>
      <c r="B38" s="171"/>
      <c r="C38" s="171"/>
      <c r="D38" s="170"/>
      <c r="E38" s="170"/>
      <c r="F38" s="172"/>
      <c r="G38" s="162"/>
      <c r="H38" s="161"/>
      <c r="I38" s="172"/>
      <c r="J38" s="171"/>
      <c r="K38" s="159"/>
      <c r="L38" s="99" t="str">
        <f ca="1">_xlfn.LET(
    _xlpm.res_no, J38,
    _xlpm.record_sheet, 'MatRes Record'!J:M,
    _xlpm.AllCellsFilled, COUNTA(A38:K38) = 11,
    _xlpm.QtyIsInt, AND(ISNUMBER(G38), G38=INT(G38)),
    _xlpm.ReqDateIsValid, AND(ISNUMBER(H38), H38&gt;=TODAY()),
    _xlpm.EmailIsValid, RIGHT(I38,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IF(A38="", "", IF(_xlpm.error_messages = "", "Yes", _xlpm.error_messages))
)</f>
        <v/>
      </c>
    </row>
    <row r="39" spans="1:12">
      <c r="A39" s="167"/>
      <c r="B39" s="168"/>
      <c r="C39" s="168"/>
      <c r="D39" s="167"/>
      <c r="E39" s="167"/>
      <c r="F39" s="169"/>
      <c r="G39" s="166"/>
      <c r="H39" s="165"/>
      <c r="I39" s="169"/>
      <c r="J39" s="168"/>
      <c r="K39" s="163"/>
      <c r="L39" s="99" t="str">
        <f ca="1">_xlfn.LET(
    _xlpm.res_no, J39,
    _xlpm.record_sheet, 'MatRes Record'!J:M,
    _xlpm.AllCellsFilled, COUNTA(A39:K39) = 11,
    _xlpm.QtyIsInt, AND(ISNUMBER(G39), G39=INT(G39)),
    _xlpm.ReqDateIsValid, AND(ISNUMBER(H39), H39&gt;=TODAY()),
    _xlpm.EmailIsValid, RIGHT(I39,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IF(A39="", "", IF(_xlpm.error_messages = "", "Yes", _xlpm.error_messages))
)</f>
        <v/>
      </c>
    </row>
    <row r="40" spans="1:12">
      <c r="A40" s="170"/>
      <c r="B40" s="171"/>
      <c r="C40" s="171"/>
      <c r="D40" s="170"/>
      <c r="E40" s="170"/>
      <c r="F40" s="172"/>
      <c r="G40" s="162"/>
      <c r="H40" s="161"/>
      <c r="I40" s="172"/>
      <c r="J40" s="171"/>
      <c r="K40" s="159"/>
      <c r="L40" s="99" t="str">
        <f ca="1">_xlfn.LET(
    _xlpm.res_no, J40,
    _xlpm.record_sheet, 'MatRes Record'!J:M,
    _xlpm.AllCellsFilled, COUNTA(A40:K40) = 11,
    _xlpm.QtyIsInt, AND(ISNUMBER(G40), G40=INT(G40)),
    _xlpm.ReqDateIsValid, AND(ISNUMBER(H40), H40&gt;=TODAY()),
    _xlpm.EmailIsValid, RIGHT(I40,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IF(A40="", "", IF(_xlpm.error_messages = "", "Yes", _xlpm.error_messages))
)</f>
        <v/>
      </c>
    </row>
    <row r="41" spans="1:12">
      <c r="A41" s="167"/>
      <c r="B41" s="168"/>
      <c r="C41" s="168"/>
      <c r="D41" s="167"/>
      <c r="E41" s="167"/>
      <c r="F41" s="169"/>
      <c r="G41" s="166"/>
      <c r="H41" s="165"/>
      <c r="I41" s="169"/>
      <c r="J41" s="168"/>
      <c r="K41" s="163"/>
      <c r="L41" s="99" t="str">
        <f ca="1">_xlfn.LET(
    _xlpm.res_no, J41,
    _xlpm.record_sheet, 'MatRes Record'!J:M,
    _xlpm.AllCellsFilled, COUNTA(A41:K41) = 11,
    _xlpm.QtyIsInt, AND(ISNUMBER(G41), G41=INT(G41)),
    _xlpm.ReqDateIsValid, AND(ISNUMBER(H41), H41&gt;=TODAY()),
    _xlpm.EmailIsValid, RIGHT(I41,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IF(A41="", "", IF(_xlpm.error_messages = "", "Yes", _xlpm.error_messages))
)</f>
        <v/>
      </c>
    </row>
    <row r="42" spans="1:12">
      <c r="A42" s="170"/>
      <c r="B42" s="171"/>
      <c r="C42" s="171"/>
      <c r="D42" s="170"/>
      <c r="E42" s="170"/>
      <c r="F42" s="172"/>
      <c r="G42" s="162"/>
      <c r="H42" s="161"/>
      <c r="I42" s="172"/>
      <c r="J42" s="171"/>
      <c r="K42" s="159"/>
      <c r="L42" s="99" t="str">
        <f ca="1">_xlfn.LET(
    _xlpm.res_no, J42,
    _xlpm.record_sheet, 'MatRes Record'!J:M,
    _xlpm.AllCellsFilled, COUNTA(A42:K42) = 11,
    _xlpm.QtyIsInt, AND(ISNUMBER(G42), G42=INT(G42)),
    _xlpm.ReqDateIsValid, AND(ISNUMBER(H42), H42&gt;=TODAY()),
    _xlpm.EmailIsValid, RIGHT(I42,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IF(A42="", "", IF(_xlpm.error_messages = "", "Yes", _xlpm.error_messages))
)</f>
        <v/>
      </c>
    </row>
    <row r="43" spans="1:12">
      <c r="A43" s="167"/>
      <c r="B43" s="168"/>
      <c r="C43" s="168"/>
      <c r="D43" s="167"/>
      <c r="E43" s="167"/>
      <c r="F43" s="169"/>
      <c r="G43" s="166"/>
      <c r="H43" s="165"/>
      <c r="I43" s="169"/>
      <c r="J43" s="168"/>
      <c r="K43" s="163"/>
      <c r="L43" s="99" t="str">
        <f ca="1">_xlfn.LET(
    _xlpm.res_no, J43,
    _xlpm.record_sheet, 'MatRes Record'!J:M,
    _xlpm.AllCellsFilled, COUNTA(A43:K43) = 11,
    _xlpm.QtyIsInt, AND(ISNUMBER(G43), G43=INT(G43)),
    _xlpm.ReqDateIsValid, AND(ISNUMBER(H43), H43&gt;=TODAY()),
    _xlpm.EmailIsValid, RIGHT(I43,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IF(A43="", "", IF(_xlpm.error_messages = "", "Yes", _xlpm.error_messages))
)</f>
        <v/>
      </c>
    </row>
    <row r="44" spans="1:12">
      <c r="A44" s="170"/>
      <c r="B44" s="171"/>
      <c r="C44" s="171"/>
      <c r="D44" s="170"/>
      <c r="E44" s="170"/>
      <c r="F44" s="172"/>
      <c r="G44" s="162"/>
      <c r="H44" s="161"/>
      <c r="I44" s="172"/>
      <c r="J44" s="171"/>
      <c r="K44" s="159"/>
      <c r="L44" s="99" t="str">
        <f ca="1">_xlfn.LET(
    _xlpm.res_no, J44,
    _xlpm.record_sheet, 'MatRes Record'!J:M,
    _xlpm.AllCellsFilled, COUNTA(A44:K44) = 11,
    _xlpm.QtyIsInt, AND(ISNUMBER(G44), G44=INT(G44)),
    _xlpm.ReqDateIsValid, AND(ISNUMBER(H44), H44&gt;=TODAY()),
    _xlpm.EmailIsValid, RIGHT(I44,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IF(A44="", "", IF(_xlpm.error_messages = "", "Yes", _xlpm.error_messages))
)</f>
        <v/>
      </c>
    </row>
    <row r="45" spans="1:12">
      <c r="A45" s="167"/>
      <c r="B45" s="168"/>
      <c r="C45" s="168"/>
      <c r="D45" s="167"/>
      <c r="E45" s="167"/>
      <c r="F45" s="169"/>
      <c r="G45" s="166"/>
      <c r="H45" s="165"/>
      <c r="I45" s="169"/>
      <c r="J45" s="168"/>
      <c r="K45" s="163"/>
      <c r="L45" s="99" t="str">
        <f ca="1">_xlfn.LET(
    _xlpm.res_no, J45,
    _xlpm.record_sheet, 'MatRes Record'!J:M,
    _xlpm.AllCellsFilled, COUNTA(A45:K45) = 11,
    _xlpm.QtyIsInt, AND(ISNUMBER(G45), G45=INT(G45)),
    _xlpm.ReqDateIsValid, AND(ISNUMBER(H45), H45&gt;=TODAY()),
    _xlpm.EmailIsValid, RIGHT(I45,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IF(A45="", "", IF(_xlpm.error_messages = "", "Yes", _xlpm.error_messages))
)</f>
        <v/>
      </c>
    </row>
    <row r="46" spans="1:12">
      <c r="A46" s="170"/>
      <c r="B46" s="171"/>
      <c r="C46" s="171"/>
      <c r="D46" s="170"/>
      <c r="E46" s="170"/>
      <c r="F46" s="172"/>
      <c r="G46" s="162"/>
      <c r="H46" s="161"/>
      <c r="I46" s="172"/>
      <c r="J46" s="171"/>
      <c r="K46" s="159"/>
      <c r="L46" s="99" t="str">
        <f ca="1">_xlfn.LET(
    _xlpm.res_no, J46,
    _xlpm.record_sheet, 'MatRes Record'!J:M,
    _xlpm.AllCellsFilled, COUNTA(A46:K46) = 11,
    _xlpm.QtyIsInt, AND(ISNUMBER(G46), G46=INT(G46)),
    _xlpm.ReqDateIsValid, AND(ISNUMBER(H46), H46&gt;=TODAY()),
    _xlpm.EmailIsValid, RIGHT(I46,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IF(A46="", "", IF(_xlpm.error_messages = "", "Yes", _xlpm.error_messages))
)</f>
        <v/>
      </c>
    </row>
    <row r="47" spans="1:12">
      <c r="A47" s="167"/>
      <c r="B47" s="168"/>
      <c r="C47" s="168"/>
      <c r="D47" s="167"/>
      <c r="E47" s="167"/>
      <c r="F47" s="169"/>
      <c r="G47" s="166"/>
      <c r="H47" s="165"/>
      <c r="I47" s="169"/>
      <c r="J47" s="168"/>
      <c r="K47" s="163"/>
      <c r="L47" s="99" t="str">
        <f ca="1">_xlfn.LET(
    _xlpm.res_no, J47,
    _xlpm.record_sheet, 'MatRes Record'!J:M,
    _xlpm.AllCellsFilled, COUNTA(A47:K47) = 11,
    _xlpm.QtyIsInt, AND(ISNUMBER(G47), G47=INT(G47)),
    _xlpm.ReqDateIsValid, AND(ISNUMBER(H47), H47&gt;=TODAY()),
    _xlpm.EmailIsValid, RIGHT(I47,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IF(A47="", "", IF(_xlpm.error_messages = "", "Yes", _xlpm.error_messages))
)</f>
        <v/>
      </c>
    </row>
    <row r="48" spans="1:12">
      <c r="A48" s="170"/>
      <c r="B48" s="171"/>
      <c r="C48" s="171"/>
      <c r="D48" s="170"/>
      <c r="E48" s="170"/>
      <c r="F48" s="172"/>
      <c r="G48" s="162"/>
      <c r="H48" s="161"/>
      <c r="I48" s="172"/>
      <c r="J48" s="171"/>
      <c r="K48" s="159"/>
      <c r="L48" s="99" t="str">
        <f ca="1">_xlfn.LET(
    _xlpm.res_no, J48,
    _xlpm.record_sheet, 'MatRes Record'!J:M,
    _xlpm.AllCellsFilled, COUNTA(A48:K48) = 11,
    _xlpm.QtyIsInt, AND(ISNUMBER(G48), G48=INT(G48)),
    _xlpm.ReqDateIsValid, AND(ISNUMBER(H48), H48&gt;=TODAY()),
    _xlpm.EmailIsValid, RIGHT(I48,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IF(A48="", "", IF(_xlpm.error_messages = "", "Yes", _xlpm.error_messages))
)</f>
        <v/>
      </c>
    </row>
    <row r="49" spans="1:12">
      <c r="A49" s="167"/>
      <c r="B49" s="168"/>
      <c r="C49" s="168"/>
      <c r="D49" s="167"/>
      <c r="E49" s="167"/>
      <c r="F49" s="169"/>
      <c r="G49" s="166"/>
      <c r="H49" s="165"/>
      <c r="I49" s="169"/>
      <c r="J49" s="168"/>
      <c r="K49" s="163"/>
      <c r="L49" s="99" t="str">
        <f ca="1">_xlfn.LET(
    _xlpm.res_no, J49,
    _xlpm.record_sheet, 'MatRes Record'!J:M,
    _xlpm.AllCellsFilled, COUNTA(A49:K49) = 11,
    _xlpm.QtyIsInt, AND(ISNUMBER(G49), G49=INT(G49)),
    _xlpm.ReqDateIsValid, AND(ISNUMBER(H49), H49&gt;=TODAY()),
    _xlpm.EmailIsValid, RIGHT(I49,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IF(A49="", "", IF(_xlpm.error_messages = "", "Yes", _xlpm.error_messages))
)</f>
        <v/>
      </c>
    </row>
    <row r="50" spans="1:12">
      <c r="A50" s="170"/>
      <c r="B50" s="171"/>
      <c r="C50" s="171"/>
      <c r="D50" s="170"/>
      <c r="E50" s="170"/>
      <c r="F50" s="172"/>
      <c r="G50" s="162"/>
      <c r="H50" s="161"/>
      <c r="I50" s="172"/>
      <c r="J50" s="171"/>
      <c r="K50" s="159"/>
      <c r="L50" s="99" t="str">
        <f ca="1">_xlfn.LET(
    _xlpm.res_no, J50,
    _xlpm.record_sheet, 'MatRes Record'!J:M,
    _xlpm.AllCellsFilled, COUNTA(A50:K50) = 11,
    _xlpm.QtyIsInt, AND(ISNUMBER(G50), G50=INT(G50)),
    _xlpm.ReqDateIsValid, AND(ISNUMBER(H50), H50&gt;=TODAY()),
    _xlpm.EmailIsValid, RIGHT(I50,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IF(A50="", "", IF(_xlpm.error_messages = "", "Yes", _xlpm.error_messages))
)</f>
        <v/>
      </c>
    </row>
    <row r="51" spans="1:12">
      <c r="A51" s="167"/>
      <c r="B51" s="168"/>
      <c r="C51" s="168"/>
      <c r="D51" s="167"/>
      <c r="E51" s="167"/>
      <c r="F51" s="169"/>
      <c r="G51" s="166"/>
      <c r="H51" s="165"/>
      <c r="I51" s="169"/>
      <c r="J51" s="168"/>
      <c r="K51" s="163"/>
      <c r="L51" s="99" t="str">
        <f ca="1">_xlfn.LET(
    _xlpm.res_no, J51,
    _xlpm.record_sheet, 'MatRes Record'!J:M,
    _xlpm.AllCellsFilled, COUNTA(A51:K51) = 11,
    _xlpm.QtyIsInt, AND(ISNUMBER(G51), G51=INT(G51)),
    _xlpm.ReqDateIsValid, AND(ISNUMBER(H51), H51&gt;=TODAY()),
    _xlpm.EmailIsValid, RIGHT(I51,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IF(A51="", "", IF(_xlpm.error_messages = "", "Yes", _xlpm.error_messages))
)</f>
        <v/>
      </c>
    </row>
    <row r="52" spans="1:12">
      <c r="A52" s="162"/>
      <c r="B52" s="171"/>
      <c r="C52" s="171"/>
      <c r="D52" s="162"/>
      <c r="E52" s="170"/>
      <c r="F52" s="172"/>
      <c r="G52" s="162"/>
      <c r="H52" s="161"/>
      <c r="I52" s="172"/>
      <c r="J52" s="171"/>
      <c r="K52" s="159"/>
      <c r="L52" s="99" t="str">
        <f ca="1">_xlfn.LET(
    _xlpm.res_no, J52,
    _xlpm.record_sheet, 'MatRes Record'!J:M,
    _xlpm.AllCellsFilled, COUNTA(A52:K52) = 11,
    _xlpm.QtyIsInt, AND(ISNUMBER(G52), G52=INT(G52)),
    _xlpm.ReqDateIsValid, AND(ISNUMBER(H52), H52&gt;=TODAY()),
    _xlpm.EmailIsValid, RIGHT(I52,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IF(A52="", "", IF(_xlpm.error_messages = "", "Yes", _xlpm.error_messages))
)</f>
        <v/>
      </c>
    </row>
    <row r="53" spans="1:12">
      <c r="A53" s="166"/>
      <c r="B53" s="168"/>
      <c r="C53" s="168"/>
      <c r="D53" s="166"/>
      <c r="E53" s="167"/>
      <c r="F53" s="169"/>
      <c r="G53" s="166"/>
      <c r="H53" s="165"/>
      <c r="I53" s="169"/>
      <c r="J53" s="168"/>
      <c r="K53" s="163"/>
      <c r="L53" s="99" t="str">
        <f ca="1">_xlfn.LET(
    _xlpm.res_no, J53,
    _xlpm.record_sheet, 'MatRes Record'!J:M,
    _xlpm.AllCellsFilled, COUNTA(A53:K53) = 11,
    _xlpm.QtyIsInt, AND(ISNUMBER(G53), G53=INT(G53)),
    _xlpm.ReqDateIsValid, AND(ISNUMBER(H53), H53&gt;=TODAY()),
    _xlpm.EmailIsValid, RIGHT(I53,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IF(A53="", "", IF(_xlpm.error_messages = "", "Yes", _xlpm.error_messages))
)</f>
        <v/>
      </c>
    </row>
    <row r="54" spans="1:12">
      <c r="A54" s="162"/>
      <c r="B54" s="171"/>
      <c r="C54" s="171"/>
      <c r="D54" s="162"/>
      <c r="E54" s="170"/>
      <c r="F54" s="172"/>
      <c r="G54" s="162"/>
      <c r="H54" s="161"/>
      <c r="I54" s="172"/>
      <c r="J54" s="171"/>
      <c r="K54" s="159"/>
      <c r="L54" s="99" t="str">
        <f ca="1">_xlfn.LET(
    _xlpm.res_no, J54,
    _xlpm.record_sheet, 'MatRes Record'!J:M,
    _xlpm.AllCellsFilled, COUNTA(A54:K54) = 11,
    _xlpm.QtyIsInt, AND(ISNUMBER(G54), G54=INT(G54)),
    _xlpm.ReqDateIsValid, AND(ISNUMBER(H54), H54&gt;=TODAY()),
    _xlpm.EmailIsValid, RIGHT(I54,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IF(A54="", "", IF(_xlpm.error_messages = "", "Yes", _xlpm.error_messages))
)</f>
        <v/>
      </c>
    </row>
    <row r="55" spans="1:12">
      <c r="A55" s="166"/>
      <c r="B55" s="168"/>
      <c r="C55" s="168"/>
      <c r="D55" s="166"/>
      <c r="E55" s="167"/>
      <c r="F55" s="169"/>
      <c r="G55" s="166"/>
      <c r="H55" s="165"/>
      <c r="I55" s="169"/>
      <c r="J55" s="168"/>
      <c r="K55" s="163"/>
      <c r="L55" s="99" t="str">
        <f ca="1">_xlfn.LET(
    _xlpm.res_no, J55,
    _xlpm.record_sheet, 'MatRes Record'!J:M,
    _xlpm.AllCellsFilled, COUNTA(A55:K55) = 11,
    _xlpm.QtyIsInt, AND(ISNUMBER(G55), G55=INT(G55)),
    _xlpm.ReqDateIsValid, AND(ISNUMBER(H55), H55&gt;=TODAY()),
    _xlpm.EmailIsValid, RIGHT(I55,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IF(A55="", "", IF(_xlpm.error_messages = "", "Yes", _xlpm.error_messages))
)</f>
        <v/>
      </c>
    </row>
    <row r="56" spans="1:12">
      <c r="A56" s="162"/>
      <c r="B56" s="171"/>
      <c r="C56" s="171"/>
      <c r="D56" s="162"/>
      <c r="E56" s="170"/>
      <c r="F56" s="172"/>
      <c r="G56" s="162"/>
      <c r="H56" s="161"/>
      <c r="I56" s="172"/>
      <c r="J56" s="171"/>
      <c r="K56" s="159"/>
      <c r="L56" s="99" t="str">
        <f ca="1">_xlfn.LET(
    _xlpm.res_no, J56,
    _xlpm.record_sheet, 'MatRes Record'!J:M,
    _xlpm.AllCellsFilled, COUNTA(A56:K56) = 11,
    _xlpm.QtyIsInt, AND(ISNUMBER(G56), G56=INT(G56)),
    _xlpm.ReqDateIsValid, AND(ISNUMBER(H56), H56&gt;=TODAY()),
    _xlpm.EmailIsValid, RIGHT(I56,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IF(A56="", "", IF(_xlpm.error_messages = "", "Yes", _xlpm.error_messages))
)</f>
        <v/>
      </c>
    </row>
    <row r="57" spans="1:12">
      <c r="A57" s="166"/>
      <c r="B57" s="168"/>
      <c r="C57" s="168"/>
      <c r="D57" s="166"/>
      <c r="E57" s="167"/>
      <c r="F57" s="169"/>
      <c r="G57" s="166"/>
      <c r="H57" s="165"/>
      <c r="I57" s="169"/>
      <c r="J57" s="168"/>
      <c r="K57" s="163"/>
      <c r="L57" s="99" t="str">
        <f ca="1">_xlfn.LET(
    _xlpm.res_no, J57,
    _xlpm.record_sheet, 'MatRes Record'!J:M,
    _xlpm.AllCellsFilled, COUNTA(A57:K57) = 11,
    _xlpm.QtyIsInt, AND(ISNUMBER(G57), G57=INT(G57)),
    _xlpm.ReqDateIsValid, AND(ISNUMBER(H57), H57&gt;=TODAY()),
    _xlpm.EmailIsValid, RIGHT(I57,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IF(A57="", "", IF(_xlpm.error_messages = "", "Yes", _xlpm.error_messages))
)</f>
        <v/>
      </c>
    </row>
    <row r="58" spans="1:12">
      <c r="A58" s="162"/>
      <c r="B58" s="171"/>
      <c r="C58" s="171"/>
      <c r="D58" s="162"/>
      <c r="E58" s="170"/>
      <c r="F58" s="172"/>
      <c r="G58" s="162"/>
      <c r="H58" s="161"/>
      <c r="I58" s="172"/>
      <c r="J58" s="171"/>
      <c r="K58" s="159"/>
      <c r="L58" s="99" t="str">
        <f ca="1">_xlfn.LET(
    _xlpm.res_no, J58,
    _xlpm.record_sheet, 'MatRes Record'!J:M,
    _xlpm.AllCellsFilled, COUNTA(A58:K58) = 11,
    _xlpm.QtyIsInt, AND(ISNUMBER(G58), G58=INT(G58)),
    _xlpm.ReqDateIsValid, AND(ISNUMBER(H58), H58&gt;=TODAY()),
    _xlpm.EmailIsValid, RIGHT(I58,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IF(A58="", "", IF(_xlpm.error_messages = "", "Yes", _xlpm.error_messages))
)</f>
        <v/>
      </c>
    </row>
    <row r="59" spans="1:12">
      <c r="A59" s="166"/>
      <c r="B59" s="168"/>
      <c r="C59" s="168"/>
      <c r="D59" s="166"/>
      <c r="E59" s="167"/>
      <c r="F59" s="169"/>
      <c r="G59" s="166"/>
      <c r="H59" s="165"/>
      <c r="I59" s="169"/>
      <c r="J59" s="168"/>
      <c r="K59" s="163"/>
      <c r="L59" s="99" t="str">
        <f ca="1">_xlfn.LET(
    _xlpm.res_no, J59,
    _xlpm.record_sheet, 'MatRes Record'!J:M,
    _xlpm.AllCellsFilled, COUNTA(A59:K59) = 11,
    _xlpm.QtyIsInt, AND(ISNUMBER(G59), G59=INT(G59)),
    _xlpm.ReqDateIsValid, AND(ISNUMBER(H59), H59&gt;=TODAY()),
    _xlpm.EmailIsValid, RIGHT(I59,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IF(A59="", "", IF(_xlpm.error_messages = "", "Yes", _xlpm.error_messages))
)</f>
        <v/>
      </c>
    </row>
    <row r="60" spans="1:12">
      <c r="A60" s="162"/>
      <c r="B60" s="171"/>
      <c r="C60" s="171"/>
      <c r="D60" s="162"/>
      <c r="E60" s="170"/>
      <c r="F60" s="172"/>
      <c r="G60" s="162"/>
      <c r="H60" s="161"/>
      <c r="I60" s="172"/>
      <c r="J60" s="171"/>
      <c r="K60" s="159"/>
      <c r="L60" s="99" t="str">
        <f ca="1">_xlfn.LET(
    _xlpm.res_no, J60,
    _xlpm.record_sheet, 'MatRes Record'!J:M,
    _xlpm.AllCellsFilled, COUNTA(A60:K60) = 11,
    _xlpm.QtyIsInt, AND(ISNUMBER(G60), G60=INT(G60)),
    _xlpm.ReqDateIsValid, AND(ISNUMBER(H60), H60&gt;=TODAY()),
    _xlpm.EmailIsValid, RIGHT(I60,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IF(A60="", "", IF(_xlpm.error_messages = "", "Yes", _xlpm.error_messages))
)</f>
        <v/>
      </c>
    </row>
    <row r="61" spans="1:12">
      <c r="A61" s="166"/>
      <c r="B61" s="168"/>
      <c r="C61" s="168"/>
      <c r="D61" s="166"/>
      <c r="E61" s="167"/>
      <c r="F61" s="169"/>
      <c r="G61" s="166"/>
      <c r="H61" s="165"/>
      <c r="I61" s="169"/>
      <c r="J61" s="168"/>
      <c r="K61" s="163"/>
      <c r="L61" s="99" t="str">
        <f ca="1">_xlfn.LET(
    _xlpm.res_no, J61,
    _xlpm.record_sheet, 'MatRes Record'!J:M,
    _xlpm.AllCellsFilled, COUNTA(A61:K61) = 11,
    _xlpm.QtyIsInt, AND(ISNUMBER(G61), G61=INT(G61)),
    _xlpm.ReqDateIsValid, AND(ISNUMBER(H61), H61&gt;=TODAY()),
    _xlpm.EmailIsValid, RIGHT(I61,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IF(A61="", "", IF(_xlpm.error_messages = "", "Yes", _xlpm.error_messages))
)</f>
        <v/>
      </c>
    </row>
    <row r="62" spans="1:12">
      <c r="A62" s="162"/>
      <c r="B62" s="171"/>
      <c r="C62" s="171"/>
      <c r="D62" s="162"/>
      <c r="E62" s="170"/>
      <c r="F62" s="172"/>
      <c r="G62" s="162"/>
      <c r="H62" s="161"/>
      <c r="I62" s="172"/>
      <c r="J62" s="171"/>
      <c r="K62" s="159"/>
      <c r="L62" s="99" t="str">
        <f ca="1">_xlfn.LET(
    _xlpm.res_no, J62,
    _xlpm.record_sheet, 'MatRes Record'!J:M,
    _xlpm.AllCellsFilled, COUNTA(A62:K62) = 11,
    _xlpm.QtyIsInt, AND(ISNUMBER(G62), G62=INT(G62)),
    _xlpm.ReqDateIsValid, AND(ISNUMBER(H62), H62&gt;=TODAY()),
    _xlpm.EmailIsValid, RIGHT(I62,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IF(A62="", "", IF(_xlpm.error_messages = "", "Yes", _xlpm.error_messages))
)</f>
        <v/>
      </c>
    </row>
    <row r="63" spans="1:12">
      <c r="A63" s="166"/>
      <c r="B63" s="168"/>
      <c r="C63" s="168"/>
      <c r="D63" s="166"/>
      <c r="E63" s="167"/>
      <c r="F63" s="169"/>
      <c r="G63" s="166"/>
      <c r="H63" s="165"/>
      <c r="I63" s="169"/>
      <c r="J63" s="168"/>
      <c r="K63" s="163"/>
      <c r="L63" s="99" t="str">
        <f ca="1">_xlfn.LET(
    _xlpm.res_no, J63,
    _xlpm.record_sheet, 'MatRes Record'!J:M,
    _xlpm.AllCellsFilled, COUNTA(A63:K63) = 11,
    _xlpm.QtyIsInt, AND(ISNUMBER(G63), G63=INT(G63)),
    _xlpm.ReqDateIsValid, AND(ISNUMBER(H63), H63&gt;=TODAY()),
    _xlpm.EmailIsValid, RIGHT(I63,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IF(A63="", "", IF(_xlpm.error_messages = "", "Yes", _xlpm.error_messages))
)</f>
        <v/>
      </c>
    </row>
    <row r="64" spans="1:12">
      <c r="A64" s="162"/>
      <c r="B64" s="171"/>
      <c r="C64" s="171"/>
      <c r="D64" s="162"/>
      <c r="E64" s="170"/>
      <c r="F64" s="172"/>
      <c r="G64" s="162"/>
      <c r="H64" s="161"/>
      <c r="I64" s="172"/>
      <c r="J64" s="171"/>
      <c r="K64" s="159"/>
      <c r="L64" s="99" t="str">
        <f ca="1">_xlfn.LET(
    _xlpm.res_no, J64,
    _xlpm.record_sheet, 'MatRes Record'!J:M,
    _xlpm.AllCellsFilled, COUNTA(A64:K64) = 11,
    _xlpm.QtyIsInt, AND(ISNUMBER(G64), G64=INT(G64)),
    _xlpm.ReqDateIsValid, AND(ISNUMBER(H64), H64&gt;=TODAY()),
    _xlpm.EmailIsValid, RIGHT(I64,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IF(A64="", "", IF(_xlpm.error_messages = "", "Yes", _xlpm.error_messages))
)</f>
        <v/>
      </c>
    </row>
    <row r="65" spans="1:12">
      <c r="A65" s="166"/>
      <c r="B65" s="168"/>
      <c r="C65" s="168"/>
      <c r="D65" s="166"/>
      <c r="E65" s="167"/>
      <c r="F65" s="169"/>
      <c r="G65" s="166"/>
      <c r="H65" s="165"/>
      <c r="I65" s="169"/>
      <c r="J65" s="168"/>
      <c r="K65" s="163"/>
      <c r="L65" s="99" t="str">
        <f ca="1">_xlfn.LET(
    _xlpm.res_no, J65,
    _xlpm.record_sheet, 'MatRes Record'!J:M,
    _xlpm.AllCellsFilled, COUNTA(A65:K65) = 11,
    _xlpm.QtyIsInt, AND(ISNUMBER(G65), G65=INT(G65)),
    _xlpm.ReqDateIsValid, AND(ISNUMBER(H65), H65&gt;=TODAY()),
    _xlpm.EmailIsValid, RIGHT(I65,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IF(A65="", "", IF(_xlpm.error_messages = "", "Yes", _xlpm.error_messages))
)</f>
        <v/>
      </c>
    </row>
    <row r="66" spans="1:12">
      <c r="A66" s="162"/>
      <c r="B66" s="171"/>
      <c r="C66" s="171"/>
      <c r="D66" s="162"/>
      <c r="E66" s="170"/>
      <c r="F66" s="172"/>
      <c r="G66" s="162"/>
      <c r="H66" s="161"/>
      <c r="I66" s="172"/>
      <c r="J66" s="171"/>
      <c r="K66" s="159"/>
      <c r="L66" s="99" t="str">
        <f ca="1">_xlfn.LET(
    _xlpm.res_no, J66,
    _xlpm.record_sheet, 'MatRes Record'!J:M,
    _xlpm.AllCellsFilled, COUNTA(A66:K66) = 11,
    _xlpm.QtyIsInt, AND(ISNUMBER(G66), G66=INT(G66)),
    _xlpm.ReqDateIsValid, AND(ISNUMBER(H66), H66&gt;=TODAY()),
    _xlpm.EmailIsValid, RIGHT(I66,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IF(A66="", "", IF(_xlpm.error_messages = "", "Yes", _xlpm.error_messages))
)</f>
        <v/>
      </c>
    </row>
    <row r="67" spans="1:12">
      <c r="A67" s="166"/>
      <c r="B67" s="168"/>
      <c r="C67" s="168"/>
      <c r="D67" s="166"/>
      <c r="E67" s="167"/>
      <c r="F67" s="169"/>
      <c r="G67" s="166"/>
      <c r="H67" s="165"/>
      <c r="I67" s="169"/>
      <c r="J67" s="168"/>
      <c r="K67" s="163"/>
      <c r="L67" s="99" t="str">
        <f ca="1">_xlfn.LET(
    _xlpm.res_no, J67,
    _xlpm.record_sheet, 'MatRes Record'!J:M,
    _xlpm.AllCellsFilled, COUNTA(A67:K67) = 11,
    _xlpm.QtyIsInt, AND(ISNUMBER(G67), G67=INT(G67)),
    _xlpm.ReqDateIsValid, AND(ISNUMBER(H67), H67&gt;=TODAY()),
    _xlpm.EmailIsValid, RIGHT(I67,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IF(A67="", "", IF(_xlpm.error_messages = "", "Yes", _xlpm.error_messages))
)</f>
        <v/>
      </c>
    </row>
    <row r="68" spans="1:12">
      <c r="A68" s="162"/>
      <c r="B68" s="171"/>
      <c r="C68" s="171"/>
      <c r="D68" s="162"/>
      <c r="E68" s="170"/>
      <c r="F68" s="172"/>
      <c r="G68" s="162"/>
      <c r="H68" s="161"/>
      <c r="I68" s="172"/>
      <c r="J68" s="171"/>
      <c r="K68" s="159"/>
      <c r="L68" s="99" t="str">
        <f ca="1">_xlfn.LET(
    _xlpm.res_no, J68,
    _xlpm.record_sheet, 'MatRes Record'!J:M,
    _xlpm.AllCellsFilled, COUNTA(A68:K68) = 11,
    _xlpm.QtyIsInt, AND(ISNUMBER(G68), G68=INT(G68)),
    _xlpm.ReqDateIsValid, AND(ISNUMBER(H68), H68&gt;=TODAY()),
    _xlpm.EmailIsValid, RIGHT(I68,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IF(A68="", "", IF(_xlpm.error_messages = "", "Yes", _xlpm.error_messages))
)</f>
        <v/>
      </c>
    </row>
    <row r="69" spans="1:12">
      <c r="A69" s="166"/>
      <c r="B69" s="168"/>
      <c r="C69" s="168"/>
      <c r="D69" s="166"/>
      <c r="E69" s="167"/>
      <c r="F69" s="169"/>
      <c r="G69" s="166"/>
      <c r="H69" s="165"/>
      <c r="I69" s="169"/>
      <c r="J69" s="168"/>
      <c r="K69" s="163"/>
      <c r="L69" s="99" t="str">
        <f ca="1">_xlfn.LET(
    _xlpm.res_no, J69,
    _xlpm.record_sheet, 'MatRes Record'!J:M,
    _xlpm.AllCellsFilled, COUNTA(A69:K69) = 11,
    _xlpm.QtyIsInt, AND(ISNUMBER(G69), G69=INT(G69)),
    _xlpm.ReqDateIsValid, AND(ISNUMBER(H69), H69&gt;=TODAY()),
    _xlpm.EmailIsValid, RIGHT(I69,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IF(A69="", "", IF(_xlpm.error_messages = "", "Yes", _xlpm.error_messages))
)</f>
        <v/>
      </c>
    </row>
    <row r="70" spans="1:12">
      <c r="A70" s="97"/>
      <c r="B70" s="173"/>
      <c r="C70" s="173"/>
      <c r="D70" s="97"/>
      <c r="E70" s="97"/>
      <c r="F70" s="174"/>
      <c r="G70" s="97"/>
      <c r="H70" s="174"/>
      <c r="I70" s="174"/>
      <c r="J70" s="105"/>
      <c r="K70" s="97"/>
      <c r="L70" s="99" t="str">
        <f ca="1">_xlfn.LET(
    _xlpm.res_no, J70,
    _xlpm.record_sheet, 'MatRes Record'!J:M,
    _xlpm.AllCellsFilled, COUNTA(A70:K70) = 11,
    _xlpm.QtyIsInt, AND(ISNUMBER(G70), G70=INT(G70)),
    _xlpm.ReqDateIsValid, AND(ISNUMBER(H70), H70&gt;=TODAY()),
    _xlpm.EmailIsValid, RIGHT(I70,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IF(A70="", "", IF(_xlpm.error_messages = "", "Yes", _xlpm.error_messages))
)</f>
        <v/>
      </c>
    </row>
    <row r="71" spans="1:12">
      <c r="A71" s="153"/>
      <c r="B71" s="154"/>
      <c r="C71" s="154"/>
      <c r="D71" s="153"/>
      <c r="E71" s="153"/>
      <c r="F71" s="155"/>
      <c r="G71" s="153"/>
      <c r="H71" s="155"/>
      <c r="I71" s="155"/>
      <c r="J71" s="156"/>
      <c r="K71" s="157"/>
      <c r="L71" s="158" t="str">
        <f ca="1">_xlfn.LET(
    _xlpm.res_no, J71,
    _xlpm.record_sheet, 'MatRes Record'!J:M,
    _xlpm.AllCellsFilled, COUNTA(A71:K71) = 11,
    _xlpm.QtyIsInt, AND(ISNUMBER(G71), G71=INT(G71)),
    _xlpm.ReqDateIsValid, AND(ISNUMBER(H71), H71&gt;=TODAY()),
    _xlpm.EmailIsValid, RIGHT(I71,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IF(A71="", "", IF(_xlpm.error_messages = "", "Yes", _xlpm.error_messages))
)</f>
        <v/>
      </c>
    </row>
    <row r="72" spans="1:12">
      <c r="A72" s="94"/>
      <c r="B72" s="95"/>
      <c r="C72" s="95"/>
      <c r="D72" s="94"/>
      <c r="E72" s="94"/>
      <c r="F72" s="96"/>
      <c r="G72" s="94"/>
      <c r="H72" s="96"/>
      <c r="I72" s="96"/>
      <c r="J72" s="92"/>
      <c r="K72" s="97"/>
      <c r="L72" s="99" t="str">
        <f ca="1">_xlfn.LET(
    _xlpm.res_no, J72,
    _xlpm.record_sheet, 'MatRes Record'!J:M,
    _xlpm.AllCellsFilled, COUNTA(A72:K72) = 11,
    _xlpm.QtyIsInt, AND(ISNUMBER(G72), G72=INT(G72)),
    _xlpm.ReqDateIsValid, AND(ISNUMBER(H72), H72&gt;=TODAY()),
    _xlpm.EmailIsValid, RIGHT(I72,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IF(A72="", "", IF(_xlpm.error_messages = "", "Yes", _xlpm.error_messages))
)</f>
        <v/>
      </c>
    </row>
    <row r="73" spans="1:12">
      <c r="A73" s="94"/>
      <c r="B73" s="95"/>
      <c r="C73" s="95"/>
      <c r="D73" s="94"/>
      <c r="E73" s="94"/>
      <c r="F73" s="96"/>
      <c r="G73" s="94"/>
      <c r="H73" s="96"/>
      <c r="I73" s="96"/>
      <c r="J73" s="92"/>
      <c r="K73" s="97"/>
      <c r="L73" s="99" t="str">
        <f ca="1">_xlfn.LET(
    _xlpm.res_no, J73,
    _xlpm.record_sheet, 'MatRes Record'!J:M,
    _xlpm.AllCellsFilled, COUNTA(A73:K73) = 11,
    _xlpm.QtyIsInt, AND(ISNUMBER(G73), G73=INT(G73)),
    _xlpm.ReqDateIsValid, AND(ISNUMBER(H73), H73&gt;=TODAY()),
    _xlpm.EmailIsValid, RIGHT(I73,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IF(A73="", "", IF(_xlpm.error_messages = "", "Yes", _xlpm.error_messages))
)</f>
        <v/>
      </c>
    </row>
    <row r="74" spans="1:12">
      <c r="A74" s="94"/>
      <c r="B74" s="95"/>
      <c r="C74" s="95"/>
      <c r="D74" s="94"/>
      <c r="E74" s="94"/>
      <c r="F74" s="96"/>
      <c r="G74" s="94"/>
      <c r="H74" s="96"/>
      <c r="I74" s="96"/>
      <c r="J74" s="92"/>
      <c r="K74" s="97"/>
      <c r="L74" s="99" t="str">
        <f ca="1">_xlfn.LET(
    _xlpm.res_no, J74,
    _xlpm.record_sheet, 'MatRes Record'!J:M,
    _xlpm.AllCellsFilled, COUNTA(A74:K74) = 11,
    _xlpm.QtyIsInt, AND(ISNUMBER(G74), G74=INT(G74)),
    _xlpm.ReqDateIsValid, AND(ISNUMBER(H74), H74&gt;=TODAY()),
    _xlpm.EmailIsValid, RIGHT(I74,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IF(A74="", "", IF(_xlpm.error_messages = "", "Yes", _xlpm.error_messages))
)</f>
        <v/>
      </c>
    </row>
    <row r="75" spans="1:12">
      <c r="A75" s="94"/>
      <c r="B75" s="95"/>
      <c r="C75" s="95"/>
      <c r="D75" s="94"/>
      <c r="E75" s="94"/>
      <c r="F75" s="96"/>
      <c r="G75" s="94"/>
      <c r="H75" s="96"/>
      <c r="I75" s="96"/>
      <c r="J75" s="92"/>
      <c r="K75" s="97"/>
      <c r="L75" s="99" t="str">
        <f ca="1">_xlfn.LET(
    _xlpm.res_no, J75,
    _xlpm.record_sheet, 'MatRes Record'!J:M,
    _xlpm.AllCellsFilled, COUNTA(A75:K75) = 11,
    _xlpm.QtyIsInt, AND(ISNUMBER(G75), G75=INT(G75)),
    _xlpm.ReqDateIsValid, AND(ISNUMBER(H75), H75&gt;=TODAY()),
    _xlpm.EmailIsValid, RIGHT(I75,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IF(A75="", "", IF(_xlpm.error_messages = "", "Yes", _xlpm.error_messages))
)</f>
        <v/>
      </c>
    </row>
    <row r="76" spans="1:12">
      <c r="A76" s="94"/>
      <c r="B76" s="95"/>
      <c r="C76" s="95"/>
      <c r="D76" s="94"/>
      <c r="E76" s="94"/>
      <c r="F76" s="96"/>
      <c r="G76" s="94"/>
      <c r="H76" s="96"/>
      <c r="I76" s="96"/>
      <c r="J76" s="92"/>
      <c r="K76" s="97"/>
      <c r="L76" s="99" t="str">
        <f ca="1">_xlfn.LET(
    _xlpm.res_no, J76,
    _xlpm.record_sheet, 'MatRes Record'!J:M,
    _xlpm.AllCellsFilled, COUNTA(A76:K76) = 11,
    _xlpm.QtyIsInt, AND(ISNUMBER(G76), G76=INT(G76)),
    _xlpm.ReqDateIsValid, AND(ISNUMBER(H76), H76&gt;=TODAY()),
    _xlpm.EmailIsValid, RIGHT(I76,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IF(A76="", "", IF(_xlpm.error_messages = "", "Yes", _xlpm.error_messages))
)</f>
        <v/>
      </c>
    </row>
    <row r="77" spans="1:12">
      <c r="A77" s="94"/>
      <c r="B77" s="95"/>
      <c r="C77" s="95"/>
      <c r="D77" s="94"/>
      <c r="E77" s="94"/>
      <c r="F77" s="96"/>
      <c r="G77" s="94"/>
      <c r="H77" s="96"/>
      <c r="I77" s="96"/>
      <c r="J77" s="92"/>
      <c r="K77" s="97"/>
      <c r="L77" s="99" t="str">
        <f ca="1">_xlfn.LET(
    _xlpm.res_no, J77,
    _xlpm.record_sheet, 'MatRes Record'!J:M,
    _xlpm.AllCellsFilled, COUNTA(A77:K77) = 11,
    _xlpm.QtyIsInt, AND(ISNUMBER(G77), G77=INT(G77)),
    _xlpm.ReqDateIsValid, AND(ISNUMBER(H77), H77&gt;=TODAY()),
    _xlpm.EmailIsValid, RIGHT(I77,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IF(A77="", "", IF(_xlpm.error_messages = "", "Yes", _xlpm.error_messages))
)</f>
        <v/>
      </c>
    </row>
    <row r="78" spans="1:12">
      <c r="A78" s="94"/>
      <c r="B78" s="95"/>
      <c r="C78" s="95"/>
      <c r="D78" s="94"/>
      <c r="E78" s="94"/>
      <c r="F78" s="96"/>
      <c r="G78" s="94"/>
      <c r="H78" s="96"/>
      <c r="I78" s="96"/>
      <c r="J78" s="92"/>
      <c r="K78" s="97"/>
      <c r="L78" s="99" t="str">
        <f ca="1">_xlfn.LET(
    _xlpm.res_no, J78,
    _xlpm.record_sheet, 'MatRes Record'!J:M,
    _xlpm.AllCellsFilled, COUNTA(A78:K78) = 11,
    _xlpm.QtyIsInt, AND(ISNUMBER(G78), G78=INT(G78)),
    _xlpm.ReqDateIsValid, AND(ISNUMBER(H78), H78&gt;=TODAY()),
    _xlpm.EmailIsValid, RIGHT(I78,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IF(A78="", "", IF(_xlpm.error_messages = "", "Yes", _xlpm.error_messages))
)</f>
        <v/>
      </c>
    </row>
    <row r="79" spans="1:12">
      <c r="A79" s="94"/>
      <c r="B79" s="95"/>
      <c r="C79" s="95"/>
      <c r="D79" s="94"/>
      <c r="E79" s="94"/>
      <c r="F79" s="96"/>
      <c r="G79" s="94"/>
      <c r="H79" s="96"/>
      <c r="I79" s="96"/>
      <c r="J79" s="92"/>
      <c r="K79" s="97"/>
      <c r="L79" s="99" t="str">
        <f ca="1">_xlfn.LET(
    _xlpm.res_no, J79,
    _xlpm.record_sheet, 'MatRes Record'!J:M,
    _xlpm.AllCellsFilled, COUNTA(A79:K79) = 11,
    _xlpm.QtyIsInt, AND(ISNUMBER(G79), G79=INT(G79)),
    _xlpm.ReqDateIsValid, AND(ISNUMBER(H79), H79&gt;=TODAY()),
    _xlpm.EmailIsValid, RIGHT(I79,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IF(A79="", "", IF(_xlpm.error_messages = "", "Yes", _xlpm.error_messages))
)</f>
        <v/>
      </c>
    </row>
    <row r="80" spans="1:12">
      <c r="A80" s="94"/>
      <c r="B80" s="95"/>
      <c r="C80" s="95"/>
      <c r="D80" s="94"/>
      <c r="E80" s="94"/>
      <c r="F80" s="96"/>
      <c r="G80" s="94"/>
      <c r="H80" s="96"/>
      <c r="I80" s="96"/>
      <c r="J80" s="92"/>
      <c r="K80" s="97"/>
      <c r="L80" s="99" t="str">
        <f ca="1">_xlfn.LET(
    _xlpm.res_no, J80,
    _xlpm.record_sheet, 'MatRes Record'!J:M,
    _xlpm.AllCellsFilled, COUNTA(A80:K80) = 11,
    _xlpm.QtyIsInt, AND(ISNUMBER(G80), G80=INT(G80)),
    _xlpm.ReqDateIsValid, AND(ISNUMBER(H80), H80&gt;=TODAY()),
    _xlpm.EmailIsValid, RIGHT(I80,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IF(A80="", "", IF(_xlpm.error_messages = "", "Yes", _xlpm.error_messages))
)</f>
        <v/>
      </c>
    </row>
    <row r="81" spans="1:12">
      <c r="A81" s="94"/>
      <c r="B81" s="95"/>
      <c r="C81" s="95"/>
      <c r="D81" s="94"/>
      <c r="E81" s="94"/>
      <c r="F81" s="96"/>
      <c r="G81" s="94"/>
      <c r="H81" s="96"/>
      <c r="I81" s="96"/>
      <c r="J81" s="92"/>
      <c r="K81" s="97"/>
      <c r="L81" s="99" t="str">
        <f ca="1">_xlfn.LET(
    _xlpm.res_no, J81,
    _xlpm.record_sheet, 'MatRes Record'!J:M,
    _xlpm.AllCellsFilled, COUNTA(A81:K81) = 11,
    _xlpm.QtyIsInt, AND(ISNUMBER(G81), G81=INT(G81)),
    _xlpm.ReqDateIsValid, AND(ISNUMBER(H81), H81&gt;=TODAY()),
    _xlpm.EmailIsValid, RIGHT(I81,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IF(A81="", "", IF(_xlpm.error_messages = "", "Yes", _xlpm.error_messages))
)</f>
        <v/>
      </c>
    </row>
    <row r="82" spans="1:12">
      <c r="A82" s="94"/>
      <c r="B82" s="95"/>
      <c r="C82" s="95"/>
      <c r="D82" s="94"/>
      <c r="E82" s="94"/>
      <c r="F82" s="96"/>
      <c r="G82" s="94"/>
      <c r="H82" s="96"/>
      <c r="I82" s="96"/>
      <c r="J82" s="92"/>
      <c r="K82" s="97"/>
      <c r="L82" s="99" t="str">
        <f ca="1">_xlfn.LET(
    _xlpm.res_no, J82,
    _xlpm.record_sheet, 'MatRes Record'!J:M,
    _xlpm.AllCellsFilled, COUNTA(A82:K82) = 11,
    _xlpm.QtyIsInt, AND(ISNUMBER(G82), G82=INT(G82)),
    _xlpm.ReqDateIsValid, AND(ISNUMBER(H82), H82&gt;=TODAY()),
    _xlpm.EmailIsValid, RIGHT(I82,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IF(A82="", "", IF(_xlpm.error_messages = "", "Yes", _xlpm.error_messages))
)</f>
        <v/>
      </c>
    </row>
    <row r="83" spans="1:12">
      <c r="A83" s="94"/>
      <c r="B83" s="95"/>
      <c r="C83" s="95"/>
      <c r="D83" s="94"/>
      <c r="E83" s="94"/>
      <c r="F83" s="96"/>
      <c r="G83" s="94"/>
      <c r="H83" s="96"/>
      <c r="I83" s="96"/>
      <c r="J83" s="92"/>
      <c r="K83" s="97"/>
      <c r="L83" s="99" t="str">
        <f ca="1">_xlfn.LET(
    _xlpm.res_no, J83,
    _xlpm.record_sheet, 'MatRes Record'!J:M,
    _xlpm.AllCellsFilled, COUNTA(A83:K83) = 11,
    _xlpm.QtyIsInt, AND(ISNUMBER(G83), G83=INT(G83)),
    _xlpm.ReqDateIsValid, AND(ISNUMBER(H83), H83&gt;=TODAY()),
    _xlpm.EmailIsValid, RIGHT(I83,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IF(A83="", "", IF(_xlpm.error_messages = "", "Yes", _xlpm.error_messages))
)</f>
        <v/>
      </c>
    </row>
    <row r="84" spans="1:12">
      <c r="A84" s="94"/>
      <c r="B84" s="95"/>
      <c r="C84" s="95"/>
      <c r="D84" s="94"/>
      <c r="E84" s="94"/>
      <c r="F84" s="96"/>
      <c r="G84" s="94"/>
      <c r="H84" s="96"/>
      <c r="I84" s="96"/>
      <c r="J84" s="92"/>
      <c r="K84" s="97"/>
      <c r="L84" s="99" t="str">
        <f ca="1">_xlfn.LET(
    _xlpm.res_no, J84,
    _xlpm.record_sheet, 'MatRes Record'!J:M,
    _xlpm.AllCellsFilled, COUNTA(A84:K84) = 11,
    _xlpm.QtyIsInt, AND(ISNUMBER(G84), G84=INT(G84)),
    _xlpm.ReqDateIsValid, AND(ISNUMBER(H84), H84&gt;=TODAY()),
    _xlpm.EmailIsValid, RIGHT(I84,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IF(A84="", "", IF(_xlpm.error_messages = "", "Yes", _xlpm.error_messages))
)</f>
        <v/>
      </c>
    </row>
    <row r="85" spans="1:12">
      <c r="A85" s="94"/>
      <c r="B85" s="95"/>
      <c r="C85" s="95"/>
      <c r="D85" s="94"/>
      <c r="E85" s="94"/>
      <c r="F85" s="96"/>
      <c r="G85" s="94"/>
      <c r="H85" s="96"/>
      <c r="I85" s="96"/>
      <c r="J85" s="92"/>
      <c r="K85" s="97"/>
      <c r="L85" s="99" t="str">
        <f ca="1">_xlfn.LET(
    _xlpm.res_no, J85,
    _xlpm.record_sheet, 'MatRes Record'!J:M,
    _xlpm.AllCellsFilled, COUNTA(A85:K85) = 11,
    _xlpm.QtyIsInt, AND(ISNUMBER(G85), G85=INT(G85)),
    _xlpm.ReqDateIsValid, AND(ISNUMBER(H85), H85&gt;=TODAY()),
    _xlpm.EmailIsValid, RIGHT(I85,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IF(A85="", "", IF(_xlpm.error_messages = "", "Yes", _xlpm.error_messages))
)</f>
        <v/>
      </c>
    </row>
    <row r="86" spans="1:12">
      <c r="A86" s="94"/>
      <c r="B86" s="95"/>
      <c r="C86" s="95"/>
      <c r="D86" s="94"/>
      <c r="E86" s="94"/>
      <c r="F86" s="96"/>
      <c r="G86" s="94"/>
      <c r="H86" s="96"/>
      <c r="I86" s="96"/>
      <c r="J86" s="92"/>
      <c r="K86" s="97"/>
      <c r="L86" s="99" t="str">
        <f ca="1">_xlfn.LET(
    _xlpm.res_no, J86,
    _xlpm.record_sheet, 'MatRes Record'!J:M,
    _xlpm.AllCellsFilled, COUNTA(A86:K86) = 11,
    _xlpm.QtyIsInt, AND(ISNUMBER(G86), G86=INT(G86)),
    _xlpm.ReqDateIsValid, AND(ISNUMBER(H86), H86&gt;=TODAY()),
    _xlpm.EmailIsValid, RIGHT(I86,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IF(A86="", "", IF(_xlpm.error_messages = "", "Yes", _xlpm.error_messages))
)</f>
        <v/>
      </c>
    </row>
    <row r="87" spans="1:12">
      <c r="A87" s="94"/>
      <c r="B87" s="95"/>
      <c r="C87" s="95"/>
      <c r="D87" s="94"/>
      <c r="E87" s="94"/>
      <c r="F87" s="96"/>
      <c r="G87" s="94"/>
      <c r="H87" s="96"/>
      <c r="I87" s="96"/>
      <c r="J87" s="92"/>
      <c r="K87" s="97"/>
      <c r="L87" s="99" t="str">
        <f ca="1">_xlfn.LET(
    _xlpm.res_no, J87,
    _xlpm.record_sheet, 'MatRes Record'!J:M,
    _xlpm.AllCellsFilled, COUNTA(A87:K87) = 11,
    _xlpm.QtyIsInt, AND(ISNUMBER(G87), G87=INT(G87)),
    _xlpm.ReqDateIsValid, AND(ISNUMBER(H87), H87&gt;=TODAY()),
    _xlpm.EmailIsValid, RIGHT(I87,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IF(A87="", "", IF(_xlpm.error_messages = "", "Yes", _xlpm.error_messages))
)</f>
        <v/>
      </c>
    </row>
    <row r="88" spans="1:12">
      <c r="A88" s="94"/>
      <c r="B88" s="95"/>
      <c r="C88" s="95"/>
      <c r="D88" s="94"/>
      <c r="E88" s="94"/>
      <c r="F88" s="96"/>
      <c r="G88" s="94"/>
      <c r="H88" s="96"/>
      <c r="I88" s="96"/>
      <c r="J88" s="92"/>
      <c r="K88" s="97"/>
      <c r="L88" s="99" t="str">
        <f ca="1">_xlfn.LET(
    _xlpm.res_no, J88,
    _xlpm.record_sheet, 'MatRes Record'!J:M,
    _xlpm.AllCellsFilled, COUNTA(A88:K88) = 11,
    _xlpm.QtyIsInt, AND(ISNUMBER(G88), G88=INT(G88)),
    _xlpm.ReqDateIsValid, AND(ISNUMBER(H88), H88&gt;=TODAY()),
    _xlpm.EmailIsValid, RIGHT(I88,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IF(A88="", "", IF(_xlpm.error_messages = "", "Yes", _xlpm.error_messages))
)</f>
        <v/>
      </c>
    </row>
    <row r="89" spans="1:12">
      <c r="A89" s="94"/>
      <c r="B89" s="95"/>
      <c r="C89" s="95"/>
      <c r="D89" s="94"/>
      <c r="E89" s="94"/>
      <c r="F89" s="96"/>
      <c r="G89" s="94"/>
      <c r="H89" s="96"/>
      <c r="I89" s="96"/>
      <c r="J89" s="92"/>
      <c r="K89" s="97"/>
      <c r="L89" s="99" t="str">
        <f ca="1">_xlfn.LET(
    _xlpm.res_no, J89,
    _xlpm.record_sheet, 'MatRes Record'!J:M,
    _xlpm.AllCellsFilled, COUNTA(A89:K89) = 11,
    _xlpm.QtyIsInt, AND(ISNUMBER(G89), G89=INT(G89)),
    _xlpm.ReqDateIsValid, AND(ISNUMBER(H89), H89&gt;=TODAY()),
    _xlpm.EmailIsValid, RIGHT(I89,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IF(A89="", "", IF(_xlpm.error_messages = "", "Yes", _xlpm.error_messages))
)</f>
        <v/>
      </c>
    </row>
    <row r="90" spans="1:12">
      <c r="A90" s="94"/>
      <c r="B90" s="95"/>
      <c r="C90" s="95"/>
      <c r="D90" s="94"/>
      <c r="E90" s="94"/>
      <c r="F90" s="96"/>
      <c r="G90" s="94"/>
      <c r="H90" s="96"/>
      <c r="I90" s="96"/>
      <c r="J90" s="92"/>
      <c r="K90" s="97"/>
      <c r="L90" s="99" t="str">
        <f ca="1">_xlfn.LET(
    _xlpm.res_no, J90,
    _xlpm.record_sheet, 'MatRes Record'!J:M,
    _xlpm.AllCellsFilled, COUNTA(A90:K90) = 11,
    _xlpm.QtyIsInt, AND(ISNUMBER(G90), G90=INT(G90)),
    _xlpm.ReqDateIsValid, AND(ISNUMBER(H90), H90&gt;=TODAY()),
    _xlpm.EmailIsValid, RIGHT(I90,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IF(A90="", "", IF(_xlpm.error_messages = "", "Yes", _xlpm.error_messages))
)</f>
        <v/>
      </c>
    </row>
    <row r="91" spans="1:12">
      <c r="A91" s="94"/>
      <c r="B91" s="95"/>
      <c r="C91" s="95"/>
      <c r="D91" s="94"/>
      <c r="E91" s="94"/>
      <c r="F91" s="96"/>
      <c r="G91" s="94"/>
      <c r="H91" s="96"/>
      <c r="I91" s="96"/>
      <c r="J91" s="92"/>
      <c r="K91" s="97"/>
      <c r="L91" s="99" t="str">
        <f ca="1">_xlfn.LET(
    _xlpm.res_no, J91,
    _xlpm.record_sheet, 'MatRes Record'!J:M,
    _xlpm.AllCellsFilled, COUNTA(A91:K91) = 11,
    _xlpm.QtyIsInt, AND(ISNUMBER(G91), G91=INT(G91)),
    _xlpm.ReqDateIsValid, AND(ISNUMBER(H91), H91&gt;=TODAY()),
    _xlpm.EmailIsValid, RIGHT(I91,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IF(A91="", "", IF(_xlpm.error_messages = "", "Yes", _xlpm.error_messages))
)</f>
        <v/>
      </c>
    </row>
    <row r="92" spans="1:12">
      <c r="A92" s="94"/>
      <c r="B92" s="95"/>
      <c r="C92" s="95"/>
      <c r="D92" s="94"/>
      <c r="E92" s="94"/>
      <c r="F92" s="96"/>
      <c r="G92" s="94"/>
      <c r="H92" s="96"/>
      <c r="I92" s="96"/>
      <c r="J92" s="92"/>
      <c r="K92" s="97"/>
      <c r="L92" s="99" t="str">
        <f ca="1">_xlfn.LET(
    _xlpm.res_no, J92,
    _xlpm.record_sheet, 'MatRes Record'!J:M,
    _xlpm.AllCellsFilled, COUNTA(A92:K92) = 11,
    _xlpm.QtyIsInt, AND(ISNUMBER(G92), G92=INT(G92)),
    _xlpm.ReqDateIsValid, AND(ISNUMBER(H92), H92&gt;=TODAY()),
    _xlpm.EmailIsValid, RIGHT(I92,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IF(A92="", "", IF(_xlpm.error_messages = "", "Yes", _xlpm.error_messages))
)</f>
        <v/>
      </c>
    </row>
    <row r="93" spans="1:12">
      <c r="A93" s="94"/>
      <c r="B93" s="95"/>
      <c r="C93" s="95"/>
      <c r="D93" s="94"/>
      <c r="E93" s="94"/>
      <c r="F93" s="96"/>
      <c r="G93" s="94"/>
      <c r="H93" s="96"/>
      <c r="I93" s="96"/>
      <c r="J93" s="92"/>
      <c r="K93" s="97"/>
      <c r="L93" s="99" t="str">
        <f ca="1">_xlfn.LET(
    _xlpm.res_no, J93,
    _xlpm.record_sheet, 'MatRes Record'!J:M,
    _xlpm.AllCellsFilled, COUNTA(A93:K93) = 11,
    _xlpm.QtyIsInt, AND(ISNUMBER(G93), G93=INT(G93)),
    _xlpm.ReqDateIsValid, AND(ISNUMBER(H93), H93&gt;=TODAY()),
    _xlpm.EmailIsValid, RIGHT(I93,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IF(A93="", "", IF(_xlpm.error_messages = "", "Yes", _xlpm.error_messages))
)</f>
        <v/>
      </c>
    </row>
    <row r="94" spans="1:12">
      <c r="A94" s="94"/>
      <c r="B94" s="95"/>
      <c r="C94" s="95"/>
      <c r="D94" s="94"/>
      <c r="E94" s="94"/>
      <c r="F94" s="96"/>
      <c r="G94" s="94"/>
      <c r="H94" s="96"/>
      <c r="I94" s="96"/>
      <c r="J94" s="92"/>
      <c r="K94" s="97"/>
      <c r="L94" s="99" t="str">
        <f ca="1">_xlfn.LET(
    _xlpm.res_no, J94,
    _xlpm.record_sheet, 'MatRes Record'!J:M,
    _xlpm.AllCellsFilled, COUNTA(A94:K94) = 11,
    _xlpm.QtyIsInt, AND(ISNUMBER(G94), G94=INT(G94)),
    _xlpm.ReqDateIsValid, AND(ISNUMBER(H94), H94&gt;=TODAY()),
    _xlpm.EmailIsValid, RIGHT(I94,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IF(A94="", "", IF(_xlpm.error_messages = "", "Yes", _xlpm.error_messages))
)</f>
        <v/>
      </c>
    </row>
    <row r="95" spans="1:12">
      <c r="A95" s="94"/>
      <c r="B95" s="95"/>
      <c r="C95" s="95"/>
      <c r="D95" s="94"/>
      <c r="E95" s="94"/>
      <c r="F95" s="96"/>
      <c r="G95" s="94"/>
      <c r="H95" s="96"/>
      <c r="I95" s="96"/>
      <c r="J95" s="92"/>
      <c r="K95" s="97"/>
      <c r="L95" s="99" t="str">
        <f ca="1">_xlfn.LET(
    _xlpm.res_no, J95,
    _xlpm.record_sheet, 'MatRes Record'!J:M,
    _xlpm.AllCellsFilled, COUNTA(A95:K95) = 11,
    _xlpm.QtyIsInt, AND(ISNUMBER(G95), G95=INT(G95)),
    _xlpm.ReqDateIsValid, AND(ISNUMBER(H95), H95&gt;=TODAY()),
    _xlpm.EmailIsValid, RIGHT(I95,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IF(A95="", "", IF(_xlpm.error_messages = "", "Yes", _xlpm.error_messages))
)</f>
        <v/>
      </c>
    </row>
    <row r="96" spans="1:12">
      <c r="A96" s="94"/>
      <c r="B96" s="95"/>
      <c r="C96" s="95"/>
      <c r="D96" s="94"/>
      <c r="E96" s="94"/>
      <c r="F96" s="96"/>
      <c r="G96" s="94"/>
      <c r="H96" s="96"/>
      <c r="I96" s="96"/>
      <c r="J96" s="92"/>
      <c r="K96" s="97"/>
      <c r="L96" s="99" t="str">
        <f ca="1">_xlfn.LET(
    _xlpm.res_no, J96,
    _xlpm.record_sheet, 'MatRes Record'!J:M,
    _xlpm.AllCellsFilled, COUNTA(A96:K96) = 11,
    _xlpm.QtyIsInt, AND(ISNUMBER(G96), G96=INT(G96)),
    _xlpm.ReqDateIsValid, AND(ISNUMBER(H96), H96&gt;=TODAY()),
    _xlpm.EmailIsValid, RIGHT(I96,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IF(A96="", "", IF(_xlpm.error_messages = "", "Yes", _xlpm.error_messages))
)</f>
        <v/>
      </c>
    </row>
    <row r="97" spans="1:12">
      <c r="A97" s="94"/>
      <c r="B97" s="95"/>
      <c r="C97" s="95"/>
      <c r="D97" s="94"/>
      <c r="E97" s="94"/>
      <c r="F97" s="96"/>
      <c r="G97" s="94"/>
      <c r="H97" s="96"/>
      <c r="I97" s="96"/>
      <c r="J97" s="92"/>
      <c r="K97" s="97"/>
      <c r="L97" s="99" t="str">
        <f ca="1">_xlfn.LET(
    _xlpm.res_no, J97,
    _xlpm.record_sheet, 'MatRes Record'!J:M,
    _xlpm.AllCellsFilled, COUNTA(A97:K97) = 11,
    _xlpm.QtyIsInt, AND(ISNUMBER(G97), G97=INT(G97)),
    _xlpm.ReqDateIsValid, AND(ISNUMBER(H97), H97&gt;=TODAY()),
    _xlpm.EmailIsValid, RIGHT(I97,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IF(A97="", "", IF(_xlpm.error_messages = "", "Yes", _xlpm.error_messages))
)</f>
        <v/>
      </c>
    </row>
    <row r="98" spans="1:12">
      <c r="A98" s="94"/>
      <c r="B98" s="95"/>
      <c r="C98" s="95"/>
      <c r="D98" s="94"/>
      <c r="E98" s="94"/>
      <c r="F98" s="96"/>
      <c r="G98" s="94"/>
      <c r="H98" s="96"/>
      <c r="I98" s="96"/>
      <c r="J98" s="92"/>
      <c r="K98" s="97"/>
      <c r="L98" s="99" t="str">
        <f ca="1">_xlfn.LET(
    _xlpm.res_no, J98,
    _xlpm.record_sheet, 'MatRes Record'!J:M,
    _xlpm.AllCellsFilled, COUNTA(A98:K98) = 11,
    _xlpm.QtyIsInt, AND(ISNUMBER(G98), G98=INT(G98)),
    _xlpm.ReqDateIsValid, AND(ISNUMBER(H98), H98&gt;=TODAY()),
    _xlpm.EmailIsValid, RIGHT(I98,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IF(A98="", "", IF(_xlpm.error_messages = "", "Yes", _xlpm.error_messages))
)</f>
        <v/>
      </c>
    </row>
    <row r="99" spans="1:12">
      <c r="A99" s="94"/>
      <c r="B99" s="95"/>
      <c r="C99" s="95"/>
      <c r="D99" s="94"/>
      <c r="E99" s="94"/>
      <c r="F99" s="96"/>
      <c r="G99" s="94"/>
      <c r="H99" s="96"/>
      <c r="I99" s="96"/>
      <c r="J99" s="92"/>
      <c r="K99" s="97"/>
      <c r="L99" s="99" t="str">
        <f ca="1">_xlfn.LET(
    _xlpm.res_no, J99,
    _xlpm.record_sheet, 'MatRes Record'!J:M,
    _xlpm.AllCellsFilled, COUNTA(A99:K99) = 11,
    _xlpm.QtyIsInt, AND(ISNUMBER(G99), G99=INT(G99)),
    _xlpm.ReqDateIsValid, AND(ISNUMBER(H99), H99&gt;=TODAY()),
    _xlpm.EmailIsValid, RIGHT(I99,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IF(A99="", "", IF(_xlpm.error_messages = "", "Yes", _xlpm.error_messages))
)</f>
        <v/>
      </c>
    </row>
    <row r="100" spans="1:12">
      <c r="A100" s="94"/>
      <c r="B100" s="95"/>
      <c r="C100" s="95"/>
      <c r="D100" s="94"/>
      <c r="E100" s="94"/>
      <c r="F100" s="96"/>
      <c r="G100" s="94"/>
      <c r="H100" s="96"/>
      <c r="I100" s="96"/>
      <c r="J100" s="92"/>
      <c r="K100" s="97"/>
      <c r="L100" s="99" t="str">
        <f ca="1">_xlfn.LET(
    _xlpm.res_no, J100,
    _xlpm.record_sheet, 'MatRes Record'!J:M,
    _xlpm.AllCellsFilled, COUNTA(A100:K100) = 11,
    _xlpm.QtyIsInt, AND(ISNUMBER(G100), G100=INT(G100)),
    _xlpm.ReqDateIsValid, AND(ISNUMBER(H100), H100&gt;=TODAY()),
    _xlpm.EmailIsValid, RIGHT(I100,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IF(A100="", "", IF(_xlpm.error_messages = "", "Yes", _xlpm.error_messages))
)</f>
        <v/>
      </c>
    </row>
    <row r="101" spans="1:12">
      <c r="A101" s="94"/>
      <c r="B101" s="95"/>
      <c r="C101" s="95"/>
      <c r="D101" s="94"/>
      <c r="E101" s="94"/>
      <c r="F101" s="96"/>
      <c r="G101" s="94"/>
      <c r="H101" s="96"/>
      <c r="I101" s="96"/>
      <c r="J101" s="92"/>
      <c r="K101" s="97"/>
      <c r="L101" s="99" t="str">
        <f ca="1">_xlfn.LET(
    _xlpm.res_no, J101,
    _xlpm.record_sheet, 'MatRes Record'!J:M,
    _xlpm.AllCellsFilled, COUNTA(A101:K101) = 11,
    _xlpm.QtyIsInt, AND(ISNUMBER(G101), G101=INT(G101)),
    _xlpm.ReqDateIsValid, AND(ISNUMBER(H101), H101&gt;=TODAY()),
    _xlpm.EmailIsValid, RIGHT(I101,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IF(A101="", "", IF(_xlpm.error_messages = "", "Yes", _xlpm.error_messages))
)</f>
        <v/>
      </c>
    </row>
    <row r="102" spans="1:12">
      <c r="A102" s="94"/>
      <c r="B102" s="95"/>
      <c r="C102" s="95"/>
      <c r="D102" s="94"/>
      <c r="E102" s="94"/>
      <c r="F102" s="96"/>
      <c r="G102" s="94"/>
      <c r="H102" s="96"/>
      <c r="I102" s="96"/>
      <c r="J102" s="92"/>
      <c r="K102" s="97"/>
      <c r="L102" s="99" t="str">
        <f ca="1">_xlfn.LET(
    _xlpm.res_no, J102,
    _xlpm.record_sheet, 'MatRes Record'!J:M,
    _xlpm.AllCellsFilled, COUNTA(A102:K102) = 11,
    _xlpm.QtyIsInt, AND(ISNUMBER(G102), G102=INT(G102)),
    _xlpm.ReqDateIsValid, AND(ISNUMBER(H102), H102&gt;=TODAY()),
    _xlpm.EmailIsValid, RIGHT(I102,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IF(A102="", "", IF(_xlpm.error_messages = "", "Yes", _xlpm.error_messages))
)</f>
        <v/>
      </c>
    </row>
    <row r="103" spans="1:12">
      <c r="A103" s="94"/>
      <c r="B103" s="95"/>
      <c r="C103" s="95"/>
      <c r="D103" s="94"/>
      <c r="E103" s="94"/>
      <c r="F103" s="96"/>
      <c r="G103" s="94"/>
      <c r="H103" s="96"/>
      <c r="I103" s="96"/>
      <c r="J103" s="92"/>
      <c r="K103" s="97"/>
      <c r="L103" s="99" t="str">
        <f ca="1">_xlfn.LET(
    _xlpm.res_no, J103,
    _xlpm.record_sheet, 'MatRes Record'!J:M,
    _xlpm.AllCellsFilled, COUNTA(A103:K103) = 11,
    _xlpm.QtyIsInt, AND(ISNUMBER(G103), G103=INT(G103)),
    _xlpm.ReqDateIsValid, AND(ISNUMBER(H103), H103&gt;=TODAY()),
    _xlpm.EmailIsValid, RIGHT(I103,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IF(A103="", "", IF(_xlpm.error_messages = "", "Yes", _xlpm.error_messages))
)</f>
        <v/>
      </c>
    </row>
    <row r="104" spans="1:12">
      <c r="A104" s="94"/>
      <c r="B104" s="95"/>
      <c r="C104" s="95"/>
      <c r="D104" s="94"/>
      <c r="E104" s="94"/>
      <c r="F104" s="96"/>
      <c r="G104" s="94"/>
      <c r="H104" s="96"/>
      <c r="I104" s="96"/>
      <c r="J104" s="92"/>
      <c r="K104" s="97"/>
      <c r="L104" s="99" t="str">
        <f ca="1">_xlfn.LET(
    _xlpm.res_no, J104,
    _xlpm.record_sheet, 'MatRes Record'!J:M,
    _xlpm.AllCellsFilled, COUNTA(A104:K104) = 11,
    _xlpm.QtyIsInt, AND(ISNUMBER(G104), G104=INT(G104)),
    _xlpm.ReqDateIsValid, AND(ISNUMBER(H104), H104&gt;=TODAY()),
    _xlpm.EmailIsValid, RIGHT(I104,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IF(A104="", "", IF(_xlpm.error_messages = "", "Yes", _xlpm.error_messages))
)</f>
        <v/>
      </c>
    </row>
    <row r="105" spans="1:12">
      <c r="A105" s="94"/>
      <c r="B105" s="95"/>
      <c r="C105" s="95"/>
      <c r="D105" s="94"/>
      <c r="E105" s="94"/>
      <c r="F105" s="96"/>
      <c r="G105" s="94"/>
      <c r="H105" s="96"/>
      <c r="I105" s="96"/>
      <c r="J105" s="92"/>
      <c r="K105" s="97"/>
      <c r="L105" s="99" t="str">
        <f ca="1">_xlfn.LET(
    _xlpm.res_no, J105,
    _xlpm.record_sheet, 'MatRes Record'!J:M,
    _xlpm.AllCellsFilled, COUNTA(A105:K105) = 11,
    _xlpm.QtyIsInt, AND(ISNUMBER(G105), G105=INT(G105)),
    _xlpm.ReqDateIsValid, AND(ISNUMBER(H105), H105&gt;=TODAY()),
    _xlpm.EmailIsValid, RIGHT(I105,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IF(A105="", "", IF(_xlpm.error_messages = "", "Yes", _xlpm.error_messages))
)</f>
        <v/>
      </c>
    </row>
    <row r="106" spans="1:12">
      <c r="A106" s="94"/>
      <c r="B106" s="95"/>
      <c r="C106" s="95"/>
      <c r="D106" s="94"/>
      <c r="E106" s="94"/>
      <c r="F106" s="96"/>
      <c r="G106" s="94"/>
      <c r="H106" s="96"/>
      <c r="I106" s="96"/>
      <c r="J106" s="92"/>
      <c r="K106" s="97"/>
      <c r="L106" s="99" t="str">
        <f ca="1">_xlfn.LET(
    _xlpm.res_no, J106,
    _xlpm.record_sheet, 'MatRes Record'!J:M,
    _xlpm.AllCellsFilled, COUNTA(A106:K106) = 11,
    _xlpm.QtyIsInt, AND(ISNUMBER(G106), G106=INT(G106)),
    _xlpm.ReqDateIsValid, AND(ISNUMBER(H106), H106&gt;=TODAY()),
    _xlpm.EmailIsValid, RIGHT(I106,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IF(A106="", "", IF(_xlpm.error_messages = "", "Yes", _xlpm.error_messages))
)</f>
        <v/>
      </c>
    </row>
    <row r="107" spans="1:12">
      <c r="A107" s="94"/>
      <c r="B107" s="95"/>
      <c r="C107" s="95"/>
      <c r="D107" s="94"/>
      <c r="E107" s="94"/>
      <c r="F107" s="96"/>
      <c r="G107" s="94"/>
      <c r="H107" s="96"/>
      <c r="I107" s="96"/>
      <c r="J107" s="92"/>
      <c r="K107" s="97"/>
      <c r="L107" s="99" t="str">
        <f ca="1">_xlfn.LET(
    _xlpm.res_no, J107,
    _xlpm.record_sheet, 'MatRes Record'!J:M,
    _xlpm.AllCellsFilled, COUNTA(A107:K107) = 11,
    _xlpm.QtyIsInt, AND(ISNUMBER(G107), G107=INT(G107)),
    _xlpm.ReqDateIsValid, AND(ISNUMBER(H107), H107&gt;=TODAY()),
    _xlpm.EmailIsValid, RIGHT(I107,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IF(A107="", "", IF(_xlpm.error_messages = "", "Yes", _xlpm.error_messages))
)</f>
        <v/>
      </c>
    </row>
    <row r="108" spans="1:12">
      <c r="A108" s="94"/>
      <c r="B108" s="95"/>
      <c r="C108" s="95"/>
      <c r="D108" s="94"/>
      <c r="E108" s="94"/>
      <c r="F108" s="96"/>
      <c r="G108" s="94"/>
      <c r="H108" s="96"/>
      <c r="I108" s="96"/>
      <c r="J108" s="92"/>
      <c r="K108" s="97"/>
      <c r="L108" s="99" t="str">
        <f ca="1">_xlfn.LET(
    _xlpm.res_no, J108,
    _xlpm.record_sheet, 'MatRes Record'!J:M,
    _xlpm.AllCellsFilled, COUNTA(A108:K108) = 11,
    _xlpm.QtyIsInt, AND(ISNUMBER(G108), G108=INT(G108)),
    _xlpm.ReqDateIsValid, AND(ISNUMBER(H108), H108&gt;=TODAY()),
    _xlpm.EmailIsValid, RIGHT(I108,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IF(A108="", "", IF(_xlpm.error_messages = "", "Yes", _xlpm.error_messages))
)</f>
        <v/>
      </c>
    </row>
    <row r="109" spans="1:12">
      <c r="A109" s="94"/>
      <c r="B109" s="95"/>
      <c r="C109" s="95"/>
      <c r="D109" s="94"/>
      <c r="E109" s="94"/>
      <c r="F109" s="96"/>
      <c r="G109" s="94"/>
      <c r="H109" s="96"/>
      <c r="I109" s="96"/>
      <c r="J109" s="92"/>
      <c r="K109" s="97"/>
      <c r="L109" s="99" t="str">
        <f ca="1">_xlfn.LET(
    _xlpm.res_no, J109,
    _xlpm.record_sheet, 'MatRes Record'!J:M,
    _xlpm.AllCellsFilled, COUNTA(A109:K109) = 11,
    _xlpm.QtyIsInt, AND(ISNUMBER(G109), G109=INT(G109)),
    _xlpm.ReqDateIsValid, AND(ISNUMBER(H109), H109&gt;=TODAY()),
    _xlpm.EmailIsValid, RIGHT(I109,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IF(A109="", "", IF(_xlpm.error_messages = "", "Yes", _xlpm.error_messages))
)</f>
        <v/>
      </c>
    </row>
    <row r="110" spans="1:12">
      <c r="A110" s="94"/>
      <c r="B110" s="95"/>
      <c r="C110" s="95"/>
      <c r="D110" s="94"/>
      <c r="E110" s="94"/>
      <c r="F110" s="96"/>
      <c r="G110" s="94"/>
      <c r="H110" s="96"/>
      <c r="I110" s="96"/>
      <c r="J110" s="92"/>
      <c r="K110" s="97"/>
      <c r="L110" s="99" t="str">
        <f ca="1">_xlfn.LET(
    _xlpm.res_no, J110,
    _xlpm.record_sheet, 'MatRes Record'!J:M,
    _xlpm.AllCellsFilled, COUNTA(A110:K110) = 11,
    _xlpm.QtyIsInt, AND(ISNUMBER(G110), G110=INT(G110)),
    _xlpm.ReqDateIsValid, AND(ISNUMBER(H110), H110&gt;=TODAY()),
    _xlpm.EmailIsValid, RIGHT(I110,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IF(A110="", "", IF(_xlpm.error_messages = "", "Yes", _xlpm.error_messages))
)</f>
        <v/>
      </c>
    </row>
    <row r="111" spans="1:12">
      <c r="A111" s="94"/>
      <c r="B111" s="95"/>
      <c r="C111" s="95"/>
      <c r="D111" s="94"/>
      <c r="E111" s="94"/>
      <c r="F111" s="96"/>
      <c r="G111" s="94"/>
      <c r="H111" s="96"/>
      <c r="I111" s="96"/>
      <c r="J111" s="92"/>
      <c r="K111" s="97"/>
      <c r="L111" s="99" t="str">
        <f ca="1">_xlfn.LET(
    _xlpm.res_no, J111,
    _xlpm.record_sheet, 'MatRes Record'!J:M,
    _xlpm.AllCellsFilled, COUNTA(A111:K111) = 11,
    _xlpm.QtyIsInt, AND(ISNUMBER(G111), G111=INT(G111)),
    _xlpm.ReqDateIsValid, AND(ISNUMBER(H111), H111&gt;=TODAY()),
    _xlpm.EmailIsValid, RIGHT(I111,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IF(A111="", "", IF(_xlpm.error_messages = "", "Yes", _xlpm.error_messages))
)</f>
        <v/>
      </c>
    </row>
    <row r="112" spans="1:12">
      <c r="A112" s="94"/>
      <c r="B112" s="95"/>
      <c r="C112" s="95"/>
      <c r="D112" s="94"/>
      <c r="E112" s="94"/>
      <c r="F112" s="96"/>
      <c r="G112" s="94"/>
      <c r="H112" s="96"/>
      <c r="I112" s="96"/>
      <c r="J112" s="92"/>
      <c r="K112" s="97"/>
      <c r="L112" s="99" t="str">
        <f ca="1">_xlfn.LET(
    _xlpm.res_no, J112,
    _xlpm.record_sheet, 'MatRes Record'!J:M,
    _xlpm.AllCellsFilled, COUNTA(A112:K112) = 11,
    _xlpm.QtyIsInt, AND(ISNUMBER(G112), G112=INT(G112)),
    _xlpm.ReqDateIsValid, AND(ISNUMBER(H112), H112&gt;=TODAY()),
    _xlpm.EmailIsValid, RIGHT(I112,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IF(A112="", "", IF(_xlpm.error_messages = "", "Yes", _xlpm.error_messages))
)</f>
        <v/>
      </c>
    </row>
    <row r="113" spans="1:12">
      <c r="A113" s="94"/>
      <c r="B113" s="95"/>
      <c r="C113" s="95"/>
      <c r="D113" s="94"/>
      <c r="E113" s="94"/>
      <c r="F113" s="96"/>
      <c r="G113" s="94"/>
      <c r="H113" s="96"/>
      <c r="I113" s="96"/>
      <c r="J113" s="92"/>
      <c r="K113" s="97"/>
      <c r="L113" s="99" t="str">
        <f ca="1">_xlfn.LET(
    _xlpm.res_no, J113,
    _xlpm.record_sheet, 'MatRes Record'!J:M,
    _xlpm.AllCellsFilled, COUNTA(A113:K113) = 11,
    _xlpm.QtyIsInt, AND(ISNUMBER(G113), G113=INT(G113)),
    _xlpm.ReqDateIsValid, AND(ISNUMBER(H113), H113&gt;=TODAY()),
    _xlpm.EmailIsValid, RIGHT(I113,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IF(A113="", "", IF(_xlpm.error_messages = "", "Yes", _xlpm.error_messages))
)</f>
        <v/>
      </c>
    </row>
    <row r="114" spans="1:12">
      <c r="A114" s="94"/>
      <c r="B114" s="95"/>
      <c r="C114" s="95"/>
      <c r="D114" s="94"/>
      <c r="E114" s="94"/>
      <c r="F114" s="96"/>
      <c r="G114" s="94"/>
      <c r="H114" s="96"/>
      <c r="I114" s="96"/>
      <c r="J114" s="92"/>
      <c r="K114" s="97"/>
      <c r="L114" s="99" t="str">
        <f ca="1">_xlfn.LET(
    _xlpm.res_no, J114,
    _xlpm.record_sheet, 'MatRes Record'!J:M,
    _xlpm.AllCellsFilled, COUNTA(A114:K114) = 11,
    _xlpm.QtyIsInt, AND(ISNUMBER(G114), G114=INT(G114)),
    _xlpm.ReqDateIsValid, AND(ISNUMBER(H114), H114&gt;=TODAY()),
    _xlpm.EmailIsValid, RIGHT(I114,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IF(A114="", "", IF(_xlpm.error_messages = "", "Yes", _xlpm.error_messages))
)</f>
        <v/>
      </c>
    </row>
    <row r="115" spans="1:12">
      <c r="A115" s="94"/>
      <c r="B115" s="95"/>
      <c r="C115" s="95"/>
      <c r="D115" s="94"/>
      <c r="E115" s="94"/>
      <c r="F115" s="96"/>
      <c r="G115" s="94"/>
      <c r="H115" s="96"/>
      <c r="I115" s="96"/>
      <c r="J115" s="92"/>
      <c r="K115" s="97"/>
      <c r="L115" s="99" t="str">
        <f ca="1">_xlfn.LET(
    _xlpm.res_no, J115,
    _xlpm.record_sheet, 'MatRes Record'!J:M,
    _xlpm.AllCellsFilled, COUNTA(A115:K115) = 11,
    _xlpm.QtyIsInt, AND(ISNUMBER(G115), G115=INT(G115)),
    _xlpm.ReqDateIsValid, AND(ISNUMBER(H115), H115&gt;=TODAY()),
    _xlpm.EmailIsValid, RIGHT(I115,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IF(A115="", "", IF(_xlpm.error_messages = "", "Yes", _xlpm.error_messages))
)</f>
        <v/>
      </c>
    </row>
    <row r="116" spans="1:12">
      <c r="A116" s="94"/>
      <c r="B116" s="95"/>
      <c r="C116" s="95"/>
      <c r="D116" s="94"/>
      <c r="E116" s="94"/>
      <c r="F116" s="96"/>
      <c r="G116" s="94"/>
      <c r="H116" s="96"/>
      <c r="I116" s="96"/>
      <c r="J116" s="92"/>
      <c r="K116" s="97"/>
      <c r="L116" s="99" t="str">
        <f ca="1">_xlfn.LET(
    _xlpm.res_no, J116,
    _xlpm.record_sheet, 'MatRes Record'!J:M,
    _xlpm.AllCellsFilled, COUNTA(A116:K116) = 11,
    _xlpm.QtyIsInt, AND(ISNUMBER(G116), G116=INT(G116)),
    _xlpm.ReqDateIsValid, AND(ISNUMBER(H116), H116&gt;=TODAY()),
    _xlpm.EmailIsValid, RIGHT(I116,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IF(A116="", "", IF(_xlpm.error_messages = "", "Yes", _xlpm.error_messages))
)</f>
        <v/>
      </c>
    </row>
    <row r="117" spans="1:12">
      <c r="A117" s="94"/>
      <c r="B117" s="95"/>
      <c r="C117" s="95"/>
      <c r="D117" s="94"/>
      <c r="E117" s="94"/>
      <c r="F117" s="96"/>
      <c r="G117" s="94"/>
      <c r="H117" s="96"/>
      <c r="I117" s="96"/>
      <c r="J117" s="92"/>
      <c r="K117" s="97"/>
      <c r="L117" s="99" t="str">
        <f ca="1">_xlfn.LET(
    _xlpm.res_no, J117,
    _xlpm.record_sheet, 'MatRes Record'!J:M,
    _xlpm.AllCellsFilled, COUNTA(A117:K117) = 11,
    _xlpm.QtyIsInt, AND(ISNUMBER(G117), G117=INT(G117)),
    _xlpm.ReqDateIsValid, AND(ISNUMBER(H117), H117&gt;=TODAY()),
    _xlpm.EmailIsValid, RIGHT(I117,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IF(A117="", "", IF(_xlpm.error_messages = "", "Yes", _xlpm.error_messages))
)</f>
        <v/>
      </c>
    </row>
    <row r="118" spans="1:12">
      <c r="A118" s="94"/>
      <c r="B118" s="95"/>
      <c r="C118" s="95"/>
      <c r="D118" s="94"/>
      <c r="E118" s="94"/>
      <c r="F118" s="96"/>
      <c r="G118" s="94"/>
      <c r="H118" s="96"/>
      <c r="I118" s="96"/>
      <c r="J118" s="92"/>
      <c r="K118" s="97"/>
      <c r="L118" s="99" t="str">
        <f ca="1">_xlfn.LET(
    _xlpm.res_no, J118,
    _xlpm.record_sheet, 'MatRes Record'!J:M,
    _xlpm.AllCellsFilled, COUNTA(A118:K118) = 11,
    _xlpm.QtyIsInt, AND(ISNUMBER(G118), G118=INT(G118)),
    _xlpm.ReqDateIsValid, AND(ISNUMBER(H118), H118&gt;=TODAY()),
    _xlpm.EmailIsValid, RIGHT(I118,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IF(A118="", "", IF(_xlpm.error_messages = "", "Yes", _xlpm.error_messages))
)</f>
        <v/>
      </c>
    </row>
    <row r="119" spans="1:12">
      <c r="A119" s="94"/>
      <c r="B119" s="95"/>
      <c r="C119" s="95"/>
      <c r="D119" s="94"/>
      <c r="E119" s="94"/>
      <c r="F119" s="96"/>
      <c r="G119" s="94"/>
      <c r="H119" s="96"/>
      <c r="I119" s="96"/>
      <c r="J119" s="92"/>
      <c r="K119" s="97"/>
      <c r="L119" s="99" t="str">
        <f ca="1">_xlfn.LET(
    _xlpm.res_no, J119,
    _xlpm.record_sheet, 'MatRes Record'!J:M,
    _xlpm.AllCellsFilled, COUNTA(A119:K119) = 11,
    _xlpm.QtyIsInt, AND(ISNUMBER(G119), G119=INT(G119)),
    _xlpm.ReqDateIsValid, AND(ISNUMBER(H119), H119&gt;=TODAY()),
    _xlpm.EmailIsValid, RIGHT(I119,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IF(A119="", "", IF(_xlpm.error_messages = "", "Yes", _xlpm.error_messages))
)</f>
        <v/>
      </c>
    </row>
    <row r="120" spans="1:12">
      <c r="A120" s="94"/>
      <c r="B120" s="95"/>
      <c r="C120" s="95"/>
      <c r="D120" s="94"/>
      <c r="E120" s="94"/>
      <c r="F120" s="96"/>
      <c r="G120" s="94"/>
      <c r="H120" s="96"/>
      <c r="I120" s="96"/>
      <c r="J120" s="92"/>
      <c r="K120" s="97"/>
      <c r="L120" s="99" t="str">
        <f ca="1">_xlfn.LET(
    _xlpm.res_no, J120,
    _xlpm.record_sheet, 'MatRes Record'!J:M,
    _xlpm.AllCellsFilled, COUNTA(A120:K120) = 11,
    _xlpm.QtyIsInt, AND(ISNUMBER(G120), G120=INT(G120)),
    _xlpm.ReqDateIsValid, AND(ISNUMBER(H120), H120&gt;=TODAY()),
    _xlpm.EmailIsValid, RIGHT(I120,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IF(A120="", "", IF(_xlpm.error_messages = "", "Yes", _xlpm.error_messages))
)</f>
        <v/>
      </c>
    </row>
    <row r="121" spans="1:12">
      <c r="A121" s="94"/>
      <c r="B121" s="95"/>
      <c r="C121" s="95"/>
      <c r="D121" s="94"/>
      <c r="E121" s="94"/>
      <c r="F121" s="96"/>
      <c r="G121" s="94"/>
      <c r="H121" s="96"/>
      <c r="I121" s="96"/>
      <c r="J121" s="92"/>
      <c r="K121" s="97"/>
      <c r="L121" s="99" t="str">
        <f ca="1">_xlfn.LET(
    _xlpm.res_no, J121,
    _xlpm.record_sheet, 'MatRes Record'!J:M,
    _xlpm.AllCellsFilled, COUNTA(A121:K121) = 11,
    _xlpm.QtyIsInt, AND(ISNUMBER(G121), G121=INT(G121)),
    _xlpm.ReqDateIsValid, AND(ISNUMBER(H121), H121&gt;=TODAY()),
    _xlpm.EmailIsValid, RIGHT(I121,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IF(A121="", "", IF(_xlpm.error_messages = "", "Yes", _xlpm.error_messages))
)</f>
        <v/>
      </c>
    </row>
    <row r="122" spans="1:12">
      <c r="A122" s="94"/>
      <c r="B122" s="95"/>
      <c r="C122" s="95"/>
      <c r="D122" s="94"/>
      <c r="E122" s="94"/>
      <c r="F122" s="96"/>
      <c r="G122" s="94"/>
      <c r="H122" s="96"/>
      <c r="I122" s="96"/>
      <c r="J122" s="92"/>
      <c r="K122" s="97"/>
      <c r="L122" s="99" t="str">
        <f ca="1">_xlfn.LET(
    _xlpm.res_no, J122,
    _xlpm.record_sheet, 'MatRes Record'!J:M,
    _xlpm.AllCellsFilled, COUNTA(A122:K122) = 11,
    _xlpm.QtyIsInt, AND(ISNUMBER(G122), G122=INT(G122)),
    _xlpm.ReqDateIsValid, AND(ISNUMBER(H122), H122&gt;=TODAY()),
    _xlpm.EmailIsValid, RIGHT(I122,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IF(A122="", "", IF(_xlpm.error_messages = "", "Yes", _xlpm.error_messages))
)</f>
        <v/>
      </c>
    </row>
    <row r="123" spans="1:12">
      <c r="A123" s="94"/>
      <c r="B123" s="95"/>
      <c r="C123" s="95"/>
      <c r="D123" s="94"/>
      <c r="E123" s="94"/>
      <c r="F123" s="96"/>
      <c r="G123" s="94"/>
      <c r="H123" s="96"/>
      <c r="I123" s="96"/>
      <c r="J123" s="92"/>
      <c r="K123" s="97"/>
      <c r="L123" s="99" t="str">
        <f ca="1">_xlfn.LET(
    _xlpm.res_no, J123,
    _xlpm.record_sheet, 'MatRes Record'!J:M,
    _xlpm.AllCellsFilled, COUNTA(A123:K123) = 11,
    _xlpm.QtyIsInt, AND(ISNUMBER(G123), G123=INT(G123)),
    _xlpm.ReqDateIsValid, AND(ISNUMBER(H123), H123&gt;=TODAY()),
    _xlpm.EmailIsValid, RIGHT(I123,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IF(A123="", "", IF(_xlpm.error_messages = "", "Yes", _xlpm.error_messages))
)</f>
        <v/>
      </c>
    </row>
    <row r="124" spans="1:12">
      <c r="A124" s="94"/>
      <c r="B124" s="95"/>
      <c r="C124" s="95"/>
      <c r="D124" s="94"/>
      <c r="E124" s="94"/>
      <c r="F124" s="96"/>
      <c r="G124" s="94"/>
      <c r="H124" s="96"/>
      <c r="I124" s="96"/>
      <c r="J124" s="92"/>
      <c r="K124" s="97"/>
      <c r="L124" s="99" t="str">
        <f ca="1">_xlfn.LET(
    _xlpm.res_no, J124,
    _xlpm.record_sheet, 'MatRes Record'!J:M,
    _xlpm.AllCellsFilled, COUNTA(A124:K124) = 11,
    _xlpm.QtyIsInt, AND(ISNUMBER(G124), G124=INT(G124)),
    _xlpm.ReqDateIsValid, AND(ISNUMBER(H124), H124&gt;=TODAY()),
    _xlpm.EmailIsValid, RIGHT(I124,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IF(A124="", "", IF(_xlpm.error_messages = "", "Yes", _xlpm.error_messages))
)</f>
        <v/>
      </c>
    </row>
    <row r="125" spans="1:12">
      <c r="A125" s="94"/>
      <c r="B125" s="95"/>
      <c r="C125" s="95"/>
      <c r="D125" s="94"/>
      <c r="E125" s="94"/>
      <c r="F125" s="96"/>
      <c r="G125" s="94"/>
      <c r="H125" s="96"/>
      <c r="I125" s="96"/>
      <c r="J125" s="92"/>
      <c r="K125" s="97"/>
      <c r="L125" s="99" t="str">
        <f ca="1">_xlfn.LET(
    _xlpm.res_no, J125,
    _xlpm.record_sheet, 'MatRes Record'!J:M,
    _xlpm.AllCellsFilled, COUNTA(A125:K125) = 11,
    _xlpm.QtyIsInt, AND(ISNUMBER(G125), G125=INT(G125)),
    _xlpm.ReqDateIsValid, AND(ISNUMBER(H125), H125&gt;=TODAY()),
    _xlpm.EmailIsValid, RIGHT(I125,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IF(A125="", "", IF(_xlpm.error_messages = "", "Yes", _xlpm.error_messages))
)</f>
        <v/>
      </c>
    </row>
    <row r="126" spans="1:12">
      <c r="A126" s="94"/>
      <c r="B126" s="95"/>
      <c r="C126" s="95"/>
      <c r="D126" s="94"/>
      <c r="E126" s="94"/>
      <c r="F126" s="96"/>
      <c r="G126" s="94"/>
      <c r="H126" s="96"/>
      <c r="I126" s="96"/>
      <c r="J126" s="92"/>
      <c r="K126" s="97"/>
      <c r="L126" s="99" t="str">
        <f ca="1">_xlfn.LET(
    _xlpm.res_no, J126,
    _xlpm.record_sheet, 'MatRes Record'!J:M,
    _xlpm.AllCellsFilled, COUNTA(A126:K126) = 11,
    _xlpm.QtyIsInt, AND(ISNUMBER(G126), G126=INT(G126)),
    _xlpm.ReqDateIsValid, AND(ISNUMBER(H126), H126&gt;=TODAY()),
    _xlpm.EmailIsValid, RIGHT(I126,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IF(A126="", "", IF(_xlpm.error_messages = "", "Yes", _xlpm.error_messages))
)</f>
        <v/>
      </c>
    </row>
    <row r="127" spans="1:12">
      <c r="A127" s="94"/>
      <c r="B127" s="95"/>
      <c r="C127" s="95"/>
      <c r="D127" s="94"/>
      <c r="E127" s="94"/>
      <c r="F127" s="96"/>
      <c r="G127" s="94"/>
      <c r="H127" s="96"/>
      <c r="I127" s="96"/>
      <c r="J127" s="92"/>
      <c r="K127" s="97"/>
      <c r="L127" s="99" t="str">
        <f ca="1">_xlfn.LET(
    _xlpm.res_no, J127,
    _xlpm.record_sheet, 'MatRes Record'!J:M,
    _xlpm.AllCellsFilled, COUNTA(A127:K127) = 11,
    _xlpm.QtyIsInt, AND(ISNUMBER(G127), G127=INT(G127)),
    _xlpm.ReqDateIsValid, AND(ISNUMBER(H127), H127&gt;=TODAY()),
    _xlpm.EmailIsValid, RIGHT(I127,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IF(A127="", "", IF(_xlpm.error_messages = "", "Yes", _xlpm.error_messages))
)</f>
        <v/>
      </c>
    </row>
    <row r="128" spans="1:12">
      <c r="A128" s="94"/>
      <c r="B128" s="95"/>
      <c r="C128" s="95"/>
      <c r="D128" s="94"/>
      <c r="E128" s="94"/>
      <c r="F128" s="96"/>
      <c r="G128" s="94"/>
      <c r="H128" s="96"/>
      <c r="I128" s="96"/>
      <c r="J128" s="92"/>
      <c r="K128" s="97"/>
      <c r="L128" s="99" t="str">
        <f ca="1">_xlfn.LET(
    _xlpm.res_no, J128,
    _xlpm.record_sheet, 'MatRes Record'!J:M,
    _xlpm.AllCellsFilled, COUNTA(A128:K128) = 11,
    _xlpm.QtyIsInt, AND(ISNUMBER(G128), G128=INT(G128)),
    _xlpm.ReqDateIsValid, AND(ISNUMBER(H128), H128&gt;=TODAY()),
    _xlpm.EmailIsValid, RIGHT(I128,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IF(A128="", "", IF(_xlpm.error_messages = "", "Yes", _xlpm.error_messages))
)</f>
        <v/>
      </c>
    </row>
    <row r="129" spans="1:12">
      <c r="A129" s="94"/>
      <c r="B129" s="95"/>
      <c r="C129" s="95"/>
      <c r="D129" s="94"/>
      <c r="E129" s="94"/>
      <c r="F129" s="96"/>
      <c r="G129" s="94"/>
      <c r="H129" s="96"/>
      <c r="I129" s="96"/>
      <c r="J129" s="92"/>
      <c r="K129" s="97"/>
      <c r="L129" s="99" t="str">
        <f ca="1">_xlfn.LET(
    _xlpm.res_no, J129,
    _xlpm.record_sheet, 'MatRes Record'!J:M,
    _xlpm.AllCellsFilled, COUNTA(A129:K129) = 11,
    _xlpm.QtyIsInt, AND(ISNUMBER(G129), G129=INT(G129)),
    _xlpm.ReqDateIsValid, AND(ISNUMBER(H129), H129&gt;=TODAY()),
    _xlpm.EmailIsValid, RIGHT(I129,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IF(A129="", "", IF(_xlpm.error_messages = "", "Yes", _xlpm.error_messages))
)</f>
        <v/>
      </c>
    </row>
    <row r="130" spans="1:12">
      <c r="A130" s="94"/>
      <c r="B130" s="95"/>
      <c r="C130" s="95"/>
      <c r="D130" s="94"/>
      <c r="E130" s="94"/>
      <c r="F130" s="96"/>
      <c r="G130" s="94"/>
      <c r="H130" s="96"/>
      <c r="I130" s="96"/>
      <c r="J130" s="92"/>
      <c r="K130" s="97"/>
      <c r="L130" s="99" t="str">
        <f ca="1">_xlfn.LET(
    _xlpm.res_no, J130,
    _xlpm.record_sheet, 'MatRes Record'!J:M,
    _xlpm.AllCellsFilled, COUNTA(A130:K130) = 11,
    _xlpm.QtyIsInt, AND(ISNUMBER(G130), G130=INT(G130)),
    _xlpm.ReqDateIsValid, AND(ISNUMBER(H130), H130&gt;=TODAY()),
    _xlpm.EmailIsValid, RIGHT(I130,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IF(A130="", "", IF(_xlpm.error_messages = "", "Yes", _xlpm.error_messages))
)</f>
        <v/>
      </c>
    </row>
    <row r="131" spans="1:12">
      <c r="A131" s="94"/>
      <c r="B131" s="95"/>
      <c r="C131" s="95"/>
      <c r="D131" s="94"/>
      <c r="E131" s="94"/>
      <c r="F131" s="96"/>
      <c r="G131" s="94"/>
      <c r="H131" s="96"/>
      <c r="I131" s="96"/>
      <c r="J131" s="92"/>
      <c r="K131" s="97"/>
      <c r="L131" s="99" t="str">
        <f ca="1">_xlfn.LET(
    _xlpm.res_no, J131,
    _xlpm.record_sheet, 'MatRes Record'!J:M,
    _xlpm.AllCellsFilled, COUNTA(A131:K131) = 11,
    _xlpm.QtyIsInt, AND(ISNUMBER(G131), G131=INT(G131)),
    _xlpm.ReqDateIsValid, AND(ISNUMBER(H131), H131&gt;=TODAY()),
    _xlpm.EmailIsValid, RIGHT(I131,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IF(A131="", "", IF(_xlpm.error_messages = "", "Yes", _xlpm.error_messages))
)</f>
        <v/>
      </c>
    </row>
    <row r="132" spans="1:12">
      <c r="A132" s="94"/>
      <c r="B132" s="95"/>
      <c r="C132" s="95"/>
      <c r="D132" s="94"/>
      <c r="E132" s="94"/>
      <c r="F132" s="96"/>
      <c r="G132" s="94"/>
      <c r="H132" s="96"/>
      <c r="I132" s="96"/>
      <c r="J132" s="92"/>
      <c r="K132" s="97"/>
      <c r="L132" s="99" t="str">
        <f ca="1">_xlfn.LET(
    _xlpm.res_no, J132,
    _xlpm.record_sheet, 'MatRes Record'!J:M,
    _xlpm.AllCellsFilled, COUNTA(A132:K132) = 11,
    _xlpm.QtyIsInt, AND(ISNUMBER(G132), G132=INT(G132)),
    _xlpm.ReqDateIsValid, AND(ISNUMBER(H132), H132&gt;=TODAY()),
    _xlpm.EmailIsValid, RIGHT(I132,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IF(A132="", "", IF(_xlpm.error_messages = "", "Yes", _xlpm.error_messages))
)</f>
        <v/>
      </c>
    </row>
    <row r="133" spans="1:12">
      <c r="A133" s="94"/>
      <c r="B133" s="95"/>
      <c r="C133" s="95"/>
      <c r="D133" s="94"/>
      <c r="E133" s="94"/>
      <c r="F133" s="96"/>
      <c r="G133" s="94"/>
      <c r="H133" s="96"/>
      <c r="I133" s="96"/>
      <c r="J133" s="92"/>
      <c r="K133" s="97"/>
      <c r="L133" s="99" t="str">
        <f ca="1">_xlfn.LET(
    _xlpm.res_no, J133,
    _xlpm.record_sheet, 'MatRes Record'!J:M,
    _xlpm.AllCellsFilled, COUNTA(A133:K133) = 11,
    _xlpm.QtyIsInt, AND(ISNUMBER(G133), G133=INT(G133)),
    _xlpm.ReqDateIsValid, AND(ISNUMBER(H133), H133&gt;=TODAY()),
    _xlpm.EmailIsValid, RIGHT(I133,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IF(A133="", "", IF(_xlpm.error_messages = "", "Yes", _xlpm.error_messages))
)</f>
        <v/>
      </c>
    </row>
    <row r="134" spans="1:12">
      <c r="A134" s="94"/>
      <c r="B134" s="95"/>
      <c r="C134" s="95"/>
      <c r="D134" s="94"/>
      <c r="E134" s="94"/>
      <c r="F134" s="96"/>
      <c r="G134" s="94"/>
      <c r="H134" s="96"/>
      <c r="I134" s="96"/>
      <c r="J134" s="92"/>
      <c r="K134" s="97"/>
      <c r="L134" s="99" t="str">
        <f ca="1">_xlfn.LET(
    _xlpm.res_no, J134,
    _xlpm.record_sheet, 'MatRes Record'!J:M,
    _xlpm.AllCellsFilled, COUNTA(A134:K134) = 11,
    _xlpm.QtyIsInt, AND(ISNUMBER(G134), G134=INT(G134)),
    _xlpm.ReqDateIsValid, AND(ISNUMBER(H134), H134&gt;=TODAY()),
    _xlpm.EmailIsValid, RIGHT(I134,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IF(A134="", "", IF(_xlpm.error_messages = "", "Yes", _xlpm.error_messages))
)</f>
        <v/>
      </c>
    </row>
    <row r="135" spans="1:12">
      <c r="A135" s="94"/>
      <c r="B135" s="95"/>
      <c r="C135" s="95"/>
      <c r="D135" s="94"/>
      <c r="E135" s="94"/>
      <c r="F135" s="96"/>
      <c r="G135" s="94"/>
      <c r="H135" s="96"/>
      <c r="I135" s="96"/>
      <c r="J135" s="92"/>
      <c r="K135" s="97"/>
      <c r="L135" s="99" t="str">
        <f ca="1">_xlfn.LET(
    _xlpm.res_no, J135,
    _xlpm.record_sheet, 'MatRes Record'!J:M,
    _xlpm.AllCellsFilled, COUNTA(A135:K135) = 11,
    _xlpm.QtyIsInt, AND(ISNUMBER(G135), G135=INT(G135)),
    _xlpm.ReqDateIsValid, AND(ISNUMBER(H135), H135&gt;=TODAY()),
    _xlpm.EmailIsValid, RIGHT(I135,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IF(A135="", "", IF(_xlpm.error_messages = "", "Yes", _xlpm.error_messages))
)</f>
        <v/>
      </c>
    </row>
    <row r="136" spans="1:12">
      <c r="A136" s="94"/>
      <c r="B136" s="95"/>
      <c r="C136" s="95"/>
      <c r="D136" s="94"/>
      <c r="E136" s="94"/>
      <c r="F136" s="96"/>
      <c r="G136" s="94"/>
      <c r="H136" s="96"/>
      <c r="I136" s="96"/>
      <c r="J136" s="92"/>
      <c r="K136" s="97"/>
      <c r="L136" s="99" t="str">
        <f ca="1">_xlfn.LET(
    _xlpm.res_no, J136,
    _xlpm.record_sheet, 'MatRes Record'!J:M,
    _xlpm.AllCellsFilled, COUNTA(A136:K136) = 11,
    _xlpm.QtyIsInt, AND(ISNUMBER(G136), G136=INT(G136)),
    _xlpm.ReqDateIsValid, AND(ISNUMBER(H136), H136&gt;=TODAY()),
    _xlpm.EmailIsValid, RIGHT(I136,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IF(A136="", "", IF(_xlpm.error_messages = "", "Yes", _xlpm.error_messages))
)</f>
        <v/>
      </c>
    </row>
    <row r="137" spans="1:12">
      <c r="A137" s="94"/>
      <c r="B137" s="95"/>
      <c r="C137" s="95"/>
      <c r="D137" s="94"/>
      <c r="E137" s="94"/>
      <c r="F137" s="96"/>
      <c r="G137" s="94"/>
      <c r="H137" s="96"/>
      <c r="I137" s="96"/>
      <c r="J137" s="92"/>
      <c r="K137" s="97"/>
      <c r="L137" s="99" t="str">
        <f ca="1">_xlfn.LET(
    _xlpm.res_no, J137,
    _xlpm.record_sheet, 'MatRes Record'!J:M,
    _xlpm.AllCellsFilled, COUNTA(A137:K137) = 11,
    _xlpm.QtyIsInt, AND(ISNUMBER(G137), G137=INT(G137)),
    _xlpm.ReqDateIsValid, AND(ISNUMBER(H137), H137&gt;=TODAY()),
    _xlpm.EmailIsValid, RIGHT(I137,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IF(A137="", "", IF(_xlpm.error_messages = "", "Yes", _xlpm.error_messages))
)</f>
        <v/>
      </c>
    </row>
    <row r="138" spans="1:12">
      <c r="A138" s="94"/>
      <c r="B138" s="95"/>
      <c r="C138" s="95"/>
      <c r="D138" s="94"/>
      <c r="E138" s="94"/>
      <c r="F138" s="96"/>
      <c r="G138" s="94"/>
      <c r="H138" s="96"/>
      <c r="I138" s="96"/>
      <c r="J138" s="92"/>
      <c r="K138" s="97"/>
      <c r="L138" s="99" t="str">
        <f ca="1">_xlfn.LET(
    _xlpm.res_no, J138,
    _xlpm.record_sheet, 'MatRes Record'!J:M,
    _xlpm.AllCellsFilled, COUNTA(A138:K138) = 11,
    _xlpm.QtyIsInt, AND(ISNUMBER(G138), G138=INT(G138)),
    _xlpm.ReqDateIsValid, AND(ISNUMBER(H138), H138&gt;=TODAY()),
    _xlpm.EmailIsValid, RIGHT(I138,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IF(A138="", "", IF(_xlpm.error_messages = "", "Yes", _xlpm.error_messages))
)</f>
        <v/>
      </c>
    </row>
    <row r="139" spans="1:12">
      <c r="A139" s="94"/>
      <c r="B139" s="95"/>
      <c r="C139" s="95"/>
      <c r="D139" s="94"/>
      <c r="E139" s="94"/>
      <c r="F139" s="96"/>
      <c r="G139" s="94"/>
      <c r="H139" s="96"/>
      <c r="I139" s="96"/>
      <c r="J139" s="92"/>
      <c r="K139" s="97"/>
      <c r="L139" s="99" t="str">
        <f ca="1">_xlfn.LET(
    _xlpm.res_no, J139,
    _xlpm.record_sheet, 'MatRes Record'!J:M,
    _xlpm.AllCellsFilled, COUNTA(A139:K139) = 11,
    _xlpm.QtyIsInt, AND(ISNUMBER(G139), G139=INT(G139)),
    _xlpm.ReqDateIsValid, AND(ISNUMBER(H139), H139&gt;=TODAY()),
    _xlpm.EmailIsValid, RIGHT(I139,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IF(A139="", "", IF(_xlpm.error_messages = "", "Yes", _xlpm.error_messages))
)</f>
        <v/>
      </c>
    </row>
    <row r="140" spans="1:12">
      <c r="A140" s="94"/>
      <c r="B140" s="95"/>
      <c r="C140" s="95"/>
      <c r="D140" s="94"/>
      <c r="E140" s="94"/>
      <c r="F140" s="96"/>
      <c r="G140" s="94"/>
      <c r="H140" s="96"/>
      <c r="I140" s="96"/>
      <c r="J140" s="92"/>
      <c r="K140" s="97"/>
      <c r="L140" s="99" t="str">
        <f ca="1">_xlfn.LET(
    _xlpm.res_no, J140,
    _xlpm.record_sheet, 'MatRes Record'!J:M,
    _xlpm.AllCellsFilled, COUNTA(A140:K140) = 11,
    _xlpm.QtyIsInt, AND(ISNUMBER(G140), G140=INT(G140)),
    _xlpm.ReqDateIsValid, AND(ISNUMBER(H140), H140&gt;=TODAY()),
    _xlpm.EmailIsValid, RIGHT(I140,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IF(A140="", "", IF(_xlpm.error_messages = "", "Yes", _xlpm.error_messages))
)</f>
        <v/>
      </c>
    </row>
    <row r="141" spans="1:12">
      <c r="A141" s="94"/>
      <c r="B141" s="95"/>
      <c r="C141" s="95"/>
      <c r="D141" s="94"/>
      <c r="E141" s="94"/>
      <c r="F141" s="96"/>
      <c r="G141" s="94"/>
      <c r="H141" s="96"/>
      <c r="I141" s="96"/>
      <c r="J141" s="92"/>
      <c r="K141" s="97"/>
      <c r="L141" s="99" t="str">
        <f ca="1">_xlfn.LET(
    _xlpm.res_no, J141,
    _xlpm.record_sheet, 'MatRes Record'!J:M,
    _xlpm.AllCellsFilled, COUNTA(A141:K141) = 11,
    _xlpm.QtyIsInt, AND(ISNUMBER(G141), G141=INT(G141)),
    _xlpm.ReqDateIsValid, AND(ISNUMBER(H141), H141&gt;=TODAY()),
    _xlpm.EmailIsValid, RIGHT(I141,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IF(A141="", "", IF(_xlpm.error_messages = "", "Yes", _xlpm.error_messages))
)</f>
        <v/>
      </c>
    </row>
    <row r="142" spans="1:12">
      <c r="A142" s="94"/>
      <c r="B142" s="95"/>
      <c r="C142" s="95"/>
      <c r="D142" s="94"/>
      <c r="E142" s="94"/>
      <c r="F142" s="96"/>
      <c r="G142" s="94"/>
      <c r="H142" s="96"/>
      <c r="I142" s="96"/>
      <c r="J142" s="92"/>
      <c r="K142" s="97"/>
      <c r="L142" s="99" t="str">
        <f ca="1">_xlfn.LET(
    _xlpm.res_no, J142,
    _xlpm.record_sheet, 'MatRes Record'!J:M,
    _xlpm.AllCellsFilled, COUNTA(A142:K142) = 11,
    _xlpm.QtyIsInt, AND(ISNUMBER(G142), G142=INT(G142)),
    _xlpm.ReqDateIsValid, AND(ISNUMBER(H142), H142&gt;=TODAY()),
    _xlpm.EmailIsValid, RIGHT(I142,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IF(A142="", "", IF(_xlpm.error_messages = "", "Yes", _xlpm.error_messages))
)</f>
        <v/>
      </c>
    </row>
    <row r="143" spans="1:12">
      <c r="A143" s="94"/>
      <c r="B143" s="95"/>
      <c r="C143" s="95"/>
      <c r="D143" s="94"/>
      <c r="E143" s="94"/>
      <c r="F143" s="96"/>
      <c r="G143" s="94"/>
      <c r="H143" s="96"/>
      <c r="I143" s="96"/>
      <c r="J143" s="92"/>
      <c r="K143" s="97"/>
      <c r="L143" s="99" t="str">
        <f ca="1">_xlfn.LET(
    _xlpm.res_no, J143,
    _xlpm.record_sheet, 'MatRes Record'!J:M,
    _xlpm.AllCellsFilled, COUNTA(A143:K143) = 11,
    _xlpm.QtyIsInt, AND(ISNUMBER(G143), G143=INT(G143)),
    _xlpm.ReqDateIsValid, AND(ISNUMBER(H143), H143&gt;=TODAY()),
    _xlpm.EmailIsValid, RIGHT(I143,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IF(A143="", "", IF(_xlpm.error_messages = "", "Yes", _xlpm.error_messages))
)</f>
        <v/>
      </c>
    </row>
    <row r="144" spans="1:12">
      <c r="A144" s="94"/>
      <c r="B144" s="95"/>
      <c r="C144" s="95"/>
      <c r="D144" s="94"/>
      <c r="E144" s="94"/>
      <c r="F144" s="96"/>
      <c r="G144" s="94"/>
      <c r="H144" s="96"/>
      <c r="I144" s="96"/>
      <c r="J144" s="92"/>
      <c r="K144" s="97"/>
      <c r="L144" s="99" t="str">
        <f ca="1">_xlfn.LET(
    _xlpm.res_no, J144,
    _xlpm.record_sheet, 'MatRes Record'!J:M,
    _xlpm.AllCellsFilled, COUNTA(A144:K144) = 11,
    _xlpm.QtyIsInt, AND(ISNUMBER(G144), G144=INT(G144)),
    _xlpm.ReqDateIsValid, AND(ISNUMBER(H144), H144&gt;=TODAY()),
    _xlpm.EmailIsValid, RIGHT(I144,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IF(A144="", "", IF(_xlpm.error_messages = "", "Yes", _xlpm.error_messages))
)</f>
        <v/>
      </c>
    </row>
    <row r="145" spans="1:12">
      <c r="A145" s="94"/>
      <c r="B145" s="95"/>
      <c r="C145" s="95"/>
      <c r="D145" s="94"/>
      <c r="E145" s="94"/>
      <c r="F145" s="96"/>
      <c r="G145" s="94"/>
      <c r="H145" s="96"/>
      <c r="I145" s="96"/>
      <c r="J145" s="92"/>
      <c r="K145" s="97"/>
      <c r="L145" s="99" t="str">
        <f ca="1">_xlfn.LET(
    _xlpm.res_no, J145,
    _xlpm.record_sheet, 'MatRes Record'!J:M,
    _xlpm.AllCellsFilled, COUNTA(A145:K145) = 11,
    _xlpm.QtyIsInt, AND(ISNUMBER(G145), G145=INT(G145)),
    _xlpm.ReqDateIsValid, AND(ISNUMBER(H145), H145&gt;=TODAY()),
    _xlpm.EmailIsValid, RIGHT(I145,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IF(A145="", "", IF(_xlpm.error_messages = "", "Yes", _xlpm.error_messages))
)</f>
        <v/>
      </c>
    </row>
    <row r="146" spans="1:12">
      <c r="A146" s="94"/>
      <c r="B146" s="95"/>
      <c r="C146" s="95"/>
      <c r="D146" s="94"/>
      <c r="E146" s="94"/>
      <c r="F146" s="96"/>
      <c r="G146" s="94"/>
      <c r="H146" s="96"/>
      <c r="I146" s="96"/>
      <c r="J146" s="92"/>
      <c r="K146" s="97"/>
      <c r="L146" s="99" t="str">
        <f ca="1">_xlfn.LET(
    _xlpm.res_no, J146,
    _xlpm.record_sheet, 'MatRes Record'!J:M,
    _xlpm.AllCellsFilled, COUNTA(A146:K146) = 11,
    _xlpm.QtyIsInt, AND(ISNUMBER(G146), G146=INT(G146)),
    _xlpm.ReqDateIsValid, AND(ISNUMBER(H146), H146&gt;=TODAY()),
    _xlpm.EmailIsValid, RIGHT(I146,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IF(A146="", "", IF(_xlpm.error_messages = "", "Yes", _xlpm.error_messages))
)</f>
        <v/>
      </c>
    </row>
    <row r="147" spans="1:12">
      <c r="A147" s="94"/>
      <c r="B147" s="95"/>
      <c r="C147" s="95"/>
      <c r="D147" s="94"/>
      <c r="E147" s="94"/>
      <c r="F147" s="96"/>
      <c r="G147" s="94"/>
      <c r="H147" s="96"/>
      <c r="I147" s="96"/>
      <c r="J147" s="92"/>
      <c r="K147" s="97"/>
      <c r="L147" s="99" t="str">
        <f ca="1">_xlfn.LET(
    _xlpm.res_no, J147,
    _xlpm.record_sheet, 'MatRes Record'!J:M,
    _xlpm.AllCellsFilled, COUNTA(A147:K147) = 11,
    _xlpm.QtyIsInt, AND(ISNUMBER(G147), G147=INT(G147)),
    _xlpm.ReqDateIsValid, AND(ISNUMBER(H147), H147&gt;=TODAY()),
    _xlpm.EmailIsValid, RIGHT(I147,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IF(A147="", "", IF(_xlpm.error_messages = "", "Yes", _xlpm.error_messages))
)</f>
        <v/>
      </c>
    </row>
    <row r="148" spans="1:12">
      <c r="A148" s="94"/>
      <c r="B148" s="95"/>
      <c r="C148" s="95"/>
      <c r="D148" s="94"/>
      <c r="E148" s="94"/>
      <c r="F148" s="96"/>
      <c r="G148" s="94"/>
      <c r="H148" s="96"/>
      <c r="I148" s="96"/>
      <c r="J148" s="92"/>
      <c r="K148" s="97"/>
      <c r="L148" s="99" t="str">
        <f ca="1">_xlfn.LET(
    _xlpm.res_no, J148,
    _xlpm.record_sheet, 'MatRes Record'!J:M,
    _xlpm.AllCellsFilled, COUNTA(A148:K148) = 11,
    _xlpm.QtyIsInt, AND(ISNUMBER(G148), G148=INT(G148)),
    _xlpm.ReqDateIsValid, AND(ISNUMBER(H148), H148&gt;=TODAY()),
    _xlpm.EmailIsValid, RIGHT(I148,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IF(A148="", "", IF(_xlpm.error_messages = "", "Yes", _xlpm.error_messages))
)</f>
        <v/>
      </c>
    </row>
    <row r="149" spans="1:12">
      <c r="A149" s="94"/>
      <c r="B149" s="95"/>
      <c r="C149" s="95"/>
      <c r="D149" s="94"/>
      <c r="E149" s="94"/>
      <c r="F149" s="96"/>
      <c r="G149" s="94"/>
      <c r="H149" s="96"/>
      <c r="I149" s="96"/>
      <c r="J149" s="92"/>
      <c r="K149" s="97"/>
      <c r="L149" s="99" t="str">
        <f ca="1">_xlfn.LET(
    _xlpm.res_no, J149,
    _xlpm.record_sheet, 'MatRes Record'!J:M,
    _xlpm.AllCellsFilled, COUNTA(A149:K149) = 11,
    _xlpm.QtyIsInt, AND(ISNUMBER(G149), G149=INT(G149)),
    _xlpm.ReqDateIsValid, AND(ISNUMBER(H149), H149&gt;=TODAY()),
    _xlpm.EmailIsValid, RIGHT(I149,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IF(A149="", "", IF(_xlpm.error_messages = "", "Yes", _xlpm.error_messages))
)</f>
        <v/>
      </c>
    </row>
    <row r="150" spans="1:12">
      <c r="A150" s="94"/>
      <c r="B150" s="95"/>
      <c r="C150" s="95"/>
      <c r="D150" s="94"/>
      <c r="E150" s="94"/>
      <c r="F150" s="96"/>
      <c r="G150" s="94"/>
      <c r="H150" s="96"/>
      <c r="I150" s="96"/>
      <c r="J150" s="92"/>
      <c r="K150" s="97"/>
      <c r="L150" s="99" t="str">
        <f ca="1">_xlfn.LET(
    _xlpm.res_no, J150,
    _xlpm.record_sheet, 'MatRes Record'!J:M,
    _xlpm.AllCellsFilled, COUNTA(A150:K150) = 11,
    _xlpm.QtyIsInt, AND(ISNUMBER(G150), G150=INT(G150)),
    _xlpm.ReqDateIsValid, AND(ISNUMBER(H150), H150&gt;=TODAY()),
    _xlpm.EmailIsValid, RIGHT(I150,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IF(A150="", "", IF(_xlpm.error_messages = "", "Yes", _xlpm.error_messages))
)</f>
        <v/>
      </c>
    </row>
    <row r="151" spans="1:12">
      <c r="A151" s="94"/>
      <c r="B151" s="95"/>
      <c r="C151" s="95"/>
      <c r="D151" s="94"/>
      <c r="E151" s="94"/>
      <c r="F151" s="96"/>
      <c r="G151" s="94"/>
      <c r="H151" s="96"/>
      <c r="I151" s="96"/>
      <c r="J151" s="92"/>
      <c r="K151" s="97"/>
      <c r="L151" s="99" t="str">
        <f ca="1">_xlfn.LET(
    _xlpm.res_no, J151,
    _xlpm.record_sheet, 'MatRes Record'!J:M,
    _xlpm.AllCellsFilled, COUNTA(A151:K151) = 11,
    _xlpm.QtyIsInt, AND(ISNUMBER(G151), G151=INT(G151)),
    _xlpm.ReqDateIsValid, AND(ISNUMBER(H151), H151&gt;=TODAY()),
    _xlpm.EmailIsValid, RIGHT(I151,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IF(A151="", "", IF(_xlpm.error_messages = "", "Yes", _xlpm.error_messages))
)</f>
        <v/>
      </c>
    </row>
    <row r="152" spans="1:12">
      <c r="A152" s="94"/>
      <c r="B152" s="95"/>
      <c r="C152" s="95"/>
      <c r="D152" s="94"/>
      <c r="E152" s="94"/>
      <c r="F152" s="96"/>
      <c r="G152" s="94"/>
      <c r="H152" s="96"/>
      <c r="I152" s="96"/>
      <c r="J152" s="92"/>
      <c r="K152" s="97"/>
      <c r="L152" s="99" t="str">
        <f ca="1">_xlfn.LET(
    _xlpm.res_no, J152,
    _xlpm.record_sheet, 'MatRes Record'!J:M,
    _xlpm.AllCellsFilled, COUNTA(A152:K152) = 11,
    _xlpm.QtyIsInt, AND(ISNUMBER(G152), G152=INT(G152)),
    _xlpm.ReqDateIsValid, AND(ISNUMBER(H152), H152&gt;=TODAY()),
    _xlpm.EmailIsValid, RIGHT(I152,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IF(A152="", "", IF(_xlpm.error_messages = "", "Yes", _xlpm.error_messages))
)</f>
        <v/>
      </c>
    </row>
    <row r="153" spans="1:12">
      <c r="A153" s="94"/>
      <c r="B153" s="95"/>
      <c r="C153" s="95"/>
      <c r="D153" s="94"/>
      <c r="E153" s="94"/>
      <c r="F153" s="96"/>
      <c r="G153" s="94"/>
      <c r="H153" s="96"/>
      <c r="I153" s="96"/>
      <c r="J153" s="92"/>
      <c r="K153" s="97"/>
      <c r="L153" s="99" t="str">
        <f ca="1">_xlfn.LET(
    _xlpm.res_no, J153,
    _xlpm.record_sheet, 'MatRes Record'!J:M,
    _xlpm.AllCellsFilled, COUNTA(A153:K153) = 11,
    _xlpm.QtyIsInt, AND(ISNUMBER(G153), G153=INT(G153)),
    _xlpm.ReqDateIsValid, AND(ISNUMBER(H153), H153&gt;=TODAY()),
    _xlpm.EmailIsValid, RIGHT(I153,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IF(A153="", "", IF(_xlpm.error_messages = "", "Yes", _xlpm.error_messages))
)</f>
        <v/>
      </c>
    </row>
    <row r="154" spans="1:12">
      <c r="A154" s="94"/>
      <c r="B154" s="95"/>
      <c r="C154" s="95"/>
      <c r="D154" s="94"/>
      <c r="E154" s="94"/>
      <c r="F154" s="96"/>
      <c r="G154" s="94"/>
      <c r="H154" s="96"/>
      <c r="I154" s="96"/>
      <c r="J154" s="92"/>
      <c r="K154" s="97"/>
      <c r="L154" s="99" t="str">
        <f ca="1">_xlfn.LET(
    _xlpm.res_no, J154,
    _xlpm.record_sheet, 'MatRes Record'!J:M,
    _xlpm.AllCellsFilled, COUNTA(A154:K154) = 11,
    _xlpm.QtyIsInt, AND(ISNUMBER(G154), G154=INT(G154)),
    _xlpm.ReqDateIsValid, AND(ISNUMBER(H154), H154&gt;=TODAY()),
    _xlpm.EmailIsValid, RIGHT(I154,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IF(A154="", "", IF(_xlpm.error_messages = "", "Yes", _xlpm.error_messages))
)</f>
        <v/>
      </c>
    </row>
    <row r="155" spans="1:12">
      <c r="A155" s="94"/>
      <c r="B155" s="95"/>
      <c r="C155" s="95"/>
      <c r="D155" s="94"/>
      <c r="E155" s="94"/>
      <c r="F155" s="96"/>
      <c r="G155" s="94"/>
      <c r="H155" s="96"/>
      <c r="I155" s="96"/>
      <c r="J155" s="92"/>
      <c r="K155" s="97"/>
      <c r="L155" s="99" t="str">
        <f ca="1">_xlfn.LET(
    _xlpm.res_no, J155,
    _xlpm.record_sheet, 'MatRes Record'!J:M,
    _xlpm.AllCellsFilled, COUNTA(A155:K155) = 11,
    _xlpm.QtyIsInt, AND(ISNUMBER(G155), G155=INT(G155)),
    _xlpm.ReqDateIsValid, AND(ISNUMBER(H155), H155&gt;=TODAY()),
    _xlpm.EmailIsValid, RIGHT(I155,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IF(A155="", "", IF(_xlpm.error_messages = "", "Yes", _xlpm.error_messages))
)</f>
        <v/>
      </c>
    </row>
    <row r="156" spans="1:12">
      <c r="A156" s="94"/>
      <c r="B156" s="95"/>
      <c r="C156" s="95"/>
      <c r="D156" s="94"/>
      <c r="E156" s="94"/>
      <c r="F156" s="96"/>
      <c r="G156" s="94"/>
      <c r="H156" s="96"/>
      <c r="I156" s="96"/>
      <c r="J156" s="92"/>
      <c r="K156" s="97"/>
      <c r="L156" s="99" t="str">
        <f ca="1">_xlfn.LET(
    _xlpm.res_no, J156,
    _xlpm.record_sheet, 'MatRes Record'!J:M,
    _xlpm.AllCellsFilled, COUNTA(A156:K156) = 11,
    _xlpm.QtyIsInt, AND(ISNUMBER(G156), G156=INT(G156)),
    _xlpm.ReqDateIsValid, AND(ISNUMBER(H156), H156&gt;=TODAY()),
    _xlpm.EmailIsValid, RIGHT(I156,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IF(A156="", "", IF(_xlpm.error_messages = "", "Yes", _xlpm.error_messages))
)</f>
        <v/>
      </c>
    </row>
    <row r="157" spans="1:12">
      <c r="A157" s="94"/>
      <c r="B157" s="95"/>
      <c r="C157" s="95"/>
      <c r="D157" s="94"/>
      <c r="E157" s="94"/>
      <c r="F157" s="96"/>
      <c r="G157" s="94"/>
      <c r="H157" s="96"/>
      <c r="I157" s="96"/>
      <c r="J157" s="92"/>
      <c r="K157" s="97"/>
      <c r="L157" s="99" t="str">
        <f ca="1">_xlfn.LET(
    _xlpm.res_no, J157,
    _xlpm.record_sheet, 'MatRes Record'!J:M,
    _xlpm.AllCellsFilled, COUNTA(A157:K157) = 11,
    _xlpm.QtyIsInt, AND(ISNUMBER(G157), G157=INT(G157)),
    _xlpm.ReqDateIsValid, AND(ISNUMBER(H157), H157&gt;=TODAY()),
    _xlpm.EmailIsValid, RIGHT(I157,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IF(A157="", "", IF(_xlpm.error_messages = "", "Yes", _xlpm.error_messages))
)</f>
        <v/>
      </c>
    </row>
    <row r="158" spans="1:12">
      <c r="A158" s="94"/>
      <c r="B158" s="95"/>
      <c r="C158" s="95"/>
      <c r="D158" s="94"/>
      <c r="E158" s="94"/>
      <c r="F158" s="96"/>
      <c r="G158" s="94"/>
      <c r="H158" s="96"/>
      <c r="I158" s="96"/>
      <c r="J158" s="92"/>
      <c r="K158" s="97"/>
      <c r="L158" s="99" t="str">
        <f ca="1">_xlfn.LET(
    _xlpm.res_no, J158,
    _xlpm.record_sheet, 'MatRes Record'!J:M,
    _xlpm.AllCellsFilled, COUNTA(A158:K158) = 11,
    _xlpm.QtyIsInt, AND(ISNUMBER(G158), G158=INT(G158)),
    _xlpm.ReqDateIsValid, AND(ISNUMBER(H158), H158&gt;=TODAY()),
    _xlpm.EmailIsValid, RIGHT(I158,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IF(A158="", "", IF(_xlpm.error_messages = "", "Yes", _xlpm.error_messages))
)</f>
        <v/>
      </c>
    </row>
    <row r="159" spans="1:12">
      <c r="A159" s="94"/>
      <c r="B159" s="95"/>
      <c r="C159" s="95"/>
      <c r="D159" s="94"/>
      <c r="E159" s="94"/>
      <c r="F159" s="96"/>
      <c r="G159" s="94"/>
      <c r="H159" s="96"/>
      <c r="I159" s="96"/>
      <c r="J159" s="92"/>
      <c r="K159" s="97"/>
      <c r="L159" s="99" t="str">
        <f ca="1">_xlfn.LET(
    _xlpm.res_no, J159,
    _xlpm.record_sheet, 'MatRes Record'!J:M,
    _xlpm.AllCellsFilled, COUNTA(A159:K159) = 11,
    _xlpm.QtyIsInt, AND(ISNUMBER(G159), G159=INT(G159)),
    _xlpm.ReqDateIsValid, AND(ISNUMBER(H159), H159&gt;=TODAY()),
    _xlpm.EmailIsValid, RIGHT(I159,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IF(A159="", "", IF(_xlpm.error_messages = "", "Yes", _xlpm.error_messages))
)</f>
        <v/>
      </c>
    </row>
    <row r="160" spans="1:12">
      <c r="A160" s="94"/>
      <c r="B160" s="95"/>
      <c r="C160" s="95"/>
      <c r="D160" s="94"/>
      <c r="E160" s="94"/>
      <c r="F160" s="96"/>
      <c r="G160" s="94"/>
      <c r="H160" s="96"/>
      <c r="I160" s="96"/>
      <c r="J160" s="92"/>
      <c r="K160" s="97"/>
      <c r="L160" s="99" t="str">
        <f ca="1">_xlfn.LET(
    _xlpm.res_no, J160,
    _xlpm.record_sheet, 'MatRes Record'!J:M,
    _xlpm.AllCellsFilled, COUNTA(A160:K160) = 11,
    _xlpm.QtyIsInt, AND(ISNUMBER(G160), G160=INT(G160)),
    _xlpm.ReqDateIsValid, AND(ISNUMBER(H160), H160&gt;=TODAY()),
    _xlpm.EmailIsValid, RIGHT(I160,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IF(A160="", "", IF(_xlpm.error_messages = "", "Yes", _xlpm.error_messages))
)</f>
        <v/>
      </c>
    </row>
    <row r="161" spans="1:12">
      <c r="A161" s="94"/>
      <c r="B161" s="95"/>
      <c r="C161" s="95"/>
      <c r="D161" s="94"/>
      <c r="E161" s="94"/>
      <c r="F161" s="96"/>
      <c r="G161" s="94"/>
      <c r="H161" s="96"/>
      <c r="I161" s="96"/>
      <c r="J161" s="92"/>
      <c r="K161" s="97"/>
      <c r="L161" s="99" t="str">
        <f ca="1">_xlfn.LET(
    _xlpm.res_no, J161,
    _xlpm.record_sheet, 'MatRes Record'!J:M,
    _xlpm.AllCellsFilled, COUNTA(A161:K161) = 11,
    _xlpm.QtyIsInt, AND(ISNUMBER(G161), G161=INT(G161)),
    _xlpm.ReqDateIsValid, AND(ISNUMBER(H161), H161&gt;=TODAY()),
    _xlpm.EmailIsValid, RIGHT(I161,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IF(A161="", "", IF(_xlpm.error_messages = "", "Yes", _xlpm.error_messages))
)</f>
        <v/>
      </c>
    </row>
    <row r="162" spans="1:12">
      <c r="A162" s="94"/>
      <c r="B162" s="95"/>
      <c r="C162" s="95"/>
      <c r="D162" s="94"/>
      <c r="E162" s="94"/>
      <c r="F162" s="96"/>
      <c r="G162" s="94"/>
      <c r="H162" s="96"/>
      <c r="I162" s="96"/>
      <c r="J162" s="92"/>
      <c r="K162" s="97"/>
      <c r="L162" s="99" t="str">
        <f ca="1">_xlfn.LET(
    _xlpm.res_no, J162,
    _xlpm.record_sheet, 'MatRes Record'!J:M,
    _xlpm.AllCellsFilled, COUNTA(A162:K162) = 11,
    _xlpm.QtyIsInt, AND(ISNUMBER(G162), G162=INT(G162)),
    _xlpm.ReqDateIsValid, AND(ISNUMBER(H162), H162&gt;=TODAY()),
    _xlpm.EmailIsValid, RIGHT(I162,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IF(A162="", "", IF(_xlpm.error_messages = "", "Yes", _xlpm.error_messages))
)</f>
        <v/>
      </c>
    </row>
    <row r="163" spans="1:12">
      <c r="A163" s="94"/>
      <c r="B163" s="95"/>
      <c r="C163" s="95"/>
      <c r="D163" s="94"/>
      <c r="E163" s="94"/>
      <c r="F163" s="96"/>
      <c r="G163" s="94"/>
      <c r="H163" s="96"/>
      <c r="I163" s="96"/>
      <c r="J163" s="92"/>
      <c r="K163" s="97"/>
      <c r="L163" s="99" t="str">
        <f ca="1">_xlfn.LET(
    _xlpm.res_no, J163,
    _xlpm.record_sheet, 'MatRes Record'!J:M,
    _xlpm.AllCellsFilled, COUNTA(A163:K163) = 11,
    _xlpm.QtyIsInt, AND(ISNUMBER(G163), G163=INT(G163)),
    _xlpm.ReqDateIsValid, AND(ISNUMBER(H163), H163&gt;=TODAY()),
    _xlpm.EmailIsValid, RIGHT(I163,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IF(A163="", "", IF(_xlpm.error_messages = "", "Yes", _xlpm.error_messages))
)</f>
        <v/>
      </c>
    </row>
    <row r="164" spans="1:12">
      <c r="A164" s="94"/>
      <c r="B164" s="95"/>
      <c r="C164" s="95"/>
      <c r="D164" s="94"/>
      <c r="E164" s="94"/>
      <c r="F164" s="96"/>
      <c r="G164" s="94"/>
      <c r="H164" s="96"/>
      <c r="I164" s="96"/>
      <c r="J164" s="92"/>
      <c r="K164" s="97"/>
      <c r="L164" s="99" t="str">
        <f ca="1">_xlfn.LET(
    _xlpm.res_no, J164,
    _xlpm.record_sheet, 'MatRes Record'!J:M,
    _xlpm.AllCellsFilled, COUNTA(A164:K164) = 11,
    _xlpm.QtyIsInt, AND(ISNUMBER(G164), G164=INT(G164)),
    _xlpm.ReqDateIsValid, AND(ISNUMBER(H164), H164&gt;=TODAY()),
    _xlpm.EmailIsValid, RIGHT(I164,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IF(A164="", "", IF(_xlpm.error_messages = "", "Yes", _xlpm.error_messages))
)</f>
        <v/>
      </c>
    </row>
    <row r="165" spans="1:12">
      <c r="A165" s="94"/>
      <c r="B165" s="95"/>
      <c r="C165" s="95"/>
      <c r="D165" s="94"/>
      <c r="E165" s="94"/>
      <c r="F165" s="96"/>
      <c r="G165" s="94"/>
      <c r="H165" s="96"/>
      <c r="I165" s="96"/>
      <c r="J165" s="92"/>
      <c r="K165" s="97"/>
      <c r="L165" s="99" t="str">
        <f ca="1">_xlfn.LET(
    _xlpm.res_no, J165,
    _xlpm.record_sheet, 'MatRes Record'!J:M,
    _xlpm.AllCellsFilled, COUNTA(A165:K165) = 11,
    _xlpm.QtyIsInt, AND(ISNUMBER(G165), G165=INT(G165)),
    _xlpm.ReqDateIsValid, AND(ISNUMBER(H165), H165&gt;=TODAY()),
    _xlpm.EmailIsValid, RIGHT(I165,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IF(A165="", "", IF(_xlpm.error_messages = "", "Yes", _xlpm.error_messages))
)</f>
        <v/>
      </c>
    </row>
    <row r="166" spans="1:12">
      <c r="A166" s="94"/>
      <c r="B166" s="95"/>
      <c r="C166" s="95"/>
      <c r="D166" s="94"/>
      <c r="E166" s="94"/>
      <c r="F166" s="96"/>
      <c r="G166" s="94"/>
      <c r="H166" s="96"/>
      <c r="I166" s="96"/>
      <c r="J166" s="92"/>
      <c r="K166" s="97"/>
      <c r="L166" s="99" t="str">
        <f ca="1">_xlfn.LET(
    _xlpm.res_no, J166,
    _xlpm.record_sheet, 'MatRes Record'!J:M,
    _xlpm.AllCellsFilled, COUNTA(A166:K166) = 11,
    _xlpm.QtyIsInt, AND(ISNUMBER(G166), G166=INT(G166)),
    _xlpm.ReqDateIsValid, AND(ISNUMBER(H166), H166&gt;=TODAY()),
    _xlpm.EmailIsValid, RIGHT(I166,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IF(A166="", "", IF(_xlpm.error_messages = "", "Yes", _xlpm.error_messages))
)</f>
        <v/>
      </c>
    </row>
    <row r="167" spans="1:12">
      <c r="A167" s="94"/>
      <c r="B167" s="95"/>
      <c r="C167" s="95"/>
      <c r="D167" s="94"/>
      <c r="E167" s="94"/>
      <c r="F167" s="96"/>
      <c r="G167" s="94"/>
      <c r="H167" s="96"/>
      <c r="I167" s="96"/>
      <c r="J167" s="92"/>
      <c r="K167" s="97"/>
      <c r="L167" s="99" t="str">
        <f ca="1">_xlfn.LET(
    _xlpm.res_no, J167,
    _xlpm.record_sheet, 'MatRes Record'!J:M,
    _xlpm.AllCellsFilled, COUNTA(A167:K167) = 11,
    _xlpm.QtyIsInt, AND(ISNUMBER(G167), G167=INT(G167)),
    _xlpm.ReqDateIsValid, AND(ISNUMBER(H167), H167&gt;=TODAY()),
    _xlpm.EmailIsValid, RIGHT(I167,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IF(A167="", "", IF(_xlpm.error_messages = "", "Yes", _xlpm.error_messages))
)</f>
        <v/>
      </c>
    </row>
    <row r="168" spans="1:12">
      <c r="A168" s="94"/>
      <c r="B168" s="95"/>
      <c r="C168" s="95"/>
      <c r="D168" s="94"/>
      <c r="E168" s="94"/>
      <c r="F168" s="96"/>
      <c r="G168" s="94"/>
      <c r="H168" s="96"/>
      <c r="I168" s="96"/>
      <c r="J168" s="92"/>
      <c r="K168" s="97"/>
      <c r="L168" s="99" t="str">
        <f ca="1">_xlfn.LET(
    _xlpm.res_no, J168,
    _xlpm.record_sheet, 'MatRes Record'!J:M,
    _xlpm.AllCellsFilled, COUNTA(A168:K168) = 11,
    _xlpm.QtyIsInt, AND(ISNUMBER(G168), G168=INT(G168)),
    _xlpm.ReqDateIsValid, AND(ISNUMBER(H168), H168&gt;=TODAY()),
    _xlpm.EmailIsValid, RIGHT(I168,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IF(A168="", "", IF(_xlpm.error_messages = "", "Yes", _xlpm.error_messages))
)</f>
        <v/>
      </c>
    </row>
    <row r="169" spans="1:12">
      <c r="A169" s="94"/>
      <c r="B169" s="95"/>
      <c r="C169" s="95"/>
      <c r="D169" s="94"/>
      <c r="E169" s="94"/>
      <c r="F169" s="96"/>
      <c r="G169" s="94"/>
      <c r="H169" s="96"/>
      <c r="I169" s="96"/>
      <c r="J169" s="92"/>
      <c r="K169" s="97"/>
      <c r="L169" s="99" t="str">
        <f ca="1">_xlfn.LET(
    _xlpm.res_no, J169,
    _xlpm.record_sheet, 'MatRes Record'!J:M,
    _xlpm.AllCellsFilled, COUNTA(A169:K169) = 11,
    _xlpm.QtyIsInt, AND(ISNUMBER(G169), G169=INT(G169)),
    _xlpm.ReqDateIsValid, AND(ISNUMBER(H169), H169&gt;=TODAY()),
    _xlpm.EmailIsValid, RIGHT(I169,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IF(A169="", "", IF(_xlpm.error_messages = "", "Yes", _xlpm.error_messages))
)</f>
        <v/>
      </c>
    </row>
    <row r="170" spans="1:12">
      <c r="A170" s="94"/>
      <c r="B170" s="95"/>
      <c r="C170" s="95"/>
      <c r="D170" s="94"/>
      <c r="E170" s="94"/>
      <c r="F170" s="96"/>
      <c r="G170" s="94"/>
      <c r="H170" s="96"/>
      <c r="I170" s="96"/>
      <c r="J170" s="92"/>
      <c r="K170" s="97"/>
      <c r="L170" s="99" t="str">
        <f ca="1">_xlfn.LET(
    _xlpm.res_no, J170,
    _xlpm.record_sheet, 'MatRes Record'!J:M,
    _xlpm.AllCellsFilled, COUNTA(A170:K170) = 11,
    _xlpm.QtyIsInt, AND(ISNUMBER(G170), G170=INT(G170)),
    _xlpm.ReqDateIsValid, AND(ISNUMBER(H170), H170&gt;=TODAY()),
    _xlpm.EmailIsValid, RIGHT(I170,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IF(A170="", "", IF(_xlpm.error_messages = "", "Yes", _xlpm.error_messages))
)</f>
        <v/>
      </c>
    </row>
    <row r="171" spans="1:12">
      <c r="A171" s="94"/>
      <c r="B171" s="95"/>
      <c r="C171" s="95"/>
      <c r="D171" s="94"/>
      <c r="E171" s="94"/>
      <c r="F171" s="96"/>
      <c r="G171" s="94"/>
      <c r="H171" s="96"/>
      <c r="I171" s="96"/>
      <c r="J171" s="92"/>
      <c r="K171" s="97"/>
      <c r="L171" s="99" t="str">
        <f ca="1">_xlfn.LET(
    _xlpm.res_no, J171,
    _xlpm.record_sheet, 'MatRes Record'!J:M,
    _xlpm.AllCellsFilled, COUNTA(A171:K171) = 11,
    _xlpm.QtyIsInt, AND(ISNUMBER(G171), G171=INT(G171)),
    _xlpm.ReqDateIsValid, AND(ISNUMBER(H171), H171&gt;=TODAY()),
    _xlpm.EmailIsValid, RIGHT(I171,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IF(A171="", "", IF(_xlpm.error_messages = "", "Yes", _xlpm.error_messages))
)</f>
        <v/>
      </c>
    </row>
    <row r="172" spans="1:12">
      <c r="A172" s="94"/>
      <c r="B172" s="95"/>
      <c r="C172" s="95"/>
      <c r="D172" s="94"/>
      <c r="E172" s="94"/>
      <c r="F172" s="96"/>
      <c r="G172" s="94"/>
      <c r="H172" s="96"/>
      <c r="I172" s="96"/>
      <c r="J172" s="92"/>
      <c r="K172" s="97"/>
      <c r="L172" s="99" t="str">
        <f ca="1">_xlfn.LET(
    _xlpm.res_no, J172,
    _xlpm.record_sheet, 'MatRes Record'!J:M,
    _xlpm.AllCellsFilled, COUNTA(A172:K172) = 11,
    _xlpm.QtyIsInt, AND(ISNUMBER(G172), G172=INT(G172)),
    _xlpm.ReqDateIsValid, AND(ISNUMBER(H172), H172&gt;=TODAY()),
    _xlpm.EmailIsValid, RIGHT(I172,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IF(A172="", "", IF(_xlpm.error_messages = "", "Yes", _xlpm.error_messages))
)</f>
        <v/>
      </c>
    </row>
    <row r="173" spans="1:12">
      <c r="A173" s="94"/>
      <c r="B173" s="95"/>
      <c r="C173" s="95"/>
      <c r="D173" s="94"/>
      <c r="E173" s="94"/>
      <c r="F173" s="96"/>
      <c r="G173" s="94"/>
      <c r="H173" s="96"/>
      <c r="I173" s="96"/>
      <c r="J173" s="92"/>
      <c r="K173" s="97"/>
      <c r="L173" s="99" t="str">
        <f ca="1">_xlfn.LET(
    _xlpm.res_no, J173,
    _xlpm.record_sheet, 'MatRes Record'!J:M,
    _xlpm.AllCellsFilled, COUNTA(A173:K173) = 11,
    _xlpm.QtyIsInt, AND(ISNUMBER(G173), G173=INT(G173)),
    _xlpm.ReqDateIsValid, AND(ISNUMBER(H173), H173&gt;=TODAY()),
    _xlpm.EmailIsValid, RIGHT(I173,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IF(A173="", "", IF(_xlpm.error_messages = "", "Yes", _xlpm.error_messages))
)</f>
        <v/>
      </c>
    </row>
    <row r="174" spans="1:12">
      <c r="A174" s="94"/>
      <c r="B174" s="95"/>
      <c r="C174" s="95"/>
      <c r="D174" s="94"/>
      <c r="E174" s="94"/>
      <c r="F174" s="96"/>
      <c r="G174" s="94"/>
      <c r="H174" s="96"/>
      <c r="I174" s="96"/>
      <c r="J174" s="92"/>
      <c r="K174" s="97"/>
      <c r="L174" s="99" t="str">
        <f ca="1">_xlfn.LET(
    _xlpm.res_no, J174,
    _xlpm.record_sheet, 'MatRes Record'!J:M,
    _xlpm.AllCellsFilled, COUNTA(A174:K174) = 11,
    _xlpm.QtyIsInt, AND(ISNUMBER(G174), G174=INT(G174)),
    _xlpm.ReqDateIsValid, AND(ISNUMBER(H174), H174&gt;=TODAY()),
    _xlpm.EmailIsValid, RIGHT(I174,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IF(A174="", "", IF(_xlpm.error_messages = "", "Yes", _xlpm.error_messages))
)</f>
        <v/>
      </c>
    </row>
    <row r="175" spans="1:12">
      <c r="A175" s="94"/>
      <c r="B175" s="95"/>
      <c r="C175" s="95"/>
      <c r="D175" s="94"/>
      <c r="E175" s="94"/>
      <c r="F175" s="96"/>
      <c r="G175" s="94"/>
      <c r="H175" s="96"/>
      <c r="I175" s="96"/>
      <c r="J175" s="92"/>
      <c r="K175" s="97"/>
      <c r="L175" s="99" t="str">
        <f ca="1">_xlfn.LET(
    _xlpm.res_no, J175,
    _xlpm.record_sheet, 'MatRes Record'!J:M,
    _xlpm.AllCellsFilled, COUNTA(A175:K175) = 11,
    _xlpm.QtyIsInt, AND(ISNUMBER(G175), G175=INT(G175)),
    _xlpm.ReqDateIsValid, AND(ISNUMBER(H175), H175&gt;=TODAY()),
    _xlpm.EmailIsValid, RIGHT(I175,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IF(A175="", "", IF(_xlpm.error_messages = "", "Yes", _xlpm.error_messages))
)</f>
        <v/>
      </c>
    </row>
    <row r="176" spans="1:12">
      <c r="A176" s="94"/>
      <c r="B176" s="95"/>
      <c r="C176" s="95"/>
      <c r="D176" s="94"/>
      <c r="E176" s="94"/>
      <c r="F176" s="96"/>
      <c r="G176" s="94"/>
      <c r="H176" s="96"/>
      <c r="I176" s="96"/>
      <c r="J176" s="92"/>
      <c r="K176" s="97"/>
      <c r="L176" s="99" t="str">
        <f ca="1">_xlfn.LET(
    _xlpm.res_no, J176,
    _xlpm.record_sheet, 'MatRes Record'!J:M,
    _xlpm.AllCellsFilled, COUNTA(A176:K176) = 11,
    _xlpm.QtyIsInt, AND(ISNUMBER(G176), G176=INT(G176)),
    _xlpm.ReqDateIsValid, AND(ISNUMBER(H176), H176&gt;=TODAY()),
    _xlpm.EmailIsValid, RIGHT(I176,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IF(A176="", "", IF(_xlpm.error_messages = "", "Yes", _xlpm.error_messages))
)</f>
        <v/>
      </c>
    </row>
    <row r="177" spans="1:12">
      <c r="A177" s="94"/>
      <c r="B177" s="95"/>
      <c r="C177" s="95"/>
      <c r="D177" s="94"/>
      <c r="E177" s="94"/>
      <c r="F177" s="96"/>
      <c r="G177" s="94"/>
      <c r="H177" s="96"/>
      <c r="I177" s="96"/>
      <c r="J177" s="92"/>
      <c r="K177" s="97"/>
      <c r="L177" s="99" t="str">
        <f ca="1">_xlfn.LET(
    _xlpm.res_no, J177,
    _xlpm.record_sheet, 'MatRes Record'!J:M,
    _xlpm.AllCellsFilled, COUNTA(A177:K177) = 11,
    _xlpm.QtyIsInt, AND(ISNUMBER(G177), G177=INT(G177)),
    _xlpm.ReqDateIsValid, AND(ISNUMBER(H177), H177&gt;=TODAY()),
    _xlpm.EmailIsValid, RIGHT(I177,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IF(A177="", "", IF(_xlpm.error_messages = "", "Yes", _xlpm.error_messages))
)</f>
        <v/>
      </c>
    </row>
    <row r="178" spans="1:12">
      <c r="A178" s="94"/>
      <c r="B178" s="95"/>
      <c r="C178" s="95"/>
      <c r="D178" s="94"/>
      <c r="E178" s="94"/>
      <c r="F178" s="96"/>
      <c r="G178" s="94"/>
      <c r="H178" s="96"/>
      <c r="I178" s="96"/>
      <c r="J178" s="92"/>
      <c r="K178" s="97"/>
      <c r="L178" s="99" t="str">
        <f ca="1">_xlfn.LET(
    _xlpm.res_no, J178,
    _xlpm.record_sheet, 'MatRes Record'!J:M,
    _xlpm.AllCellsFilled, COUNTA(A178:K178) = 11,
    _xlpm.QtyIsInt, AND(ISNUMBER(G178), G178=INT(G178)),
    _xlpm.ReqDateIsValid, AND(ISNUMBER(H178), H178&gt;=TODAY()),
    _xlpm.EmailIsValid, RIGHT(I178,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IF(A178="", "", IF(_xlpm.error_messages = "", "Yes", _xlpm.error_messages))
)</f>
        <v/>
      </c>
    </row>
    <row r="179" spans="1:12">
      <c r="A179" s="94"/>
      <c r="B179" s="95"/>
      <c r="C179" s="95"/>
      <c r="D179" s="94"/>
      <c r="E179" s="94"/>
      <c r="F179" s="96"/>
      <c r="G179" s="94"/>
      <c r="H179" s="96"/>
      <c r="I179" s="96"/>
      <c r="J179" s="92"/>
      <c r="K179" s="97"/>
      <c r="L179" s="99" t="str">
        <f ca="1">_xlfn.LET(
    _xlpm.res_no, J179,
    _xlpm.record_sheet, 'MatRes Record'!J:M,
    _xlpm.AllCellsFilled, COUNTA(A179:K179) = 11,
    _xlpm.QtyIsInt, AND(ISNUMBER(G179), G179=INT(G179)),
    _xlpm.ReqDateIsValid, AND(ISNUMBER(H179), H179&gt;=TODAY()),
    _xlpm.EmailIsValid, RIGHT(I179,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IF(A179="", "", IF(_xlpm.error_messages = "", "Yes", _xlpm.error_messages))
)</f>
        <v/>
      </c>
    </row>
    <row r="180" spans="1:12">
      <c r="A180" s="94"/>
      <c r="B180" s="95"/>
      <c r="C180" s="95"/>
      <c r="D180" s="94"/>
      <c r="E180" s="94"/>
      <c r="F180" s="96"/>
      <c r="G180" s="94"/>
      <c r="H180" s="96"/>
      <c r="I180" s="96"/>
      <c r="J180" s="92"/>
      <c r="K180" s="97"/>
      <c r="L180" s="99" t="str">
        <f ca="1">_xlfn.LET(
    _xlpm.res_no, J180,
    _xlpm.record_sheet, 'MatRes Record'!J:M,
    _xlpm.AllCellsFilled, COUNTA(A180:K180) = 11,
    _xlpm.QtyIsInt, AND(ISNUMBER(G180), G180=INT(G180)),
    _xlpm.ReqDateIsValid, AND(ISNUMBER(H180), H180&gt;=TODAY()),
    _xlpm.EmailIsValid, RIGHT(I180,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IF(A180="", "", IF(_xlpm.error_messages = "", "Yes", _xlpm.error_messages))
)</f>
        <v/>
      </c>
    </row>
    <row r="181" spans="1:12">
      <c r="A181" s="94"/>
      <c r="B181" s="95"/>
      <c r="C181" s="95"/>
      <c r="D181" s="94"/>
      <c r="E181" s="94"/>
      <c r="F181" s="96"/>
      <c r="G181" s="94"/>
      <c r="H181" s="96"/>
      <c r="I181" s="96"/>
      <c r="J181" s="92"/>
      <c r="K181" s="97"/>
      <c r="L181" s="99" t="str">
        <f ca="1">_xlfn.LET(
    _xlpm.res_no, J181,
    _xlpm.record_sheet, 'MatRes Record'!J:M,
    _xlpm.AllCellsFilled, COUNTA(A181:K181) = 11,
    _xlpm.QtyIsInt, AND(ISNUMBER(G181), G181=INT(G181)),
    _xlpm.ReqDateIsValid, AND(ISNUMBER(H181), H181&gt;=TODAY()),
    _xlpm.EmailIsValid, RIGHT(I181,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IF(A181="", "", IF(_xlpm.error_messages = "", "Yes", _xlpm.error_messages))
)</f>
        <v/>
      </c>
    </row>
    <row r="182" spans="1:12">
      <c r="A182" s="94"/>
      <c r="B182" s="95"/>
      <c r="C182" s="95"/>
      <c r="D182" s="94"/>
      <c r="E182" s="94"/>
      <c r="F182" s="96"/>
      <c r="G182" s="94"/>
      <c r="H182" s="96"/>
      <c r="I182" s="96"/>
      <c r="J182" s="92"/>
      <c r="K182" s="97"/>
      <c r="L182" s="99" t="str">
        <f ca="1">_xlfn.LET(
    _xlpm.res_no, J182,
    _xlpm.record_sheet, 'MatRes Record'!J:M,
    _xlpm.AllCellsFilled, COUNTA(A182:K182) = 11,
    _xlpm.QtyIsInt, AND(ISNUMBER(G182), G182=INT(G182)),
    _xlpm.ReqDateIsValid, AND(ISNUMBER(H182), H182&gt;=TODAY()),
    _xlpm.EmailIsValid, RIGHT(I182,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IF(A182="", "", IF(_xlpm.error_messages = "", "Yes", _xlpm.error_messages))
)</f>
        <v/>
      </c>
    </row>
    <row r="183" spans="1:12">
      <c r="A183" s="94"/>
      <c r="B183" s="95"/>
      <c r="C183" s="95"/>
      <c r="D183" s="94"/>
      <c r="E183" s="94"/>
      <c r="F183" s="96"/>
      <c r="G183" s="94"/>
      <c r="H183" s="96"/>
      <c r="I183" s="96"/>
      <c r="J183" s="92"/>
      <c r="K183" s="97"/>
      <c r="L183" s="99" t="str">
        <f ca="1">_xlfn.LET(
    _xlpm.res_no, J183,
    _xlpm.record_sheet, 'MatRes Record'!J:M,
    _xlpm.AllCellsFilled, COUNTA(A183:K183) = 11,
    _xlpm.QtyIsInt, AND(ISNUMBER(G183), G183=INT(G183)),
    _xlpm.ReqDateIsValid, AND(ISNUMBER(H183), H183&gt;=TODAY()),
    _xlpm.EmailIsValid, RIGHT(I183,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IF(A183="", "", IF(_xlpm.error_messages = "", "Yes", _xlpm.error_messages))
)</f>
        <v/>
      </c>
    </row>
    <row r="184" spans="1:12">
      <c r="A184" s="94"/>
      <c r="B184" s="95"/>
      <c r="C184" s="95"/>
      <c r="D184" s="94"/>
      <c r="E184" s="94"/>
      <c r="F184" s="96"/>
      <c r="G184" s="94"/>
      <c r="H184" s="96"/>
      <c r="I184" s="96"/>
      <c r="J184" s="92"/>
      <c r="K184" s="97"/>
      <c r="L184" s="99" t="str">
        <f ca="1">_xlfn.LET(
    _xlpm.res_no, J184,
    _xlpm.record_sheet, 'MatRes Record'!J:M,
    _xlpm.AllCellsFilled, COUNTA(A184:K184) = 11,
    _xlpm.QtyIsInt, AND(ISNUMBER(G184), G184=INT(G184)),
    _xlpm.ReqDateIsValid, AND(ISNUMBER(H184), H184&gt;=TODAY()),
    _xlpm.EmailIsValid, RIGHT(I184,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IF(A184="", "", IF(_xlpm.error_messages = "", "Yes", _xlpm.error_messages))
)</f>
        <v/>
      </c>
    </row>
    <row r="185" spans="1:12">
      <c r="A185" s="94"/>
      <c r="B185" s="95"/>
      <c r="C185" s="95"/>
      <c r="D185" s="94"/>
      <c r="E185" s="94"/>
      <c r="F185" s="96"/>
      <c r="G185" s="94"/>
      <c r="H185" s="96"/>
      <c r="I185" s="96"/>
      <c r="J185" s="92"/>
      <c r="K185" s="97"/>
      <c r="L185" s="99" t="str">
        <f ca="1">_xlfn.LET(
    _xlpm.res_no, J185,
    _xlpm.record_sheet, 'MatRes Record'!J:M,
    _xlpm.AllCellsFilled, COUNTA(A185:K185) = 11,
    _xlpm.QtyIsInt, AND(ISNUMBER(G185), G185=INT(G185)),
    _xlpm.ReqDateIsValid, AND(ISNUMBER(H185), H185&gt;=TODAY()),
    _xlpm.EmailIsValid, RIGHT(I185,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IF(A185="", "", IF(_xlpm.error_messages = "", "Yes", _xlpm.error_messages))
)</f>
        <v/>
      </c>
    </row>
    <row r="186" spans="1:12">
      <c r="A186" s="94"/>
      <c r="B186" s="95"/>
      <c r="C186" s="95"/>
      <c r="D186" s="94"/>
      <c r="E186" s="94"/>
      <c r="F186" s="96"/>
      <c r="G186" s="94"/>
      <c r="H186" s="96"/>
      <c r="I186" s="96"/>
      <c r="J186" s="92"/>
      <c r="K186" s="97"/>
      <c r="L186" s="99" t="str">
        <f ca="1">_xlfn.LET(
    _xlpm.res_no, J186,
    _xlpm.record_sheet, 'MatRes Record'!J:M,
    _xlpm.AllCellsFilled, COUNTA(A186:K186) = 11,
    _xlpm.QtyIsInt, AND(ISNUMBER(G186), G186=INT(G186)),
    _xlpm.ReqDateIsValid, AND(ISNUMBER(H186), H186&gt;=TODAY()),
    _xlpm.EmailIsValid, RIGHT(I186,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IF(A186="", "", IF(_xlpm.error_messages = "", "Yes", _xlpm.error_messages))
)</f>
        <v/>
      </c>
    </row>
    <row r="187" spans="1:12">
      <c r="A187" s="94"/>
      <c r="B187" s="95"/>
      <c r="C187" s="95"/>
      <c r="D187" s="94"/>
      <c r="E187" s="94"/>
      <c r="F187" s="96"/>
      <c r="G187" s="94"/>
      <c r="H187" s="96"/>
      <c r="I187" s="96"/>
      <c r="J187" s="92"/>
      <c r="K187" s="97"/>
      <c r="L187" s="99" t="str">
        <f ca="1">_xlfn.LET(
    _xlpm.res_no, J187,
    _xlpm.record_sheet, 'MatRes Record'!J:M,
    _xlpm.AllCellsFilled, COUNTA(A187:K187) = 11,
    _xlpm.QtyIsInt, AND(ISNUMBER(G187), G187=INT(G187)),
    _xlpm.ReqDateIsValid, AND(ISNUMBER(H187), H187&gt;=TODAY()),
    _xlpm.EmailIsValid, RIGHT(I187,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IF(A187="", "", IF(_xlpm.error_messages = "", "Yes", _xlpm.error_messages))
)</f>
        <v/>
      </c>
    </row>
    <row r="188" spans="1:12">
      <c r="A188" s="94"/>
      <c r="B188" s="95"/>
      <c r="C188" s="95"/>
      <c r="D188" s="94"/>
      <c r="E188" s="94"/>
      <c r="F188" s="96"/>
      <c r="G188" s="94"/>
      <c r="H188" s="96"/>
      <c r="I188" s="96"/>
      <c r="J188" s="92"/>
      <c r="K188" s="97"/>
      <c r="L188" s="99" t="str">
        <f ca="1">_xlfn.LET(
    _xlpm.res_no, J188,
    _xlpm.record_sheet, 'MatRes Record'!J:M,
    _xlpm.AllCellsFilled, COUNTA(A188:K188) = 11,
    _xlpm.QtyIsInt, AND(ISNUMBER(G188), G188=INT(G188)),
    _xlpm.ReqDateIsValid, AND(ISNUMBER(H188), H188&gt;=TODAY()),
    _xlpm.EmailIsValid, RIGHT(I188,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IF(A188="", "", IF(_xlpm.error_messages = "", "Yes", _xlpm.error_messages))
)</f>
        <v/>
      </c>
    </row>
    <row r="189" spans="1:12">
      <c r="A189" s="94"/>
      <c r="B189" s="95"/>
      <c r="C189" s="95"/>
      <c r="D189" s="94"/>
      <c r="E189" s="94"/>
      <c r="F189" s="96"/>
      <c r="G189" s="94"/>
      <c r="H189" s="96"/>
      <c r="I189" s="96"/>
      <c r="J189" s="92"/>
      <c r="K189" s="97"/>
      <c r="L189" s="99" t="str">
        <f ca="1">_xlfn.LET(
    _xlpm.res_no, J189,
    _xlpm.record_sheet, 'MatRes Record'!J:M,
    _xlpm.AllCellsFilled, COUNTA(A189:K189) = 11,
    _xlpm.QtyIsInt, AND(ISNUMBER(G189), G189=INT(G189)),
    _xlpm.ReqDateIsValid, AND(ISNUMBER(H189), H189&gt;=TODAY()),
    _xlpm.EmailIsValid, RIGHT(I189,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IF(A189="", "", IF(_xlpm.error_messages = "", "Yes", _xlpm.error_messages))
)</f>
        <v/>
      </c>
    </row>
    <row r="190" spans="1:12">
      <c r="A190" s="94"/>
      <c r="B190" s="95"/>
      <c r="C190" s="95"/>
      <c r="D190" s="94"/>
      <c r="E190" s="94"/>
      <c r="F190" s="96"/>
      <c r="G190" s="94"/>
      <c r="H190" s="96"/>
      <c r="I190" s="96"/>
      <c r="J190" s="92"/>
      <c r="K190" s="97"/>
      <c r="L190" s="99" t="str">
        <f ca="1">_xlfn.LET(
    _xlpm.res_no, J190,
    _xlpm.record_sheet, 'MatRes Record'!J:M,
    _xlpm.AllCellsFilled, COUNTA(A190:K190) = 11,
    _xlpm.QtyIsInt, AND(ISNUMBER(G190), G190=INT(G190)),
    _xlpm.ReqDateIsValid, AND(ISNUMBER(H190), H190&gt;=TODAY()),
    _xlpm.EmailIsValid, RIGHT(I190,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IF(A190="", "", IF(_xlpm.error_messages = "", "Yes", _xlpm.error_messages))
)</f>
        <v/>
      </c>
    </row>
    <row r="191" spans="1:12">
      <c r="A191" s="94"/>
      <c r="B191" s="95"/>
      <c r="C191" s="95"/>
      <c r="D191" s="94"/>
      <c r="E191" s="94"/>
      <c r="F191" s="96"/>
      <c r="G191" s="94"/>
      <c r="H191" s="96"/>
      <c r="I191" s="96"/>
      <c r="J191" s="92"/>
      <c r="K191" s="97"/>
      <c r="L191" s="99" t="str">
        <f ca="1">_xlfn.LET(
    _xlpm.res_no, J191,
    _xlpm.record_sheet, 'MatRes Record'!J:M,
    _xlpm.AllCellsFilled, COUNTA(A191:K191) = 11,
    _xlpm.QtyIsInt, AND(ISNUMBER(G191), G191=INT(G191)),
    _xlpm.ReqDateIsValid, AND(ISNUMBER(H191), H191&gt;=TODAY()),
    _xlpm.EmailIsValid, RIGHT(I191,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IF(A191="", "", IF(_xlpm.error_messages = "", "Yes", _xlpm.error_messages))
)</f>
        <v/>
      </c>
    </row>
    <row r="192" spans="1:12">
      <c r="A192" s="94"/>
      <c r="B192" s="95"/>
      <c r="C192" s="95"/>
      <c r="D192" s="94"/>
      <c r="E192" s="94"/>
      <c r="F192" s="96"/>
      <c r="G192" s="94"/>
      <c r="H192" s="96"/>
      <c r="I192" s="96"/>
      <c r="J192" s="92"/>
      <c r="K192" s="97"/>
      <c r="L192" s="99" t="str">
        <f ca="1">_xlfn.LET(
    _xlpm.res_no, J192,
    _xlpm.record_sheet, 'MatRes Record'!J:M,
    _xlpm.AllCellsFilled, COUNTA(A192:K192) = 11,
    _xlpm.QtyIsInt, AND(ISNUMBER(G192), G192=INT(G192)),
    _xlpm.ReqDateIsValid, AND(ISNUMBER(H192), H192&gt;=TODAY()),
    _xlpm.EmailIsValid, RIGHT(I192,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IF(A192="", "", IF(_xlpm.error_messages = "", "Yes", _xlpm.error_messages))
)</f>
        <v/>
      </c>
    </row>
    <row r="193" spans="1:12">
      <c r="A193" s="94"/>
      <c r="B193" s="95"/>
      <c r="C193" s="95"/>
      <c r="D193" s="94"/>
      <c r="E193" s="94"/>
      <c r="F193" s="96"/>
      <c r="G193" s="94"/>
      <c r="H193" s="96"/>
      <c r="I193" s="96"/>
      <c r="J193" s="92"/>
      <c r="K193" s="97"/>
      <c r="L193" s="99" t="str">
        <f ca="1">_xlfn.LET(
    _xlpm.res_no, J193,
    _xlpm.record_sheet, 'MatRes Record'!J:M,
    _xlpm.AllCellsFilled, COUNTA(A193:K193) = 11,
    _xlpm.QtyIsInt, AND(ISNUMBER(G193), G193=INT(G193)),
    _xlpm.ReqDateIsValid, AND(ISNUMBER(H193), H193&gt;=TODAY()),
    _xlpm.EmailIsValid, RIGHT(I193,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IF(A193="", "", IF(_xlpm.error_messages = "", "Yes", _xlpm.error_messages))
)</f>
        <v/>
      </c>
    </row>
    <row r="194" spans="1:12">
      <c r="A194" s="94"/>
      <c r="B194" s="95"/>
      <c r="C194" s="95"/>
      <c r="D194" s="94"/>
      <c r="E194" s="94"/>
      <c r="F194" s="96"/>
      <c r="G194" s="94"/>
      <c r="H194" s="96"/>
      <c r="I194" s="96"/>
      <c r="J194" s="92"/>
      <c r="K194" s="97"/>
      <c r="L194" s="99" t="str">
        <f ca="1">_xlfn.LET(
    _xlpm.res_no, J194,
    _xlpm.record_sheet, 'MatRes Record'!J:M,
    _xlpm.AllCellsFilled, COUNTA(A194:K194) = 11,
    _xlpm.QtyIsInt, AND(ISNUMBER(G194), G194=INT(G194)),
    _xlpm.ReqDateIsValid, AND(ISNUMBER(H194), H194&gt;=TODAY()),
    _xlpm.EmailIsValid, RIGHT(I194,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IF(A194="", "", IF(_xlpm.error_messages = "", "Yes", _xlpm.error_messages))
)</f>
        <v/>
      </c>
    </row>
    <row r="195" spans="1:12">
      <c r="A195" s="94"/>
      <c r="B195" s="95"/>
      <c r="C195" s="95"/>
      <c r="D195" s="94"/>
      <c r="E195" s="94"/>
      <c r="F195" s="96"/>
      <c r="G195" s="94"/>
      <c r="H195" s="96"/>
      <c r="I195" s="96"/>
      <c r="J195" s="92"/>
      <c r="K195" s="97"/>
      <c r="L195" s="99" t="str">
        <f ca="1">_xlfn.LET(
    _xlpm.res_no, J195,
    _xlpm.record_sheet, 'MatRes Record'!J:M,
    _xlpm.AllCellsFilled, COUNTA(A195:K195) = 11,
    _xlpm.QtyIsInt, AND(ISNUMBER(G195), G195=INT(G195)),
    _xlpm.ReqDateIsValid, AND(ISNUMBER(H195), H195&gt;=TODAY()),
    _xlpm.EmailIsValid, RIGHT(I195,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IF(A195="", "", IF(_xlpm.error_messages = "", "Yes", _xlpm.error_messages))
)</f>
        <v/>
      </c>
    </row>
    <row r="196" spans="1:12">
      <c r="A196" s="94"/>
      <c r="B196" s="95"/>
      <c r="C196" s="95"/>
      <c r="D196" s="94"/>
      <c r="E196" s="94"/>
      <c r="F196" s="96"/>
      <c r="G196" s="94"/>
      <c r="H196" s="96"/>
      <c r="I196" s="96"/>
      <c r="J196" s="92"/>
      <c r="K196" s="97"/>
      <c r="L196" s="99" t="str">
        <f ca="1">_xlfn.LET(
    _xlpm.res_no, J196,
    _xlpm.record_sheet, 'MatRes Record'!J:M,
    _xlpm.AllCellsFilled, COUNTA(A196:K196) = 11,
    _xlpm.QtyIsInt, AND(ISNUMBER(G196), G196=INT(G196)),
    _xlpm.ReqDateIsValid, AND(ISNUMBER(H196), H196&gt;=TODAY()),
    _xlpm.EmailIsValid, RIGHT(I196,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IF(A196="", "", IF(_xlpm.error_messages = "", "Yes", _xlpm.error_messages))
)</f>
        <v/>
      </c>
    </row>
    <row r="197" spans="1:12">
      <c r="A197" s="94"/>
      <c r="B197" s="95"/>
      <c r="C197" s="95"/>
      <c r="D197" s="94"/>
      <c r="E197" s="94"/>
      <c r="F197" s="96"/>
      <c r="G197" s="94"/>
      <c r="H197" s="96"/>
      <c r="I197" s="96"/>
      <c r="J197" s="92"/>
      <c r="K197" s="97"/>
      <c r="L197" s="99" t="str">
        <f ca="1">_xlfn.LET(
    _xlpm.res_no, J197,
    _xlpm.record_sheet, 'MatRes Record'!J:M,
    _xlpm.AllCellsFilled, COUNTA(A197:K197) = 11,
    _xlpm.QtyIsInt, AND(ISNUMBER(G197), G197=INT(G197)),
    _xlpm.ReqDateIsValid, AND(ISNUMBER(H197), H197&gt;=TODAY()),
    _xlpm.EmailIsValid, RIGHT(I197,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IF(A197="", "", IF(_xlpm.error_messages = "", "Yes", _xlpm.error_messages))
)</f>
        <v/>
      </c>
    </row>
    <row r="198" spans="1:12">
      <c r="A198" s="94"/>
      <c r="B198" s="95"/>
      <c r="C198" s="95"/>
      <c r="D198" s="94"/>
      <c r="E198" s="94"/>
      <c r="F198" s="96"/>
      <c r="G198" s="94"/>
      <c r="H198" s="96"/>
      <c r="I198" s="96"/>
      <c r="J198" s="92"/>
      <c r="K198" s="97"/>
      <c r="L198" s="99" t="str">
        <f ca="1">_xlfn.LET(
    _xlpm.res_no, J198,
    _xlpm.record_sheet, 'MatRes Record'!J:M,
    _xlpm.AllCellsFilled, COUNTA(A198:K198) = 11,
    _xlpm.QtyIsInt, AND(ISNUMBER(G198), G198=INT(G198)),
    _xlpm.ReqDateIsValid, AND(ISNUMBER(H198), H198&gt;=TODAY()),
    _xlpm.EmailIsValid, RIGHT(I198,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IF(A198="", "", IF(_xlpm.error_messages = "", "Yes", _xlpm.error_messages))
)</f>
        <v/>
      </c>
    </row>
    <row r="199" spans="1:12">
      <c r="A199" s="94"/>
      <c r="B199" s="95"/>
      <c r="C199" s="95"/>
      <c r="D199" s="94"/>
      <c r="E199" s="94"/>
      <c r="F199" s="96"/>
      <c r="G199" s="94"/>
      <c r="H199" s="96"/>
      <c r="I199" s="96"/>
      <c r="J199" s="92"/>
      <c r="K199" s="97"/>
      <c r="L199" s="99" t="str">
        <f ca="1">_xlfn.LET(
    _xlpm.res_no, J199,
    _xlpm.record_sheet, 'MatRes Record'!J:M,
    _xlpm.AllCellsFilled, COUNTA(A199:K199) = 11,
    _xlpm.QtyIsInt, AND(ISNUMBER(G199), G199=INT(G199)),
    _xlpm.ReqDateIsValid, AND(ISNUMBER(H199), H199&gt;=TODAY()),
    _xlpm.EmailIsValid, RIGHT(I199,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IF(A199="", "", IF(_xlpm.error_messages = "", "Yes", _xlpm.error_messages))
)</f>
        <v/>
      </c>
    </row>
    <row r="200" spans="1:12">
      <c r="A200" s="94"/>
      <c r="B200" s="95"/>
      <c r="C200" s="95"/>
      <c r="D200" s="94"/>
      <c r="E200" s="94"/>
      <c r="F200" s="96"/>
      <c r="G200" s="94"/>
      <c r="H200" s="96"/>
      <c r="I200" s="96"/>
      <c r="J200" s="92"/>
      <c r="K200" s="97"/>
      <c r="L200" s="99" t="str">
        <f ca="1">_xlfn.LET(
    _xlpm.res_no, J200,
    _xlpm.record_sheet, 'MatRes Record'!J:M,
    _xlpm.AllCellsFilled, COUNTA(A200:K200) = 11,
    _xlpm.QtyIsInt, AND(ISNUMBER(G200), G200=INT(G200)),
    _xlpm.ReqDateIsValid, AND(ISNUMBER(H200), H200&gt;=TODAY()),
    _xlpm.EmailIsValid, RIGHT(I200,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IF(A200="", "", IF(_xlpm.error_messages = "", "Yes", _xlpm.error_messages))
)</f>
        <v/>
      </c>
    </row>
    <row r="201" spans="1:12">
      <c r="A201" s="94"/>
      <c r="B201" s="95"/>
      <c r="C201" s="95"/>
      <c r="D201" s="94"/>
      <c r="E201" s="94"/>
      <c r="F201" s="96"/>
      <c r="G201" s="94"/>
      <c r="H201" s="96"/>
      <c r="I201" s="96"/>
      <c r="J201" s="92"/>
      <c r="K201" s="97"/>
      <c r="L201" s="99" t="str">
        <f ca="1">_xlfn.LET(
    _xlpm.res_no, J201,
    _xlpm.record_sheet, 'MatRes Record'!J:M,
    _xlpm.AllCellsFilled, COUNTA(A201:K201) = 11,
    _xlpm.QtyIsInt, AND(ISNUMBER(G201), G201=INT(G201)),
    _xlpm.ReqDateIsValid, AND(ISNUMBER(H201), H201&gt;=TODAY()),
    _xlpm.EmailIsValid, RIGHT(I201,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IF(A201="", "", IF(_xlpm.error_messages = "", "Yes", _xlpm.error_messages))
)</f>
        <v/>
      </c>
    </row>
    <row r="202" spans="1:12">
      <c r="A202" s="94"/>
      <c r="B202" s="95"/>
      <c r="C202" s="95"/>
      <c r="D202" s="94"/>
      <c r="E202" s="94"/>
      <c r="F202" s="96"/>
      <c r="G202" s="94"/>
      <c r="H202" s="96"/>
      <c r="I202" s="96"/>
      <c r="J202" s="92"/>
      <c r="K202" s="97"/>
      <c r="L202" s="99" t="str">
        <f ca="1">_xlfn.LET(
    _xlpm.res_no, J202,
    _xlpm.record_sheet, 'MatRes Record'!J:M,
    _xlpm.AllCellsFilled, COUNTA(A202:K202) = 11,
    _xlpm.QtyIsInt, AND(ISNUMBER(G202), G202=INT(G202)),
    _xlpm.ReqDateIsValid, AND(ISNUMBER(H202), H202&gt;=TODAY()),
    _xlpm.EmailIsValid, RIGHT(I202,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IF(A202="", "", IF(_xlpm.error_messages = "", "Yes", _xlpm.error_messages))
)</f>
        <v/>
      </c>
    </row>
    <row r="203" spans="1:12">
      <c r="A203" s="94"/>
      <c r="B203" s="95"/>
      <c r="C203" s="95"/>
      <c r="D203" s="94"/>
      <c r="E203" s="94"/>
      <c r="F203" s="96"/>
      <c r="G203" s="94"/>
      <c r="H203" s="96"/>
      <c r="I203" s="96"/>
      <c r="J203" s="92"/>
      <c r="K203" s="97"/>
      <c r="L203" s="99" t="str">
        <f ca="1">_xlfn.LET(
    _xlpm.res_no, J203,
    _xlpm.record_sheet, 'MatRes Record'!J:M,
    _xlpm.AllCellsFilled, COUNTA(A203:K203) = 11,
    _xlpm.QtyIsInt, AND(ISNUMBER(G203), G203=INT(G203)),
    _xlpm.ReqDateIsValid, AND(ISNUMBER(H203), H203&gt;=TODAY()),
    _xlpm.EmailIsValid, RIGHT(I203,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IF(A203="", "", IF(_xlpm.error_messages = "", "Yes", _xlpm.error_messages))
)</f>
        <v/>
      </c>
    </row>
    <row r="204" spans="1:12">
      <c r="A204" s="94"/>
      <c r="B204" s="95"/>
      <c r="C204" s="95"/>
      <c r="D204" s="94"/>
      <c r="E204" s="94"/>
      <c r="F204" s="96"/>
      <c r="G204" s="94"/>
      <c r="H204" s="96"/>
      <c r="I204" s="96"/>
      <c r="J204" s="92"/>
      <c r="K204" s="97"/>
      <c r="L204" s="99" t="str">
        <f ca="1">_xlfn.LET(
    _xlpm.res_no, J204,
    _xlpm.record_sheet, 'MatRes Record'!J:M,
    _xlpm.AllCellsFilled, COUNTA(A204:K204) = 11,
    _xlpm.QtyIsInt, AND(ISNUMBER(G204), G204=INT(G204)),
    _xlpm.ReqDateIsValid, AND(ISNUMBER(H204), H204&gt;=TODAY()),
    _xlpm.EmailIsValid, RIGHT(I204,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IF(A204="", "", IF(_xlpm.error_messages = "", "Yes", _xlpm.error_messages))
)</f>
        <v/>
      </c>
    </row>
    <row r="205" spans="1:12">
      <c r="A205" s="94"/>
      <c r="B205" s="95"/>
      <c r="C205" s="95"/>
      <c r="D205" s="94"/>
      <c r="E205" s="94"/>
      <c r="F205" s="96"/>
      <c r="G205" s="94"/>
      <c r="H205" s="96"/>
      <c r="I205" s="96"/>
      <c r="J205" s="92"/>
      <c r="K205" s="97"/>
      <c r="L205" s="99" t="str">
        <f ca="1">_xlfn.LET(
    _xlpm.res_no, J205,
    _xlpm.record_sheet, 'MatRes Record'!J:M,
    _xlpm.AllCellsFilled, COUNTA(A205:K205) = 11,
    _xlpm.QtyIsInt, AND(ISNUMBER(G205), G205=INT(G205)),
    _xlpm.ReqDateIsValid, AND(ISNUMBER(H205), H205&gt;=TODAY()),
    _xlpm.EmailIsValid, RIGHT(I205,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IF(A205="", "", IF(_xlpm.error_messages = "", "Yes", _xlpm.error_messages))
)</f>
        <v/>
      </c>
    </row>
    <row r="206" spans="1:12">
      <c r="A206" s="94"/>
      <c r="B206" s="95"/>
      <c r="C206" s="95"/>
      <c r="D206" s="94"/>
      <c r="E206" s="94"/>
      <c r="F206" s="96"/>
      <c r="G206" s="94"/>
      <c r="H206" s="96"/>
      <c r="I206" s="96"/>
      <c r="J206" s="92"/>
      <c r="K206" s="97"/>
      <c r="L206" s="99" t="str">
        <f ca="1">_xlfn.LET(
    _xlpm.res_no, J206,
    _xlpm.record_sheet, 'MatRes Record'!J:M,
    _xlpm.AllCellsFilled, COUNTA(A206:K206) = 11,
    _xlpm.QtyIsInt, AND(ISNUMBER(G206), G206=INT(G206)),
    _xlpm.ReqDateIsValid, AND(ISNUMBER(H206), H206&gt;=TODAY()),
    _xlpm.EmailIsValid, RIGHT(I206,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IF(A206="", "", IF(_xlpm.error_messages = "", "Yes", _xlpm.error_messages))
)</f>
        <v/>
      </c>
    </row>
    <row r="207" spans="1:12">
      <c r="A207" s="94"/>
      <c r="B207" s="95"/>
      <c r="C207" s="95"/>
      <c r="D207" s="94"/>
      <c r="E207" s="94"/>
      <c r="F207" s="96"/>
      <c r="G207" s="94"/>
      <c r="H207" s="96"/>
      <c r="I207" s="96"/>
      <c r="J207" s="92"/>
      <c r="K207" s="97"/>
      <c r="L207" s="99" t="str">
        <f ca="1">_xlfn.LET(
    _xlpm.res_no, J207,
    _xlpm.record_sheet, 'MatRes Record'!J:M,
    _xlpm.AllCellsFilled, COUNTA(A207:K207) = 11,
    _xlpm.QtyIsInt, AND(ISNUMBER(G207), G207=INT(G207)),
    _xlpm.ReqDateIsValid, AND(ISNUMBER(H207), H207&gt;=TODAY()),
    _xlpm.EmailIsValid, RIGHT(I207,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IF(A207="", "", IF(_xlpm.error_messages = "", "Yes", _xlpm.error_messages))
)</f>
        <v/>
      </c>
    </row>
    <row r="208" spans="1:12">
      <c r="A208" s="94"/>
      <c r="B208" s="95"/>
      <c r="C208" s="95"/>
      <c r="D208" s="94"/>
      <c r="E208" s="94"/>
      <c r="F208" s="96"/>
      <c r="G208" s="94"/>
      <c r="H208" s="96"/>
      <c r="I208" s="96"/>
      <c r="J208" s="92"/>
      <c r="K208" s="97"/>
      <c r="L208" s="99" t="str">
        <f ca="1">_xlfn.LET(
    _xlpm.res_no, J208,
    _xlpm.record_sheet, 'MatRes Record'!J:M,
    _xlpm.AllCellsFilled, COUNTA(A208:K208) = 11,
    _xlpm.QtyIsInt, AND(ISNUMBER(G208), G208=INT(G208)),
    _xlpm.ReqDateIsValid, AND(ISNUMBER(H208), H208&gt;=TODAY()),
    _xlpm.EmailIsValid, RIGHT(I208,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IF(A208="", "", IF(_xlpm.error_messages = "", "Yes", _xlpm.error_messages))
)</f>
        <v/>
      </c>
    </row>
    <row r="209" spans="1:12">
      <c r="A209" s="94"/>
      <c r="B209" s="95"/>
      <c r="C209" s="95"/>
      <c r="D209" s="94"/>
      <c r="E209" s="94"/>
      <c r="F209" s="96"/>
      <c r="G209" s="94"/>
      <c r="H209" s="96"/>
      <c r="I209" s="96"/>
      <c r="J209" s="92"/>
      <c r="K209" s="97"/>
      <c r="L209" s="99" t="str">
        <f ca="1">_xlfn.LET(
    _xlpm.res_no, J209,
    _xlpm.record_sheet, 'MatRes Record'!J:M,
    _xlpm.AllCellsFilled, COUNTA(A209:K209) = 11,
    _xlpm.QtyIsInt, AND(ISNUMBER(G209), G209=INT(G209)),
    _xlpm.ReqDateIsValid, AND(ISNUMBER(H209), H209&gt;=TODAY()),
    _xlpm.EmailIsValid, RIGHT(I209,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IF(A209="", "", IF(_xlpm.error_messages = "", "Yes", _xlpm.error_messages))
)</f>
        <v/>
      </c>
    </row>
    <row r="210" spans="1:12">
      <c r="A210" s="94"/>
      <c r="B210" s="95"/>
      <c r="C210" s="95"/>
      <c r="D210" s="94"/>
      <c r="E210" s="94"/>
      <c r="F210" s="96"/>
      <c r="G210" s="94"/>
      <c r="H210" s="96"/>
      <c r="I210" s="96"/>
      <c r="J210" s="92"/>
      <c r="K210" s="97"/>
      <c r="L210" s="99" t="str">
        <f ca="1">_xlfn.LET(
    _xlpm.res_no, J210,
    _xlpm.record_sheet, 'MatRes Record'!J:M,
    _xlpm.AllCellsFilled, COUNTA(A210:K210) = 11,
    _xlpm.QtyIsInt, AND(ISNUMBER(G210), G210=INT(G210)),
    _xlpm.ReqDateIsValid, AND(ISNUMBER(H210), H210&gt;=TODAY()),
    _xlpm.EmailIsValid, RIGHT(I210,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IF(A210="", "", IF(_xlpm.error_messages = "", "Yes", _xlpm.error_messages))
)</f>
        <v/>
      </c>
    </row>
    <row r="211" spans="1:12">
      <c r="A211" s="94"/>
      <c r="B211" s="95"/>
      <c r="C211" s="95"/>
      <c r="D211" s="94"/>
      <c r="E211" s="94"/>
      <c r="F211" s="96"/>
      <c r="G211" s="94"/>
      <c r="H211" s="96"/>
      <c r="I211" s="96"/>
      <c r="J211" s="92"/>
      <c r="K211" s="97"/>
      <c r="L211" s="99" t="str">
        <f ca="1">_xlfn.LET(
    _xlpm.res_no, J211,
    _xlpm.record_sheet, 'MatRes Record'!J:M,
    _xlpm.AllCellsFilled, COUNTA(A211:K211) = 11,
    _xlpm.QtyIsInt, AND(ISNUMBER(G211), G211=INT(G211)),
    _xlpm.ReqDateIsValid, AND(ISNUMBER(H211), H211&gt;=TODAY()),
    _xlpm.EmailIsValid, RIGHT(I211,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IF(A211="", "", IF(_xlpm.error_messages = "", "Yes", _xlpm.error_messages))
)</f>
        <v/>
      </c>
    </row>
    <row r="212" spans="1:12">
      <c r="A212" s="94"/>
      <c r="B212" s="95"/>
      <c r="C212" s="95"/>
      <c r="D212" s="94"/>
      <c r="E212" s="94"/>
      <c r="F212" s="96"/>
      <c r="G212" s="94"/>
      <c r="H212" s="96"/>
      <c r="I212" s="96"/>
      <c r="J212" s="92"/>
      <c r="K212" s="97"/>
      <c r="L212" s="99" t="str">
        <f ca="1">_xlfn.LET(
    _xlpm.res_no, J212,
    _xlpm.record_sheet, 'MatRes Record'!J:M,
    _xlpm.AllCellsFilled, COUNTA(A212:K212) = 11,
    _xlpm.QtyIsInt, AND(ISNUMBER(G212), G212=INT(G212)),
    _xlpm.ReqDateIsValid, AND(ISNUMBER(H212), H212&gt;=TODAY()),
    _xlpm.EmailIsValid, RIGHT(I212,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IF(A212="", "", IF(_xlpm.error_messages = "", "Yes", _xlpm.error_messages))
)</f>
        <v/>
      </c>
    </row>
    <row r="213" spans="1:12">
      <c r="A213" s="94"/>
      <c r="B213" s="95"/>
      <c r="C213" s="95"/>
      <c r="D213" s="94"/>
      <c r="E213" s="94"/>
      <c r="F213" s="96"/>
      <c r="G213" s="94"/>
      <c r="H213" s="96"/>
      <c r="I213" s="96"/>
      <c r="J213" s="92"/>
      <c r="K213" s="97"/>
      <c r="L213" s="99" t="str">
        <f ca="1">_xlfn.LET(
    _xlpm.res_no, J213,
    _xlpm.record_sheet, 'MatRes Record'!J:M,
    _xlpm.AllCellsFilled, COUNTA(A213:K213) = 11,
    _xlpm.QtyIsInt, AND(ISNUMBER(G213), G213=INT(G213)),
    _xlpm.ReqDateIsValid, AND(ISNUMBER(H213), H213&gt;=TODAY()),
    _xlpm.EmailIsValid, RIGHT(I213,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IF(A213="", "", IF(_xlpm.error_messages = "", "Yes", _xlpm.error_messages))
)</f>
        <v/>
      </c>
    </row>
    <row r="214" spans="1:12">
      <c r="A214" s="94"/>
      <c r="B214" s="95"/>
      <c r="C214" s="95"/>
      <c r="D214" s="94"/>
      <c r="E214" s="94"/>
      <c r="F214" s="96"/>
      <c r="G214" s="94"/>
      <c r="H214" s="96"/>
      <c r="I214" s="96"/>
      <c r="J214" s="92"/>
      <c r="K214" s="97"/>
      <c r="L214" s="99" t="str">
        <f ca="1">_xlfn.LET(
    _xlpm.res_no, J214,
    _xlpm.record_sheet, 'MatRes Record'!J:M,
    _xlpm.AllCellsFilled, COUNTA(A214:K214) = 11,
    _xlpm.QtyIsInt, AND(ISNUMBER(G214), G214=INT(G214)),
    _xlpm.ReqDateIsValid, AND(ISNUMBER(H214), H214&gt;=TODAY()),
    _xlpm.EmailIsValid, RIGHT(I214,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IF(A214="", "", IF(_xlpm.error_messages = "", "Yes", _xlpm.error_messages))
)</f>
        <v/>
      </c>
    </row>
    <row r="215" spans="1:12">
      <c r="A215" s="94"/>
      <c r="B215" s="95"/>
      <c r="C215" s="95"/>
      <c r="D215" s="94"/>
      <c r="E215" s="94"/>
      <c r="F215" s="96"/>
      <c r="G215" s="94"/>
      <c r="H215" s="96"/>
      <c r="I215" s="96"/>
      <c r="J215" s="92"/>
      <c r="K215" s="97"/>
      <c r="L215" s="99" t="str">
        <f ca="1">_xlfn.LET(
    _xlpm.res_no, J215,
    _xlpm.record_sheet, 'MatRes Record'!J:M,
    _xlpm.AllCellsFilled, COUNTA(A215:K215) = 11,
    _xlpm.QtyIsInt, AND(ISNUMBER(G215), G215=INT(G215)),
    _xlpm.ReqDateIsValid, AND(ISNUMBER(H215), H215&gt;=TODAY()),
    _xlpm.EmailIsValid, RIGHT(I215,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IF(A215="", "", IF(_xlpm.error_messages = "", "Yes", _xlpm.error_messages))
)</f>
        <v/>
      </c>
    </row>
    <row r="216" spans="1:12">
      <c r="A216" s="94"/>
      <c r="B216" s="95"/>
      <c r="C216" s="95"/>
      <c r="D216" s="94"/>
      <c r="E216" s="94"/>
      <c r="F216" s="96"/>
      <c r="G216" s="94"/>
      <c r="H216" s="96"/>
      <c r="I216" s="96"/>
      <c r="J216" s="92"/>
      <c r="K216" s="97"/>
      <c r="L216" s="99" t="str">
        <f ca="1">_xlfn.LET(
    _xlpm.res_no, J216,
    _xlpm.record_sheet, 'MatRes Record'!J:M,
    _xlpm.AllCellsFilled, COUNTA(A216:K216) = 11,
    _xlpm.QtyIsInt, AND(ISNUMBER(G216), G216=INT(G216)),
    _xlpm.ReqDateIsValid, AND(ISNUMBER(H216), H216&gt;=TODAY()),
    _xlpm.EmailIsValid, RIGHT(I216,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IF(A216="", "", IF(_xlpm.error_messages = "", "Yes", _xlpm.error_messages))
)</f>
        <v/>
      </c>
    </row>
    <row r="217" spans="1:12">
      <c r="A217" s="94"/>
      <c r="B217" s="95"/>
      <c r="C217" s="95"/>
      <c r="D217" s="94"/>
      <c r="E217" s="94"/>
      <c r="F217" s="96"/>
      <c r="G217" s="94"/>
      <c r="H217" s="96"/>
      <c r="I217" s="96"/>
      <c r="J217" s="92"/>
      <c r="K217" s="97"/>
      <c r="L217" s="99" t="str">
        <f ca="1">_xlfn.LET(
    _xlpm.res_no, J217,
    _xlpm.record_sheet, 'MatRes Record'!J:M,
    _xlpm.AllCellsFilled, COUNTA(A217:K217) = 11,
    _xlpm.QtyIsInt, AND(ISNUMBER(G217), G217=INT(G217)),
    _xlpm.ReqDateIsValid, AND(ISNUMBER(H217), H217&gt;=TODAY()),
    _xlpm.EmailIsValid, RIGHT(I217,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IF(A217="", "", IF(_xlpm.error_messages = "", "Yes", _xlpm.error_messages))
)</f>
        <v/>
      </c>
    </row>
    <row r="218" spans="1:12">
      <c r="A218" s="94"/>
      <c r="B218" s="95"/>
      <c r="C218" s="95"/>
      <c r="D218" s="94"/>
      <c r="E218" s="94"/>
      <c r="F218" s="96"/>
      <c r="G218" s="94"/>
      <c r="H218" s="96"/>
      <c r="I218" s="96"/>
      <c r="J218" s="92"/>
      <c r="K218" s="97"/>
      <c r="L218" s="99" t="str">
        <f ca="1">_xlfn.LET(
    _xlpm.res_no, J218,
    _xlpm.record_sheet, 'MatRes Record'!J:M,
    _xlpm.AllCellsFilled, COUNTA(A218:K218) = 11,
    _xlpm.QtyIsInt, AND(ISNUMBER(G218), G218=INT(G218)),
    _xlpm.ReqDateIsValid, AND(ISNUMBER(H218), H218&gt;=TODAY()),
    _xlpm.EmailIsValid, RIGHT(I218,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IF(A218="", "", IF(_xlpm.error_messages = "", "Yes", _xlpm.error_messages))
)</f>
        <v/>
      </c>
    </row>
    <row r="219" spans="1:12">
      <c r="A219" s="94"/>
      <c r="B219" s="95"/>
      <c r="C219" s="95"/>
      <c r="D219" s="94"/>
      <c r="E219" s="94"/>
      <c r="F219" s="96"/>
      <c r="G219" s="94"/>
      <c r="H219" s="96"/>
      <c r="I219" s="96"/>
      <c r="J219" s="92"/>
      <c r="K219" s="97"/>
      <c r="L219" s="99" t="str">
        <f ca="1">_xlfn.LET(
    _xlpm.res_no, J219,
    _xlpm.record_sheet, 'MatRes Record'!J:M,
    _xlpm.AllCellsFilled, COUNTA(A219:K219) = 11,
    _xlpm.QtyIsInt, AND(ISNUMBER(G219), G219=INT(G219)),
    _xlpm.ReqDateIsValid, AND(ISNUMBER(H219), H219&gt;=TODAY()),
    _xlpm.EmailIsValid, RIGHT(I219,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IF(A219="", "", IF(_xlpm.error_messages = "", "Yes", _xlpm.error_messages))
)</f>
        <v/>
      </c>
    </row>
    <row r="220" spans="1:12">
      <c r="A220" s="94"/>
      <c r="B220" s="95"/>
      <c r="C220" s="95"/>
      <c r="D220" s="94"/>
      <c r="E220" s="94"/>
      <c r="F220" s="96"/>
      <c r="G220" s="94"/>
      <c r="H220" s="96"/>
      <c r="I220" s="96"/>
      <c r="J220" s="92"/>
      <c r="K220" s="97"/>
      <c r="L220" s="99" t="str">
        <f ca="1">_xlfn.LET(
    _xlpm.res_no, J220,
    _xlpm.record_sheet, 'MatRes Record'!J:M,
    _xlpm.AllCellsFilled, COUNTA(A220:K220) = 11,
    _xlpm.QtyIsInt, AND(ISNUMBER(G220), G220=INT(G220)),
    _xlpm.ReqDateIsValid, AND(ISNUMBER(H220), H220&gt;=TODAY()),
    _xlpm.EmailIsValid, RIGHT(I220,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IF(A220="", "", IF(_xlpm.error_messages = "", "Yes", _xlpm.error_messages))
)</f>
        <v/>
      </c>
    </row>
    <row r="221" spans="1:12">
      <c r="A221" s="94"/>
      <c r="B221" s="95"/>
      <c r="C221" s="95"/>
      <c r="D221" s="94"/>
      <c r="E221" s="94"/>
      <c r="F221" s="96"/>
      <c r="G221" s="94"/>
      <c r="H221" s="96"/>
      <c r="I221" s="96"/>
      <c r="J221" s="92"/>
      <c r="K221" s="97"/>
      <c r="L221" s="99" t="str">
        <f ca="1">_xlfn.LET(
    _xlpm.res_no, J221,
    _xlpm.record_sheet, 'MatRes Record'!J:M,
    _xlpm.AllCellsFilled, COUNTA(A221:K221) = 11,
    _xlpm.QtyIsInt, AND(ISNUMBER(G221), G221=INT(G221)),
    _xlpm.ReqDateIsValid, AND(ISNUMBER(H221), H221&gt;=TODAY()),
    _xlpm.EmailIsValid, RIGHT(I221,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IF(A221="", "", IF(_xlpm.error_messages = "", "Yes", _xlpm.error_messages))
)</f>
        <v/>
      </c>
    </row>
    <row r="222" spans="1:12">
      <c r="A222" s="94"/>
      <c r="B222" s="95"/>
      <c r="C222" s="95"/>
      <c r="D222" s="94"/>
      <c r="E222" s="94"/>
      <c r="F222" s="96"/>
      <c r="G222" s="94"/>
      <c r="H222" s="96"/>
      <c r="I222" s="96"/>
      <c r="J222" s="92"/>
      <c r="K222" s="97"/>
      <c r="L222" s="99" t="str">
        <f ca="1">_xlfn.LET(
    _xlpm.res_no, J222,
    _xlpm.record_sheet, 'MatRes Record'!J:M,
    _xlpm.AllCellsFilled, COUNTA(A222:K222) = 11,
    _xlpm.QtyIsInt, AND(ISNUMBER(G222), G222=INT(G222)),
    _xlpm.ReqDateIsValid, AND(ISNUMBER(H222), H222&gt;=TODAY()),
    _xlpm.EmailIsValid, RIGHT(I222,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IF(A222="", "", IF(_xlpm.error_messages = "", "Yes", _xlpm.error_messages))
)</f>
        <v/>
      </c>
    </row>
    <row r="223" spans="1:12">
      <c r="A223" s="94"/>
      <c r="B223" s="95"/>
      <c r="C223" s="95"/>
      <c r="D223" s="94"/>
      <c r="E223" s="94"/>
      <c r="F223" s="96"/>
      <c r="G223" s="94"/>
      <c r="H223" s="96"/>
      <c r="I223" s="96"/>
      <c r="J223" s="92"/>
      <c r="K223" s="97"/>
      <c r="L223" s="99" t="str">
        <f ca="1">_xlfn.LET(
    _xlpm.res_no, J223,
    _xlpm.record_sheet, 'MatRes Record'!J:M,
    _xlpm.AllCellsFilled, COUNTA(A223:K223) = 11,
    _xlpm.QtyIsInt, AND(ISNUMBER(G223), G223=INT(G223)),
    _xlpm.ReqDateIsValid, AND(ISNUMBER(H223), H223&gt;=TODAY()),
    _xlpm.EmailIsValid, RIGHT(I223,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IF(A223="", "", IF(_xlpm.error_messages = "", "Yes", _xlpm.error_messages))
)</f>
        <v/>
      </c>
    </row>
    <row r="224" spans="1:12">
      <c r="A224" s="94"/>
      <c r="B224" s="95"/>
      <c r="C224" s="95"/>
      <c r="D224" s="94"/>
      <c r="E224" s="94"/>
      <c r="F224" s="96"/>
      <c r="G224" s="94"/>
      <c r="H224" s="96"/>
      <c r="I224" s="96"/>
      <c r="J224" s="92"/>
      <c r="K224" s="97"/>
      <c r="L224" s="99" t="str">
        <f ca="1">_xlfn.LET(
    _xlpm.res_no, J224,
    _xlpm.record_sheet, 'MatRes Record'!J:M,
    _xlpm.AllCellsFilled, COUNTA(A224:K224) = 11,
    _xlpm.QtyIsInt, AND(ISNUMBER(G224), G224=INT(G224)),
    _xlpm.ReqDateIsValid, AND(ISNUMBER(H224), H224&gt;=TODAY()),
    _xlpm.EmailIsValid, RIGHT(I224,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IF(A224="", "", IF(_xlpm.error_messages = "", "Yes", _xlpm.error_messages))
)</f>
        <v/>
      </c>
    </row>
    <row r="225" spans="1:12">
      <c r="A225" s="94"/>
      <c r="B225" s="95"/>
      <c r="C225" s="95"/>
      <c r="D225" s="94"/>
      <c r="E225" s="94"/>
      <c r="F225" s="96"/>
      <c r="G225" s="94"/>
      <c r="H225" s="96"/>
      <c r="I225" s="96"/>
      <c r="J225" s="92"/>
      <c r="K225" s="97"/>
      <c r="L225" s="99" t="str">
        <f ca="1">_xlfn.LET(
    _xlpm.res_no, J225,
    _xlpm.record_sheet, 'MatRes Record'!J:M,
    _xlpm.AllCellsFilled, COUNTA(A225:K225) = 11,
    _xlpm.QtyIsInt, AND(ISNUMBER(G225), G225=INT(G225)),
    _xlpm.ReqDateIsValid, AND(ISNUMBER(H225), H225&gt;=TODAY()),
    _xlpm.EmailIsValid, RIGHT(I225,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IF(A225="", "", IF(_xlpm.error_messages = "", "Yes", _xlpm.error_messages))
)</f>
        <v/>
      </c>
    </row>
    <row r="226" spans="1:12">
      <c r="A226" s="94"/>
      <c r="B226" s="95"/>
      <c r="C226" s="95"/>
      <c r="D226" s="94"/>
      <c r="E226" s="94"/>
      <c r="F226" s="96"/>
      <c r="G226" s="94"/>
      <c r="H226" s="96"/>
      <c r="I226" s="96"/>
      <c r="J226" s="92"/>
      <c r="K226" s="97"/>
      <c r="L226" s="99" t="str">
        <f ca="1">_xlfn.LET(
    _xlpm.res_no, J226,
    _xlpm.record_sheet, 'MatRes Record'!J:M,
    _xlpm.AllCellsFilled, COUNTA(A226:K226) = 11,
    _xlpm.QtyIsInt, AND(ISNUMBER(G226), G226=INT(G226)),
    _xlpm.ReqDateIsValid, AND(ISNUMBER(H226), H226&gt;=TODAY()),
    _xlpm.EmailIsValid, RIGHT(I226,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IF(A226="", "", IF(_xlpm.error_messages = "", "Yes", _xlpm.error_messages))
)</f>
        <v/>
      </c>
    </row>
    <row r="227" spans="1:12">
      <c r="A227" s="94"/>
      <c r="B227" s="95"/>
      <c r="C227" s="95"/>
      <c r="D227" s="94"/>
      <c r="E227" s="94"/>
      <c r="F227" s="96"/>
      <c r="G227" s="94"/>
      <c r="H227" s="96"/>
      <c r="I227" s="96"/>
      <c r="J227" s="92"/>
      <c r="K227" s="97"/>
      <c r="L227" s="99" t="str">
        <f ca="1">_xlfn.LET(
    _xlpm.res_no, J227,
    _xlpm.record_sheet, 'MatRes Record'!J:M,
    _xlpm.AllCellsFilled, COUNTA(A227:K227) = 11,
    _xlpm.QtyIsInt, AND(ISNUMBER(G227), G227=INT(G227)),
    _xlpm.ReqDateIsValid, AND(ISNUMBER(H227), H227&gt;=TODAY()),
    _xlpm.EmailIsValid, RIGHT(I227,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IF(A227="", "", IF(_xlpm.error_messages = "", "Yes", _xlpm.error_messages))
)</f>
        <v/>
      </c>
    </row>
    <row r="228" spans="1:12">
      <c r="A228" s="94"/>
      <c r="B228" s="95"/>
      <c r="C228" s="95"/>
      <c r="D228" s="94"/>
      <c r="E228" s="94"/>
      <c r="F228" s="96"/>
      <c r="G228" s="94"/>
      <c r="H228" s="96"/>
      <c r="I228" s="96"/>
      <c r="J228" s="92"/>
      <c r="K228" s="97"/>
      <c r="L228" s="99" t="str">
        <f ca="1">_xlfn.LET(
    _xlpm.res_no, J228,
    _xlpm.record_sheet, 'MatRes Record'!J:M,
    _xlpm.AllCellsFilled, COUNTA(A228:K228) = 11,
    _xlpm.QtyIsInt, AND(ISNUMBER(G228), G228=INT(G228)),
    _xlpm.ReqDateIsValid, AND(ISNUMBER(H228), H228&gt;=TODAY()),
    _xlpm.EmailIsValid, RIGHT(I228,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IF(A228="", "", IF(_xlpm.error_messages = "", "Yes", _xlpm.error_messages))
)</f>
        <v/>
      </c>
    </row>
    <row r="229" spans="1:12">
      <c r="A229" s="94"/>
      <c r="B229" s="95"/>
      <c r="C229" s="95"/>
      <c r="D229" s="94"/>
      <c r="E229" s="94"/>
      <c r="F229" s="96"/>
      <c r="G229" s="94"/>
      <c r="H229" s="96"/>
      <c r="I229" s="96"/>
      <c r="J229" s="92"/>
      <c r="K229" s="97"/>
      <c r="L229" s="99" t="str">
        <f ca="1">_xlfn.LET(
    _xlpm.res_no, J229,
    _xlpm.record_sheet, 'MatRes Record'!J:M,
    _xlpm.AllCellsFilled, COUNTA(A229:K229) = 11,
    _xlpm.QtyIsInt, AND(ISNUMBER(G229), G229=INT(G229)),
    _xlpm.ReqDateIsValid, AND(ISNUMBER(H229), H229&gt;=TODAY()),
    _xlpm.EmailIsValid, RIGHT(I229,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IF(A229="", "", IF(_xlpm.error_messages = "", "Yes", _xlpm.error_messages))
)</f>
        <v/>
      </c>
    </row>
    <row r="230" spans="1:12">
      <c r="A230" s="94"/>
      <c r="B230" s="95"/>
      <c r="C230" s="95"/>
      <c r="D230" s="94"/>
      <c r="E230" s="94"/>
      <c r="F230" s="96"/>
      <c r="G230" s="94"/>
      <c r="H230" s="96"/>
      <c r="I230" s="96"/>
      <c r="J230" s="92"/>
      <c r="K230" s="97"/>
      <c r="L230" s="99" t="str">
        <f ca="1">_xlfn.LET(
    _xlpm.res_no, J230,
    _xlpm.record_sheet, 'MatRes Record'!J:M,
    _xlpm.AllCellsFilled, COUNTA(A230:K230) = 11,
    _xlpm.QtyIsInt, AND(ISNUMBER(G230), G230=INT(G230)),
    _xlpm.ReqDateIsValid, AND(ISNUMBER(H230), H230&gt;=TODAY()),
    _xlpm.EmailIsValid, RIGHT(I230,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IF(A230="", "", IF(_xlpm.error_messages = "", "Yes", _xlpm.error_messages))
)</f>
        <v/>
      </c>
    </row>
    <row r="231" spans="1:12">
      <c r="A231" s="94"/>
      <c r="B231" s="95"/>
      <c r="C231" s="95"/>
      <c r="D231" s="94"/>
      <c r="E231" s="94"/>
      <c r="F231" s="96"/>
      <c r="G231" s="94"/>
      <c r="H231" s="96"/>
      <c r="I231" s="96"/>
      <c r="J231" s="92"/>
      <c r="K231" s="97"/>
      <c r="L231" s="99" t="str">
        <f ca="1">_xlfn.LET(
    _xlpm.res_no, J231,
    _xlpm.record_sheet, 'MatRes Record'!J:M,
    _xlpm.AllCellsFilled, COUNTA(A231:K231) = 11,
    _xlpm.QtyIsInt, AND(ISNUMBER(G231), G231=INT(G231)),
    _xlpm.ReqDateIsValid, AND(ISNUMBER(H231), H231&gt;=TODAY()),
    _xlpm.EmailIsValid, RIGHT(I231,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IF(A231="", "", IF(_xlpm.error_messages = "", "Yes", _xlpm.error_messages))
)</f>
        <v/>
      </c>
    </row>
    <row r="232" spans="1:12">
      <c r="A232" s="94"/>
      <c r="B232" s="95"/>
      <c r="C232" s="95"/>
      <c r="D232" s="94"/>
      <c r="E232" s="94"/>
      <c r="F232" s="96"/>
      <c r="G232" s="94"/>
      <c r="H232" s="96"/>
      <c r="I232" s="96"/>
      <c r="J232" s="92"/>
      <c r="K232" s="97"/>
      <c r="L232" s="99" t="str">
        <f ca="1">_xlfn.LET(
    _xlpm.res_no, J232,
    _xlpm.record_sheet, 'MatRes Record'!J:M,
    _xlpm.AllCellsFilled, COUNTA(A232:K232) = 11,
    _xlpm.QtyIsInt, AND(ISNUMBER(G232), G232=INT(G232)),
    _xlpm.ReqDateIsValid, AND(ISNUMBER(H232), H232&gt;=TODAY()),
    _xlpm.EmailIsValid, RIGHT(I232,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IF(A232="", "", IF(_xlpm.error_messages = "", "Yes", _xlpm.error_messages))
)</f>
        <v/>
      </c>
    </row>
    <row r="233" spans="1:12">
      <c r="A233" s="94"/>
      <c r="B233" s="95"/>
      <c r="C233" s="95"/>
      <c r="D233" s="94"/>
      <c r="E233" s="94"/>
      <c r="F233" s="96"/>
      <c r="G233" s="94"/>
      <c r="H233" s="96"/>
      <c r="I233" s="96"/>
      <c r="J233" s="92"/>
      <c r="K233" s="97"/>
      <c r="L233" s="99" t="str">
        <f ca="1">_xlfn.LET(
    _xlpm.res_no, J233,
    _xlpm.record_sheet, 'MatRes Record'!J:M,
    _xlpm.AllCellsFilled, COUNTA(A233:K233) = 11,
    _xlpm.QtyIsInt, AND(ISNUMBER(G233), G233=INT(G233)),
    _xlpm.ReqDateIsValid, AND(ISNUMBER(H233), H233&gt;=TODAY()),
    _xlpm.EmailIsValid, RIGHT(I233,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IF(A233="", "", IF(_xlpm.error_messages = "", "Yes", _xlpm.error_messages))
)</f>
        <v/>
      </c>
    </row>
    <row r="234" spans="1:12">
      <c r="A234" s="94"/>
      <c r="B234" s="95"/>
      <c r="C234" s="95"/>
      <c r="D234" s="94"/>
      <c r="E234" s="94"/>
      <c r="F234" s="96"/>
      <c r="G234" s="94"/>
      <c r="H234" s="96"/>
      <c r="I234" s="96"/>
      <c r="J234" s="92"/>
      <c r="K234" s="97"/>
      <c r="L234" s="99" t="str">
        <f ca="1">_xlfn.LET(
    _xlpm.res_no, J234,
    _xlpm.record_sheet, 'MatRes Record'!J:M,
    _xlpm.AllCellsFilled, COUNTA(A234:K234) = 11,
    _xlpm.QtyIsInt, AND(ISNUMBER(G234), G234=INT(G234)),
    _xlpm.ReqDateIsValid, AND(ISNUMBER(H234), H234&gt;=TODAY()),
    _xlpm.EmailIsValid, RIGHT(I234,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IF(A234="", "", IF(_xlpm.error_messages = "", "Yes", _xlpm.error_messages))
)</f>
        <v/>
      </c>
    </row>
    <row r="235" spans="1:12">
      <c r="A235" s="94"/>
      <c r="B235" s="95"/>
      <c r="C235" s="95"/>
      <c r="D235" s="94"/>
      <c r="E235" s="94"/>
      <c r="F235" s="96"/>
      <c r="G235" s="94"/>
      <c r="H235" s="96"/>
      <c r="I235" s="96"/>
      <c r="J235" s="92"/>
      <c r="K235" s="97"/>
      <c r="L235" s="99" t="str">
        <f ca="1">_xlfn.LET(
    _xlpm.res_no, J235,
    _xlpm.record_sheet, 'MatRes Record'!J:M,
    _xlpm.AllCellsFilled, COUNTA(A235:K235) = 11,
    _xlpm.QtyIsInt, AND(ISNUMBER(G235), G235=INT(G235)),
    _xlpm.ReqDateIsValid, AND(ISNUMBER(H235), H235&gt;=TODAY()),
    _xlpm.EmailIsValid, RIGHT(I235,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IF(A235="", "", IF(_xlpm.error_messages = "", "Yes", _xlpm.error_messages))
)</f>
        <v/>
      </c>
    </row>
    <row r="236" spans="1:12">
      <c r="A236" s="94"/>
      <c r="B236" s="95"/>
      <c r="C236" s="95"/>
      <c r="D236" s="94"/>
      <c r="E236" s="94"/>
      <c r="F236" s="96"/>
      <c r="G236" s="94"/>
      <c r="H236" s="96"/>
      <c r="I236" s="96"/>
      <c r="J236" s="92"/>
      <c r="K236" s="97"/>
      <c r="L236" s="99" t="str">
        <f ca="1">_xlfn.LET(
    _xlpm.res_no, J236,
    _xlpm.record_sheet, 'MatRes Record'!J:M,
    _xlpm.AllCellsFilled, COUNTA(A236:K236) = 11,
    _xlpm.QtyIsInt, AND(ISNUMBER(G236), G236=INT(G236)),
    _xlpm.ReqDateIsValid, AND(ISNUMBER(H236), H236&gt;=TODAY()),
    _xlpm.EmailIsValid, RIGHT(I236,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IF(A236="", "", IF(_xlpm.error_messages = "", "Yes", _xlpm.error_messages))
)</f>
        <v/>
      </c>
    </row>
    <row r="237" spans="1:12">
      <c r="A237" s="94"/>
      <c r="B237" s="95"/>
      <c r="C237" s="95"/>
      <c r="D237" s="94"/>
      <c r="E237" s="94"/>
      <c r="F237" s="96"/>
      <c r="G237" s="94"/>
      <c r="H237" s="96"/>
      <c r="I237" s="96"/>
      <c r="J237" s="92"/>
      <c r="K237" s="97"/>
      <c r="L237" s="99" t="str">
        <f ca="1">_xlfn.LET(
    _xlpm.res_no, J237,
    _xlpm.record_sheet, 'MatRes Record'!J:M,
    _xlpm.AllCellsFilled, COUNTA(A237:K237) = 11,
    _xlpm.QtyIsInt, AND(ISNUMBER(G237), G237=INT(G237)),
    _xlpm.ReqDateIsValid, AND(ISNUMBER(H237), H237&gt;=TODAY()),
    _xlpm.EmailIsValid, RIGHT(I237,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IF(A237="", "", IF(_xlpm.error_messages = "", "Yes", _xlpm.error_messages))
)</f>
        <v/>
      </c>
    </row>
    <row r="238" spans="1:12">
      <c r="A238" s="94"/>
      <c r="B238" s="95"/>
      <c r="C238" s="95"/>
      <c r="D238" s="94"/>
      <c r="E238" s="94"/>
      <c r="F238" s="96"/>
      <c r="G238" s="94"/>
      <c r="H238" s="96"/>
      <c r="I238" s="96"/>
      <c r="J238" s="92"/>
      <c r="K238" s="97"/>
      <c r="L238" s="99" t="str">
        <f ca="1">_xlfn.LET(
    _xlpm.res_no, J238,
    _xlpm.record_sheet, 'MatRes Record'!J:M,
    _xlpm.AllCellsFilled, COUNTA(A238:K238) = 11,
    _xlpm.QtyIsInt, AND(ISNUMBER(G238), G238=INT(G238)),
    _xlpm.ReqDateIsValid, AND(ISNUMBER(H238), H238&gt;=TODAY()),
    _xlpm.EmailIsValid, RIGHT(I238,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IF(A238="", "", IF(_xlpm.error_messages = "", "Yes", _xlpm.error_messages))
)</f>
        <v/>
      </c>
    </row>
    <row r="239" spans="1:12">
      <c r="A239" s="94"/>
      <c r="B239" s="95"/>
      <c r="C239" s="95"/>
      <c r="D239" s="94"/>
      <c r="E239" s="94"/>
      <c r="F239" s="96"/>
      <c r="G239" s="94"/>
      <c r="H239" s="96"/>
      <c r="I239" s="96"/>
      <c r="J239" s="92"/>
      <c r="K239" s="97"/>
      <c r="L239" s="99" t="str">
        <f ca="1">_xlfn.LET(
    _xlpm.res_no, J239,
    _xlpm.record_sheet, 'MatRes Record'!J:M,
    _xlpm.AllCellsFilled, COUNTA(A239:K239) = 11,
    _xlpm.QtyIsInt, AND(ISNUMBER(G239), G239=INT(G239)),
    _xlpm.ReqDateIsValid, AND(ISNUMBER(H239), H239&gt;=TODAY()),
    _xlpm.EmailIsValid, RIGHT(I239,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IF(A239="", "", IF(_xlpm.error_messages = "", "Yes", _xlpm.error_messages))
)</f>
        <v/>
      </c>
    </row>
    <row r="240" spans="1:12">
      <c r="A240" s="94"/>
      <c r="B240" s="95"/>
      <c r="C240" s="95"/>
      <c r="D240" s="94"/>
      <c r="E240" s="94"/>
      <c r="F240" s="96"/>
      <c r="G240" s="94"/>
      <c r="H240" s="96"/>
      <c r="I240" s="96"/>
      <c r="J240" s="92"/>
      <c r="K240" s="97"/>
      <c r="L240" s="99" t="str">
        <f ca="1">_xlfn.LET(
    _xlpm.res_no, J240,
    _xlpm.record_sheet, 'MatRes Record'!J:M,
    _xlpm.AllCellsFilled, COUNTA(A240:K240) = 11,
    _xlpm.QtyIsInt, AND(ISNUMBER(G240), G240=INT(G240)),
    _xlpm.ReqDateIsValid, AND(ISNUMBER(H240), H240&gt;=TODAY()),
    _xlpm.EmailIsValid, RIGHT(I240,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IF(A240="", "", IF(_xlpm.error_messages = "", "Yes", _xlpm.error_messages))
)</f>
        <v/>
      </c>
    </row>
    <row r="241" spans="1:12">
      <c r="A241" s="94"/>
      <c r="B241" s="95"/>
      <c r="C241" s="95"/>
      <c r="D241" s="94"/>
      <c r="E241" s="94"/>
      <c r="F241" s="96"/>
      <c r="G241" s="94"/>
      <c r="H241" s="96"/>
      <c r="I241" s="96"/>
      <c r="J241" s="92"/>
      <c r="K241" s="97"/>
      <c r="L241" s="99" t="str">
        <f ca="1">_xlfn.LET(
    _xlpm.res_no, J241,
    _xlpm.record_sheet, 'MatRes Record'!J:M,
    _xlpm.AllCellsFilled, COUNTA(A241:K241) = 11,
    _xlpm.QtyIsInt, AND(ISNUMBER(G241), G241=INT(G241)),
    _xlpm.ReqDateIsValid, AND(ISNUMBER(H241), H241&gt;=TODAY()),
    _xlpm.EmailIsValid, RIGHT(I241,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IF(A241="", "", IF(_xlpm.error_messages = "", "Yes", _xlpm.error_messages))
)</f>
        <v/>
      </c>
    </row>
    <row r="242" spans="1:12">
      <c r="A242" s="94"/>
      <c r="B242" s="95"/>
      <c r="C242" s="95"/>
      <c r="D242" s="94"/>
      <c r="E242" s="94"/>
      <c r="F242" s="96"/>
      <c r="G242" s="94"/>
      <c r="H242" s="96"/>
      <c r="I242" s="96"/>
      <c r="J242" s="92"/>
      <c r="K242" s="97"/>
      <c r="L242" s="99" t="str">
        <f ca="1">_xlfn.LET(
    _xlpm.res_no, J242,
    _xlpm.record_sheet, 'MatRes Record'!J:M,
    _xlpm.AllCellsFilled, COUNTA(A242:K242) = 11,
    _xlpm.QtyIsInt, AND(ISNUMBER(G242), G242=INT(G242)),
    _xlpm.ReqDateIsValid, AND(ISNUMBER(H242), H242&gt;=TODAY()),
    _xlpm.EmailIsValid, RIGHT(I242,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IF(A242="", "", IF(_xlpm.error_messages = "", "Yes", _xlpm.error_messages))
)</f>
        <v/>
      </c>
    </row>
    <row r="243" spans="1:12">
      <c r="A243" s="94"/>
      <c r="B243" s="95"/>
      <c r="C243" s="95"/>
      <c r="D243" s="94"/>
      <c r="E243" s="94"/>
      <c r="F243" s="96"/>
      <c r="G243" s="94"/>
      <c r="H243" s="96"/>
      <c r="I243" s="96"/>
      <c r="J243" s="92"/>
      <c r="K243" s="97"/>
      <c r="L243" s="99" t="str">
        <f ca="1">_xlfn.LET(
    _xlpm.res_no, J243,
    _xlpm.record_sheet, 'MatRes Record'!J:M,
    _xlpm.AllCellsFilled, COUNTA(A243:K243) = 11,
    _xlpm.QtyIsInt, AND(ISNUMBER(G243), G243=INT(G243)),
    _xlpm.ReqDateIsValid, AND(ISNUMBER(H243), H243&gt;=TODAY()),
    _xlpm.EmailIsValid, RIGHT(I243,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IF(A243="", "", IF(_xlpm.error_messages = "", "Yes", _xlpm.error_messages))
)</f>
        <v/>
      </c>
    </row>
    <row r="244" spans="1:12">
      <c r="A244" s="94"/>
      <c r="B244" s="95"/>
      <c r="C244" s="95"/>
      <c r="D244" s="94"/>
      <c r="E244" s="94"/>
      <c r="F244" s="96"/>
      <c r="G244" s="94"/>
      <c r="H244" s="96"/>
      <c r="I244" s="96"/>
      <c r="J244" s="92"/>
      <c r="K244" s="97"/>
      <c r="L244" s="99" t="str">
        <f ca="1">_xlfn.LET(
    _xlpm.res_no, J244,
    _xlpm.record_sheet, 'MatRes Record'!J:M,
    _xlpm.AllCellsFilled, COUNTA(A244:K244) = 11,
    _xlpm.QtyIsInt, AND(ISNUMBER(G244), G244=INT(G244)),
    _xlpm.ReqDateIsValid, AND(ISNUMBER(H244), H244&gt;=TODAY()),
    _xlpm.EmailIsValid, RIGHT(I244,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IF(A244="", "", IF(_xlpm.error_messages = "", "Yes", _xlpm.error_messages))
)</f>
        <v/>
      </c>
    </row>
    <row r="245" spans="1:12">
      <c r="A245" s="94"/>
      <c r="B245" s="95"/>
      <c r="C245" s="95"/>
      <c r="D245" s="94"/>
      <c r="E245" s="94"/>
      <c r="F245" s="96"/>
      <c r="G245" s="94"/>
      <c r="H245" s="96"/>
      <c r="I245" s="96"/>
      <c r="J245" s="92"/>
      <c r="K245" s="97"/>
      <c r="L245" s="99" t="str">
        <f ca="1">_xlfn.LET(
    _xlpm.res_no, J245,
    _xlpm.record_sheet, 'MatRes Record'!J:M,
    _xlpm.AllCellsFilled, COUNTA(A245:K245) = 11,
    _xlpm.QtyIsInt, AND(ISNUMBER(G245), G245=INT(G245)),
    _xlpm.ReqDateIsValid, AND(ISNUMBER(H245), H245&gt;=TODAY()),
    _xlpm.EmailIsValid, RIGHT(I245,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IF(A245="", "", IF(_xlpm.error_messages = "", "Yes", _xlpm.error_messages))
)</f>
        <v/>
      </c>
    </row>
    <row r="246" spans="1:12">
      <c r="A246" s="94"/>
      <c r="B246" s="95"/>
      <c r="C246" s="95"/>
      <c r="D246" s="94"/>
      <c r="E246" s="94"/>
      <c r="F246" s="96"/>
      <c r="G246" s="94"/>
      <c r="H246" s="96"/>
      <c r="I246" s="96"/>
      <c r="J246" s="92"/>
      <c r="K246" s="97"/>
      <c r="L246" s="99" t="str">
        <f ca="1">_xlfn.LET(
    _xlpm.res_no, J246,
    _xlpm.record_sheet, 'MatRes Record'!J:M,
    _xlpm.AllCellsFilled, COUNTA(A246:K246) = 11,
    _xlpm.QtyIsInt, AND(ISNUMBER(G246), G246=INT(G246)),
    _xlpm.ReqDateIsValid, AND(ISNUMBER(H246), H246&gt;=TODAY()),
    _xlpm.EmailIsValid, RIGHT(I246,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IF(A246="", "", IF(_xlpm.error_messages = "", "Yes", _xlpm.error_messages))
)</f>
        <v/>
      </c>
    </row>
    <row r="247" spans="1:12">
      <c r="A247" s="94"/>
      <c r="B247" s="95"/>
      <c r="C247" s="95"/>
      <c r="D247" s="94"/>
      <c r="E247" s="94"/>
      <c r="F247" s="96"/>
      <c r="G247" s="94"/>
      <c r="H247" s="96"/>
      <c r="I247" s="96"/>
      <c r="J247" s="92"/>
      <c r="K247" s="97"/>
      <c r="L247" s="99" t="str">
        <f ca="1">_xlfn.LET(
    _xlpm.res_no, J247,
    _xlpm.record_sheet, 'MatRes Record'!J:M,
    _xlpm.AllCellsFilled, COUNTA(A247:K247) = 11,
    _xlpm.QtyIsInt, AND(ISNUMBER(G247), G247=INT(G247)),
    _xlpm.ReqDateIsValid, AND(ISNUMBER(H247), H247&gt;=TODAY()),
    _xlpm.EmailIsValid, RIGHT(I247,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IF(A247="", "", IF(_xlpm.error_messages = "", "Yes", _xlpm.error_messages))
)</f>
        <v/>
      </c>
    </row>
    <row r="248" spans="1:12">
      <c r="A248" s="94"/>
      <c r="B248" s="95"/>
      <c r="C248" s="95"/>
      <c r="D248" s="94"/>
      <c r="E248" s="94"/>
      <c r="F248" s="96"/>
      <c r="G248" s="94"/>
      <c r="H248" s="96"/>
      <c r="I248" s="96"/>
      <c r="J248" s="92"/>
      <c r="K248" s="97"/>
      <c r="L248" s="99" t="str">
        <f ca="1">_xlfn.LET(
    _xlpm.res_no, J248,
    _xlpm.record_sheet, 'MatRes Record'!J:M,
    _xlpm.AllCellsFilled, COUNTA(A248:K248) = 11,
    _xlpm.QtyIsInt, AND(ISNUMBER(G248), G248=INT(G248)),
    _xlpm.ReqDateIsValid, AND(ISNUMBER(H248), H248&gt;=TODAY()),
    _xlpm.EmailIsValid, RIGHT(I248,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IF(A248="", "", IF(_xlpm.error_messages = "", "Yes", _xlpm.error_messages))
)</f>
        <v/>
      </c>
    </row>
    <row r="249" spans="1:12">
      <c r="A249" s="94"/>
      <c r="B249" s="95"/>
      <c r="C249" s="95"/>
      <c r="D249" s="94"/>
      <c r="E249" s="94"/>
      <c r="F249" s="96"/>
      <c r="G249" s="94"/>
      <c r="H249" s="96"/>
      <c r="I249" s="96"/>
      <c r="J249" s="92"/>
      <c r="K249" s="97"/>
      <c r="L249" s="99" t="str">
        <f ca="1">_xlfn.LET(
    _xlpm.res_no, J249,
    _xlpm.record_sheet, 'MatRes Record'!J:M,
    _xlpm.AllCellsFilled, COUNTA(A249:K249) = 11,
    _xlpm.QtyIsInt, AND(ISNUMBER(G249), G249=INT(G249)),
    _xlpm.ReqDateIsValid, AND(ISNUMBER(H249), H249&gt;=TODAY()),
    _xlpm.EmailIsValid, RIGHT(I249,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IF(A249="", "", IF(_xlpm.error_messages = "", "Yes", _xlpm.error_messages))
)</f>
        <v/>
      </c>
    </row>
    <row r="250" spans="1:12">
      <c r="A250" s="94"/>
      <c r="B250" s="95"/>
      <c r="C250" s="95"/>
      <c r="D250" s="94"/>
      <c r="E250" s="94"/>
      <c r="F250" s="96"/>
      <c r="G250" s="94"/>
      <c r="H250" s="96"/>
      <c r="I250" s="96"/>
      <c r="J250" s="92"/>
      <c r="K250" s="97"/>
      <c r="L250" s="99" t="str">
        <f ca="1">_xlfn.LET(
    _xlpm.res_no, J250,
    _xlpm.record_sheet, 'MatRes Record'!J:M,
    _xlpm.AllCellsFilled, COUNTA(A250:K250) = 11,
    _xlpm.QtyIsInt, AND(ISNUMBER(G250), G250=INT(G250)),
    _xlpm.ReqDateIsValid, AND(ISNUMBER(H250), H250&gt;=TODAY()),
    _xlpm.EmailIsValid, RIGHT(I250,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IF(A250="", "", IF(_xlpm.error_messages = "", "Yes", _xlpm.error_messages))
)</f>
        <v/>
      </c>
    </row>
    <row r="251" spans="1:12">
      <c r="A251" s="94"/>
      <c r="B251" s="95"/>
      <c r="C251" s="95"/>
      <c r="D251" s="94"/>
      <c r="E251" s="94"/>
      <c r="F251" s="96"/>
      <c r="G251" s="94"/>
      <c r="H251" s="96"/>
      <c r="I251" s="96"/>
      <c r="J251" s="92"/>
      <c r="K251" s="97"/>
      <c r="L251" s="99" t="str">
        <f ca="1">_xlfn.LET(
    _xlpm.res_no, J251,
    _xlpm.record_sheet, 'MatRes Record'!J:M,
    _xlpm.AllCellsFilled, COUNTA(A251:K251) = 11,
    _xlpm.QtyIsInt, AND(ISNUMBER(G251), G251=INT(G251)),
    _xlpm.ReqDateIsValid, AND(ISNUMBER(H251), H251&gt;=TODAY()),
    _xlpm.EmailIsValid, RIGHT(I251,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IF(A251="", "", IF(_xlpm.error_messages = "", "Yes", _xlpm.error_messages))
)</f>
        <v/>
      </c>
    </row>
    <row r="252" spans="1:12">
      <c r="A252" s="94"/>
      <c r="B252" s="95"/>
      <c r="C252" s="95"/>
      <c r="D252" s="94"/>
      <c r="E252" s="94"/>
      <c r="F252" s="96"/>
      <c r="G252" s="94"/>
      <c r="H252" s="96"/>
      <c r="I252" s="96"/>
      <c r="J252" s="92"/>
      <c r="K252" s="97"/>
      <c r="L252" s="99" t="str">
        <f ca="1">_xlfn.LET(
    _xlpm.res_no, J252,
    _xlpm.record_sheet, 'MatRes Record'!J:M,
    _xlpm.AllCellsFilled, COUNTA(A252:K252) = 11,
    _xlpm.QtyIsInt, AND(ISNUMBER(G252), G252=INT(G252)),
    _xlpm.ReqDateIsValid, AND(ISNUMBER(H252), H252&gt;=TODAY()),
    _xlpm.EmailIsValid, RIGHT(I252,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IF(A252="", "", IF(_xlpm.error_messages = "", "Yes", _xlpm.error_messages))
)</f>
        <v/>
      </c>
    </row>
    <row r="253" spans="1:12">
      <c r="A253" s="94"/>
      <c r="B253" s="95"/>
      <c r="C253" s="95"/>
      <c r="D253" s="94"/>
      <c r="E253" s="94"/>
      <c r="F253" s="96"/>
      <c r="G253" s="94"/>
      <c r="H253" s="96"/>
      <c r="I253" s="96"/>
      <c r="J253" s="92"/>
      <c r="K253" s="97"/>
      <c r="L253" s="99" t="str">
        <f ca="1">_xlfn.LET(
    _xlpm.res_no, J253,
    _xlpm.record_sheet, 'MatRes Record'!J:M,
    _xlpm.AllCellsFilled, COUNTA(A253:K253) = 11,
    _xlpm.QtyIsInt, AND(ISNUMBER(G253), G253=INT(G253)),
    _xlpm.ReqDateIsValid, AND(ISNUMBER(H253), H253&gt;=TODAY()),
    _xlpm.EmailIsValid, RIGHT(I253,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IF(A253="", "", IF(_xlpm.error_messages = "", "Yes", _xlpm.error_messages))
)</f>
        <v/>
      </c>
    </row>
    <row r="254" spans="1:12">
      <c r="A254" s="94"/>
      <c r="B254" s="95"/>
      <c r="C254" s="95"/>
      <c r="D254" s="94"/>
      <c r="E254" s="94"/>
      <c r="F254" s="96"/>
      <c r="G254" s="94"/>
      <c r="H254" s="96"/>
      <c r="I254" s="96"/>
      <c r="J254" s="92"/>
      <c r="K254" s="97"/>
      <c r="L254" s="99" t="str">
        <f ca="1">_xlfn.LET(
    _xlpm.res_no, J254,
    _xlpm.record_sheet, 'MatRes Record'!J:M,
    _xlpm.AllCellsFilled, COUNTA(A254:K254) = 11,
    _xlpm.QtyIsInt, AND(ISNUMBER(G254), G254=INT(G254)),
    _xlpm.ReqDateIsValid, AND(ISNUMBER(H254), H254&gt;=TODAY()),
    _xlpm.EmailIsValid, RIGHT(I254,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IF(A254="", "", IF(_xlpm.error_messages = "", "Yes", _xlpm.error_messages))
)</f>
        <v/>
      </c>
    </row>
    <row r="255" spans="1:12">
      <c r="A255" s="94"/>
      <c r="B255" s="95"/>
      <c r="C255" s="95"/>
      <c r="D255" s="94"/>
      <c r="E255" s="94"/>
      <c r="F255" s="96"/>
      <c r="G255" s="94"/>
      <c r="H255" s="96"/>
      <c r="I255" s="96"/>
      <c r="J255" s="92"/>
      <c r="K255" s="97"/>
      <c r="L255" s="99" t="str">
        <f ca="1">_xlfn.LET(
    _xlpm.res_no, J255,
    _xlpm.record_sheet, 'MatRes Record'!J:M,
    _xlpm.AllCellsFilled, COUNTA(A255:K255) = 11,
    _xlpm.QtyIsInt, AND(ISNUMBER(G255), G255=INT(G255)),
    _xlpm.ReqDateIsValid, AND(ISNUMBER(H255), H255&gt;=TODAY()),
    _xlpm.EmailIsValid, RIGHT(I255,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IF(A255="", "", IF(_xlpm.error_messages = "", "Yes", _xlpm.error_messages))
)</f>
        <v/>
      </c>
    </row>
    <row r="256" spans="1:12">
      <c r="A256" s="94"/>
      <c r="B256" s="95"/>
      <c r="C256" s="95"/>
      <c r="D256" s="94"/>
      <c r="E256" s="94"/>
      <c r="F256" s="96"/>
      <c r="G256" s="94"/>
      <c r="H256" s="96"/>
      <c r="I256" s="96"/>
      <c r="J256" s="92"/>
      <c r="K256" s="97"/>
      <c r="L256" s="99" t="str">
        <f ca="1">_xlfn.LET(
    _xlpm.res_no, J256,
    _xlpm.record_sheet, 'MatRes Record'!J:M,
    _xlpm.AllCellsFilled, COUNTA(A256:K256) = 11,
    _xlpm.QtyIsInt, AND(ISNUMBER(G256), G256=INT(G256)),
    _xlpm.ReqDateIsValid, AND(ISNUMBER(H256), H256&gt;=TODAY()),
    _xlpm.EmailIsValid, RIGHT(I256,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IF(A256="", "", IF(_xlpm.error_messages = "", "Yes", _xlpm.error_messages))
)</f>
        <v/>
      </c>
    </row>
    <row r="257" spans="1:12">
      <c r="A257" s="94"/>
      <c r="B257" s="95"/>
      <c r="C257" s="95"/>
      <c r="D257" s="94"/>
      <c r="E257" s="94"/>
      <c r="F257" s="96"/>
      <c r="G257" s="94"/>
      <c r="H257" s="96"/>
      <c r="I257" s="96"/>
      <c r="J257" s="92"/>
      <c r="K257" s="97"/>
      <c r="L257" s="99" t="str">
        <f ca="1">_xlfn.LET(
    _xlpm.res_no, J257,
    _xlpm.record_sheet, 'MatRes Record'!J:M,
    _xlpm.AllCellsFilled, COUNTA(A257:K257) = 11,
    _xlpm.QtyIsInt, AND(ISNUMBER(G257), G257=INT(G257)),
    _xlpm.ReqDateIsValid, AND(ISNUMBER(H257), H257&gt;=TODAY()),
    _xlpm.EmailIsValid, RIGHT(I257,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IF(A257="", "", IF(_xlpm.error_messages = "", "Yes", _xlpm.error_messages))
)</f>
        <v/>
      </c>
    </row>
    <row r="258" spans="1:12">
      <c r="A258" s="94"/>
      <c r="B258" s="95"/>
      <c r="C258" s="95"/>
      <c r="D258" s="94"/>
      <c r="E258" s="94"/>
      <c r="F258" s="96"/>
      <c r="G258" s="94"/>
      <c r="H258" s="96"/>
      <c r="I258" s="96"/>
      <c r="J258" s="92"/>
      <c r="K258" s="97"/>
      <c r="L258" s="99" t="str">
        <f ca="1">_xlfn.LET(
    _xlpm.res_no, J258,
    _xlpm.record_sheet, 'MatRes Record'!J:M,
    _xlpm.AllCellsFilled, COUNTA(A258:K258) = 11,
    _xlpm.QtyIsInt, AND(ISNUMBER(G258), G258=INT(G258)),
    _xlpm.ReqDateIsValid, AND(ISNUMBER(H258), H258&gt;=TODAY()),
    _xlpm.EmailIsValid, RIGHT(I258,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IF(A258="", "", IF(_xlpm.error_messages = "", "Yes", _xlpm.error_messages))
)</f>
        <v/>
      </c>
    </row>
    <row r="259" spans="1:12">
      <c r="A259" s="94"/>
      <c r="B259" s="95"/>
      <c r="C259" s="95"/>
      <c r="D259" s="94"/>
      <c r="E259" s="94"/>
      <c r="F259" s="96"/>
      <c r="G259" s="94"/>
      <c r="H259" s="96"/>
      <c r="I259" s="96"/>
      <c r="J259" s="92"/>
      <c r="K259" s="97"/>
      <c r="L259" s="99" t="str">
        <f ca="1">_xlfn.LET(
    _xlpm.res_no, J259,
    _xlpm.record_sheet, 'MatRes Record'!J:M,
    _xlpm.AllCellsFilled, COUNTA(A259:K259) = 11,
    _xlpm.QtyIsInt, AND(ISNUMBER(G259), G259=INT(G259)),
    _xlpm.ReqDateIsValid, AND(ISNUMBER(H259), H259&gt;=TODAY()),
    _xlpm.EmailIsValid, RIGHT(I259,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IF(A259="", "", IF(_xlpm.error_messages = "", "Yes", _xlpm.error_messages))
)</f>
        <v/>
      </c>
    </row>
    <row r="260" spans="1:12">
      <c r="A260" s="94"/>
      <c r="B260" s="95"/>
      <c r="C260" s="95"/>
      <c r="D260" s="94"/>
      <c r="E260" s="94"/>
      <c r="F260" s="96"/>
      <c r="G260" s="94"/>
      <c r="H260" s="96"/>
      <c r="I260" s="96"/>
      <c r="J260" s="92"/>
      <c r="K260" s="97"/>
      <c r="L260" s="99" t="str">
        <f ca="1">_xlfn.LET(
    _xlpm.res_no, J260,
    _xlpm.record_sheet, 'MatRes Record'!J:M,
    _xlpm.AllCellsFilled, COUNTA(A260:K260) = 11,
    _xlpm.QtyIsInt, AND(ISNUMBER(G260), G260=INT(G260)),
    _xlpm.ReqDateIsValid, AND(ISNUMBER(H260), H260&gt;=TODAY()),
    _xlpm.EmailIsValid, RIGHT(I260,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IF(A260="", "", IF(_xlpm.error_messages = "", "Yes", _xlpm.error_messages))
)</f>
        <v/>
      </c>
    </row>
    <row r="261" spans="1:12">
      <c r="A261" s="94"/>
      <c r="B261" s="95"/>
      <c r="C261" s="95"/>
      <c r="D261" s="94"/>
      <c r="E261" s="94"/>
      <c r="F261" s="96"/>
      <c r="G261" s="94"/>
      <c r="H261" s="96"/>
      <c r="I261" s="96"/>
      <c r="J261" s="92"/>
      <c r="K261" s="97"/>
      <c r="L261" s="99" t="str">
        <f ca="1">_xlfn.LET(
    _xlpm.res_no, J261,
    _xlpm.record_sheet, 'MatRes Record'!J:M,
    _xlpm.AllCellsFilled, COUNTA(A261:K261) = 11,
    _xlpm.QtyIsInt, AND(ISNUMBER(G261), G261=INT(G261)),
    _xlpm.ReqDateIsValid, AND(ISNUMBER(H261), H261&gt;=TODAY()),
    _xlpm.EmailIsValid, RIGHT(I261,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IF(A261="", "", IF(_xlpm.error_messages = "", "Yes", _xlpm.error_messages))
)</f>
        <v/>
      </c>
    </row>
    <row r="262" spans="1:12">
      <c r="A262" s="94"/>
      <c r="B262" s="95"/>
      <c r="C262" s="95"/>
      <c r="D262" s="94"/>
      <c r="E262" s="94"/>
      <c r="F262" s="96"/>
      <c r="G262" s="94"/>
      <c r="H262" s="96"/>
      <c r="I262" s="96"/>
      <c r="J262" s="92"/>
      <c r="K262" s="97"/>
      <c r="L262" s="99" t="str">
        <f ca="1">_xlfn.LET(
    _xlpm.res_no, J262,
    _xlpm.record_sheet, 'MatRes Record'!J:M,
    _xlpm.AllCellsFilled, COUNTA(A262:K262) = 11,
    _xlpm.QtyIsInt, AND(ISNUMBER(G262), G262=INT(G262)),
    _xlpm.ReqDateIsValid, AND(ISNUMBER(H262), H262&gt;=TODAY()),
    _xlpm.EmailIsValid, RIGHT(I262,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IF(A262="", "", IF(_xlpm.error_messages = "", "Yes", _xlpm.error_messages))
)</f>
        <v/>
      </c>
    </row>
    <row r="263" spans="1:12">
      <c r="A263" s="94"/>
      <c r="B263" s="95"/>
      <c r="C263" s="95"/>
      <c r="D263" s="94"/>
      <c r="E263" s="94"/>
      <c r="F263" s="96"/>
      <c r="G263" s="94"/>
      <c r="H263" s="96"/>
      <c r="I263" s="96"/>
      <c r="J263" s="92"/>
      <c r="K263" s="97"/>
      <c r="L263" s="99" t="str">
        <f ca="1">_xlfn.LET(
    _xlpm.res_no, J263,
    _xlpm.record_sheet, 'MatRes Record'!J:M,
    _xlpm.AllCellsFilled, COUNTA(A263:K263) = 11,
    _xlpm.QtyIsInt, AND(ISNUMBER(G263), G263=INT(G263)),
    _xlpm.ReqDateIsValid, AND(ISNUMBER(H263), H263&gt;=TODAY()),
    _xlpm.EmailIsValid, RIGHT(I263,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IF(A263="", "", IF(_xlpm.error_messages = "", "Yes", _xlpm.error_messages))
)</f>
        <v/>
      </c>
    </row>
    <row r="264" spans="1:12">
      <c r="A264" s="94"/>
      <c r="B264" s="95"/>
      <c r="C264" s="95"/>
      <c r="D264" s="94"/>
      <c r="E264" s="94"/>
      <c r="F264" s="96"/>
      <c r="G264" s="94"/>
      <c r="H264" s="96"/>
      <c r="I264" s="96"/>
      <c r="J264" s="92"/>
      <c r="K264" s="97"/>
      <c r="L264" s="99" t="str">
        <f ca="1">_xlfn.LET(
    _xlpm.res_no, J264,
    _xlpm.record_sheet, 'MatRes Record'!J:M,
    _xlpm.AllCellsFilled, COUNTA(A264:K264) = 11,
    _xlpm.QtyIsInt, AND(ISNUMBER(G264), G264=INT(G264)),
    _xlpm.ReqDateIsValid, AND(ISNUMBER(H264), H264&gt;=TODAY()),
    _xlpm.EmailIsValid, RIGHT(I264,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IF(A264="", "", IF(_xlpm.error_messages = "", "Yes", _xlpm.error_messages))
)</f>
        <v/>
      </c>
    </row>
    <row r="265" spans="1:12">
      <c r="A265" s="94"/>
      <c r="B265" s="95"/>
      <c r="C265" s="95"/>
      <c r="D265" s="94"/>
      <c r="E265" s="94"/>
      <c r="F265" s="96"/>
      <c r="G265" s="94"/>
      <c r="H265" s="96"/>
      <c r="I265" s="96"/>
      <c r="J265" s="92"/>
      <c r="K265" s="97"/>
      <c r="L265" s="99" t="str">
        <f ca="1">_xlfn.LET(
    _xlpm.res_no, J265,
    _xlpm.record_sheet, 'MatRes Record'!J:M,
    _xlpm.AllCellsFilled, COUNTA(A265:K265) = 11,
    _xlpm.QtyIsInt, AND(ISNUMBER(G265), G265=INT(G265)),
    _xlpm.ReqDateIsValid, AND(ISNUMBER(H265), H265&gt;=TODAY()),
    _xlpm.EmailIsValid, RIGHT(I265,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IF(A265="", "", IF(_xlpm.error_messages = "", "Yes", _xlpm.error_messages))
)</f>
        <v/>
      </c>
    </row>
    <row r="266" spans="1:12">
      <c r="A266" s="94"/>
      <c r="B266" s="95"/>
      <c r="C266" s="95"/>
      <c r="D266" s="94"/>
      <c r="E266" s="94"/>
      <c r="F266" s="96"/>
      <c r="G266" s="94"/>
      <c r="H266" s="96"/>
      <c r="I266" s="96"/>
      <c r="J266" s="92"/>
      <c r="K266" s="97"/>
      <c r="L266" s="99" t="str">
        <f ca="1">_xlfn.LET(
    _xlpm.res_no, J266,
    _xlpm.record_sheet, 'MatRes Record'!J:M,
    _xlpm.AllCellsFilled, COUNTA(A266:K266) = 11,
    _xlpm.QtyIsInt, AND(ISNUMBER(G266), G266=INT(G266)),
    _xlpm.ReqDateIsValid, AND(ISNUMBER(H266), H266&gt;=TODAY()),
    _xlpm.EmailIsValid, RIGHT(I266,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IF(A266="", "", IF(_xlpm.error_messages = "", "Yes", _xlpm.error_messages))
)</f>
        <v/>
      </c>
    </row>
    <row r="267" spans="1:12">
      <c r="A267" s="94"/>
      <c r="B267" s="95"/>
      <c r="C267" s="95"/>
      <c r="D267" s="94"/>
      <c r="E267" s="94"/>
      <c r="F267" s="96"/>
      <c r="G267" s="94"/>
      <c r="H267" s="96"/>
      <c r="I267" s="96"/>
      <c r="J267" s="92"/>
      <c r="K267" s="97"/>
      <c r="L267" s="99" t="str">
        <f ca="1">_xlfn.LET(
    _xlpm.res_no, J267,
    _xlpm.record_sheet, 'MatRes Record'!J:M,
    _xlpm.AllCellsFilled, COUNTA(A267:K267) = 11,
    _xlpm.QtyIsInt, AND(ISNUMBER(G267), G267=INT(G267)),
    _xlpm.ReqDateIsValid, AND(ISNUMBER(H267), H267&gt;=TODAY()),
    _xlpm.EmailIsValid, RIGHT(I267,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IF(A267="", "", IF(_xlpm.error_messages = "", "Yes", _xlpm.error_messages))
)</f>
        <v/>
      </c>
    </row>
    <row r="268" spans="1:12">
      <c r="A268" s="94"/>
      <c r="B268" s="95"/>
      <c r="C268" s="95"/>
      <c r="D268" s="94"/>
      <c r="E268" s="94"/>
      <c r="F268" s="96"/>
      <c r="G268" s="94"/>
      <c r="H268" s="96"/>
      <c r="I268" s="96"/>
      <c r="J268" s="92"/>
      <c r="K268" s="97"/>
      <c r="L268" s="99" t="str">
        <f ca="1">_xlfn.LET(
    _xlpm.res_no, J268,
    _xlpm.record_sheet, 'MatRes Record'!J:M,
    _xlpm.AllCellsFilled, COUNTA(A268:K268) = 11,
    _xlpm.QtyIsInt, AND(ISNUMBER(G268), G268=INT(G268)),
    _xlpm.ReqDateIsValid, AND(ISNUMBER(H268), H268&gt;=TODAY()),
    _xlpm.EmailIsValid, RIGHT(I268,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IF(A268="", "", IF(_xlpm.error_messages = "", "Yes", _xlpm.error_messages))
)</f>
        <v/>
      </c>
    </row>
    <row r="269" spans="1:12">
      <c r="A269" s="94"/>
      <c r="B269" s="95"/>
      <c r="C269" s="95"/>
      <c r="D269" s="94"/>
      <c r="E269" s="94"/>
      <c r="F269" s="96"/>
      <c r="G269" s="94"/>
      <c r="H269" s="96"/>
      <c r="I269" s="96"/>
      <c r="J269" s="92"/>
      <c r="K269" s="97"/>
      <c r="L269" s="99" t="str">
        <f ca="1">_xlfn.LET(
    _xlpm.res_no, J269,
    _xlpm.record_sheet, 'MatRes Record'!J:M,
    _xlpm.AllCellsFilled, COUNTA(A269:K269) = 11,
    _xlpm.QtyIsInt, AND(ISNUMBER(G269), G269=INT(G269)),
    _xlpm.ReqDateIsValid, AND(ISNUMBER(H269), H269&gt;=TODAY()),
    _xlpm.EmailIsValid, RIGHT(I269,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IF(A269="", "", IF(_xlpm.error_messages = "", "Yes", _xlpm.error_messages))
)</f>
        <v/>
      </c>
    </row>
    <row r="270" spans="1:12">
      <c r="A270" s="94"/>
      <c r="B270" s="95"/>
      <c r="C270" s="95"/>
      <c r="D270" s="94"/>
      <c r="E270" s="94"/>
      <c r="F270" s="96"/>
      <c r="G270" s="94"/>
      <c r="H270" s="96"/>
      <c r="I270" s="96"/>
      <c r="J270" s="92"/>
      <c r="K270" s="97"/>
      <c r="L270" s="99" t="str">
        <f ca="1">_xlfn.LET(
    _xlpm.res_no, J270,
    _xlpm.record_sheet, 'MatRes Record'!J:M,
    _xlpm.AllCellsFilled, COUNTA(A270:K270) = 11,
    _xlpm.QtyIsInt, AND(ISNUMBER(G270), G270=INT(G270)),
    _xlpm.ReqDateIsValid, AND(ISNUMBER(H270), H270&gt;=TODAY()),
    _xlpm.EmailIsValid, RIGHT(I270,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IF(A270="", "", IF(_xlpm.error_messages = "", "Yes", _xlpm.error_messages))
)</f>
        <v/>
      </c>
    </row>
    <row r="271" spans="1:12">
      <c r="A271" s="94"/>
      <c r="B271" s="95"/>
      <c r="C271" s="95"/>
      <c r="D271" s="94"/>
      <c r="E271" s="94"/>
      <c r="F271" s="96"/>
      <c r="G271" s="94"/>
      <c r="H271" s="96"/>
      <c r="I271" s="96"/>
      <c r="J271" s="92"/>
      <c r="K271" s="97"/>
      <c r="L271" s="99" t="str">
        <f ca="1">_xlfn.LET(
    _xlpm.res_no, J271,
    _xlpm.record_sheet, 'MatRes Record'!J:M,
    _xlpm.AllCellsFilled, COUNTA(A271:K271) = 11,
    _xlpm.QtyIsInt, AND(ISNUMBER(G271), G271=INT(G271)),
    _xlpm.ReqDateIsValid, AND(ISNUMBER(H271), H271&gt;=TODAY()),
    _xlpm.EmailIsValid, RIGHT(I271,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IF(A271="", "", IF(_xlpm.error_messages = "", "Yes", _xlpm.error_messages))
)</f>
        <v/>
      </c>
    </row>
    <row r="272" spans="1:12">
      <c r="A272" s="94"/>
      <c r="B272" s="95"/>
      <c r="C272" s="95"/>
      <c r="D272" s="94"/>
      <c r="E272" s="94"/>
      <c r="F272" s="96"/>
      <c r="G272" s="94"/>
      <c r="H272" s="96"/>
      <c r="I272" s="96"/>
      <c r="J272" s="92"/>
      <c r="K272" s="97"/>
      <c r="L272" s="99" t="str">
        <f ca="1">_xlfn.LET(
    _xlpm.res_no, J272,
    _xlpm.record_sheet, 'MatRes Record'!J:M,
    _xlpm.AllCellsFilled, COUNTA(A272:K272) = 11,
    _xlpm.QtyIsInt, AND(ISNUMBER(G272), G272=INT(G272)),
    _xlpm.ReqDateIsValid, AND(ISNUMBER(H272), H272&gt;=TODAY()),
    _xlpm.EmailIsValid, RIGHT(I272,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IF(A272="", "", IF(_xlpm.error_messages = "", "Yes", _xlpm.error_messages))
)</f>
        <v/>
      </c>
    </row>
    <row r="273" spans="1:12">
      <c r="A273" s="94"/>
      <c r="B273" s="95"/>
      <c r="C273" s="95"/>
      <c r="D273" s="94"/>
      <c r="E273" s="94"/>
      <c r="F273" s="96"/>
      <c r="G273" s="94"/>
      <c r="H273" s="96"/>
      <c r="I273" s="96"/>
      <c r="J273" s="92"/>
      <c r="K273" s="97"/>
      <c r="L273" s="99" t="str">
        <f ca="1">_xlfn.LET(
    _xlpm.res_no, J273,
    _xlpm.record_sheet, 'MatRes Record'!J:M,
    _xlpm.AllCellsFilled, COUNTA(A273:K273) = 11,
    _xlpm.QtyIsInt, AND(ISNUMBER(G273), G273=INT(G273)),
    _xlpm.ReqDateIsValid, AND(ISNUMBER(H273), H273&gt;=TODAY()),
    _xlpm.EmailIsValid, RIGHT(I273,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IF(A273="", "", IF(_xlpm.error_messages = "", "Yes", _xlpm.error_messages))
)</f>
        <v/>
      </c>
    </row>
    <row r="274" spans="1:12">
      <c r="A274" s="94"/>
      <c r="B274" s="95"/>
      <c r="C274" s="95"/>
      <c r="D274" s="94"/>
      <c r="E274" s="94"/>
      <c r="F274" s="96"/>
      <c r="G274" s="94"/>
      <c r="H274" s="96"/>
      <c r="I274" s="96"/>
      <c r="J274" s="92"/>
      <c r="K274" s="97"/>
      <c r="L274" s="99" t="str">
        <f ca="1">_xlfn.LET(
    _xlpm.res_no, J274,
    _xlpm.record_sheet, 'MatRes Record'!J:M,
    _xlpm.AllCellsFilled, COUNTA(A274:K274) = 11,
    _xlpm.QtyIsInt, AND(ISNUMBER(G274), G274=INT(G274)),
    _xlpm.ReqDateIsValid, AND(ISNUMBER(H274), H274&gt;=TODAY()),
    _xlpm.EmailIsValid, RIGHT(I274,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IF(A274="", "", IF(_xlpm.error_messages = "", "Yes", _xlpm.error_messages))
)</f>
        <v/>
      </c>
    </row>
    <row r="275" spans="1:12">
      <c r="A275" s="94"/>
      <c r="B275" s="95"/>
      <c r="C275" s="95"/>
      <c r="D275" s="94"/>
      <c r="E275" s="94"/>
      <c r="F275" s="96"/>
      <c r="G275" s="94"/>
      <c r="H275" s="96"/>
      <c r="I275" s="96"/>
      <c r="J275" s="92"/>
      <c r="K275" s="97"/>
      <c r="L275" s="99" t="str">
        <f ca="1">_xlfn.LET(
    _xlpm.res_no, J275,
    _xlpm.record_sheet, 'MatRes Record'!J:M,
    _xlpm.AllCellsFilled, COUNTA(A275:K275) = 11,
    _xlpm.QtyIsInt, AND(ISNUMBER(G275), G275=INT(G275)),
    _xlpm.ReqDateIsValid, AND(ISNUMBER(H275), H275&gt;=TODAY()),
    _xlpm.EmailIsValid, RIGHT(I275,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IF(A275="", "", IF(_xlpm.error_messages = "", "Yes", _xlpm.error_messages))
)</f>
        <v/>
      </c>
    </row>
    <row r="276" spans="1:12">
      <c r="A276" s="94"/>
      <c r="B276" s="95"/>
      <c r="C276" s="95"/>
      <c r="D276" s="94"/>
      <c r="E276" s="94"/>
      <c r="F276" s="96"/>
      <c r="G276" s="94"/>
      <c r="H276" s="96"/>
      <c r="I276" s="96"/>
      <c r="J276" s="92"/>
      <c r="K276" s="97"/>
      <c r="L276" s="99" t="str">
        <f ca="1">_xlfn.LET(
    _xlpm.res_no, J276,
    _xlpm.record_sheet, 'MatRes Record'!J:M,
    _xlpm.AllCellsFilled, COUNTA(A276:K276) = 11,
    _xlpm.QtyIsInt, AND(ISNUMBER(G276), G276=INT(G276)),
    _xlpm.ReqDateIsValid, AND(ISNUMBER(H276), H276&gt;=TODAY()),
    _xlpm.EmailIsValid, RIGHT(I276,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IF(A276="", "", IF(_xlpm.error_messages = "", "Yes", _xlpm.error_messages))
)</f>
        <v/>
      </c>
    </row>
    <row r="277" spans="1:12">
      <c r="A277" s="94"/>
      <c r="B277" s="95"/>
      <c r="C277" s="95"/>
      <c r="D277" s="94"/>
      <c r="E277" s="94"/>
      <c r="F277" s="96"/>
      <c r="G277" s="94"/>
      <c r="H277" s="96"/>
      <c r="I277" s="96"/>
      <c r="J277" s="92"/>
      <c r="K277" s="97"/>
      <c r="L277" s="99" t="str">
        <f ca="1">_xlfn.LET(
    _xlpm.res_no, J277,
    _xlpm.record_sheet, 'MatRes Record'!J:M,
    _xlpm.AllCellsFilled, COUNTA(A277:K277) = 11,
    _xlpm.QtyIsInt, AND(ISNUMBER(G277), G277=INT(G277)),
    _xlpm.ReqDateIsValid, AND(ISNUMBER(H277), H277&gt;=TODAY()),
    _xlpm.EmailIsValid, RIGHT(I277,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IF(A277="", "", IF(_xlpm.error_messages = "", "Yes", _xlpm.error_messages))
)</f>
        <v/>
      </c>
    </row>
    <row r="278" spans="1:12">
      <c r="A278" s="94"/>
      <c r="B278" s="95"/>
      <c r="C278" s="95"/>
      <c r="D278" s="94"/>
      <c r="E278" s="94"/>
      <c r="F278" s="96"/>
      <c r="G278" s="94"/>
      <c r="H278" s="96"/>
      <c r="I278" s="96"/>
      <c r="J278" s="92"/>
      <c r="K278" s="97"/>
      <c r="L278" s="99" t="str">
        <f ca="1">_xlfn.LET(
    _xlpm.res_no, J278,
    _xlpm.record_sheet, 'MatRes Record'!J:M,
    _xlpm.AllCellsFilled, COUNTA(A278:K278) = 11,
    _xlpm.QtyIsInt, AND(ISNUMBER(G278), G278=INT(G278)),
    _xlpm.ReqDateIsValid, AND(ISNUMBER(H278), H278&gt;=TODAY()),
    _xlpm.EmailIsValid, RIGHT(I278,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IF(A278="", "", IF(_xlpm.error_messages = "", "Yes", _xlpm.error_messages))
)</f>
        <v/>
      </c>
    </row>
    <row r="279" spans="1:12">
      <c r="A279" s="94"/>
      <c r="B279" s="95"/>
      <c r="C279" s="95"/>
      <c r="D279" s="94"/>
      <c r="E279" s="94"/>
      <c r="F279" s="96"/>
      <c r="G279" s="94"/>
      <c r="H279" s="96"/>
      <c r="I279" s="96"/>
      <c r="J279" s="92"/>
      <c r="K279" s="97"/>
      <c r="L279" s="99" t="str">
        <f ca="1">_xlfn.LET(
    _xlpm.res_no, J279,
    _xlpm.record_sheet, 'MatRes Record'!J:M,
    _xlpm.AllCellsFilled, COUNTA(A279:K279) = 11,
    _xlpm.QtyIsInt, AND(ISNUMBER(G279), G279=INT(G279)),
    _xlpm.ReqDateIsValid, AND(ISNUMBER(H279), H279&gt;=TODAY()),
    _xlpm.EmailIsValid, RIGHT(I279,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IF(A279="", "", IF(_xlpm.error_messages = "", "Yes", _xlpm.error_messages))
)</f>
        <v/>
      </c>
    </row>
    <row r="280" spans="1:12">
      <c r="A280" s="94"/>
      <c r="B280" s="95"/>
      <c r="C280" s="95"/>
      <c r="D280" s="94"/>
      <c r="E280" s="94"/>
      <c r="F280" s="96"/>
      <c r="G280" s="94"/>
      <c r="H280" s="96"/>
      <c r="I280" s="96"/>
      <c r="J280" s="92"/>
      <c r="K280" s="97"/>
      <c r="L280" s="99" t="str">
        <f ca="1">_xlfn.LET(
    _xlpm.res_no, J280,
    _xlpm.record_sheet, 'MatRes Record'!J:M,
    _xlpm.AllCellsFilled, COUNTA(A280:K280) = 11,
    _xlpm.QtyIsInt, AND(ISNUMBER(G280), G280=INT(G280)),
    _xlpm.ReqDateIsValid, AND(ISNUMBER(H280), H280&gt;=TODAY()),
    _xlpm.EmailIsValid, RIGHT(I280,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IF(A280="", "", IF(_xlpm.error_messages = "", "Yes", _xlpm.error_messages))
)</f>
        <v/>
      </c>
    </row>
    <row r="281" spans="1:12">
      <c r="A281" s="94"/>
      <c r="B281" s="95"/>
      <c r="C281" s="95"/>
      <c r="D281" s="94"/>
      <c r="E281" s="94"/>
      <c r="F281" s="96"/>
      <c r="G281" s="94"/>
      <c r="H281" s="96"/>
      <c r="I281" s="96"/>
      <c r="J281" s="92"/>
      <c r="K281" s="97"/>
      <c r="L281" s="99" t="str">
        <f ca="1">_xlfn.LET(
    _xlpm.res_no, J281,
    _xlpm.record_sheet, 'MatRes Record'!J:M,
    _xlpm.AllCellsFilled, COUNTA(A281:K281) = 11,
    _xlpm.QtyIsInt, AND(ISNUMBER(G281), G281=INT(G281)),
    _xlpm.ReqDateIsValid, AND(ISNUMBER(H281), H281&gt;=TODAY()),
    _xlpm.EmailIsValid, RIGHT(I281,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IF(A281="", "", IF(_xlpm.error_messages = "", "Yes", _xlpm.error_messages))
)</f>
        <v/>
      </c>
    </row>
    <row r="282" spans="1:12">
      <c r="A282" s="94"/>
      <c r="B282" s="95"/>
      <c r="C282" s="95"/>
      <c r="D282" s="94"/>
      <c r="E282" s="94"/>
      <c r="F282" s="96"/>
      <c r="G282" s="94"/>
      <c r="H282" s="96"/>
      <c r="I282" s="96"/>
      <c r="J282" s="92"/>
      <c r="K282" s="97"/>
      <c r="L282" s="99" t="str">
        <f ca="1">_xlfn.LET(
    _xlpm.res_no, J282,
    _xlpm.record_sheet, 'MatRes Record'!J:M,
    _xlpm.AllCellsFilled, COUNTA(A282:K282) = 11,
    _xlpm.QtyIsInt, AND(ISNUMBER(G282), G282=INT(G282)),
    _xlpm.ReqDateIsValid, AND(ISNUMBER(H282), H282&gt;=TODAY()),
    _xlpm.EmailIsValid, RIGHT(I282,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IF(A282="", "", IF(_xlpm.error_messages = "", "Yes", _xlpm.error_messages))
)</f>
        <v/>
      </c>
    </row>
    <row r="283" spans="1:12">
      <c r="A283" s="94"/>
      <c r="B283" s="95"/>
      <c r="C283" s="95"/>
      <c r="D283" s="94"/>
      <c r="E283" s="94"/>
      <c r="F283" s="96"/>
      <c r="G283" s="94"/>
      <c r="H283" s="96"/>
      <c r="I283" s="96"/>
      <c r="J283" s="92"/>
      <c r="K283" s="97"/>
      <c r="L283" s="99" t="str">
        <f ca="1">_xlfn.LET(
    _xlpm.res_no, J283,
    _xlpm.record_sheet, 'MatRes Record'!J:M,
    _xlpm.AllCellsFilled, COUNTA(A283:K283) = 11,
    _xlpm.QtyIsInt, AND(ISNUMBER(G283), G283=INT(G283)),
    _xlpm.ReqDateIsValid, AND(ISNUMBER(H283), H283&gt;=TODAY()),
    _xlpm.EmailIsValid, RIGHT(I283,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IF(A283="", "", IF(_xlpm.error_messages = "", "Yes", _xlpm.error_messages))
)</f>
        <v/>
      </c>
    </row>
    <row r="284" spans="1:12">
      <c r="A284" s="94"/>
      <c r="B284" s="95"/>
      <c r="C284" s="95"/>
      <c r="D284" s="94"/>
      <c r="E284" s="94"/>
      <c r="F284" s="96"/>
      <c r="G284" s="94"/>
      <c r="H284" s="96"/>
      <c r="I284" s="96"/>
      <c r="J284" s="92"/>
      <c r="K284" s="97"/>
      <c r="L284" s="99" t="str">
        <f ca="1">_xlfn.LET(
    _xlpm.res_no, J284,
    _xlpm.record_sheet, 'MatRes Record'!J:M,
    _xlpm.AllCellsFilled, COUNTA(A284:K284) = 11,
    _xlpm.QtyIsInt, AND(ISNUMBER(G284), G284=INT(G284)),
    _xlpm.ReqDateIsValid, AND(ISNUMBER(H284), H284&gt;=TODAY()),
    _xlpm.EmailIsValid, RIGHT(I284,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IF(A284="", "", IF(_xlpm.error_messages = "", "Yes", _xlpm.error_messages))
)</f>
        <v/>
      </c>
    </row>
    <row r="285" spans="1:12">
      <c r="A285" s="94"/>
      <c r="B285" s="95"/>
      <c r="C285" s="95"/>
      <c r="D285" s="94"/>
      <c r="E285" s="94"/>
      <c r="F285" s="96"/>
      <c r="G285" s="94"/>
      <c r="H285" s="96"/>
      <c r="I285" s="96"/>
      <c r="J285" s="92"/>
      <c r="K285" s="97"/>
      <c r="L285" s="99" t="str">
        <f ca="1">_xlfn.LET(
    _xlpm.res_no, J285,
    _xlpm.record_sheet, 'MatRes Record'!J:M,
    _xlpm.AllCellsFilled, COUNTA(A285:K285) = 11,
    _xlpm.QtyIsInt, AND(ISNUMBER(G285), G285=INT(G285)),
    _xlpm.ReqDateIsValid, AND(ISNUMBER(H285), H285&gt;=TODAY()),
    _xlpm.EmailIsValid, RIGHT(I285,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IF(A285="", "", IF(_xlpm.error_messages = "", "Yes", _xlpm.error_messages))
)</f>
        <v/>
      </c>
    </row>
    <row r="286" spans="1:12">
      <c r="A286" s="94"/>
      <c r="B286" s="95"/>
      <c r="C286" s="95"/>
      <c r="D286" s="94"/>
      <c r="E286" s="94"/>
      <c r="F286" s="96"/>
      <c r="G286" s="94"/>
      <c r="H286" s="96"/>
      <c r="I286" s="96"/>
      <c r="J286" s="92"/>
      <c r="K286" s="97"/>
      <c r="L286" s="99" t="str">
        <f ca="1">_xlfn.LET(
    _xlpm.res_no, J286,
    _xlpm.record_sheet, 'MatRes Record'!J:M,
    _xlpm.AllCellsFilled, COUNTA(A286:K286) = 11,
    _xlpm.QtyIsInt, AND(ISNUMBER(G286), G286=INT(G286)),
    _xlpm.ReqDateIsValid, AND(ISNUMBER(H286), H286&gt;=TODAY()),
    _xlpm.EmailIsValid, RIGHT(I286,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IF(A286="", "", IF(_xlpm.error_messages = "", "Yes", _xlpm.error_messages))
)</f>
        <v/>
      </c>
    </row>
    <row r="287" spans="1:12">
      <c r="A287" s="94"/>
      <c r="B287" s="95"/>
      <c r="C287" s="95"/>
      <c r="D287" s="94"/>
      <c r="E287" s="94"/>
      <c r="F287" s="96"/>
      <c r="G287" s="94"/>
      <c r="H287" s="96"/>
      <c r="I287" s="96"/>
      <c r="J287" s="92"/>
      <c r="K287" s="97"/>
      <c r="L287" s="99" t="str">
        <f ca="1">_xlfn.LET(
    _xlpm.res_no, J287,
    _xlpm.record_sheet, 'MatRes Record'!J:M,
    _xlpm.AllCellsFilled, COUNTA(A287:K287) = 11,
    _xlpm.QtyIsInt, AND(ISNUMBER(G287), G287=INT(G287)),
    _xlpm.ReqDateIsValid, AND(ISNUMBER(H287), H287&gt;=TODAY()),
    _xlpm.EmailIsValid, RIGHT(I287,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IF(A287="", "", IF(_xlpm.error_messages = "", "Yes", _xlpm.error_messages))
)</f>
        <v/>
      </c>
    </row>
    <row r="288" spans="1:12">
      <c r="A288" s="94"/>
      <c r="B288" s="95"/>
      <c r="C288" s="95"/>
      <c r="D288" s="94"/>
      <c r="E288" s="94"/>
      <c r="F288" s="96"/>
      <c r="G288" s="94"/>
      <c r="H288" s="96"/>
      <c r="I288" s="96"/>
      <c r="J288" s="92"/>
      <c r="K288" s="97"/>
      <c r="L288" s="99" t="str">
        <f ca="1">_xlfn.LET(
    _xlpm.res_no, J288,
    _xlpm.record_sheet, 'MatRes Record'!J:M,
    _xlpm.AllCellsFilled, COUNTA(A288:K288) = 11,
    _xlpm.QtyIsInt, AND(ISNUMBER(G288), G288=INT(G288)),
    _xlpm.ReqDateIsValid, AND(ISNUMBER(H288), H288&gt;=TODAY()),
    _xlpm.EmailIsValid, RIGHT(I288,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IF(A288="", "", IF(_xlpm.error_messages = "", "Yes", _xlpm.error_messages))
)</f>
        <v/>
      </c>
    </row>
    <row r="289" spans="1:12">
      <c r="A289" s="94"/>
      <c r="B289" s="95"/>
      <c r="C289" s="95"/>
      <c r="D289" s="94"/>
      <c r="E289" s="94"/>
      <c r="F289" s="96"/>
      <c r="G289" s="94"/>
      <c r="H289" s="96"/>
      <c r="I289" s="96"/>
      <c r="J289" s="92"/>
      <c r="K289" s="97"/>
      <c r="L289" s="99" t="str">
        <f ca="1">_xlfn.LET(
    _xlpm.res_no, J289,
    _xlpm.record_sheet, 'MatRes Record'!J:M,
    _xlpm.AllCellsFilled, COUNTA(A289:K289) = 11,
    _xlpm.QtyIsInt, AND(ISNUMBER(G289), G289=INT(G289)),
    _xlpm.ReqDateIsValid, AND(ISNUMBER(H289), H289&gt;=TODAY()),
    _xlpm.EmailIsValid, RIGHT(I289,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IF(A289="", "", IF(_xlpm.error_messages = "", "Yes", _xlpm.error_messages))
)</f>
        <v/>
      </c>
    </row>
    <row r="290" spans="1:12">
      <c r="A290" s="94"/>
      <c r="B290" s="95"/>
      <c r="C290" s="95"/>
      <c r="D290" s="94"/>
      <c r="E290" s="94"/>
      <c r="F290" s="96"/>
      <c r="G290" s="94"/>
      <c r="H290" s="96"/>
      <c r="I290" s="96"/>
      <c r="J290" s="92"/>
      <c r="K290" s="97"/>
      <c r="L290" s="99" t="str">
        <f ca="1">_xlfn.LET(
    _xlpm.res_no, J290,
    _xlpm.record_sheet, 'MatRes Record'!J:M,
    _xlpm.AllCellsFilled, COUNTA(A290:K290) = 11,
    _xlpm.QtyIsInt, AND(ISNUMBER(G290), G290=INT(G290)),
    _xlpm.ReqDateIsValid, AND(ISNUMBER(H290), H290&gt;=TODAY()),
    _xlpm.EmailIsValid, RIGHT(I290,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IF(A290="", "", IF(_xlpm.error_messages = "", "Yes", _xlpm.error_messages))
)</f>
        <v/>
      </c>
    </row>
    <row r="291" spans="1:12">
      <c r="A291" s="94"/>
      <c r="B291" s="95"/>
      <c r="C291" s="95"/>
      <c r="D291" s="94"/>
      <c r="E291" s="94"/>
      <c r="F291" s="96"/>
      <c r="G291" s="94"/>
      <c r="H291" s="96"/>
      <c r="I291" s="96"/>
      <c r="J291" s="92"/>
      <c r="K291" s="97"/>
      <c r="L291" s="99" t="str">
        <f ca="1">_xlfn.LET(
    _xlpm.res_no, J291,
    _xlpm.record_sheet, 'MatRes Record'!J:M,
    _xlpm.AllCellsFilled, COUNTA(A291:K291) = 11,
    _xlpm.QtyIsInt, AND(ISNUMBER(G291), G291=INT(G291)),
    _xlpm.ReqDateIsValid, AND(ISNUMBER(H291), H291&gt;=TODAY()),
    _xlpm.EmailIsValid, RIGHT(I291,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IF(A291="", "", IF(_xlpm.error_messages = "", "Yes", _xlpm.error_messages))
)</f>
        <v/>
      </c>
    </row>
    <row r="292" spans="1:12">
      <c r="A292" s="94"/>
      <c r="B292" s="95"/>
      <c r="C292" s="95"/>
      <c r="D292" s="94"/>
      <c r="E292" s="94"/>
      <c r="F292" s="96"/>
      <c r="G292" s="94"/>
      <c r="H292" s="96"/>
      <c r="I292" s="96"/>
      <c r="J292" s="92"/>
      <c r="K292" s="97"/>
      <c r="L292" s="99" t="str">
        <f ca="1">_xlfn.LET(
    _xlpm.res_no, J292,
    _xlpm.record_sheet, 'MatRes Record'!J:M,
    _xlpm.AllCellsFilled, COUNTA(A292:K292) = 11,
    _xlpm.QtyIsInt, AND(ISNUMBER(G292), G292=INT(G292)),
    _xlpm.ReqDateIsValid, AND(ISNUMBER(H292), H292&gt;=TODAY()),
    _xlpm.EmailIsValid, RIGHT(I292,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IF(A292="", "", IF(_xlpm.error_messages = "", "Yes", _xlpm.error_messages))
)</f>
        <v/>
      </c>
    </row>
    <row r="293" spans="1:12">
      <c r="A293" s="94"/>
      <c r="B293" s="95"/>
      <c r="C293" s="95"/>
      <c r="D293" s="94"/>
      <c r="E293" s="94"/>
      <c r="F293" s="96"/>
      <c r="G293" s="94"/>
      <c r="H293" s="96"/>
      <c r="I293" s="96"/>
      <c r="J293" s="92"/>
      <c r="K293" s="97"/>
      <c r="L293" s="99" t="str">
        <f ca="1">_xlfn.LET(
    _xlpm.res_no, J293,
    _xlpm.record_sheet, 'MatRes Record'!J:M,
    _xlpm.AllCellsFilled, COUNTA(A293:K293) = 11,
    _xlpm.QtyIsInt, AND(ISNUMBER(G293), G293=INT(G293)),
    _xlpm.ReqDateIsValid, AND(ISNUMBER(H293), H293&gt;=TODAY()),
    _xlpm.EmailIsValid, RIGHT(I293,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IF(A293="", "", IF(_xlpm.error_messages = "", "Yes", _xlpm.error_messages))
)</f>
        <v/>
      </c>
    </row>
    <row r="294" spans="1:12">
      <c r="A294" s="94"/>
      <c r="B294" s="95"/>
      <c r="C294" s="95"/>
      <c r="D294" s="94"/>
      <c r="E294" s="94"/>
      <c r="F294" s="96"/>
      <c r="G294" s="94"/>
      <c r="H294" s="96"/>
      <c r="I294" s="96"/>
      <c r="J294" s="92"/>
      <c r="K294" s="97"/>
      <c r="L294" s="99" t="str">
        <f ca="1">_xlfn.LET(
    _xlpm.res_no, J294,
    _xlpm.record_sheet, 'MatRes Record'!J:M,
    _xlpm.AllCellsFilled, COUNTA(A294:K294) = 11,
    _xlpm.QtyIsInt, AND(ISNUMBER(G294), G294=INT(G294)),
    _xlpm.ReqDateIsValid, AND(ISNUMBER(H294), H294&gt;=TODAY()),
    _xlpm.EmailIsValid, RIGHT(I294,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IF(A294="", "", IF(_xlpm.error_messages = "", "Yes", _xlpm.error_messages))
)</f>
        <v/>
      </c>
    </row>
    <row r="295" spans="1:12">
      <c r="A295" s="94"/>
      <c r="B295" s="95"/>
      <c r="C295" s="95"/>
      <c r="D295" s="94"/>
      <c r="E295" s="94"/>
      <c r="F295" s="96"/>
      <c r="G295" s="94"/>
      <c r="H295" s="96"/>
      <c r="I295" s="96"/>
      <c r="J295" s="92"/>
      <c r="K295" s="97"/>
      <c r="L295" s="99" t="str">
        <f ca="1">_xlfn.LET(
    _xlpm.res_no, J295,
    _xlpm.record_sheet, 'MatRes Record'!J:M,
    _xlpm.AllCellsFilled, COUNTA(A295:K295) = 11,
    _xlpm.QtyIsInt, AND(ISNUMBER(G295), G295=INT(G295)),
    _xlpm.ReqDateIsValid, AND(ISNUMBER(H295), H295&gt;=TODAY()),
    _xlpm.EmailIsValid, RIGHT(I295,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IF(A295="", "", IF(_xlpm.error_messages = "", "Yes", _xlpm.error_messages))
)</f>
        <v/>
      </c>
    </row>
    <row r="296" spans="1:12">
      <c r="A296" s="94"/>
      <c r="B296" s="95"/>
      <c r="C296" s="95"/>
      <c r="D296" s="94"/>
      <c r="E296" s="94"/>
      <c r="F296" s="96"/>
      <c r="G296" s="94"/>
      <c r="H296" s="96"/>
      <c r="I296" s="96"/>
      <c r="J296" s="92"/>
      <c r="K296" s="97"/>
      <c r="L296" s="99" t="str">
        <f ca="1">_xlfn.LET(
    _xlpm.res_no, J296,
    _xlpm.record_sheet, 'MatRes Record'!J:M,
    _xlpm.AllCellsFilled, COUNTA(A296:K296) = 11,
    _xlpm.QtyIsInt, AND(ISNUMBER(G296), G296=INT(G296)),
    _xlpm.ReqDateIsValid, AND(ISNUMBER(H296), H296&gt;=TODAY()),
    _xlpm.EmailIsValid, RIGHT(I296,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IF(A296="", "", IF(_xlpm.error_messages = "", "Yes", _xlpm.error_messages))
)</f>
        <v/>
      </c>
    </row>
    <row r="297" spans="1:12">
      <c r="A297" s="94"/>
      <c r="B297" s="95"/>
      <c r="C297" s="95"/>
      <c r="D297" s="94"/>
      <c r="E297" s="94"/>
      <c r="F297" s="96"/>
      <c r="G297" s="94"/>
      <c r="H297" s="96"/>
      <c r="I297" s="96"/>
      <c r="J297" s="92"/>
      <c r="K297" s="97"/>
      <c r="L297" s="99" t="str">
        <f ca="1">_xlfn.LET(
    _xlpm.res_no, J297,
    _xlpm.record_sheet, 'MatRes Record'!J:M,
    _xlpm.AllCellsFilled, COUNTA(A297:K297) = 11,
    _xlpm.QtyIsInt, AND(ISNUMBER(G297), G297=INT(G297)),
    _xlpm.ReqDateIsValid, AND(ISNUMBER(H297), H297&gt;=TODAY()),
    _xlpm.EmailIsValid, RIGHT(I297,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IF(A297="", "", IF(_xlpm.error_messages = "", "Yes", _xlpm.error_messages))
)</f>
        <v/>
      </c>
    </row>
    <row r="298" spans="1:12">
      <c r="A298" s="94"/>
      <c r="B298" s="95"/>
      <c r="C298" s="95"/>
      <c r="D298" s="94"/>
      <c r="E298" s="94"/>
      <c r="F298" s="96"/>
      <c r="G298" s="94"/>
      <c r="H298" s="96"/>
      <c r="I298" s="96"/>
      <c r="J298" s="92"/>
      <c r="K298" s="97"/>
      <c r="L298" s="99" t="str">
        <f ca="1">_xlfn.LET(
    _xlpm.res_no, J298,
    _xlpm.record_sheet, 'MatRes Record'!J:M,
    _xlpm.AllCellsFilled, COUNTA(A298:K298) = 11,
    _xlpm.QtyIsInt, AND(ISNUMBER(G298), G298=INT(G298)),
    _xlpm.ReqDateIsValid, AND(ISNUMBER(H298), H298&gt;=TODAY()),
    _xlpm.EmailIsValid, RIGHT(I298,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IF(A298="", "", IF(_xlpm.error_messages = "", "Yes", _xlpm.error_messages))
)</f>
        <v/>
      </c>
    </row>
    <row r="299" spans="1:12">
      <c r="A299" s="94"/>
      <c r="B299" s="95"/>
      <c r="C299" s="95"/>
      <c r="D299" s="94"/>
      <c r="E299" s="94"/>
      <c r="F299" s="96"/>
      <c r="G299" s="94"/>
      <c r="H299" s="96"/>
      <c r="I299" s="96"/>
      <c r="J299" s="92"/>
      <c r="K299" s="97"/>
      <c r="L299" s="99" t="str">
        <f ca="1">_xlfn.LET(
    _xlpm.res_no, J299,
    _xlpm.record_sheet, 'MatRes Record'!J:M,
    _xlpm.AllCellsFilled, COUNTA(A299:K299) = 11,
    _xlpm.QtyIsInt, AND(ISNUMBER(G299), G299=INT(G299)),
    _xlpm.ReqDateIsValid, AND(ISNUMBER(H299), H299&gt;=TODAY()),
    _xlpm.EmailIsValid, RIGHT(I299,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IF(A299="", "", IF(_xlpm.error_messages = "", "Yes", _xlpm.error_messages))
)</f>
        <v/>
      </c>
    </row>
    <row r="300" spans="1:12">
      <c r="A300" s="94"/>
      <c r="B300" s="95"/>
      <c r="C300" s="95"/>
      <c r="D300" s="94"/>
      <c r="E300" s="94"/>
      <c r="F300" s="96"/>
      <c r="G300" s="94"/>
      <c r="H300" s="96"/>
      <c r="I300" s="96"/>
      <c r="J300" s="92"/>
      <c r="K300" s="97"/>
      <c r="L300" s="99" t="str">
        <f ca="1">_xlfn.LET(
    _xlpm.res_no, J300,
    _xlpm.record_sheet, 'MatRes Record'!J:M,
    _xlpm.AllCellsFilled, COUNTA(A300:K300) = 11,
    _xlpm.QtyIsInt, AND(ISNUMBER(G300), G300=INT(G300)),
    _xlpm.ReqDateIsValid, AND(ISNUMBER(H300), H300&gt;=TODAY()),
    _xlpm.EmailIsValid, RIGHT(I300,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IF(A300="", "", IF(_xlpm.error_messages = "", "Yes", _xlpm.error_messages))
)</f>
        <v/>
      </c>
    </row>
    <row r="301" spans="1:12">
      <c r="A301" s="94"/>
      <c r="B301" s="95"/>
      <c r="C301" s="95"/>
      <c r="D301" s="94"/>
      <c r="E301" s="94"/>
      <c r="F301" s="96"/>
      <c r="G301" s="94"/>
      <c r="H301" s="96"/>
      <c r="I301" s="96"/>
      <c r="J301" s="92"/>
      <c r="K301" s="97"/>
      <c r="L301" s="99" t="str">
        <f ca="1">_xlfn.LET(
    _xlpm.res_no, J301,
    _xlpm.record_sheet, 'MatRes Record'!J:M,
    _xlpm.AllCellsFilled, COUNTA(A301:K301) = 11,
    _xlpm.QtyIsInt, AND(ISNUMBER(G301), G301=INT(G301)),
    _xlpm.ReqDateIsValid, AND(ISNUMBER(H301), H301&gt;=TODAY()),
    _xlpm.EmailIsValid, RIGHT(I301,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IF(A301="", "", IF(_xlpm.error_messages = "", "Yes", _xlpm.error_messages))
)</f>
        <v/>
      </c>
    </row>
    <row r="302" spans="1:12">
      <c r="A302" s="94"/>
      <c r="B302" s="95"/>
      <c r="C302" s="95"/>
      <c r="D302" s="94"/>
      <c r="E302" s="94"/>
      <c r="F302" s="96"/>
      <c r="G302" s="94"/>
      <c r="H302" s="96"/>
      <c r="I302" s="96"/>
      <c r="J302" s="92"/>
      <c r="K302" s="97"/>
      <c r="L302" s="99" t="str">
        <f ca="1">_xlfn.LET(
    _xlpm.res_no, J302,
    _xlpm.record_sheet, 'MatRes Record'!J:M,
    _xlpm.AllCellsFilled, COUNTA(A302:K302) = 11,
    _xlpm.QtyIsInt, AND(ISNUMBER(G302), G302=INT(G302)),
    _xlpm.ReqDateIsValid, AND(ISNUMBER(H302), H302&gt;=TODAY()),
    _xlpm.EmailIsValid, RIGHT(I302,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IF(A302="", "", IF(_xlpm.error_messages = "", "Yes", _xlpm.error_messages))
)</f>
        <v/>
      </c>
    </row>
    <row r="303" spans="1:12">
      <c r="A303" s="94"/>
      <c r="B303" s="95"/>
      <c r="C303" s="95"/>
      <c r="D303" s="94"/>
      <c r="E303" s="94"/>
      <c r="F303" s="96"/>
      <c r="G303" s="94"/>
      <c r="H303" s="96"/>
      <c r="I303" s="96"/>
      <c r="J303" s="92"/>
      <c r="K303" s="97"/>
      <c r="L303" s="99" t="str">
        <f ca="1">_xlfn.LET(
    _xlpm.res_no, J303,
    _xlpm.record_sheet, 'MatRes Record'!J:M,
    _xlpm.AllCellsFilled, COUNTA(A303:K303) = 11,
    _xlpm.QtyIsInt, AND(ISNUMBER(G303), G303=INT(G303)),
    _xlpm.ReqDateIsValid, AND(ISNUMBER(H303), H303&gt;=TODAY()),
    _xlpm.EmailIsValid, RIGHT(I303,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IF(A303="", "", IF(_xlpm.error_messages = "", "Yes", _xlpm.error_messages))
)</f>
        <v/>
      </c>
    </row>
    <row r="304" spans="1:12">
      <c r="A304" s="94"/>
      <c r="B304" s="95"/>
      <c r="C304" s="95"/>
      <c r="D304" s="94"/>
      <c r="E304" s="94"/>
      <c r="F304" s="96"/>
      <c r="G304" s="94"/>
      <c r="H304" s="96"/>
      <c r="I304" s="96"/>
      <c r="J304" s="92"/>
      <c r="K304" s="97"/>
      <c r="L304" s="99" t="str">
        <f ca="1">_xlfn.LET(
    _xlpm.res_no, J304,
    _xlpm.record_sheet, 'MatRes Record'!J:M,
    _xlpm.AllCellsFilled, COUNTA(A304:K304) = 11,
    _xlpm.QtyIsInt, AND(ISNUMBER(G304), G304=INT(G304)),
    _xlpm.ReqDateIsValid, AND(ISNUMBER(H304), H304&gt;=TODAY()),
    _xlpm.EmailIsValid, RIGHT(I304,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IF(A304="", "", IF(_xlpm.error_messages = "", "Yes", _xlpm.error_messages))
)</f>
        <v/>
      </c>
    </row>
    <row r="305" spans="1:12">
      <c r="A305" s="94"/>
      <c r="B305" s="95"/>
      <c r="C305" s="95"/>
      <c r="D305" s="94"/>
      <c r="E305" s="94"/>
      <c r="F305" s="96"/>
      <c r="G305" s="94"/>
      <c r="H305" s="96"/>
      <c r="I305" s="96"/>
      <c r="J305" s="92"/>
      <c r="K305" s="97"/>
      <c r="L305" s="99" t="str">
        <f ca="1">_xlfn.LET(
    _xlpm.res_no, J305,
    _xlpm.record_sheet, 'MatRes Record'!J:M,
    _xlpm.AllCellsFilled, COUNTA(A305:K305) = 11,
    _xlpm.QtyIsInt, AND(ISNUMBER(G305), G305=INT(G305)),
    _xlpm.ReqDateIsValid, AND(ISNUMBER(H305), H305&gt;=TODAY()),
    _xlpm.EmailIsValid, RIGHT(I305,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IF(A305="", "", IF(_xlpm.error_messages = "", "Yes", _xlpm.error_messages))
)</f>
        <v/>
      </c>
    </row>
    <row r="306" spans="1:12">
      <c r="A306" s="94"/>
      <c r="B306" s="95"/>
      <c r="C306" s="95"/>
      <c r="D306" s="94"/>
      <c r="E306" s="94"/>
      <c r="F306" s="96"/>
      <c r="G306" s="94"/>
      <c r="H306" s="96"/>
      <c r="I306" s="96"/>
      <c r="J306" s="92"/>
      <c r="K306" s="97"/>
      <c r="L306" s="99" t="str">
        <f ca="1">_xlfn.LET(
    _xlpm.res_no, J306,
    _xlpm.record_sheet, 'MatRes Record'!J:M,
    _xlpm.AllCellsFilled, COUNTA(A306:K306) = 11,
    _xlpm.QtyIsInt, AND(ISNUMBER(G306), G306=INT(G306)),
    _xlpm.ReqDateIsValid, AND(ISNUMBER(H306), H306&gt;=TODAY()),
    _xlpm.EmailIsValid, RIGHT(I306,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IF(A306="", "", IF(_xlpm.error_messages = "", "Yes", _xlpm.error_messages))
)</f>
        <v/>
      </c>
    </row>
    <row r="307" spans="1:12">
      <c r="A307" s="94"/>
      <c r="B307" s="95"/>
      <c r="C307" s="95"/>
      <c r="D307" s="94"/>
      <c r="E307" s="94"/>
      <c r="F307" s="96"/>
      <c r="G307" s="94"/>
      <c r="H307" s="96"/>
      <c r="I307" s="96"/>
      <c r="J307" s="92"/>
      <c r="K307" s="97"/>
      <c r="L307" s="99" t="str">
        <f ca="1">_xlfn.LET(
    _xlpm.res_no, J307,
    _xlpm.record_sheet, 'MatRes Record'!J:M,
    _xlpm.AllCellsFilled, COUNTA(A307:K307) = 11,
    _xlpm.QtyIsInt, AND(ISNUMBER(G307), G307=INT(G307)),
    _xlpm.ReqDateIsValid, AND(ISNUMBER(H307), H307&gt;=TODAY()),
    _xlpm.EmailIsValid, RIGHT(I307,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IF(A307="", "", IF(_xlpm.error_messages = "", "Yes", _xlpm.error_messages))
)</f>
        <v/>
      </c>
    </row>
    <row r="308" spans="1:12">
      <c r="A308" s="94"/>
      <c r="B308" s="95"/>
      <c r="C308" s="95"/>
      <c r="D308" s="94"/>
      <c r="E308" s="94"/>
      <c r="F308" s="96"/>
      <c r="G308" s="94"/>
      <c r="H308" s="96"/>
      <c r="I308" s="96"/>
      <c r="J308" s="92"/>
      <c r="K308" s="97"/>
      <c r="L308" s="99" t="str">
        <f ca="1">_xlfn.LET(
    _xlpm.res_no, J308,
    _xlpm.record_sheet, 'MatRes Record'!J:M,
    _xlpm.AllCellsFilled, COUNTA(A308:K308) = 11,
    _xlpm.QtyIsInt, AND(ISNUMBER(G308), G308=INT(G308)),
    _xlpm.ReqDateIsValid, AND(ISNUMBER(H308), H308&gt;=TODAY()),
    _xlpm.EmailIsValid, RIGHT(I308,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IF(A308="", "", IF(_xlpm.error_messages = "", "Yes", _xlpm.error_messages))
)</f>
        <v/>
      </c>
    </row>
    <row r="309" spans="1:12">
      <c r="A309" s="94"/>
      <c r="B309" s="95"/>
      <c r="C309" s="95"/>
      <c r="D309" s="94"/>
      <c r="E309" s="94"/>
      <c r="F309" s="96"/>
      <c r="G309" s="94"/>
      <c r="H309" s="96"/>
      <c r="I309" s="96"/>
      <c r="J309" s="92"/>
      <c r="K309" s="97"/>
      <c r="L309" s="99" t="str">
        <f ca="1">_xlfn.LET(
    _xlpm.res_no, J309,
    _xlpm.record_sheet, 'MatRes Record'!J:M,
    _xlpm.AllCellsFilled, COUNTA(A309:K309) = 11,
    _xlpm.QtyIsInt, AND(ISNUMBER(G309), G309=INT(G309)),
    _xlpm.ReqDateIsValid, AND(ISNUMBER(H309), H309&gt;=TODAY()),
    _xlpm.EmailIsValid, RIGHT(I309,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IF(A309="", "", IF(_xlpm.error_messages = "", "Yes", _xlpm.error_messages))
)</f>
        <v/>
      </c>
    </row>
    <row r="310" spans="1:12">
      <c r="A310" s="94"/>
      <c r="B310" s="95"/>
      <c r="C310" s="95"/>
      <c r="D310" s="94"/>
      <c r="E310" s="94"/>
      <c r="F310" s="96"/>
      <c r="G310" s="94"/>
      <c r="H310" s="96"/>
      <c r="I310" s="96"/>
      <c r="J310" s="92"/>
      <c r="K310" s="97"/>
      <c r="L310" s="99" t="str">
        <f ca="1">_xlfn.LET(
    _xlpm.res_no, J310,
    _xlpm.record_sheet, 'MatRes Record'!J:M,
    _xlpm.AllCellsFilled, COUNTA(A310:K310) = 11,
    _xlpm.QtyIsInt, AND(ISNUMBER(G310), G310=INT(G310)),
    _xlpm.ReqDateIsValid, AND(ISNUMBER(H310), H310&gt;=TODAY()),
    _xlpm.EmailIsValid, RIGHT(I310,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IF(A310="", "", IF(_xlpm.error_messages = "", "Yes", _xlpm.error_messages))
)</f>
        <v/>
      </c>
    </row>
    <row r="311" spans="1:12">
      <c r="A311" s="94"/>
      <c r="B311" s="95"/>
      <c r="C311" s="95"/>
      <c r="D311" s="94"/>
      <c r="E311" s="94"/>
      <c r="F311" s="96"/>
      <c r="G311" s="94"/>
      <c r="H311" s="96"/>
      <c r="I311" s="96"/>
      <c r="J311" s="92"/>
      <c r="K311" s="97"/>
      <c r="L311" s="99" t="str">
        <f ca="1">_xlfn.LET(
    _xlpm.res_no, J311,
    _xlpm.record_sheet, 'MatRes Record'!J:M,
    _xlpm.AllCellsFilled, COUNTA(A311:K311) = 11,
    _xlpm.QtyIsInt, AND(ISNUMBER(G311), G311=INT(G311)),
    _xlpm.ReqDateIsValid, AND(ISNUMBER(H311), H311&gt;=TODAY()),
    _xlpm.EmailIsValid, RIGHT(I311,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IF(A311="", "", IF(_xlpm.error_messages = "", "Yes", _xlpm.error_messages))
)</f>
        <v/>
      </c>
    </row>
    <row r="312" spans="1:12">
      <c r="A312" s="94"/>
      <c r="B312" s="95"/>
      <c r="C312" s="95"/>
      <c r="D312" s="94"/>
      <c r="E312" s="94"/>
      <c r="F312" s="96"/>
      <c r="G312" s="94"/>
      <c r="H312" s="96"/>
      <c r="I312" s="96"/>
      <c r="J312" s="92"/>
      <c r="K312" s="97"/>
      <c r="L312" s="99" t="str">
        <f ca="1">_xlfn.LET(
    _xlpm.res_no, J312,
    _xlpm.record_sheet, 'MatRes Record'!J:M,
    _xlpm.AllCellsFilled, COUNTA(A312:K312) = 11,
    _xlpm.QtyIsInt, AND(ISNUMBER(G312), G312=INT(G312)),
    _xlpm.ReqDateIsValid, AND(ISNUMBER(H312), H312&gt;=TODAY()),
    _xlpm.EmailIsValid, RIGHT(I312,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IF(A312="", "", IF(_xlpm.error_messages = "", "Yes", _xlpm.error_messages))
)</f>
        <v/>
      </c>
    </row>
    <row r="313" spans="1:12">
      <c r="A313" s="94"/>
      <c r="B313" s="95"/>
      <c r="C313" s="95"/>
      <c r="D313" s="94"/>
      <c r="E313" s="94"/>
      <c r="F313" s="96"/>
      <c r="G313" s="94"/>
      <c r="H313" s="96"/>
      <c r="I313" s="96"/>
      <c r="J313" s="92"/>
      <c r="K313" s="97"/>
      <c r="L313" s="99" t="str">
        <f ca="1">_xlfn.LET(
    _xlpm.res_no, J313,
    _xlpm.record_sheet, 'MatRes Record'!J:M,
    _xlpm.AllCellsFilled, COUNTA(A313:K313) = 11,
    _xlpm.QtyIsInt, AND(ISNUMBER(G313), G313=INT(G313)),
    _xlpm.ReqDateIsValid, AND(ISNUMBER(H313), H313&gt;=TODAY()),
    _xlpm.EmailIsValid, RIGHT(I313,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IF(A313="", "", IF(_xlpm.error_messages = "", "Yes", _xlpm.error_messages))
)</f>
        <v/>
      </c>
    </row>
    <row r="314" spans="1:12">
      <c r="A314" s="94"/>
      <c r="B314" s="95"/>
      <c r="C314" s="95"/>
      <c r="D314" s="94"/>
      <c r="E314" s="94"/>
      <c r="F314" s="96"/>
      <c r="G314" s="94"/>
      <c r="H314" s="96"/>
      <c r="I314" s="96"/>
      <c r="J314" s="92"/>
      <c r="K314" s="97"/>
      <c r="L314" s="99" t="str">
        <f ca="1">_xlfn.LET(
    _xlpm.res_no, J314,
    _xlpm.record_sheet, 'MatRes Record'!J:M,
    _xlpm.AllCellsFilled, COUNTA(A314:K314) = 11,
    _xlpm.QtyIsInt, AND(ISNUMBER(G314), G314=INT(G314)),
    _xlpm.ReqDateIsValid, AND(ISNUMBER(H314), H314&gt;=TODAY()),
    _xlpm.EmailIsValid, RIGHT(I314,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IF(A314="", "", IF(_xlpm.error_messages = "", "Yes", _xlpm.error_messages))
)</f>
        <v/>
      </c>
    </row>
    <row r="315" spans="1:12">
      <c r="A315" s="94"/>
      <c r="B315" s="95"/>
      <c r="C315" s="95"/>
      <c r="D315" s="94"/>
      <c r="E315" s="94"/>
      <c r="F315" s="96"/>
      <c r="G315" s="94"/>
      <c r="H315" s="96"/>
      <c r="I315" s="96"/>
      <c r="J315" s="92"/>
      <c r="K315" s="97"/>
      <c r="L315" s="99" t="str">
        <f ca="1">_xlfn.LET(
    _xlpm.res_no, J315,
    _xlpm.record_sheet, 'MatRes Record'!J:M,
    _xlpm.AllCellsFilled, COUNTA(A315:K315) = 11,
    _xlpm.QtyIsInt, AND(ISNUMBER(G315), G315=INT(G315)),
    _xlpm.ReqDateIsValid, AND(ISNUMBER(H315), H315&gt;=TODAY()),
    _xlpm.EmailIsValid, RIGHT(I315,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IF(A315="", "", IF(_xlpm.error_messages = "", "Yes", _xlpm.error_messages))
)</f>
        <v/>
      </c>
    </row>
    <row r="316" spans="1:12">
      <c r="A316" s="94"/>
      <c r="B316" s="95"/>
      <c r="C316" s="95"/>
      <c r="D316" s="94"/>
      <c r="E316" s="94"/>
      <c r="F316" s="96"/>
      <c r="G316" s="94"/>
      <c r="H316" s="96"/>
      <c r="I316" s="96"/>
      <c r="J316" s="92"/>
      <c r="K316" s="97"/>
      <c r="L316" s="99" t="str">
        <f ca="1">_xlfn.LET(
    _xlpm.res_no, J316,
    _xlpm.record_sheet, 'MatRes Record'!J:M,
    _xlpm.AllCellsFilled, COUNTA(A316:K316) = 11,
    _xlpm.QtyIsInt, AND(ISNUMBER(G316), G316=INT(G316)),
    _xlpm.ReqDateIsValid, AND(ISNUMBER(H316), H316&gt;=TODAY()),
    _xlpm.EmailIsValid, RIGHT(I316,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IF(A316="", "", IF(_xlpm.error_messages = "", "Yes", _xlpm.error_messages))
)</f>
        <v/>
      </c>
    </row>
    <row r="317" spans="1:12">
      <c r="A317" s="94"/>
      <c r="B317" s="95"/>
      <c r="C317" s="95"/>
      <c r="D317" s="94"/>
      <c r="E317" s="94"/>
      <c r="F317" s="96"/>
      <c r="G317" s="94"/>
      <c r="H317" s="96"/>
      <c r="I317" s="96"/>
      <c r="J317" s="92"/>
      <c r="K317" s="97"/>
      <c r="L317" s="99" t="str">
        <f ca="1">_xlfn.LET(
    _xlpm.res_no, J317,
    _xlpm.record_sheet, 'MatRes Record'!J:M,
    _xlpm.AllCellsFilled, COUNTA(A317:K317) = 11,
    _xlpm.QtyIsInt, AND(ISNUMBER(G317), G317=INT(G317)),
    _xlpm.ReqDateIsValid, AND(ISNUMBER(H317), H317&gt;=TODAY()),
    _xlpm.EmailIsValid, RIGHT(I317,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IF(A317="", "", IF(_xlpm.error_messages = "", "Yes", _xlpm.error_messages))
)</f>
        <v/>
      </c>
    </row>
    <row r="318" spans="1:12">
      <c r="A318" s="94"/>
      <c r="B318" s="95"/>
      <c r="C318" s="95"/>
      <c r="D318" s="94"/>
      <c r="E318" s="94"/>
      <c r="F318" s="96"/>
      <c r="G318" s="94"/>
      <c r="H318" s="96"/>
      <c r="I318" s="96"/>
      <c r="J318" s="92"/>
      <c r="K318" s="97"/>
      <c r="L318" s="99" t="str">
        <f ca="1">_xlfn.LET(
    _xlpm.res_no, J318,
    _xlpm.record_sheet, 'MatRes Record'!J:M,
    _xlpm.AllCellsFilled, COUNTA(A318:K318) = 11,
    _xlpm.QtyIsInt, AND(ISNUMBER(G318), G318=INT(G318)),
    _xlpm.ReqDateIsValid, AND(ISNUMBER(H318), H318&gt;=TODAY()),
    _xlpm.EmailIsValid, RIGHT(I318,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IF(A318="", "", IF(_xlpm.error_messages = "", "Yes", _xlpm.error_messages))
)</f>
        <v/>
      </c>
    </row>
    <row r="319" spans="1:12">
      <c r="A319" s="94"/>
      <c r="B319" s="95"/>
      <c r="C319" s="95"/>
      <c r="D319" s="94"/>
      <c r="E319" s="94"/>
      <c r="F319" s="96"/>
      <c r="G319" s="94"/>
      <c r="H319" s="96"/>
      <c r="I319" s="96"/>
      <c r="J319" s="92"/>
      <c r="K319" s="97"/>
      <c r="L319" s="99" t="str">
        <f ca="1">_xlfn.LET(
    _xlpm.res_no, J319,
    _xlpm.record_sheet, 'MatRes Record'!J:M,
    _xlpm.AllCellsFilled, COUNTA(A319:K319) = 11,
    _xlpm.QtyIsInt, AND(ISNUMBER(G319), G319=INT(G319)),
    _xlpm.ReqDateIsValid, AND(ISNUMBER(H319), H319&gt;=TODAY()),
    _xlpm.EmailIsValid, RIGHT(I319,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IF(A319="", "", IF(_xlpm.error_messages = "", "Yes", _xlpm.error_messages))
)</f>
        <v/>
      </c>
    </row>
    <row r="320" spans="1:12">
      <c r="A320" s="94"/>
      <c r="B320" s="95"/>
      <c r="C320" s="95"/>
      <c r="D320" s="94"/>
      <c r="E320" s="94"/>
      <c r="F320" s="96"/>
      <c r="G320" s="94"/>
      <c r="H320" s="96"/>
      <c r="I320" s="96"/>
      <c r="J320" s="92"/>
      <c r="K320" s="97"/>
      <c r="L320" s="99" t="str">
        <f ca="1">_xlfn.LET(
    _xlpm.res_no, J320,
    _xlpm.record_sheet, 'MatRes Record'!J:M,
    _xlpm.AllCellsFilled, COUNTA(A320:K320) = 11,
    _xlpm.QtyIsInt, AND(ISNUMBER(G320), G320=INT(G320)),
    _xlpm.ReqDateIsValid, AND(ISNUMBER(H320), H320&gt;=TODAY()),
    _xlpm.EmailIsValid, RIGHT(I320,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IF(A320="", "", IF(_xlpm.error_messages = "", "Yes", _xlpm.error_messages))
)</f>
        <v/>
      </c>
    </row>
    <row r="321" spans="1:12">
      <c r="A321" s="94"/>
      <c r="B321" s="95"/>
      <c r="C321" s="95"/>
      <c r="D321" s="94"/>
      <c r="E321" s="94"/>
      <c r="F321" s="96"/>
      <c r="G321" s="94"/>
      <c r="H321" s="96"/>
      <c r="I321" s="96"/>
      <c r="J321" s="92"/>
      <c r="K321" s="97"/>
      <c r="L321" s="99" t="str">
        <f ca="1">_xlfn.LET(
    _xlpm.res_no, J321,
    _xlpm.record_sheet, 'MatRes Record'!J:M,
    _xlpm.AllCellsFilled, COUNTA(A321:K321) = 11,
    _xlpm.QtyIsInt, AND(ISNUMBER(G321), G321=INT(G321)),
    _xlpm.ReqDateIsValid, AND(ISNUMBER(H321), H321&gt;=TODAY()),
    _xlpm.EmailIsValid, RIGHT(I321,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IF(A321="", "", IF(_xlpm.error_messages = "", "Yes", _xlpm.error_messages))
)</f>
        <v/>
      </c>
    </row>
    <row r="322" spans="1:12">
      <c r="A322" s="94"/>
      <c r="B322" s="95"/>
      <c r="C322" s="95"/>
      <c r="D322" s="94"/>
      <c r="E322" s="94"/>
      <c r="F322" s="96"/>
      <c r="G322" s="94"/>
      <c r="H322" s="96"/>
      <c r="I322" s="96"/>
      <c r="J322" s="92"/>
      <c r="K322" s="97"/>
      <c r="L322" s="99" t="str">
        <f ca="1">_xlfn.LET(
    _xlpm.res_no, J322,
    _xlpm.record_sheet, 'MatRes Record'!J:M,
    _xlpm.AllCellsFilled, COUNTA(A322:K322) = 11,
    _xlpm.QtyIsInt, AND(ISNUMBER(G322), G322=INT(G322)),
    _xlpm.ReqDateIsValid, AND(ISNUMBER(H322), H322&gt;=TODAY()),
    _xlpm.EmailIsValid, RIGHT(I322,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IF(A322="", "", IF(_xlpm.error_messages = "", "Yes", _xlpm.error_messages))
)</f>
        <v/>
      </c>
    </row>
    <row r="323" spans="1:12">
      <c r="A323" s="94"/>
      <c r="B323" s="95"/>
      <c r="C323" s="95"/>
      <c r="D323" s="94"/>
      <c r="E323" s="94"/>
      <c r="F323" s="96"/>
      <c r="G323" s="94"/>
      <c r="H323" s="96"/>
      <c r="I323" s="96"/>
      <c r="J323" s="92"/>
      <c r="K323" s="97"/>
      <c r="L323" s="99" t="str">
        <f ca="1">_xlfn.LET(
    _xlpm.res_no, J323,
    _xlpm.record_sheet, 'MatRes Record'!J:M,
    _xlpm.AllCellsFilled, COUNTA(A323:K323) = 11,
    _xlpm.QtyIsInt, AND(ISNUMBER(G323), G323=INT(G323)),
    _xlpm.ReqDateIsValid, AND(ISNUMBER(H323), H323&gt;=TODAY()),
    _xlpm.EmailIsValid, RIGHT(I323,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IF(A323="", "", IF(_xlpm.error_messages = "", "Yes", _xlpm.error_messages))
)</f>
        <v/>
      </c>
    </row>
    <row r="324" spans="1:12">
      <c r="A324" s="94"/>
      <c r="B324" s="95"/>
      <c r="C324" s="95"/>
      <c r="D324" s="94"/>
      <c r="E324" s="94"/>
      <c r="F324" s="96"/>
      <c r="G324" s="94"/>
      <c r="H324" s="96"/>
      <c r="I324" s="96"/>
      <c r="J324" s="92"/>
      <c r="K324" s="97"/>
      <c r="L324" s="99" t="str">
        <f ca="1">_xlfn.LET(
    _xlpm.res_no, J324,
    _xlpm.record_sheet, 'MatRes Record'!J:M,
    _xlpm.AllCellsFilled, COUNTA(A324:K324) = 11,
    _xlpm.QtyIsInt, AND(ISNUMBER(G324), G324=INT(G324)),
    _xlpm.ReqDateIsValid, AND(ISNUMBER(H324), H324&gt;=TODAY()),
    _xlpm.EmailIsValid, RIGHT(I324,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IF(A324="", "", IF(_xlpm.error_messages = "", "Yes", _xlpm.error_messages))
)</f>
        <v/>
      </c>
    </row>
    <row r="325" spans="1:12">
      <c r="A325" s="94"/>
      <c r="B325" s="95"/>
      <c r="C325" s="95"/>
      <c r="D325" s="94"/>
      <c r="E325" s="94"/>
      <c r="F325" s="96"/>
      <c r="G325" s="94"/>
      <c r="H325" s="96"/>
      <c r="I325" s="96"/>
      <c r="J325" s="92"/>
      <c r="K325" s="97"/>
      <c r="L325" s="99" t="str">
        <f ca="1">_xlfn.LET(
    _xlpm.res_no, J325,
    _xlpm.record_sheet, 'MatRes Record'!J:M,
    _xlpm.AllCellsFilled, COUNTA(A325:K325) = 11,
    _xlpm.QtyIsInt, AND(ISNUMBER(G325), G325=INT(G325)),
    _xlpm.ReqDateIsValid, AND(ISNUMBER(H325), H325&gt;=TODAY()),
    _xlpm.EmailIsValid, RIGHT(I325,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IF(A325="", "", IF(_xlpm.error_messages = "", "Yes", _xlpm.error_messages))
)</f>
        <v/>
      </c>
    </row>
    <row r="326" spans="1:12">
      <c r="A326" s="94"/>
      <c r="B326" s="95"/>
      <c r="C326" s="95"/>
      <c r="D326" s="94"/>
      <c r="E326" s="94"/>
      <c r="F326" s="96"/>
      <c r="G326" s="94"/>
      <c r="H326" s="96"/>
      <c r="I326" s="96"/>
      <c r="J326" s="92"/>
      <c r="K326" s="97"/>
      <c r="L326" s="99" t="str">
        <f ca="1">_xlfn.LET(
    _xlpm.res_no, J326,
    _xlpm.record_sheet, 'MatRes Record'!J:M,
    _xlpm.AllCellsFilled, COUNTA(A326:K326) = 11,
    _xlpm.QtyIsInt, AND(ISNUMBER(G326), G326=INT(G326)),
    _xlpm.ReqDateIsValid, AND(ISNUMBER(H326), H326&gt;=TODAY()),
    _xlpm.EmailIsValid, RIGHT(I326,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IF(A326="", "", IF(_xlpm.error_messages = "", "Yes", _xlpm.error_messages))
)</f>
        <v/>
      </c>
    </row>
    <row r="327" spans="1:12">
      <c r="A327" s="94"/>
      <c r="B327" s="95"/>
      <c r="C327" s="95"/>
      <c r="D327" s="94"/>
      <c r="E327" s="94"/>
      <c r="F327" s="96"/>
      <c r="G327" s="94"/>
      <c r="H327" s="96"/>
      <c r="I327" s="96"/>
      <c r="J327" s="92"/>
      <c r="K327" s="97"/>
      <c r="L327" s="99" t="str">
        <f ca="1">_xlfn.LET(
    _xlpm.res_no, J327,
    _xlpm.record_sheet, 'MatRes Record'!J:M,
    _xlpm.AllCellsFilled, COUNTA(A327:K327) = 11,
    _xlpm.QtyIsInt, AND(ISNUMBER(G327), G327=INT(G327)),
    _xlpm.ReqDateIsValid, AND(ISNUMBER(H327), H327&gt;=TODAY()),
    _xlpm.EmailIsValid, RIGHT(I327,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IF(A327="", "", IF(_xlpm.error_messages = "", "Yes", _xlpm.error_messages))
)</f>
        <v/>
      </c>
    </row>
    <row r="328" spans="1:12">
      <c r="A328" s="94"/>
      <c r="B328" s="95"/>
      <c r="C328" s="95"/>
      <c r="D328" s="94"/>
      <c r="E328" s="94"/>
      <c r="F328" s="96"/>
      <c r="G328" s="94"/>
      <c r="H328" s="96"/>
      <c r="I328" s="96"/>
      <c r="J328" s="92"/>
      <c r="K328" s="97"/>
      <c r="L328" s="99" t="str">
        <f ca="1">_xlfn.LET(
    _xlpm.res_no, J328,
    _xlpm.record_sheet, 'MatRes Record'!J:M,
    _xlpm.AllCellsFilled, COUNTA(A328:K328) = 11,
    _xlpm.QtyIsInt, AND(ISNUMBER(G328), G328=INT(G328)),
    _xlpm.ReqDateIsValid, AND(ISNUMBER(H328), H328&gt;=TODAY()),
    _xlpm.EmailIsValid, RIGHT(I328,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IF(A328="", "", IF(_xlpm.error_messages = "", "Yes", _xlpm.error_messages))
)</f>
        <v/>
      </c>
    </row>
    <row r="329" spans="1:12">
      <c r="A329" s="94"/>
      <c r="B329" s="95"/>
      <c r="C329" s="95"/>
      <c r="D329" s="94"/>
      <c r="E329" s="94"/>
      <c r="F329" s="96"/>
      <c r="G329" s="94"/>
      <c r="H329" s="96"/>
      <c r="I329" s="96"/>
      <c r="J329" s="92"/>
      <c r="K329" s="97"/>
      <c r="L329" s="99" t="str">
        <f ca="1">_xlfn.LET(
    _xlpm.res_no, J329,
    _xlpm.record_sheet, 'MatRes Record'!J:M,
    _xlpm.AllCellsFilled, COUNTA(A329:K329) = 11,
    _xlpm.QtyIsInt, AND(ISNUMBER(G329), G329=INT(G329)),
    _xlpm.ReqDateIsValid, AND(ISNUMBER(H329), H329&gt;=TODAY()),
    _xlpm.EmailIsValid, RIGHT(I329,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IF(A329="", "", IF(_xlpm.error_messages = "", "Yes", _xlpm.error_messages))
)</f>
        <v/>
      </c>
    </row>
    <row r="330" spans="1:12">
      <c r="A330" s="94"/>
      <c r="B330" s="95"/>
      <c r="C330" s="95"/>
      <c r="D330" s="94"/>
      <c r="E330" s="94"/>
      <c r="F330" s="96"/>
      <c r="G330" s="94"/>
      <c r="H330" s="96"/>
      <c r="I330" s="96"/>
      <c r="J330" s="92"/>
      <c r="K330" s="97"/>
      <c r="L330" s="99" t="str">
        <f ca="1">_xlfn.LET(
    _xlpm.res_no, J330,
    _xlpm.record_sheet, 'MatRes Record'!J:M,
    _xlpm.AllCellsFilled, COUNTA(A330:K330) = 11,
    _xlpm.QtyIsInt, AND(ISNUMBER(G330), G330=INT(G330)),
    _xlpm.ReqDateIsValid, AND(ISNUMBER(H330), H330&gt;=TODAY()),
    _xlpm.EmailIsValid, RIGHT(I330,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IF(A330="", "", IF(_xlpm.error_messages = "", "Yes", _xlpm.error_messages))
)</f>
        <v/>
      </c>
    </row>
    <row r="331" spans="1:12">
      <c r="A331" s="94"/>
      <c r="B331" s="95"/>
      <c r="C331" s="95"/>
      <c r="D331" s="94"/>
      <c r="E331" s="94"/>
      <c r="F331" s="96"/>
      <c r="G331" s="94"/>
      <c r="H331" s="96"/>
      <c r="I331" s="96"/>
      <c r="J331" s="92"/>
      <c r="K331" s="97"/>
      <c r="L331" s="99" t="str">
        <f ca="1">_xlfn.LET(
    _xlpm.res_no, J331,
    _xlpm.record_sheet, 'MatRes Record'!J:M,
    _xlpm.AllCellsFilled, COUNTA(A331:K331) = 11,
    _xlpm.QtyIsInt, AND(ISNUMBER(G331), G331=INT(G331)),
    _xlpm.ReqDateIsValid, AND(ISNUMBER(H331), H331&gt;=TODAY()),
    _xlpm.EmailIsValid, RIGHT(I331,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IF(A331="", "", IF(_xlpm.error_messages = "", "Yes", _xlpm.error_messages))
)</f>
        <v/>
      </c>
    </row>
    <row r="332" spans="1:12">
      <c r="A332" s="94"/>
      <c r="B332" s="95"/>
      <c r="C332" s="95"/>
      <c r="D332" s="94"/>
      <c r="E332" s="94"/>
      <c r="F332" s="96"/>
      <c r="G332" s="94"/>
      <c r="H332" s="96"/>
      <c r="I332" s="96"/>
      <c r="J332" s="92"/>
      <c r="K332" s="97"/>
      <c r="L332" s="99" t="str">
        <f ca="1">_xlfn.LET(
    _xlpm.res_no, J332,
    _xlpm.record_sheet, 'MatRes Record'!J:M,
    _xlpm.AllCellsFilled, COUNTA(A332:K332) = 11,
    _xlpm.QtyIsInt, AND(ISNUMBER(G332), G332=INT(G332)),
    _xlpm.ReqDateIsValid, AND(ISNUMBER(H332), H332&gt;=TODAY()),
    _xlpm.EmailIsValid, RIGHT(I332,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IF(A332="", "", IF(_xlpm.error_messages = "", "Yes", _xlpm.error_messages))
)</f>
        <v/>
      </c>
    </row>
    <row r="333" spans="1:12">
      <c r="A333" s="94"/>
      <c r="B333" s="95"/>
      <c r="C333" s="95"/>
      <c r="D333" s="94"/>
      <c r="E333" s="94"/>
      <c r="F333" s="96"/>
      <c r="G333" s="94"/>
      <c r="H333" s="96"/>
      <c r="I333" s="96"/>
      <c r="J333" s="92"/>
      <c r="K333" s="97"/>
      <c r="L333" s="99" t="str">
        <f ca="1">_xlfn.LET(
    _xlpm.res_no, J333,
    _xlpm.record_sheet, 'MatRes Record'!J:M,
    _xlpm.AllCellsFilled, COUNTA(A333:K333) = 11,
    _xlpm.QtyIsInt, AND(ISNUMBER(G333), G333=INT(G333)),
    _xlpm.ReqDateIsValid, AND(ISNUMBER(H333), H333&gt;=TODAY()),
    _xlpm.EmailIsValid, RIGHT(I333,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IF(A333="", "", IF(_xlpm.error_messages = "", "Yes", _xlpm.error_messages))
)</f>
        <v/>
      </c>
    </row>
    <row r="334" spans="1:12">
      <c r="A334" s="94"/>
      <c r="B334" s="95"/>
      <c r="C334" s="95"/>
      <c r="D334" s="94"/>
      <c r="E334" s="94"/>
      <c r="F334" s="96"/>
      <c r="G334" s="94"/>
      <c r="H334" s="96"/>
      <c r="I334" s="96"/>
      <c r="J334" s="92"/>
      <c r="K334" s="97"/>
      <c r="L334" s="99" t="str">
        <f ca="1">_xlfn.LET(
    _xlpm.res_no, J334,
    _xlpm.record_sheet, 'MatRes Record'!J:M,
    _xlpm.AllCellsFilled, COUNTA(A334:K334) = 11,
    _xlpm.QtyIsInt, AND(ISNUMBER(G334), G334=INT(G334)),
    _xlpm.ReqDateIsValid, AND(ISNUMBER(H334), H334&gt;=TODAY()),
    _xlpm.EmailIsValid, RIGHT(I334,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IF(A334="", "", IF(_xlpm.error_messages = "", "Yes", _xlpm.error_messages))
)</f>
        <v/>
      </c>
    </row>
    <row r="335" spans="1:12">
      <c r="A335" s="94"/>
      <c r="B335" s="95"/>
      <c r="C335" s="95"/>
      <c r="D335" s="94"/>
      <c r="E335" s="94"/>
      <c r="F335" s="96"/>
      <c r="G335" s="94"/>
      <c r="H335" s="96"/>
      <c r="I335" s="96"/>
      <c r="J335" s="92"/>
      <c r="K335" s="97"/>
      <c r="L335" s="99" t="str">
        <f ca="1">_xlfn.LET(
    _xlpm.res_no, J335,
    _xlpm.record_sheet, 'MatRes Record'!J:M,
    _xlpm.AllCellsFilled, COUNTA(A335:K335) = 11,
    _xlpm.QtyIsInt, AND(ISNUMBER(G335), G335=INT(G335)),
    _xlpm.ReqDateIsValid, AND(ISNUMBER(H335), H335&gt;=TODAY()),
    _xlpm.EmailIsValid, RIGHT(I335,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IF(A335="", "", IF(_xlpm.error_messages = "", "Yes", _xlpm.error_messages))
)</f>
        <v/>
      </c>
    </row>
    <row r="336" spans="1:12">
      <c r="A336" s="94"/>
      <c r="B336" s="95"/>
      <c r="C336" s="95"/>
      <c r="D336" s="94"/>
      <c r="E336" s="94"/>
      <c r="F336" s="96"/>
      <c r="G336" s="94"/>
      <c r="H336" s="96"/>
      <c r="I336" s="96"/>
      <c r="J336" s="92"/>
      <c r="K336" s="97"/>
      <c r="L336" s="99" t="str">
        <f ca="1">_xlfn.LET(
    _xlpm.res_no, J336,
    _xlpm.record_sheet, 'MatRes Record'!J:M,
    _xlpm.AllCellsFilled, COUNTA(A336:K336) = 11,
    _xlpm.QtyIsInt, AND(ISNUMBER(G336), G336=INT(G336)),
    _xlpm.ReqDateIsValid, AND(ISNUMBER(H336), H336&gt;=TODAY()),
    _xlpm.EmailIsValid, RIGHT(I336,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IF(A336="", "", IF(_xlpm.error_messages = "", "Yes", _xlpm.error_messages))
)</f>
        <v/>
      </c>
    </row>
    <row r="337" spans="1:12">
      <c r="A337" s="94"/>
      <c r="B337" s="95"/>
      <c r="C337" s="95"/>
      <c r="D337" s="94"/>
      <c r="E337" s="94"/>
      <c r="F337" s="96"/>
      <c r="G337" s="94"/>
      <c r="H337" s="96"/>
      <c r="I337" s="96"/>
      <c r="J337" s="92"/>
      <c r="K337" s="97"/>
      <c r="L337" s="99" t="str">
        <f ca="1">_xlfn.LET(
    _xlpm.res_no, J337,
    _xlpm.record_sheet, 'MatRes Record'!J:M,
    _xlpm.AllCellsFilled, COUNTA(A337:K337) = 11,
    _xlpm.QtyIsInt, AND(ISNUMBER(G337), G337=INT(G337)),
    _xlpm.ReqDateIsValid, AND(ISNUMBER(H337), H337&gt;=TODAY()),
    _xlpm.EmailIsValid, RIGHT(I337,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IF(A337="", "", IF(_xlpm.error_messages = "", "Yes", _xlpm.error_messages))
)</f>
        <v/>
      </c>
    </row>
    <row r="338" spans="1:12">
      <c r="A338" s="94"/>
      <c r="B338" s="95"/>
      <c r="C338" s="95"/>
      <c r="D338" s="94"/>
      <c r="E338" s="94"/>
      <c r="F338" s="96"/>
      <c r="G338" s="94"/>
      <c r="H338" s="96"/>
      <c r="I338" s="96"/>
      <c r="J338" s="92"/>
      <c r="K338" s="97"/>
      <c r="L338" s="99" t="str">
        <f ca="1">_xlfn.LET(
    _xlpm.res_no, J338,
    _xlpm.record_sheet, 'MatRes Record'!J:M,
    _xlpm.AllCellsFilled, COUNTA(A338:K338) = 11,
    _xlpm.QtyIsInt, AND(ISNUMBER(G338), G338=INT(G338)),
    _xlpm.ReqDateIsValid, AND(ISNUMBER(H338), H338&gt;=TODAY()),
    _xlpm.EmailIsValid, RIGHT(I338,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IF(A338="", "", IF(_xlpm.error_messages = "", "Yes", _xlpm.error_messages))
)</f>
        <v/>
      </c>
    </row>
    <row r="339" spans="1:12">
      <c r="A339" s="94"/>
      <c r="B339" s="95"/>
      <c r="C339" s="95"/>
      <c r="D339" s="94"/>
      <c r="E339" s="94"/>
      <c r="F339" s="96"/>
      <c r="G339" s="94"/>
      <c r="H339" s="96"/>
      <c r="I339" s="96"/>
      <c r="J339" s="92"/>
      <c r="K339" s="97"/>
      <c r="L339" s="99" t="str">
        <f ca="1">_xlfn.LET(
    _xlpm.res_no, J339,
    _xlpm.record_sheet, 'MatRes Record'!J:M,
    _xlpm.AllCellsFilled, COUNTA(A339:K339) = 11,
    _xlpm.QtyIsInt, AND(ISNUMBER(G339), G339=INT(G339)),
    _xlpm.ReqDateIsValid, AND(ISNUMBER(H339), H339&gt;=TODAY()),
    _xlpm.EmailIsValid, RIGHT(I339,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IF(A339="", "", IF(_xlpm.error_messages = "", "Yes", _xlpm.error_messages))
)</f>
        <v/>
      </c>
    </row>
    <row r="340" spans="1:12">
      <c r="A340" s="94"/>
      <c r="B340" s="95"/>
      <c r="C340" s="95"/>
      <c r="D340" s="94"/>
      <c r="E340" s="94"/>
      <c r="F340" s="96"/>
      <c r="G340" s="94"/>
      <c r="H340" s="96"/>
      <c r="I340" s="96"/>
      <c r="J340" s="92"/>
      <c r="K340" s="97"/>
      <c r="L340" s="99" t="str">
        <f ca="1">_xlfn.LET(
    _xlpm.res_no, J340,
    _xlpm.record_sheet, 'MatRes Record'!J:M,
    _xlpm.AllCellsFilled, COUNTA(A340:K340) = 11,
    _xlpm.QtyIsInt, AND(ISNUMBER(G340), G340=INT(G340)),
    _xlpm.ReqDateIsValid, AND(ISNUMBER(H340), H340&gt;=TODAY()),
    _xlpm.EmailIsValid, RIGHT(I340,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IF(A340="", "", IF(_xlpm.error_messages = "", "Yes", _xlpm.error_messages))
)</f>
        <v/>
      </c>
    </row>
    <row r="341" spans="1:12">
      <c r="A341" s="94"/>
      <c r="B341" s="95"/>
      <c r="C341" s="95"/>
      <c r="D341" s="94"/>
      <c r="E341" s="94"/>
      <c r="F341" s="96"/>
      <c r="G341" s="94"/>
      <c r="H341" s="96"/>
      <c r="I341" s="96"/>
      <c r="J341" s="92"/>
      <c r="K341" s="97"/>
      <c r="L341" s="99" t="str">
        <f ca="1">_xlfn.LET(
    _xlpm.res_no, J341,
    _xlpm.record_sheet, 'MatRes Record'!J:M,
    _xlpm.AllCellsFilled, COUNTA(A341:K341) = 11,
    _xlpm.QtyIsInt, AND(ISNUMBER(G341), G341=INT(G341)),
    _xlpm.ReqDateIsValid, AND(ISNUMBER(H341), H341&gt;=TODAY()),
    _xlpm.EmailIsValid, RIGHT(I341,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IF(A341="", "", IF(_xlpm.error_messages = "", "Yes", _xlpm.error_messages))
)</f>
        <v/>
      </c>
    </row>
    <row r="342" spans="1:12">
      <c r="A342" s="94"/>
      <c r="B342" s="95"/>
      <c r="C342" s="95"/>
      <c r="D342" s="94"/>
      <c r="E342" s="94"/>
      <c r="F342" s="96"/>
      <c r="G342" s="94"/>
      <c r="H342" s="96"/>
      <c r="I342" s="96"/>
      <c r="J342" s="92"/>
      <c r="K342" s="97"/>
      <c r="L342" s="99" t="str">
        <f ca="1">_xlfn.LET(
    _xlpm.res_no, J342,
    _xlpm.record_sheet, 'MatRes Record'!J:M,
    _xlpm.AllCellsFilled, COUNTA(A342:K342) = 11,
    _xlpm.QtyIsInt, AND(ISNUMBER(G342), G342=INT(G342)),
    _xlpm.ReqDateIsValid, AND(ISNUMBER(H342), H342&gt;=TODAY()),
    _xlpm.EmailIsValid, RIGHT(I342,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IF(A342="", "", IF(_xlpm.error_messages = "", "Yes", _xlpm.error_messages))
)</f>
        <v/>
      </c>
    </row>
    <row r="343" spans="1:12">
      <c r="A343" s="94"/>
      <c r="B343" s="95"/>
      <c r="C343" s="95"/>
      <c r="D343" s="94"/>
      <c r="E343" s="94"/>
      <c r="F343" s="96"/>
      <c r="G343" s="94"/>
      <c r="H343" s="96"/>
      <c r="I343" s="96"/>
      <c r="J343" s="92"/>
      <c r="K343" s="97"/>
      <c r="L343" s="99" t="str">
        <f ca="1">_xlfn.LET(
    _xlpm.res_no, J343,
    _xlpm.record_sheet, 'MatRes Record'!J:M,
    _xlpm.AllCellsFilled, COUNTA(A343:K343) = 11,
    _xlpm.QtyIsInt, AND(ISNUMBER(G343), G343=INT(G343)),
    _xlpm.ReqDateIsValid, AND(ISNUMBER(H343), H343&gt;=TODAY()),
    _xlpm.EmailIsValid, RIGHT(I343,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IF(A343="", "", IF(_xlpm.error_messages = "", "Yes", _xlpm.error_messages))
)</f>
        <v/>
      </c>
    </row>
    <row r="344" spans="1:12">
      <c r="A344" s="94"/>
      <c r="B344" s="95"/>
      <c r="C344" s="95"/>
      <c r="D344" s="94"/>
      <c r="E344" s="94"/>
      <c r="F344" s="96"/>
      <c r="G344" s="94"/>
      <c r="H344" s="96"/>
      <c r="I344" s="96"/>
      <c r="J344" s="92"/>
      <c r="K344" s="97"/>
      <c r="L344" s="99" t="str">
        <f ca="1">_xlfn.LET(
    _xlpm.res_no, J344,
    _xlpm.record_sheet, 'MatRes Record'!J:M,
    _xlpm.AllCellsFilled, COUNTA(A344:K344) = 11,
    _xlpm.QtyIsInt, AND(ISNUMBER(G344), G344=INT(G344)),
    _xlpm.ReqDateIsValid, AND(ISNUMBER(H344), H344&gt;=TODAY()),
    _xlpm.EmailIsValid, RIGHT(I344,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IF(A344="", "", IF(_xlpm.error_messages = "", "Yes", _xlpm.error_messages))
)</f>
        <v/>
      </c>
    </row>
    <row r="345" spans="1:12">
      <c r="A345" s="94"/>
      <c r="B345" s="95"/>
      <c r="C345" s="95"/>
      <c r="D345" s="94"/>
      <c r="E345" s="94"/>
      <c r="F345" s="96"/>
      <c r="G345" s="94"/>
      <c r="H345" s="96"/>
      <c r="I345" s="96"/>
      <c r="J345" s="92"/>
      <c r="K345" s="97"/>
      <c r="L345" s="99" t="str">
        <f ca="1">_xlfn.LET(
    _xlpm.res_no, J345,
    _xlpm.record_sheet, 'MatRes Record'!J:M,
    _xlpm.AllCellsFilled, COUNTA(A345:K345) = 11,
    _xlpm.QtyIsInt, AND(ISNUMBER(G345), G345=INT(G345)),
    _xlpm.ReqDateIsValid, AND(ISNUMBER(H345), H345&gt;=TODAY()),
    _xlpm.EmailIsValid, RIGHT(I345,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IF(A345="", "", IF(_xlpm.error_messages = "", "Yes", _xlpm.error_messages))
)</f>
        <v/>
      </c>
    </row>
    <row r="346" spans="1:12">
      <c r="A346" s="94"/>
      <c r="B346" s="95"/>
      <c r="C346" s="95"/>
      <c r="D346" s="94"/>
      <c r="E346" s="94"/>
      <c r="F346" s="96"/>
      <c r="G346" s="94"/>
      <c r="H346" s="96"/>
      <c r="I346" s="96"/>
      <c r="J346" s="92"/>
      <c r="K346" s="97"/>
      <c r="L346" s="99" t="str">
        <f ca="1">_xlfn.LET(
    _xlpm.res_no, J346,
    _xlpm.record_sheet, 'MatRes Record'!J:M,
    _xlpm.AllCellsFilled, COUNTA(A346:K346) = 11,
    _xlpm.QtyIsInt, AND(ISNUMBER(G346), G346=INT(G346)),
    _xlpm.ReqDateIsValid, AND(ISNUMBER(H346), H346&gt;=TODAY()),
    _xlpm.EmailIsValid, RIGHT(I346,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IF(A346="", "", IF(_xlpm.error_messages = "", "Yes", _xlpm.error_messages))
)</f>
        <v/>
      </c>
    </row>
    <row r="347" spans="1:12">
      <c r="A347" s="94"/>
      <c r="B347" s="95"/>
      <c r="C347" s="95"/>
      <c r="D347" s="94"/>
      <c r="E347" s="94"/>
      <c r="F347" s="96"/>
      <c r="G347" s="94"/>
      <c r="H347" s="96"/>
      <c r="I347" s="96"/>
      <c r="J347" s="92"/>
      <c r="K347" s="97"/>
      <c r="L347" s="99" t="str">
        <f ca="1">_xlfn.LET(
    _xlpm.res_no, J347,
    _xlpm.record_sheet, 'MatRes Record'!J:M,
    _xlpm.AllCellsFilled, COUNTA(A347:K347) = 11,
    _xlpm.QtyIsInt, AND(ISNUMBER(G347), G347=INT(G347)),
    _xlpm.ReqDateIsValid, AND(ISNUMBER(H347), H347&gt;=TODAY()),
    _xlpm.EmailIsValid, RIGHT(I347,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IF(A347="", "", IF(_xlpm.error_messages = "", "Yes", _xlpm.error_messages))
)</f>
        <v/>
      </c>
    </row>
    <row r="348" spans="1:12">
      <c r="A348" s="94"/>
      <c r="B348" s="95"/>
      <c r="C348" s="95"/>
      <c r="D348" s="94"/>
      <c r="E348" s="94"/>
      <c r="F348" s="96"/>
      <c r="G348" s="94"/>
      <c r="H348" s="96"/>
      <c r="I348" s="96"/>
      <c r="J348" s="92"/>
      <c r="K348" s="97"/>
      <c r="L348" s="99" t="str">
        <f ca="1">_xlfn.LET(
    _xlpm.res_no, J348,
    _xlpm.record_sheet, 'MatRes Record'!J:M,
    _xlpm.AllCellsFilled, COUNTA(A348:K348) = 11,
    _xlpm.QtyIsInt, AND(ISNUMBER(G348), G348=INT(G348)),
    _xlpm.ReqDateIsValid, AND(ISNUMBER(H348), H348&gt;=TODAY()),
    _xlpm.EmailIsValid, RIGHT(I348,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IF(A348="", "", IF(_xlpm.error_messages = "", "Yes", _xlpm.error_messages))
)</f>
        <v/>
      </c>
    </row>
    <row r="349" spans="1:12">
      <c r="A349" s="94"/>
      <c r="B349" s="95"/>
      <c r="C349" s="95"/>
      <c r="D349" s="94"/>
      <c r="E349" s="94"/>
      <c r="F349" s="96"/>
      <c r="G349" s="94"/>
      <c r="H349" s="96"/>
      <c r="I349" s="96"/>
      <c r="J349" s="92"/>
      <c r="K349" s="97"/>
      <c r="L349" s="99" t="str">
        <f ca="1">_xlfn.LET(
    _xlpm.res_no, J349,
    _xlpm.record_sheet, 'MatRes Record'!J:M,
    _xlpm.AllCellsFilled, COUNTA(A349:K349) = 11,
    _xlpm.QtyIsInt, AND(ISNUMBER(G349), G349=INT(G349)),
    _xlpm.ReqDateIsValid, AND(ISNUMBER(H349), H349&gt;=TODAY()),
    _xlpm.EmailIsValid, RIGHT(I349,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IF(A349="", "", IF(_xlpm.error_messages = "", "Yes", _xlpm.error_messages))
)</f>
        <v/>
      </c>
    </row>
    <row r="350" spans="1:12">
      <c r="A350" s="94"/>
      <c r="B350" s="95"/>
      <c r="C350" s="95"/>
      <c r="D350" s="94"/>
      <c r="E350" s="94"/>
      <c r="F350" s="96"/>
      <c r="G350" s="94"/>
      <c r="H350" s="96"/>
      <c r="I350" s="96"/>
      <c r="J350" s="92"/>
      <c r="K350" s="97"/>
      <c r="L350" s="99" t="str">
        <f ca="1">_xlfn.LET(
    _xlpm.res_no, J350,
    _xlpm.record_sheet, 'MatRes Record'!J:M,
    _xlpm.AllCellsFilled, COUNTA(A350:K350) = 11,
    _xlpm.QtyIsInt, AND(ISNUMBER(G350), G350=INT(G350)),
    _xlpm.ReqDateIsValid, AND(ISNUMBER(H350), H350&gt;=TODAY()),
    _xlpm.EmailIsValid, RIGHT(I350,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IF(A350="", "", IF(_xlpm.error_messages = "", "Yes", _xlpm.error_messages))
)</f>
        <v/>
      </c>
    </row>
    <row r="351" spans="1:12">
      <c r="A351" s="94"/>
      <c r="B351" s="95"/>
      <c r="C351" s="95"/>
      <c r="D351" s="94"/>
      <c r="E351" s="94"/>
      <c r="F351" s="96"/>
      <c r="G351" s="94"/>
      <c r="H351" s="96"/>
      <c r="I351" s="96"/>
      <c r="J351" s="92"/>
      <c r="K351" s="97"/>
      <c r="L351" s="99" t="str">
        <f ca="1">_xlfn.LET(
    _xlpm.res_no, J351,
    _xlpm.record_sheet, 'MatRes Record'!J:M,
    _xlpm.AllCellsFilled, COUNTA(A351:K351) = 11,
    _xlpm.QtyIsInt, AND(ISNUMBER(G351), G351=INT(G351)),
    _xlpm.ReqDateIsValid, AND(ISNUMBER(H351), H351&gt;=TODAY()),
    _xlpm.EmailIsValid, RIGHT(I351,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IF(A351="", "", IF(_xlpm.error_messages = "", "Yes", _xlpm.error_messages))
)</f>
        <v/>
      </c>
    </row>
    <row r="352" spans="1:12">
      <c r="A352" s="94"/>
      <c r="B352" s="95"/>
      <c r="C352" s="95"/>
      <c r="D352" s="94"/>
      <c r="E352" s="94"/>
      <c r="F352" s="96"/>
      <c r="G352" s="94"/>
      <c r="H352" s="96"/>
      <c r="I352" s="96"/>
      <c r="J352" s="92"/>
      <c r="K352" s="97"/>
      <c r="L352" s="99" t="str">
        <f ca="1">_xlfn.LET(
    _xlpm.res_no, J352,
    _xlpm.record_sheet, 'MatRes Record'!J:M,
    _xlpm.AllCellsFilled, COUNTA(A352:K352) = 11,
    _xlpm.QtyIsInt, AND(ISNUMBER(G352), G352=INT(G352)),
    _xlpm.ReqDateIsValid, AND(ISNUMBER(H352), H352&gt;=TODAY()),
    _xlpm.EmailIsValid, RIGHT(I352,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IF(A352="", "", IF(_xlpm.error_messages = "", "Yes", _xlpm.error_messages))
)</f>
        <v/>
      </c>
    </row>
    <row r="353" spans="1:12">
      <c r="A353" s="94"/>
      <c r="B353" s="95"/>
      <c r="C353" s="95"/>
      <c r="D353" s="94"/>
      <c r="E353" s="94"/>
      <c r="F353" s="96"/>
      <c r="G353" s="94"/>
      <c r="H353" s="96"/>
      <c r="I353" s="96"/>
      <c r="J353" s="92"/>
      <c r="K353" s="97"/>
      <c r="L353" s="99" t="str">
        <f ca="1">_xlfn.LET(
    _xlpm.res_no, J353,
    _xlpm.record_sheet, 'MatRes Record'!J:M,
    _xlpm.AllCellsFilled, COUNTA(A353:K353) = 11,
    _xlpm.QtyIsInt, AND(ISNUMBER(G353), G353=INT(G353)),
    _xlpm.ReqDateIsValid, AND(ISNUMBER(H353), H353&gt;=TODAY()),
    _xlpm.EmailIsValid, RIGHT(I353,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IF(A353="", "", IF(_xlpm.error_messages = "", "Yes", _xlpm.error_messages))
)</f>
        <v/>
      </c>
    </row>
    <row r="354" spans="1:12">
      <c r="A354" s="94"/>
      <c r="B354" s="95"/>
      <c r="C354" s="95"/>
      <c r="D354" s="94"/>
      <c r="E354" s="94"/>
      <c r="F354" s="96"/>
      <c r="G354" s="94"/>
      <c r="H354" s="96"/>
      <c r="I354" s="96"/>
      <c r="J354" s="92"/>
      <c r="K354" s="97"/>
      <c r="L354" s="99" t="str">
        <f ca="1">_xlfn.LET(
    _xlpm.res_no, J354,
    _xlpm.record_sheet, 'MatRes Record'!J:M,
    _xlpm.AllCellsFilled, COUNTA(A354:K354) = 11,
    _xlpm.QtyIsInt, AND(ISNUMBER(G354), G354=INT(G354)),
    _xlpm.ReqDateIsValid, AND(ISNUMBER(H354), H354&gt;=TODAY()),
    _xlpm.EmailIsValid, RIGHT(I354,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IF(A354="", "", IF(_xlpm.error_messages = "", "Yes", _xlpm.error_messages))
)</f>
        <v/>
      </c>
    </row>
    <row r="355" spans="1:12">
      <c r="A355" s="94"/>
      <c r="B355" s="95"/>
      <c r="C355" s="95"/>
      <c r="D355" s="94"/>
      <c r="E355" s="94"/>
      <c r="F355" s="96"/>
      <c r="G355" s="94"/>
      <c r="H355" s="96"/>
      <c r="I355" s="96"/>
      <c r="J355" s="92"/>
      <c r="K355" s="97"/>
      <c r="L355" s="99" t="str">
        <f ca="1">_xlfn.LET(
    _xlpm.res_no, J355,
    _xlpm.record_sheet, 'MatRes Record'!J:M,
    _xlpm.AllCellsFilled, COUNTA(A355:K355) = 11,
    _xlpm.QtyIsInt, AND(ISNUMBER(G355), G355=INT(G355)),
    _xlpm.ReqDateIsValid, AND(ISNUMBER(H355), H355&gt;=TODAY()),
    _xlpm.EmailIsValid, RIGHT(I355,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IF(A355="", "", IF(_xlpm.error_messages = "", "Yes", _xlpm.error_messages))
)</f>
        <v/>
      </c>
    </row>
    <row r="356" spans="1:12">
      <c r="A356" s="94"/>
      <c r="B356" s="95"/>
      <c r="C356" s="95"/>
      <c r="D356" s="94"/>
      <c r="E356" s="94"/>
      <c r="F356" s="96"/>
      <c r="G356" s="94"/>
      <c r="H356" s="96"/>
      <c r="I356" s="96"/>
      <c r="J356" s="92"/>
      <c r="K356" s="97"/>
      <c r="L356" s="99" t="str">
        <f ca="1">_xlfn.LET(
    _xlpm.res_no, J356,
    _xlpm.record_sheet, 'MatRes Record'!J:M,
    _xlpm.AllCellsFilled, COUNTA(A356:K356) = 11,
    _xlpm.QtyIsInt, AND(ISNUMBER(G356), G356=INT(G356)),
    _xlpm.ReqDateIsValid, AND(ISNUMBER(H356), H356&gt;=TODAY()),
    _xlpm.EmailIsValid, RIGHT(I356,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IF(A356="", "", IF(_xlpm.error_messages = "", "Yes", _xlpm.error_messages))
)</f>
        <v/>
      </c>
    </row>
    <row r="357" spans="1:12">
      <c r="A357" s="94"/>
      <c r="B357" s="95"/>
      <c r="C357" s="95"/>
      <c r="D357" s="94"/>
      <c r="E357" s="94"/>
      <c r="F357" s="96"/>
      <c r="G357" s="94"/>
      <c r="H357" s="96"/>
      <c r="I357" s="96"/>
      <c r="J357" s="92"/>
      <c r="K357" s="97"/>
      <c r="L357" s="99" t="str">
        <f ca="1">_xlfn.LET(
    _xlpm.res_no, J357,
    _xlpm.record_sheet, 'MatRes Record'!J:M,
    _xlpm.AllCellsFilled, COUNTA(A357:K357) = 11,
    _xlpm.QtyIsInt, AND(ISNUMBER(G357), G357=INT(G357)),
    _xlpm.ReqDateIsValid, AND(ISNUMBER(H357), H357&gt;=TODAY()),
    _xlpm.EmailIsValid, RIGHT(I357,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IF(A357="", "", IF(_xlpm.error_messages = "", "Yes", _xlpm.error_messages))
)</f>
        <v/>
      </c>
    </row>
    <row r="358" spans="1:12">
      <c r="A358" s="94"/>
      <c r="B358" s="95"/>
      <c r="C358" s="95"/>
      <c r="D358" s="94"/>
      <c r="E358" s="94"/>
      <c r="F358" s="96"/>
      <c r="G358" s="94"/>
      <c r="H358" s="96"/>
      <c r="I358" s="96"/>
      <c r="J358" s="92"/>
      <c r="K358" s="97"/>
      <c r="L358" s="99" t="str">
        <f ca="1">_xlfn.LET(
    _xlpm.res_no, J358,
    _xlpm.record_sheet, 'MatRes Record'!J:M,
    _xlpm.AllCellsFilled, COUNTA(A358:K358) = 11,
    _xlpm.QtyIsInt, AND(ISNUMBER(G358), G358=INT(G358)),
    _xlpm.ReqDateIsValid, AND(ISNUMBER(H358), H358&gt;=TODAY()),
    _xlpm.EmailIsValid, RIGHT(I358,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IF(A358="", "", IF(_xlpm.error_messages = "", "Yes", _xlpm.error_messages))
)</f>
        <v/>
      </c>
    </row>
    <row r="359" spans="1:12">
      <c r="A359" s="94"/>
      <c r="B359" s="95"/>
      <c r="C359" s="95"/>
      <c r="D359" s="94"/>
      <c r="E359" s="94"/>
      <c r="F359" s="96"/>
      <c r="G359" s="94"/>
      <c r="H359" s="96"/>
      <c r="I359" s="96"/>
      <c r="J359" s="92"/>
      <c r="K359" s="97"/>
      <c r="L359" s="99" t="str">
        <f ca="1">_xlfn.LET(
    _xlpm.res_no, J359,
    _xlpm.record_sheet, 'MatRes Record'!J:M,
    _xlpm.AllCellsFilled, COUNTA(A359:K359) = 11,
    _xlpm.QtyIsInt, AND(ISNUMBER(G359), G359=INT(G359)),
    _xlpm.ReqDateIsValid, AND(ISNUMBER(H359), H359&gt;=TODAY()),
    _xlpm.EmailIsValid, RIGHT(I359,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IF(A359="", "", IF(_xlpm.error_messages = "", "Yes", _xlpm.error_messages))
)</f>
        <v/>
      </c>
    </row>
    <row r="360" spans="1:12">
      <c r="A360" s="94"/>
      <c r="B360" s="95"/>
      <c r="C360" s="95"/>
      <c r="D360" s="94"/>
      <c r="E360" s="94"/>
      <c r="F360" s="96"/>
      <c r="G360" s="94"/>
      <c r="H360" s="96"/>
      <c r="I360" s="96"/>
      <c r="J360" s="92"/>
      <c r="K360" s="97"/>
      <c r="L360" s="99" t="str">
        <f ca="1">_xlfn.LET(
    _xlpm.res_no, J360,
    _xlpm.record_sheet, 'MatRes Record'!J:M,
    _xlpm.AllCellsFilled, COUNTA(A360:K360) = 11,
    _xlpm.QtyIsInt, AND(ISNUMBER(G360), G360=INT(G360)),
    _xlpm.ReqDateIsValid, AND(ISNUMBER(H360), H360&gt;=TODAY()),
    _xlpm.EmailIsValid, RIGHT(I360,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IF(A360="", "", IF(_xlpm.error_messages = "", "Yes", _xlpm.error_messages))
)</f>
        <v/>
      </c>
    </row>
    <row r="361" spans="1:12">
      <c r="A361" s="94"/>
      <c r="B361" s="95"/>
      <c r="C361" s="95"/>
      <c r="D361" s="94"/>
      <c r="E361" s="94"/>
      <c r="F361" s="96"/>
      <c r="G361" s="94"/>
      <c r="H361" s="96"/>
      <c r="I361" s="96"/>
      <c r="J361" s="92"/>
      <c r="K361" s="97"/>
      <c r="L361" s="99" t="str">
        <f ca="1">_xlfn.LET(
    _xlpm.res_no, J361,
    _xlpm.record_sheet, 'MatRes Record'!J:M,
    _xlpm.AllCellsFilled, COUNTA(A361:K361) = 11,
    _xlpm.QtyIsInt, AND(ISNUMBER(G361), G361=INT(G361)),
    _xlpm.ReqDateIsValid, AND(ISNUMBER(H361), H361&gt;=TODAY()),
    _xlpm.EmailIsValid, RIGHT(I361,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IF(A361="", "", IF(_xlpm.error_messages = "", "Yes", _xlpm.error_messages))
)</f>
        <v/>
      </c>
    </row>
    <row r="362" spans="1:12">
      <c r="A362" s="94"/>
      <c r="B362" s="95"/>
      <c r="C362" s="95"/>
      <c r="D362" s="94"/>
      <c r="E362" s="94"/>
      <c r="F362" s="96"/>
      <c r="G362" s="94"/>
      <c r="H362" s="96"/>
      <c r="I362" s="96"/>
      <c r="J362" s="92"/>
      <c r="K362" s="97"/>
      <c r="L362" s="99" t="str">
        <f ca="1">_xlfn.LET(
    _xlpm.res_no, J362,
    _xlpm.record_sheet, 'MatRes Record'!J:M,
    _xlpm.AllCellsFilled, COUNTA(A362:K362) = 11,
    _xlpm.QtyIsInt, AND(ISNUMBER(G362), G362=INT(G362)),
    _xlpm.ReqDateIsValid, AND(ISNUMBER(H362), H362&gt;=TODAY()),
    _xlpm.EmailIsValid, RIGHT(I362,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IF(A362="", "", IF(_xlpm.error_messages = "", "Yes", _xlpm.error_messages))
)</f>
        <v/>
      </c>
    </row>
    <row r="363" spans="1:12">
      <c r="A363" s="94"/>
      <c r="B363" s="95"/>
      <c r="C363" s="95"/>
      <c r="D363" s="94"/>
      <c r="E363" s="94"/>
      <c r="F363" s="96"/>
      <c r="G363" s="94"/>
      <c r="H363" s="96"/>
      <c r="I363" s="96"/>
      <c r="J363" s="92"/>
      <c r="K363" s="97"/>
      <c r="L363" s="99" t="str">
        <f ca="1">_xlfn.LET(
    _xlpm.res_no, J363,
    _xlpm.record_sheet, 'MatRes Record'!J:M,
    _xlpm.AllCellsFilled, COUNTA(A363:K363) = 11,
    _xlpm.QtyIsInt, AND(ISNUMBER(G363), G363=INT(G363)),
    _xlpm.ReqDateIsValid, AND(ISNUMBER(H363), H363&gt;=TODAY()),
    _xlpm.EmailIsValid, RIGHT(I363,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IF(A363="", "", IF(_xlpm.error_messages = "", "Yes", _xlpm.error_messages))
)</f>
        <v/>
      </c>
    </row>
    <row r="364" spans="1:12">
      <c r="A364" s="94"/>
      <c r="B364" s="95"/>
      <c r="C364" s="95"/>
      <c r="D364" s="94"/>
      <c r="E364" s="94"/>
      <c r="F364" s="96"/>
      <c r="G364" s="94"/>
      <c r="H364" s="96"/>
      <c r="I364" s="96"/>
      <c r="J364" s="92"/>
      <c r="K364" s="97"/>
      <c r="L364" s="99" t="str">
        <f ca="1">_xlfn.LET(
    _xlpm.res_no, J364,
    _xlpm.record_sheet, 'MatRes Record'!J:M,
    _xlpm.AllCellsFilled, COUNTA(A364:K364) = 11,
    _xlpm.QtyIsInt, AND(ISNUMBER(G364), G364=INT(G364)),
    _xlpm.ReqDateIsValid, AND(ISNUMBER(H364), H364&gt;=TODAY()),
    _xlpm.EmailIsValid, RIGHT(I364,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IF(A364="", "", IF(_xlpm.error_messages = "", "Yes", _xlpm.error_messages))
)</f>
        <v/>
      </c>
    </row>
    <row r="365" spans="1:12">
      <c r="A365" s="94"/>
      <c r="B365" s="95"/>
      <c r="C365" s="95"/>
      <c r="D365" s="94"/>
      <c r="E365" s="94"/>
      <c r="F365" s="96"/>
      <c r="G365" s="94"/>
      <c r="H365" s="96"/>
      <c r="I365" s="96"/>
      <c r="J365" s="92"/>
      <c r="K365" s="97"/>
      <c r="L365" s="99" t="str">
        <f ca="1">_xlfn.LET(
    _xlpm.res_no, J365,
    _xlpm.record_sheet, 'MatRes Record'!J:M,
    _xlpm.AllCellsFilled, COUNTA(A365:K365) = 11,
    _xlpm.QtyIsInt, AND(ISNUMBER(G365), G365=INT(G365)),
    _xlpm.ReqDateIsValid, AND(ISNUMBER(H365), H365&gt;=TODAY()),
    _xlpm.EmailIsValid, RIGHT(I365,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IF(A365="", "", IF(_xlpm.error_messages = "", "Yes", _xlpm.error_messages))
)</f>
        <v/>
      </c>
    </row>
    <row r="366" spans="1:12">
      <c r="A366" s="94"/>
      <c r="B366" s="95"/>
      <c r="C366" s="95"/>
      <c r="D366" s="94"/>
      <c r="E366" s="94"/>
      <c r="F366" s="96"/>
      <c r="G366" s="94"/>
      <c r="H366" s="96"/>
      <c r="I366" s="96"/>
      <c r="J366" s="92"/>
      <c r="K366" s="97"/>
      <c r="L366" s="99" t="str">
        <f ca="1">_xlfn.LET(
    _xlpm.res_no, J366,
    _xlpm.record_sheet, 'MatRes Record'!J:M,
    _xlpm.AllCellsFilled, COUNTA(A366:K366) = 11,
    _xlpm.QtyIsInt, AND(ISNUMBER(G366), G366=INT(G366)),
    _xlpm.ReqDateIsValid, AND(ISNUMBER(H366), H366&gt;=TODAY()),
    _xlpm.EmailIsValid, RIGHT(I366,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IF(A366="", "", IF(_xlpm.error_messages = "", "Yes", _xlpm.error_messages))
)</f>
        <v/>
      </c>
    </row>
    <row r="367" spans="1:12">
      <c r="A367" s="94"/>
      <c r="B367" s="95"/>
      <c r="C367" s="95"/>
      <c r="D367" s="94"/>
      <c r="E367" s="94"/>
      <c r="F367" s="96"/>
      <c r="G367" s="94"/>
      <c r="H367" s="96"/>
      <c r="I367" s="96"/>
      <c r="J367" s="92"/>
      <c r="K367" s="97"/>
      <c r="L367" s="99" t="str">
        <f ca="1">_xlfn.LET(
    _xlpm.res_no, J367,
    _xlpm.record_sheet, 'MatRes Record'!J:M,
    _xlpm.AllCellsFilled, COUNTA(A367:K367) = 11,
    _xlpm.QtyIsInt, AND(ISNUMBER(G367), G367=INT(G367)),
    _xlpm.ReqDateIsValid, AND(ISNUMBER(H367), H367&gt;=TODAY()),
    _xlpm.EmailIsValid, RIGHT(I367,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IF(A367="", "", IF(_xlpm.error_messages = "", "Yes", _xlpm.error_messages))
)</f>
        <v/>
      </c>
    </row>
    <row r="368" spans="1:12">
      <c r="A368" s="94"/>
      <c r="B368" s="95"/>
      <c r="C368" s="95"/>
      <c r="D368" s="94"/>
      <c r="E368" s="94"/>
      <c r="F368" s="96"/>
      <c r="G368" s="94"/>
      <c r="H368" s="96"/>
      <c r="I368" s="96"/>
      <c r="J368" s="92"/>
      <c r="K368" s="97"/>
      <c r="L368" s="99" t="str">
        <f ca="1">_xlfn.LET(
    _xlpm.res_no, J368,
    _xlpm.record_sheet, 'MatRes Record'!J:M,
    _xlpm.AllCellsFilled, COUNTA(A368:K368) = 11,
    _xlpm.QtyIsInt, AND(ISNUMBER(G368), G368=INT(G368)),
    _xlpm.ReqDateIsValid, AND(ISNUMBER(H368), H368&gt;=TODAY()),
    _xlpm.EmailIsValid, RIGHT(I368,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IF(A368="", "", IF(_xlpm.error_messages = "", "Yes", _xlpm.error_messages))
)</f>
        <v/>
      </c>
    </row>
    <row r="369" spans="1:12">
      <c r="A369" s="94"/>
      <c r="B369" s="95"/>
      <c r="C369" s="95"/>
      <c r="D369" s="94"/>
      <c r="E369" s="94"/>
      <c r="F369" s="96"/>
      <c r="G369" s="94"/>
      <c r="H369" s="96"/>
      <c r="I369" s="96"/>
      <c r="J369" s="92"/>
      <c r="K369" s="97"/>
      <c r="L369" s="99" t="str">
        <f ca="1">_xlfn.LET(
    _xlpm.res_no, J369,
    _xlpm.record_sheet, 'MatRes Record'!J:M,
    _xlpm.AllCellsFilled, COUNTA(A369:K369) = 11,
    _xlpm.QtyIsInt, AND(ISNUMBER(G369), G369=INT(G369)),
    _xlpm.ReqDateIsValid, AND(ISNUMBER(H369), H369&gt;=TODAY()),
    _xlpm.EmailIsValid, RIGHT(I369,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IF(A369="", "", IF(_xlpm.error_messages = "", "Yes", _xlpm.error_messages))
)</f>
        <v/>
      </c>
    </row>
    <row r="370" spans="1:12">
      <c r="A370" s="94"/>
      <c r="B370" s="95"/>
      <c r="C370" s="95"/>
      <c r="D370" s="94"/>
      <c r="E370" s="94"/>
      <c r="F370" s="96"/>
      <c r="G370" s="94"/>
      <c r="H370" s="96"/>
      <c r="I370" s="96"/>
      <c r="J370" s="92"/>
      <c r="K370" s="97"/>
      <c r="L370" s="99" t="str">
        <f ca="1">_xlfn.LET(
    _xlpm.res_no, J370,
    _xlpm.record_sheet, 'MatRes Record'!J:M,
    _xlpm.AllCellsFilled, COUNTA(A370:K370) = 11,
    _xlpm.QtyIsInt, AND(ISNUMBER(G370), G370=INT(G370)),
    _xlpm.ReqDateIsValid, AND(ISNUMBER(H370), H370&gt;=TODAY()),
    _xlpm.EmailIsValid, RIGHT(I370,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IF(A370="", "", IF(_xlpm.error_messages = "", "Yes", _xlpm.error_messages))
)</f>
        <v/>
      </c>
    </row>
    <row r="371" spans="1:12">
      <c r="A371" s="94"/>
      <c r="B371" s="95"/>
      <c r="C371" s="95"/>
      <c r="D371" s="94"/>
      <c r="E371" s="94"/>
      <c r="F371" s="96"/>
      <c r="G371" s="94"/>
      <c r="H371" s="96"/>
      <c r="I371" s="96"/>
      <c r="J371" s="92"/>
      <c r="K371" s="97"/>
      <c r="L371" s="99" t="str">
        <f ca="1">_xlfn.LET(
    _xlpm.res_no, J371,
    _xlpm.record_sheet, 'MatRes Record'!J:M,
    _xlpm.AllCellsFilled, COUNTA(A371:K371) = 11,
    _xlpm.QtyIsInt, AND(ISNUMBER(G371), G371=INT(G371)),
    _xlpm.ReqDateIsValid, AND(ISNUMBER(H371), H371&gt;=TODAY()),
    _xlpm.EmailIsValid, RIGHT(I371,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IF(A371="", "", IF(_xlpm.error_messages = "", "Yes", _xlpm.error_messages))
)</f>
        <v/>
      </c>
    </row>
    <row r="372" spans="1:12">
      <c r="A372" s="94"/>
      <c r="B372" s="95"/>
      <c r="C372" s="95"/>
      <c r="D372" s="94"/>
      <c r="E372" s="94"/>
      <c r="F372" s="96"/>
      <c r="G372" s="94"/>
      <c r="H372" s="96"/>
      <c r="I372" s="96"/>
      <c r="J372" s="92"/>
      <c r="K372" s="97"/>
      <c r="L372" s="99" t="str">
        <f ca="1">_xlfn.LET(
    _xlpm.res_no, J372,
    _xlpm.record_sheet, 'MatRes Record'!J:M,
    _xlpm.AllCellsFilled, COUNTA(A372:K372) = 11,
    _xlpm.QtyIsInt, AND(ISNUMBER(G372), G372=INT(G372)),
    _xlpm.ReqDateIsValid, AND(ISNUMBER(H372), H372&gt;=TODAY()),
    _xlpm.EmailIsValid, RIGHT(I372,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IF(A372="", "", IF(_xlpm.error_messages = "", "Yes", _xlpm.error_messages))
)</f>
        <v/>
      </c>
    </row>
    <row r="373" spans="1:12">
      <c r="A373" s="94"/>
      <c r="B373" s="95"/>
      <c r="C373" s="95"/>
      <c r="D373" s="94"/>
      <c r="E373" s="94"/>
      <c r="F373" s="96"/>
      <c r="G373" s="94"/>
      <c r="H373" s="96"/>
      <c r="I373" s="96"/>
      <c r="J373" s="92"/>
      <c r="K373" s="97"/>
      <c r="L373" s="99" t="str">
        <f ca="1">_xlfn.LET(
    _xlpm.res_no, J373,
    _xlpm.record_sheet, 'MatRes Record'!J:M,
    _xlpm.AllCellsFilled, COUNTA(A373:K373) = 11,
    _xlpm.QtyIsInt, AND(ISNUMBER(G373), G373=INT(G373)),
    _xlpm.ReqDateIsValid, AND(ISNUMBER(H373), H373&gt;=TODAY()),
    _xlpm.EmailIsValid, RIGHT(I373,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IF(A373="", "", IF(_xlpm.error_messages = "", "Yes", _xlpm.error_messages))
)</f>
        <v/>
      </c>
    </row>
    <row r="374" spans="1:12">
      <c r="A374" s="94"/>
      <c r="B374" s="95"/>
      <c r="C374" s="95"/>
      <c r="D374" s="94"/>
      <c r="E374" s="94"/>
      <c r="F374" s="96"/>
      <c r="G374" s="94"/>
      <c r="H374" s="96"/>
      <c r="I374" s="96"/>
      <c r="J374" s="92"/>
      <c r="K374" s="97"/>
      <c r="L374" s="99" t="str">
        <f ca="1">_xlfn.LET(
    _xlpm.res_no, J374,
    _xlpm.record_sheet, 'MatRes Record'!J:M,
    _xlpm.AllCellsFilled, COUNTA(A374:K374) = 11,
    _xlpm.QtyIsInt, AND(ISNUMBER(G374), G374=INT(G374)),
    _xlpm.ReqDateIsValid, AND(ISNUMBER(H374), H374&gt;=TODAY()),
    _xlpm.EmailIsValid, RIGHT(I374,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IF(A374="", "", IF(_xlpm.error_messages = "", "Yes", _xlpm.error_messages))
)</f>
        <v/>
      </c>
    </row>
    <row r="375" spans="1:12">
      <c r="A375" s="94"/>
      <c r="B375" s="95"/>
      <c r="C375" s="95"/>
      <c r="D375" s="94"/>
      <c r="E375" s="94"/>
      <c r="F375" s="96"/>
      <c r="G375" s="94"/>
      <c r="H375" s="96"/>
      <c r="I375" s="96"/>
      <c r="J375" s="92"/>
      <c r="K375" s="97"/>
      <c r="L375" s="99" t="str">
        <f ca="1">_xlfn.LET(
    _xlpm.res_no, J375,
    _xlpm.record_sheet, 'MatRes Record'!J:M,
    _xlpm.AllCellsFilled, COUNTA(A375:K375) = 11,
    _xlpm.QtyIsInt, AND(ISNUMBER(G375), G375=INT(G375)),
    _xlpm.ReqDateIsValid, AND(ISNUMBER(H375), H375&gt;=TODAY()),
    _xlpm.EmailIsValid, RIGHT(I375,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IF(A375="", "", IF(_xlpm.error_messages = "", "Yes", _xlpm.error_messages))
)</f>
        <v/>
      </c>
    </row>
    <row r="376" spans="1:12">
      <c r="A376" s="94"/>
      <c r="B376" s="95"/>
      <c r="C376" s="95"/>
      <c r="D376" s="94"/>
      <c r="E376" s="94"/>
      <c r="F376" s="96"/>
      <c r="G376" s="94"/>
      <c r="H376" s="96"/>
      <c r="I376" s="96"/>
      <c r="J376" s="92"/>
      <c r="K376" s="97"/>
      <c r="L376" s="99" t="str">
        <f ca="1">_xlfn.LET(
    _xlpm.res_no, J376,
    _xlpm.record_sheet, 'MatRes Record'!J:M,
    _xlpm.AllCellsFilled, COUNTA(A376:K376) = 11,
    _xlpm.QtyIsInt, AND(ISNUMBER(G376), G376=INT(G376)),
    _xlpm.ReqDateIsValid, AND(ISNUMBER(H376), H376&gt;=TODAY()),
    _xlpm.EmailIsValid, RIGHT(I376,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IF(A376="", "", IF(_xlpm.error_messages = "", "Yes", _xlpm.error_messages))
)</f>
        <v/>
      </c>
    </row>
    <row r="377" spans="1:12">
      <c r="A377" s="94"/>
      <c r="B377" s="95"/>
      <c r="C377" s="95"/>
      <c r="D377" s="94"/>
      <c r="E377" s="94"/>
      <c r="F377" s="96"/>
      <c r="G377" s="94"/>
      <c r="H377" s="96"/>
      <c r="I377" s="96"/>
      <c r="J377" s="92"/>
      <c r="K377" s="97"/>
      <c r="L377" s="99" t="str">
        <f ca="1">_xlfn.LET(
    _xlpm.res_no, J377,
    _xlpm.record_sheet, 'MatRes Record'!J:M,
    _xlpm.AllCellsFilled, COUNTA(A377:K377) = 11,
    _xlpm.QtyIsInt, AND(ISNUMBER(G377), G377=INT(G377)),
    _xlpm.ReqDateIsValid, AND(ISNUMBER(H377), H377&gt;=TODAY()),
    _xlpm.EmailIsValid, RIGHT(I377,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IF(A377="", "", IF(_xlpm.error_messages = "", "Yes", _xlpm.error_messages))
)</f>
        <v/>
      </c>
    </row>
    <row r="378" spans="1:12">
      <c r="A378" s="94"/>
      <c r="B378" s="95"/>
      <c r="C378" s="95"/>
      <c r="D378" s="94"/>
      <c r="E378" s="94"/>
      <c r="F378" s="96"/>
      <c r="G378" s="94"/>
      <c r="H378" s="96"/>
      <c r="I378" s="96"/>
      <c r="J378" s="92"/>
      <c r="K378" s="97"/>
      <c r="L378" s="99" t="str">
        <f ca="1">_xlfn.LET(
    _xlpm.res_no, J378,
    _xlpm.record_sheet, 'MatRes Record'!J:M,
    _xlpm.AllCellsFilled, COUNTA(A378:K378) = 11,
    _xlpm.QtyIsInt, AND(ISNUMBER(G378), G378=INT(G378)),
    _xlpm.ReqDateIsValid, AND(ISNUMBER(H378), H378&gt;=TODAY()),
    _xlpm.EmailIsValid, RIGHT(I378,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IF(A378="", "", IF(_xlpm.error_messages = "", "Yes", _xlpm.error_messages))
)</f>
        <v/>
      </c>
    </row>
    <row r="379" spans="1:12">
      <c r="A379" s="94"/>
      <c r="B379" s="95"/>
      <c r="C379" s="95"/>
      <c r="D379" s="94"/>
      <c r="E379" s="94"/>
      <c r="F379" s="96"/>
      <c r="G379" s="94"/>
      <c r="H379" s="96"/>
      <c r="I379" s="96"/>
      <c r="J379" s="92"/>
      <c r="K379" s="97"/>
      <c r="L379" s="99" t="str">
        <f ca="1">_xlfn.LET(
    _xlpm.res_no, J379,
    _xlpm.record_sheet, 'MatRes Record'!J:M,
    _xlpm.AllCellsFilled, COUNTA(A379:K379) = 11,
    _xlpm.QtyIsInt, AND(ISNUMBER(G379), G379=INT(G379)),
    _xlpm.ReqDateIsValid, AND(ISNUMBER(H379), H379&gt;=TODAY()),
    _xlpm.EmailIsValid, RIGHT(I379,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IF(A379="", "", IF(_xlpm.error_messages = "", "Yes", _xlpm.error_messages))
)</f>
        <v/>
      </c>
    </row>
    <row r="380" spans="1:12">
      <c r="A380" s="94"/>
      <c r="B380" s="95"/>
      <c r="C380" s="95"/>
      <c r="D380" s="94"/>
      <c r="E380" s="94"/>
      <c r="F380" s="96"/>
      <c r="G380" s="94"/>
      <c r="H380" s="96"/>
      <c r="I380" s="96"/>
      <c r="J380" s="92"/>
      <c r="K380" s="97"/>
      <c r="L380" s="99" t="str">
        <f ca="1">_xlfn.LET(
    _xlpm.res_no, J380,
    _xlpm.record_sheet, 'MatRes Record'!J:M,
    _xlpm.AllCellsFilled, COUNTA(A380:K380) = 11,
    _xlpm.QtyIsInt, AND(ISNUMBER(G380), G380=INT(G380)),
    _xlpm.ReqDateIsValid, AND(ISNUMBER(H380), H380&gt;=TODAY()),
    _xlpm.EmailIsValid, RIGHT(I380,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IF(A380="", "", IF(_xlpm.error_messages = "", "Yes", _xlpm.error_messages))
)</f>
        <v/>
      </c>
    </row>
    <row r="381" spans="1:12">
      <c r="A381" s="94"/>
      <c r="B381" s="95"/>
      <c r="C381" s="95"/>
      <c r="D381" s="94"/>
      <c r="E381" s="94"/>
      <c r="F381" s="96"/>
      <c r="G381" s="94"/>
      <c r="H381" s="96"/>
      <c r="I381" s="96"/>
      <c r="J381" s="92"/>
      <c r="K381" s="97"/>
      <c r="L381" s="99" t="str">
        <f ca="1">_xlfn.LET(
    _xlpm.res_no, J381,
    _xlpm.record_sheet, 'MatRes Record'!J:M,
    _xlpm.AllCellsFilled, COUNTA(A381:K381) = 11,
    _xlpm.QtyIsInt, AND(ISNUMBER(G381), G381=INT(G381)),
    _xlpm.ReqDateIsValid, AND(ISNUMBER(H381), H381&gt;=TODAY()),
    _xlpm.EmailIsValid, RIGHT(I381,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IF(A381="", "", IF(_xlpm.error_messages = "", "Yes", _xlpm.error_messages))
)</f>
        <v/>
      </c>
    </row>
    <row r="382" spans="1:12">
      <c r="A382" s="94"/>
      <c r="B382" s="95"/>
      <c r="C382" s="95"/>
      <c r="D382" s="94"/>
      <c r="E382" s="94"/>
      <c r="F382" s="96"/>
      <c r="G382" s="94"/>
      <c r="H382" s="96"/>
      <c r="I382" s="96"/>
      <c r="J382" s="92"/>
      <c r="K382" s="97"/>
      <c r="L382" s="99" t="str">
        <f ca="1">_xlfn.LET(
    _xlpm.res_no, J382,
    _xlpm.record_sheet, 'MatRes Record'!J:M,
    _xlpm.AllCellsFilled, COUNTA(A382:K382) = 11,
    _xlpm.QtyIsInt, AND(ISNUMBER(G382), G382=INT(G382)),
    _xlpm.ReqDateIsValid, AND(ISNUMBER(H382), H382&gt;=TODAY()),
    _xlpm.EmailIsValid, RIGHT(I382,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IF(A382="", "", IF(_xlpm.error_messages = "", "Yes", _xlpm.error_messages))
)</f>
        <v/>
      </c>
    </row>
    <row r="383" spans="1:12">
      <c r="A383" s="94"/>
      <c r="B383" s="95"/>
      <c r="C383" s="95"/>
      <c r="D383" s="94"/>
      <c r="E383" s="94"/>
      <c r="F383" s="96"/>
      <c r="G383" s="94"/>
      <c r="H383" s="96"/>
      <c r="I383" s="96"/>
      <c r="J383" s="92"/>
      <c r="K383" s="97"/>
      <c r="L383" s="99" t="str">
        <f ca="1">_xlfn.LET(
    _xlpm.res_no, J383,
    _xlpm.record_sheet, 'MatRes Record'!J:M,
    _xlpm.AllCellsFilled, COUNTA(A383:K383) = 11,
    _xlpm.QtyIsInt, AND(ISNUMBER(G383), G383=INT(G383)),
    _xlpm.ReqDateIsValid, AND(ISNUMBER(H383), H383&gt;=TODAY()),
    _xlpm.EmailIsValid, RIGHT(I383,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IF(A383="", "", IF(_xlpm.error_messages = "", "Yes", _xlpm.error_messages))
)</f>
        <v/>
      </c>
    </row>
    <row r="384" spans="1:12">
      <c r="A384" s="94"/>
      <c r="B384" s="95"/>
      <c r="C384" s="95"/>
      <c r="D384" s="94"/>
      <c r="E384" s="94"/>
      <c r="F384" s="96"/>
      <c r="G384" s="94"/>
      <c r="H384" s="96"/>
      <c r="I384" s="96"/>
      <c r="J384" s="92"/>
      <c r="K384" s="97"/>
      <c r="L384" s="99" t="str">
        <f ca="1">_xlfn.LET(
    _xlpm.res_no, J384,
    _xlpm.record_sheet, 'MatRes Record'!J:M,
    _xlpm.AllCellsFilled, COUNTA(A384:K384) = 11,
    _xlpm.QtyIsInt, AND(ISNUMBER(G384), G384=INT(G384)),
    _xlpm.ReqDateIsValid, AND(ISNUMBER(H384), H384&gt;=TODAY()),
    _xlpm.EmailIsValid, RIGHT(I384,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IF(A384="", "", IF(_xlpm.error_messages = "", "Yes", _xlpm.error_messages))
)</f>
        <v/>
      </c>
    </row>
    <row r="385" spans="1:12">
      <c r="A385" s="94"/>
      <c r="B385" s="95"/>
      <c r="C385" s="95"/>
      <c r="D385" s="94"/>
      <c r="E385" s="94"/>
      <c r="F385" s="96"/>
      <c r="G385" s="94"/>
      <c r="H385" s="96"/>
      <c r="I385" s="96"/>
      <c r="J385" s="92"/>
      <c r="K385" s="97"/>
      <c r="L385" s="99" t="str">
        <f ca="1">_xlfn.LET(
    _xlpm.res_no, J385,
    _xlpm.record_sheet, 'MatRes Record'!J:M,
    _xlpm.AllCellsFilled, COUNTA(A385:K385) = 11,
    _xlpm.QtyIsInt, AND(ISNUMBER(G385), G385=INT(G385)),
    _xlpm.ReqDateIsValid, AND(ISNUMBER(H385), H385&gt;=TODAY()),
    _xlpm.EmailIsValid, RIGHT(I385,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IF(A385="", "", IF(_xlpm.error_messages = "", "Yes", _xlpm.error_messages))
)</f>
        <v/>
      </c>
    </row>
    <row r="386" spans="1:12">
      <c r="A386" s="94"/>
      <c r="B386" s="95"/>
      <c r="C386" s="95"/>
      <c r="D386" s="94"/>
      <c r="E386" s="94"/>
      <c r="F386" s="96"/>
      <c r="G386" s="94"/>
      <c r="H386" s="96"/>
      <c r="I386" s="96"/>
      <c r="J386" s="92"/>
      <c r="K386" s="97"/>
      <c r="L386" s="99" t="str">
        <f ca="1">_xlfn.LET(
    _xlpm.res_no, J386,
    _xlpm.record_sheet, 'MatRes Record'!J:M,
    _xlpm.AllCellsFilled, COUNTA(A386:K386) = 11,
    _xlpm.QtyIsInt, AND(ISNUMBER(G386), G386=INT(G386)),
    _xlpm.ReqDateIsValid, AND(ISNUMBER(H386), H386&gt;=TODAY()),
    _xlpm.EmailIsValid, RIGHT(I386,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IF(A386="", "", IF(_xlpm.error_messages = "", "Yes", _xlpm.error_messages))
)</f>
        <v/>
      </c>
    </row>
    <row r="387" spans="1:12">
      <c r="A387" s="94"/>
      <c r="B387" s="95"/>
      <c r="C387" s="95"/>
      <c r="D387" s="94"/>
      <c r="E387" s="94"/>
      <c r="F387" s="96"/>
      <c r="G387" s="94"/>
      <c r="H387" s="96"/>
      <c r="I387" s="96"/>
      <c r="J387" s="92"/>
      <c r="K387" s="97"/>
      <c r="L387" s="99" t="str">
        <f ca="1">_xlfn.LET(
    _xlpm.res_no, J387,
    _xlpm.record_sheet, 'MatRes Record'!J:M,
    _xlpm.AllCellsFilled, COUNTA(A387:K387) = 11,
    _xlpm.QtyIsInt, AND(ISNUMBER(G387), G387=INT(G387)),
    _xlpm.ReqDateIsValid, AND(ISNUMBER(H387), H387&gt;=TODAY()),
    _xlpm.EmailIsValid, RIGHT(I387,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IF(A387="", "", IF(_xlpm.error_messages = "", "Yes", _xlpm.error_messages))
)</f>
        <v/>
      </c>
    </row>
    <row r="388" spans="1:12">
      <c r="A388" s="94"/>
      <c r="B388" s="95"/>
      <c r="C388" s="95"/>
      <c r="D388" s="94"/>
      <c r="E388" s="94"/>
      <c r="F388" s="96"/>
      <c r="G388" s="94"/>
      <c r="H388" s="96"/>
      <c r="I388" s="96"/>
      <c r="J388" s="92"/>
      <c r="K388" s="97"/>
      <c r="L388" s="99" t="str">
        <f ca="1">_xlfn.LET(
    _xlpm.res_no, J388,
    _xlpm.record_sheet, 'MatRes Record'!J:M,
    _xlpm.AllCellsFilled, COUNTA(A388:K388) = 11,
    _xlpm.QtyIsInt, AND(ISNUMBER(G388), G388=INT(G388)),
    _xlpm.ReqDateIsValid, AND(ISNUMBER(H388), H388&gt;=TODAY()),
    _xlpm.EmailIsValid, RIGHT(I388,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IF(A388="", "", IF(_xlpm.error_messages = "", "Yes", _xlpm.error_messages))
)</f>
        <v/>
      </c>
    </row>
    <row r="389" spans="1:12">
      <c r="A389" s="94"/>
      <c r="B389" s="95"/>
      <c r="C389" s="95"/>
      <c r="D389" s="94"/>
      <c r="E389" s="94"/>
      <c r="F389" s="96"/>
      <c r="G389" s="94"/>
      <c r="H389" s="96"/>
      <c r="I389" s="96"/>
      <c r="J389" s="92"/>
      <c r="K389" s="97"/>
      <c r="L389" s="99" t="str">
        <f ca="1">_xlfn.LET(
    _xlpm.res_no, J389,
    _xlpm.record_sheet, 'MatRes Record'!J:M,
    _xlpm.AllCellsFilled, COUNTA(A389:K389) = 11,
    _xlpm.QtyIsInt, AND(ISNUMBER(G389), G389=INT(G389)),
    _xlpm.ReqDateIsValid, AND(ISNUMBER(H389), H389&gt;=TODAY()),
    _xlpm.EmailIsValid, RIGHT(I389,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IF(A389="", "", IF(_xlpm.error_messages = "", "Yes", _xlpm.error_messages))
)</f>
        <v/>
      </c>
    </row>
    <row r="390" spans="1:12">
      <c r="A390" s="94"/>
      <c r="B390" s="95"/>
      <c r="C390" s="95"/>
      <c r="D390" s="94"/>
      <c r="E390" s="94"/>
      <c r="F390" s="96"/>
      <c r="G390" s="94"/>
      <c r="H390" s="96"/>
      <c r="I390" s="96"/>
      <c r="J390" s="92"/>
      <c r="K390" s="97"/>
      <c r="L390" s="99" t="str">
        <f ca="1">_xlfn.LET(
    _xlpm.res_no, J390,
    _xlpm.record_sheet, 'MatRes Record'!J:M,
    _xlpm.AllCellsFilled, COUNTA(A390:K390) = 11,
    _xlpm.QtyIsInt, AND(ISNUMBER(G390), G390=INT(G390)),
    _xlpm.ReqDateIsValid, AND(ISNUMBER(H390), H390&gt;=TODAY()),
    _xlpm.EmailIsValid, RIGHT(I390,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IF(A390="", "", IF(_xlpm.error_messages = "", "Yes", _xlpm.error_messages))
)</f>
        <v/>
      </c>
    </row>
    <row r="391" spans="1:12">
      <c r="A391" s="94"/>
      <c r="B391" s="95"/>
      <c r="C391" s="95"/>
      <c r="D391" s="94"/>
      <c r="E391" s="94"/>
      <c r="F391" s="96"/>
      <c r="G391" s="94"/>
      <c r="H391" s="96"/>
      <c r="I391" s="96"/>
      <c r="J391" s="92"/>
      <c r="K391" s="97"/>
      <c r="L391" s="99" t="str">
        <f ca="1">_xlfn.LET(
    _xlpm.res_no, J391,
    _xlpm.record_sheet, 'MatRes Record'!J:M,
    _xlpm.AllCellsFilled, COUNTA(A391:K391) = 11,
    _xlpm.QtyIsInt, AND(ISNUMBER(G391), G391=INT(G391)),
    _xlpm.ReqDateIsValid, AND(ISNUMBER(H391), H391&gt;=TODAY()),
    _xlpm.EmailIsValid, RIGHT(I391,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IF(A391="", "", IF(_xlpm.error_messages = "", "Yes", _xlpm.error_messages))
)</f>
        <v/>
      </c>
    </row>
    <row r="392" spans="1:12">
      <c r="A392" s="94"/>
      <c r="B392" s="95"/>
      <c r="C392" s="95"/>
      <c r="D392" s="94"/>
      <c r="E392" s="94"/>
      <c r="F392" s="96"/>
      <c r="G392" s="94"/>
      <c r="H392" s="96"/>
      <c r="I392" s="96"/>
      <c r="J392" s="92"/>
      <c r="K392" s="97"/>
      <c r="L392" s="99" t="str">
        <f ca="1">_xlfn.LET(
    _xlpm.res_no, J392,
    _xlpm.record_sheet, 'MatRes Record'!J:M,
    _xlpm.AllCellsFilled, COUNTA(A392:K392) = 11,
    _xlpm.QtyIsInt, AND(ISNUMBER(G392), G392=INT(G392)),
    _xlpm.ReqDateIsValid, AND(ISNUMBER(H392), H392&gt;=TODAY()),
    _xlpm.EmailIsValid, RIGHT(I392,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IF(A392="", "", IF(_xlpm.error_messages = "", "Yes", _xlpm.error_messages))
)</f>
        <v/>
      </c>
    </row>
    <row r="393" spans="1:12">
      <c r="A393" s="94"/>
      <c r="B393" s="95"/>
      <c r="C393" s="95"/>
      <c r="D393" s="94"/>
      <c r="E393" s="94"/>
      <c r="F393" s="96"/>
      <c r="G393" s="94"/>
      <c r="H393" s="96"/>
      <c r="I393" s="96"/>
      <c r="J393" s="92"/>
      <c r="K393" s="97"/>
      <c r="L393" s="99" t="str">
        <f ca="1">_xlfn.LET(
    _xlpm.res_no, J393,
    _xlpm.record_sheet, 'MatRes Record'!J:M,
    _xlpm.AllCellsFilled, COUNTA(A393:K393) = 11,
    _xlpm.QtyIsInt, AND(ISNUMBER(G393), G393=INT(G393)),
    _xlpm.ReqDateIsValid, AND(ISNUMBER(H393), H393&gt;=TODAY()),
    _xlpm.EmailIsValid, RIGHT(I393,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IF(A393="", "", IF(_xlpm.error_messages = "", "Yes", _xlpm.error_messages))
)</f>
        <v/>
      </c>
    </row>
    <row r="394" spans="1:12">
      <c r="A394" s="94"/>
      <c r="B394" s="95"/>
      <c r="C394" s="95"/>
      <c r="D394" s="94"/>
      <c r="E394" s="94"/>
      <c r="F394" s="96"/>
      <c r="G394" s="94"/>
      <c r="H394" s="96"/>
      <c r="I394" s="96"/>
      <c r="J394" s="92"/>
      <c r="K394" s="97"/>
      <c r="L394" s="99" t="str">
        <f ca="1">_xlfn.LET(
    _xlpm.res_no, J394,
    _xlpm.record_sheet, 'MatRes Record'!J:M,
    _xlpm.AllCellsFilled, COUNTA(A394:K394) = 11,
    _xlpm.QtyIsInt, AND(ISNUMBER(G394), G394=INT(G394)),
    _xlpm.ReqDateIsValid, AND(ISNUMBER(H394), H394&gt;=TODAY()),
    _xlpm.EmailIsValid, RIGHT(I394,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IF(A394="", "", IF(_xlpm.error_messages = "", "Yes", _xlpm.error_messages))
)</f>
        <v/>
      </c>
    </row>
    <row r="395" spans="1:12">
      <c r="A395" s="94"/>
      <c r="B395" s="95"/>
      <c r="C395" s="95"/>
      <c r="D395" s="94"/>
      <c r="E395" s="94"/>
      <c r="F395" s="96"/>
      <c r="G395" s="94"/>
      <c r="H395" s="96"/>
      <c r="I395" s="96"/>
      <c r="J395" s="92"/>
      <c r="K395" s="97"/>
      <c r="L395" s="99" t="str">
        <f ca="1">_xlfn.LET(
    _xlpm.res_no, J395,
    _xlpm.record_sheet, 'MatRes Record'!J:M,
    _xlpm.AllCellsFilled, COUNTA(A395:K395) = 11,
    _xlpm.QtyIsInt, AND(ISNUMBER(G395), G395=INT(G395)),
    _xlpm.ReqDateIsValid, AND(ISNUMBER(H395), H395&gt;=TODAY()),
    _xlpm.EmailIsValid, RIGHT(I395,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IF(A395="", "", IF(_xlpm.error_messages = "", "Yes", _xlpm.error_messages))
)</f>
        <v/>
      </c>
    </row>
    <row r="396" spans="1:12">
      <c r="A396" s="94"/>
      <c r="B396" s="95"/>
      <c r="C396" s="95"/>
      <c r="D396" s="94"/>
      <c r="E396" s="94"/>
      <c r="F396" s="96"/>
      <c r="G396" s="94"/>
      <c r="H396" s="96"/>
      <c r="I396" s="96"/>
      <c r="J396" s="92"/>
      <c r="K396" s="97"/>
      <c r="L396" s="99" t="str">
        <f ca="1">_xlfn.LET(
    _xlpm.res_no, J396,
    _xlpm.record_sheet, 'MatRes Record'!J:M,
    _xlpm.AllCellsFilled, COUNTA(A396:K396) = 11,
    _xlpm.QtyIsInt, AND(ISNUMBER(G396), G396=INT(G396)),
    _xlpm.ReqDateIsValid, AND(ISNUMBER(H396), H396&gt;=TODAY()),
    _xlpm.EmailIsValid, RIGHT(I396,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IF(A396="", "", IF(_xlpm.error_messages = "", "Yes", _xlpm.error_messages))
)</f>
        <v/>
      </c>
    </row>
    <row r="397" spans="1:12">
      <c r="A397" s="94"/>
      <c r="B397" s="95"/>
      <c r="C397" s="95"/>
      <c r="D397" s="94"/>
      <c r="E397" s="94"/>
      <c r="F397" s="96"/>
      <c r="G397" s="94"/>
      <c r="H397" s="96"/>
      <c r="I397" s="96"/>
      <c r="J397" s="92"/>
      <c r="K397" s="97"/>
      <c r="L397" s="99" t="str">
        <f ca="1">_xlfn.LET(
    _xlpm.res_no, J397,
    _xlpm.record_sheet, 'MatRes Record'!J:M,
    _xlpm.AllCellsFilled, COUNTA(A397:K397) = 11,
    _xlpm.QtyIsInt, AND(ISNUMBER(G397), G397=INT(G397)),
    _xlpm.ReqDateIsValid, AND(ISNUMBER(H397), H397&gt;=TODAY()),
    _xlpm.EmailIsValid, RIGHT(I397,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IF(A397="", "", IF(_xlpm.error_messages = "", "Yes", _xlpm.error_messages))
)</f>
        <v/>
      </c>
    </row>
    <row r="398" spans="1:12">
      <c r="A398" s="94"/>
      <c r="B398" s="95"/>
      <c r="C398" s="95"/>
      <c r="D398" s="94"/>
      <c r="E398" s="94"/>
      <c r="F398" s="96"/>
      <c r="G398" s="94"/>
      <c r="H398" s="96"/>
      <c r="I398" s="96"/>
      <c r="J398" s="92"/>
      <c r="K398" s="97"/>
      <c r="L398" s="99" t="str">
        <f ca="1">_xlfn.LET(
    _xlpm.res_no, J398,
    _xlpm.record_sheet, 'MatRes Record'!J:M,
    _xlpm.AllCellsFilled, COUNTA(A398:K398) = 11,
    _xlpm.QtyIsInt, AND(ISNUMBER(G398), G398=INT(G398)),
    _xlpm.ReqDateIsValid, AND(ISNUMBER(H398), H398&gt;=TODAY()),
    _xlpm.EmailIsValid, RIGHT(I398,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IF(A398="", "", IF(_xlpm.error_messages = "", "Yes", _xlpm.error_messages))
)</f>
        <v/>
      </c>
    </row>
    <row r="399" spans="1:12">
      <c r="A399" s="94"/>
      <c r="B399" s="95"/>
      <c r="C399" s="95"/>
      <c r="D399" s="94"/>
      <c r="E399" s="94"/>
      <c r="F399" s="96"/>
      <c r="G399" s="94"/>
      <c r="H399" s="96"/>
      <c r="I399" s="96"/>
      <c r="J399" s="92"/>
      <c r="K399" s="97"/>
      <c r="L399" s="99" t="str">
        <f ca="1">_xlfn.LET(
    _xlpm.res_no, J399,
    _xlpm.record_sheet, 'MatRes Record'!J:M,
    _xlpm.AllCellsFilled, COUNTA(A399:K399) = 11,
    _xlpm.QtyIsInt, AND(ISNUMBER(G399), G399=INT(G399)),
    _xlpm.ReqDateIsValid, AND(ISNUMBER(H399), H399&gt;=TODAY()),
    _xlpm.EmailIsValid, RIGHT(I399,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IF(A399="", "", IF(_xlpm.error_messages = "", "Yes", _xlpm.error_messages))
)</f>
        <v/>
      </c>
    </row>
    <row r="400" spans="1:12">
      <c r="A400" s="94"/>
      <c r="B400" s="95"/>
      <c r="C400" s="95"/>
      <c r="D400" s="94"/>
      <c r="E400" s="94"/>
      <c r="F400" s="96"/>
      <c r="G400" s="94"/>
      <c r="H400" s="96"/>
      <c r="I400" s="96"/>
      <c r="J400" s="92"/>
      <c r="K400" s="97"/>
      <c r="L400" s="99" t="str">
        <f ca="1">_xlfn.LET(
    _xlpm.res_no, J400,
    _xlpm.record_sheet, 'MatRes Record'!J:M,
    _xlpm.AllCellsFilled, COUNTA(A400:K400) = 11,
    _xlpm.QtyIsInt, AND(ISNUMBER(G400), G400=INT(G400)),
    _xlpm.ReqDateIsValid, AND(ISNUMBER(H400), H400&gt;=TODAY()),
    _xlpm.EmailIsValid, RIGHT(I400,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IF(A400="", "", IF(_xlpm.error_messages = "", "Yes", _xlpm.error_messages))
)</f>
        <v/>
      </c>
    </row>
    <row r="401" spans="1:12">
      <c r="A401" s="94"/>
      <c r="B401" s="95"/>
      <c r="C401" s="95"/>
      <c r="D401" s="94"/>
      <c r="E401" s="94"/>
      <c r="F401" s="96"/>
      <c r="G401" s="94"/>
      <c r="H401" s="96"/>
      <c r="I401" s="96"/>
      <c r="J401" s="92"/>
      <c r="K401" s="97"/>
      <c r="L401" s="99" t="str">
        <f ca="1">_xlfn.LET(
    _xlpm.res_no, J401,
    _xlpm.record_sheet, 'MatRes Record'!J:M,
    _xlpm.AllCellsFilled, COUNTA(A401:K401) = 11,
    _xlpm.QtyIsInt, AND(ISNUMBER(G401), G401=INT(G401)),
    _xlpm.ReqDateIsValid, AND(ISNUMBER(H401), H401&gt;=TODAY()),
    _xlpm.EmailIsValid, RIGHT(I401,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IF(A401="", "", IF(_xlpm.error_messages = "", "Yes", _xlpm.error_messages))
)</f>
        <v/>
      </c>
    </row>
    <row r="402" spans="1:12">
      <c r="A402" s="94"/>
      <c r="B402" s="95"/>
      <c r="C402" s="95"/>
      <c r="D402" s="94"/>
      <c r="E402" s="94"/>
      <c r="F402" s="96"/>
      <c r="G402" s="94"/>
      <c r="H402" s="96"/>
      <c r="I402" s="96"/>
      <c r="J402" s="92"/>
      <c r="K402" s="97"/>
      <c r="L402" s="99" t="str">
        <f ca="1">_xlfn.LET(
    _xlpm.res_no, J402,
    _xlpm.record_sheet, 'MatRes Record'!J:M,
    _xlpm.AllCellsFilled, COUNTA(A402:K402) = 11,
    _xlpm.QtyIsInt, AND(ISNUMBER(G402), G402=INT(G402)),
    _xlpm.ReqDateIsValid, AND(ISNUMBER(H402), H402&gt;=TODAY()),
    _xlpm.EmailIsValid, RIGHT(I402,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IF(A402="", "", IF(_xlpm.error_messages = "", "Yes", _xlpm.error_messages))
)</f>
        <v/>
      </c>
    </row>
    <row r="403" spans="1:12">
      <c r="A403" s="94"/>
      <c r="B403" s="95"/>
      <c r="C403" s="95"/>
      <c r="D403" s="94"/>
      <c r="E403" s="94"/>
      <c r="F403" s="96"/>
      <c r="G403" s="94"/>
      <c r="H403" s="96"/>
      <c r="I403" s="96"/>
      <c r="J403" s="92"/>
      <c r="K403" s="97"/>
      <c r="L403" s="99" t="str">
        <f ca="1">_xlfn.LET(
    _xlpm.res_no, J403,
    _xlpm.record_sheet, 'MatRes Record'!J:M,
    _xlpm.AllCellsFilled, COUNTA(A403:K403) = 11,
    _xlpm.QtyIsInt, AND(ISNUMBER(G403), G403=INT(G403)),
    _xlpm.ReqDateIsValid, AND(ISNUMBER(H403), H403&gt;=TODAY()),
    _xlpm.EmailIsValid, RIGHT(I403,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IF(A403="", "", IF(_xlpm.error_messages = "", "Yes", _xlpm.error_messages))
)</f>
        <v/>
      </c>
    </row>
    <row r="404" spans="1:12">
      <c r="A404" s="94"/>
      <c r="B404" s="95"/>
      <c r="C404" s="95"/>
      <c r="D404" s="94"/>
      <c r="E404" s="94"/>
      <c r="F404" s="96"/>
      <c r="G404" s="94"/>
      <c r="H404" s="96"/>
      <c r="I404" s="96"/>
      <c r="J404" s="92"/>
      <c r="K404" s="97"/>
      <c r="L404" s="99" t="str">
        <f ca="1">_xlfn.LET(
    _xlpm.res_no, J404,
    _xlpm.record_sheet, 'MatRes Record'!J:M,
    _xlpm.AllCellsFilled, COUNTA(A404:K404) = 11,
    _xlpm.QtyIsInt, AND(ISNUMBER(G404), G404=INT(G404)),
    _xlpm.ReqDateIsValid, AND(ISNUMBER(H404), H404&gt;=TODAY()),
    _xlpm.EmailIsValid, RIGHT(I404,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IF(A404="", "", IF(_xlpm.error_messages = "", "Yes", _xlpm.error_messages))
)</f>
        <v/>
      </c>
    </row>
    <row r="405" spans="1:12">
      <c r="A405" s="94"/>
      <c r="B405" s="95"/>
      <c r="C405" s="95"/>
      <c r="D405" s="94"/>
      <c r="E405" s="94"/>
      <c r="F405" s="96"/>
      <c r="G405" s="94"/>
      <c r="H405" s="96"/>
      <c r="I405" s="96"/>
      <c r="J405" s="92"/>
      <c r="K405" s="97"/>
      <c r="L405" s="99" t="str">
        <f ca="1">_xlfn.LET(
    _xlpm.res_no, J405,
    _xlpm.record_sheet, 'MatRes Record'!J:M,
    _xlpm.AllCellsFilled, COUNTA(A405:K405) = 11,
    _xlpm.QtyIsInt, AND(ISNUMBER(G405), G405=INT(G405)),
    _xlpm.ReqDateIsValid, AND(ISNUMBER(H405), H405&gt;=TODAY()),
    _xlpm.EmailIsValid, RIGHT(I405,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IF(A405="", "", IF(_xlpm.error_messages = "", "Yes", _xlpm.error_messages))
)</f>
        <v/>
      </c>
    </row>
    <row r="406" spans="1:12">
      <c r="A406" s="94"/>
      <c r="B406" s="95"/>
      <c r="C406" s="95"/>
      <c r="D406" s="94"/>
      <c r="E406" s="94"/>
      <c r="F406" s="96"/>
      <c r="G406" s="94"/>
      <c r="H406" s="96"/>
      <c r="I406" s="96"/>
      <c r="J406" s="92"/>
      <c r="K406" s="97"/>
      <c r="L406" s="99" t="str">
        <f ca="1">_xlfn.LET(
    _xlpm.res_no, J406,
    _xlpm.record_sheet, 'MatRes Record'!J:M,
    _xlpm.AllCellsFilled, COUNTA(A406:K406) = 11,
    _xlpm.QtyIsInt, AND(ISNUMBER(G406), G406=INT(G406)),
    _xlpm.ReqDateIsValid, AND(ISNUMBER(H406), H406&gt;=TODAY()),
    _xlpm.EmailIsValid, RIGHT(I406,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IF(A406="", "", IF(_xlpm.error_messages = "", "Yes", _xlpm.error_messages))
)</f>
        <v/>
      </c>
    </row>
    <row r="407" spans="1:12">
      <c r="A407" s="94"/>
      <c r="B407" s="95"/>
      <c r="C407" s="95"/>
      <c r="D407" s="94"/>
      <c r="E407" s="94"/>
      <c r="F407" s="96"/>
      <c r="G407" s="94"/>
      <c r="H407" s="96"/>
      <c r="I407" s="96"/>
      <c r="J407" s="92"/>
      <c r="K407" s="97"/>
      <c r="L407" s="99" t="str">
        <f ca="1">_xlfn.LET(
    _xlpm.res_no, J407,
    _xlpm.record_sheet, 'MatRes Record'!J:M,
    _xlpm.AllCellsFilled, COUNTA(A407:K407) = 11,
    _xlpm.QtyIsInt, AND(ISNUMBER(G407), G407=INT(G407)),
    _xlpm.ReqDateIsValid, AND(ISNUMBER(H407), H407&gt;=TODAY()),
    _xlpm.EmailIsValid, RIGHT(I407,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IF(A407="", "", IF(_xlpm.error_messages = "", "Yes", _xlpm.error_messages))
)</f>
        <v/>
      </c>
    </row>
    <row r="408" spans="1:12">
      <c r="A408" s="94"/>
      <c r="B408" s="95"/>
      <c r="C408" s="95"/>
      <c r="D408" s="94"/>
      <c r="E408" s="94"/>
      <c r="F408" s="96"/>
      <c r="G408" s="94"/>
      <c r="H408" s="96"/>
      <c r="I408" s="96"/>
      <c r="J408" s="92"/>
      <c r="K408" s="97"/>
      <c r="L408" s="99" t="str">
        <f ca="1">_xlfn.LET(
    _xlpm.res_no, J408,
    _xlpm.record_sheet, 'MatRes Record'!J:M,
    _xlpm.AllCellsFilled, COUNTA(A408:K408) = 11,
    _xlpm.QtyIsInt, AND(ISNUMBER(G408), G408=INT(G408)),
    _xlpm.ReqDateIsValid, AND(ISNUMBER(H408), H408&gt;=TODAY()),
    _xlpm.EmailIsValid, RIGHT(I408,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IF(A408="", "", IF(_xlpm.error_messages = "", "Yes", _xlpm.error_messages))
)</f>
        <v/>
      </c>
    </row>
    <row r="409" spans="1:12">
      <c r="A409" s="94"/>
      <c r="B409" s="95"/>
      <c r="C409" s="95"/>
      <c r="D409" s="94"/>
      <c r="E409" s="94"/>
      <c r="F409" s="96"/>
      <c r="G409" s="94"/>
      <c r="H409" s="96"/>
      <c r="I409" s="96"/>
      <c r="J409" s="92"/>
      <c r="K409" s="97"/>
      <c r="L409" s="99" t="str">
        <f ca="1">_xlfn.LET(
    _xlpm.res_no, J409,
    _xlpm.record_sheet, 'MatRes Record'!J:M,
    _xlpm.AllCellsFilled, COUNTA(A409:K409) = 11,
    _xlpm.QtyIsInt, AND(ISNUMBER(G409), G409=INT(G409)),
    _xlpm.ReqDateIsValid, AND(ISNUMBER(H409), H409&gt;=TODAY()),
    _xlpm.EmailIsValid, RIGHT(I409,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IF(A409="", "", IF(_xlpm.error_messages = "", "Yes", _xlpm.error_messages))
)</f>
        <v/>
      </c>
    </row>
    <row r="410" spans="1:12">
      <c r="A410" s="94"/>
      <c r="B410" s="95"/>
      <c r="C410" s="95"/>
      <c r="D410" s="94"/>
      <c r="E410" s="94"/>
      <c r="F410" s="96"/>
      <c r="G410" s="94"/>
      <c r="H410" s="96"/>
      <c r="I410" s="96"/>
      <c r="J410" s="92"/>
      <c r="K410" s="97"/>
      <c r="L410" s="99" t="str">
        <f ca="1">_xlfn.LET(
    _xlpm.res_no, J410,
    _xlpm.record_sheet, 'MatRes Record'!J:M,
    _xlpm.AllCellsFilled, COUNTA(A410:K410) = 11,
    _xlpm.QtyIsInt, AND(ISNUMBER(G410), G410=INT(G410)),
    _xlpm.ReqDateIsValid, AND(ISNUMBER(H410), H410&gt;=TODAY()),
    _xlpm.EmailIsValid, RIGHT(I410,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IF(A410="", "", IF(_xlpm.error_messages = "", "Yes", _xlpm.error_messages))
)</f>
        <v/>
      </c>
    </row>
    <row r="411" spans="1:12">
      <c r="A411" s="94"/>
      <c r="B411" s="95"/>
      <c r="C411" s="95"/>
      <c r="D411" s="94"/>
      <c r="E411" s="94"/>
      <c r="F411" s="96"/>
      <c r="G411" s="94"/>
      <c r="H411" s="96"/>
      <c r="I411" s="96"/>
      <c r="J411" s="92"/>
      <c r="K411" s="97"/>
      <c r="L411" s="99" t="str">
        <f ca="1">_xlfn.LET(
    _xlpm.res_no, J411,
    _xlpm.record_sheet, 'MatRes Record'!J:M,
    _xlpm.AllCellsFilled, COUNTA(A411:K411) = 11,
    _xlpm.QtyIsInt, AND(ISNUMBER(G411), G411=INT(G411)),
    _xlpm.ReqDateIsValid, AND(ISNUMBER(H411), H411&gt;=TODAY()),
    _xlpm.EmailIsValid, RIGHT(I411,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IF(A411="", "", IF(_xlpm.error_messages = "", "Yes", _xlpm.error_messages))
)</f>
        <v/>
      </c>
    </row>
    <row r="412" spans="1:12">
      <c r="A412" s="94"/>
      <c r="B412" s="95"/>
      <c r="C412" s="95"/>
      <c r="D412" s="94"/>
      <c r="E412" s="94"/>
      <c r="F412" s="96"/>
      <c r="G412" s="94"/>
      <c r="H412" s="96"/>
      <c r="I412" s="96"/>
      <c r="J412" s="92"/>
      <c r="K412" s="97"/>
      <c r="L412" s="99" t="str">
        <f ca="1">_xlfn.LET(
    _xlpm.res_no, J412,
    _xlpm.record_sheet, 'MatRes Record'!J:M,
    _xlpm.AllCellsFilled, COUNTA(A412:K412) = 11,
    _xlpm.QtyIsInt, AND(ISNUMBER(G412), G412=INT(G412)),
    _xlpm.ReqDateIsValid, AND(ISNUMBER(H412), H412&gt;=TODAY()),
    _xlpm.EmailIsValid, RIGHT(I412,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IF(A412="", "", IF(_xlpm.error_messages = "", "Yes", _xlpm.error_messages))
)</f>
        <v/>
      </c>
    </row>
    <row r="413" spans="1:12">
      <c r="A413" s="94"/>
      <c r="B413" s="95"/>
      <c r="C413" s="95"/>
      <c r="D413" s="94"/>
      <c r="E413" s="94"/>
      <c r="F413" s="96"/>
      <c r="G413" s="94"/>
      <c r="H413" s="96"/>
      <c r="I413" s="96"/>
      <c r="J413" s="92"/>
      <c r="K413" s="97"/>
      <c r="L413" s="99" t="str">
        <f ca="1">_xlfn.LET(
    _xlpm.res_no, J413,
    _xlpm.record_sheet, 'MatRes Record'!J:M,
    _xlpm.AllCellsFilled, COUNTA(A413:K413) = 11,
    _xlpm.QtyIsInt, AND(ISNUMBER(G413), G413=INT(G413)),
    _xlpm.ReqDateIsValid, AND(ISNUMBER(H413), H413&gt;=TODAY()),
    _xlpm.EmailIsValid, RIGHT(I413,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IF(A413="", "", IF(_xlpm.error_messages = "", "Yes", _xlpm.error_messages))
)</f>
        <v/>
      </c>
    </row>
    <row r="414" spans="1:12">
      <c r="A414" s="94"/>
      <c r="B414" s="95"/>
      <c r="C414" s="95"/>
      <c r="D414" s="94"/>
      <c r="E414" s="94"/>
      <c r="F414" s="96"/>
      <c r="G414" s="94"/>
      <c r="H414" s="96"/>
      <c r="I414" s="96"/>
      <c r="J414" s="92"/>
      <c r="K414" s="97"/>
      <c r="L414" s="99" t="str">
        <f ca="1">_xlfn.LET(
    _xlpm.res_no, J414,
    _xlpm.record_sheet, 'MatRes Record'!J:M,
    _xlpm.AllCellsFilled, COUNTA(A414:K414) = 11,
    _xlpm.QtyIsInt, AND(ISNUMBER(G414), G414=INT(G414)),
    _xlpm.ReqDateIsValid, AND(ISNUMBER(H414), H414&gt;=TODAY()),
    _xlpm.EmailIsValid, RIGHT(I414,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IF(A414="", "", IF(_xlpm.error_messages = "", "Yes", _xlpm.error_messages))
)</f>
        <v/>
      </c>
    </row>
    <row r="415" spans="1:12">
      <c r="A415" s="94"/>
      <c r="B415" s="95"/>
      <c r="C415" s="95"/>
      <c r="D415" s="94"/>
      <c r="E415" s="94"/>
      <c r="F415" s="96"/>
      <c r="G415" s="94"/>
      <c r="H415" s="96"/>
      <c r="I415" s="96"/>
      <c r="J415" s="92"/>
      <c r="K415" s="97"/>
      <c r="L415" s="99" t="str">
        <f ca="1">_xlfn.LET(
    _xlpm.res_no, J415,
    _xlpm.record_sheet, 'MatRes Record'!J:M,
    _xlpm.AllCellsFilled, COUNTA(A415:K415) = 11,
    _xlpm.QtyIsInt, AND(ISNUMBER(G415), G415=INT(G415)),
    _xlpm.ReqDateIsValid, AND(ISNUMBER(H415), H415&gt;=TODAY()),
    _xlpm.EmailIsValid, RIGHT(I415,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IF(A415="", "", IF(_xlpm.error_messages = "", "Yes", _xlpm.error_messages))
)</f>
        <v/>
      </c>
    </row>
    <row r="416" spans="1:12">
      <c r="A416" s="94"/>
      <c r="B416" s="95"/>
      <c r="C416" s="95"/>
      <c r="D416" s="94"/>
      <c r="E416" s="94"/>
      <c r="F416" s="96"/>
      <c r="G416" s="94"/>
      <c r="H416" s="96"/>
      <c r="I416" s="96"/>
      <c r="J416" s="92"/>
      <c r="K416" s="97"/>
      <c r="L416" s="99" t="str">
        <f ca="1">_xlfn.LET(
    _xlpm.res_no, J416,
    _xlpm.record_sheet, 'MatRes Record'!J:M,
    _xlpm.AllCellsFilled, COUNTA(A416:K416) = 11,
    _xlpm.QtyIsInt, AND(ISNUMBER(G416), G416=INT(G416)),
    _xlpm.ReqDateIsValid, AND(ISNUMBER(H416), H416&gt;=TODAY()),
    _xlpm.EmailIsValid, RIGHT(I416,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IF(A416="", "", IF(_xlpm.error_messages = "", "Yes", _xlpm.error_messages))
)</f>
        <v/>
      </c>
    </row>
    <row r="417" spans="1:12">
      <c r="A417" s="94"/>
      <c r="B417" s="95"/>
      <c r="C417" s="95"/>
      <c r="D417" s="94"/>
      <c r="E417" s="94"/>
      <c r="F417" s="96"/>
      <c r="G417" s="94"/>
      <c r="H417" s="96"/>
      <c r="I417" s="96"/>
      <c r="J417" s="92"/>
      <c r="K417" s="97"/>
      <c r="L417" s="99" t="str">
        <f ca="1">_xlfn.LET(
    _xlpm.res_no, J417,
    _xlpm.record_sheet, 'MatRes Record'!J:M,
    _xlpm.AllCellsFilled, COUNTA(A417:K417) = 11,
    _xlpm.QtyIsInt, AND(ISNUMBER(G417), G417=INT(G417)),
    _xlpm.ReqDateIsValid, AND(ISNUMBER(H417), H417&gt;=TODAY()),
    _xlpm.EmailIsValid, RIGHT(I417,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IF(A417="", "", IF(_xlpm.error_messages = "", "Yes", _xlpm.error_messages))
)</f>
        <v/>
      </c>
    </row>
    <row r="418" spans="1:12">
      <c r="A418" s="94"/>
      <c r="B418" s="95"/>
      <c r="C418" s="95"/>
      <c r="D418" s="94"/>
      <c r="E418" s="94"/>
      <c r="F418" s="96"/>
      <c r="G418" s="94"/>
      <c r="H418" s="96"/>
      <c r="I418" s="96"/>
      <c r="J418" s="92"/>
      <c r="K418" s="97"/>
      <c r="L418" s="99" t="str">
        <f ca="1">_xlfn.LET(
    _xlpm.res_no, J418,
    _xlpm.record_sheet, 'MatRes Record'!J:M,
    _xlpm.AllCellsFilled, COUNTA(A418:K418) = 11,
    _xlpm.QtyIsInt, AND(ISNUMBER(G418), G418=INT(G418)),
    _xlpm.ReqDateIsValid, AND(ISNUMBER(H418), H418&gt;=TODAY()),
    _xlpm.EmailIsValid, RIGHT(I418,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IF(A418="", "", IF(_xlpm.error_messages = "", "Yes", _xlpm.error_messages))
)</f>
        <v/>
      </c>
    </row>
    <row r="419" spans="1:12">
      <c r="A419" s="94"/>
      <c r="B419" s="95"/>
      <c r="C419" s="95"/>
      <c r="D419" s="94"/>
      <c r="E419" s="94"/>
      <c r="F419" s="96"/>
      <c r="G419" s="94"/>
      <c r="H419" s="96"/>
      <c r="I419" s="96"/>
      <c r="J419" s="92"/>
      <c r="K419" s="97"/>
      <c r="L419" s="99" t="str">
        <f ca="1">_xlfn.LET(
    _xlpm.res_no, J419,
    _xlpm.record_sheet, 'MatRes Record'!J:M,
    _xlpm.AllCellsFilled, COUNTA(A419:K419) = 11,
    _xlpm.QtyIsInt, AND(ISNUMBER(G419), G419=INT(G419)),
    _xlpm.ReqDateIsValid, AND(ISNUMBER(H419), H419&gt;=TODAY()),
    _xlpm.EmailIsValid, RIGHT(I419,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IF(A419="", "", IF(_xlpm.error_messages = "", "Yes", _xlpm.error_messages))
)</f>
        <v/>
      </c>
    </row>
    <row r="420" spans="1:12">
      <c r="A420" s="94"/>
      <c r="B420" s="95"/>
      <c r="C420" s="95"/>
      <c r="D420" s="94"/>
      <c r="E420" s="94"/>
      <c r="F420" s="96"/>
      <c r="G420" s="94"/>
      <c r="H420" s="96"/>
      <c r="I420" s="96"/>
      <c r="J420" s="92"/>
      <c r="K420" s="97"/>
      <c r="L420" s="99" t="str">
        <f ca="1">_xlfn.LET(
    _xlpm.res_no, J420,
    _xlpm.record_sheet, 'MatRes Record'!J:M,
    _xlpm.AllCellsFilled, COUNTA(A420:K420) = 11,
    _xlpm.QtyIsInt, AND(ISNUMBER(G420), G420=INT(G420)),
    _xlpm.ReqDateIsValid, AND(ISNUMBER(H420), H420&gt;=TODAY()),
    _xlpm.EmailIsValid, RIGHT(I420,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IF(A420="", "", IF(_xlpm.error_messages = "", "Yes", _xlpm.error_messages))
)</f>
        <v/>
      </c>
    </row>
    <row r="421" spans="1:12">
      <c r="A421" s="94"/>
      <c r="B421" s="95"/>
      <c r="C421" s="95"/>
      <c r="D421" s="94"/>
      <c r="E421" s="94"/>
      <c r="F421" s="96"/>
      <c r="G421" s="94"/>
      <c r="H421" s="96"/>
      <c r="I421" s="96"/>
      <c r="J421" s="92"/>
      <c r="K421" s="97"/>
      <c r="L421" s="99" t="str">
        <f ca="1">_xlfn.LET(
    _xlpm.res_no, J421,
    _xlpm.record_sheet, 'MatRes Record'!J:M,
    _xlpm.AllCellsFilled, COUNTA(A421:K421) = 11,
    _xlpm.QtyIsInt, AND(ISNUMBER(G421), G421=INT(G421)),
    _xlpm.ReqDateIsValid, AND(ISNUMBER(H421), H421&gt;=TODAY()),
    _xlpm.EmailIsValid, RIGHT(I421,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IF(A421="", "", IF(_xlpm.error_messages = "", "Yes", _xlpm.error_messages))
)</f>
        <v/>
      </c>
    </row>
    <row r="422" spans="1:12">
      <c r="A422" s="94"/>
      <c r="B422" s="95"/>
      <c r="C422" s="95"/>
      <c r="D422" s="94"/>
      <c r="E422" s="94"/>
      <c r="F422" s="96"/>
      <c r="G422" s="94"/>
      <c r="H422" s="96"/>
      <c r="I422" s="96"/>
      <c r="J422" s="92"/>
      <c r="K422" s="97"/>
      <c r="L422" s="99" t="str">
        <f ca="1">_xlfn.LET(
    _xlpm.res_no, J422,
    _xlpm.record_sheet, 'MatRes Record'!J:M,
    _xlpm.AllCellsFilled, COUNTA(A422:K422) = 11,
    _xlpm.QtyIsInt, AND(ISNUMBER(G422), G422=INT(G422)),
    _xlpm.ReqDateIsValid, AND(ISNUMBER(H422), H422&gt;=TODAY()),
    _xlpm.EmailIsValid, RIGHT(I422,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IF(A422="", "", IF(_xlpm.error_messages = "", "Yes", _xlpm.error_messages))
)</f>
        <v/>
      </c>
    </row>
    <row r="423" spans="1:12">
      <c r="A423" s="94"/>
      <c r="B423" s="95"/>
      <c r="C423" s="95"/>
      <c r="D423" s="94"/>
      <c r="E423" s="94"/>
      <c r="F423" s="96"/>
      <c r="G423" s="94"/>
      <c r="H423" s="96"/>
      <c r="I423" s="96"/>
      <c r="J423" s="92"/>
      <c r="K423" s="97"/>
      <c r="L423" s="99" t="str">
        <f ca="1">_xlfn.LET(
    _xlpm.res_no, J423,
    _xlpm.record_sheet, 'MatRes Record'!J:M,
    _xlpm.AllCellsFilled, COUNTA(A423:K423) = 11,
    _xlpm.QtyIsInt, AND(ISNUMBER(G423), G423=INT(G423)),
    _xlpm.ReqDateIsValid, AND(ISNUMBER(H423), H423&gt;=TODAY()),
    _xlpm.EmailIsValid, RIGHT(I423,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IF(A423="", "", IF(_xlpm.error_messages = "", "Yes", _xlpm.error_messages))
)</f>
        <v/>
      </c>
    </row>
    <row r="424" spans="1:12">
      <c r="A424" s="94"/>
      <c r="B424" s="95"/>
      <c r="C424" s="95"/>
      <c r="D424" s="94"/>
      <c r="E424" s="94"/>
      <c r="F424" s="96"/>
      <c r="G424" s="94"/>
      <c r="H424" s="96"/>
      <c r="I424" s="96"/>
      <c r="J424" s="92"/>
      <c r="K424" s="97"/>
      <c r="L424" s="99" t="str">
        <f ca="1">_xlfn.LET(
    _xlpm.res_no, J424,
    _xlpm.record_sheet, 'MatRes Record'!J:M,
    _xlpm.AllCellsFilled, COUNTA(A424:K424) = 11,
    _xlpm.QtyIsInt, AND(ISNUMBER(G424), G424=INT(G424)),
    _xlpm.ReqDateIsValid, AND(ISNUMBER(H424), H424&gt;=TODAY()),
    _xlpm.EmailIsValid, RIGHT(I424,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IF(A424="", "", IF(_xlpm.error_messages = "", "Yes", _xlpm.error_messages))
)</f>
        <v/>
      </c>
    </row>
    <row r="425" spans="1:12">
      <c r="A425" s="94"/>
      <c r="B425" s="95"/>
      <c r="C425" s="95"/>
      <c r="D425" s="94"/>
      <c r="E425" s="94"/>
      <c r="F425" s="96"/>
      <c r="G425" s="94"/>
      <c r="H425" s="96"/>
      <c r="I425" s="96"/>
      <c r="J425" s="92"/>
      <c r="K425" s="97"/>
      <c r="L425" s="99" t="str">
        <f ca="1">_xlfn.LET(
    _xlpm.res_no, J425,
    _xlpm.record_sheet, 'MatRes Record'!J:M,
    _xlpm.AllCellsFilled, COUNTA(A425:K425) = 11,
    _xlpm.QtyIsInt, AND(ISNUMBER(G425), G425=INT(G425)),
    _xlpm.ReqDateIsValid, AND(ISNUMBER(H425), H425&gt;=TODAY()),
    _xlpm.EmailIsValid, RIGHT(I425,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IF(A425="", "", IF(_xlpm.error_messages = "", "Yes", _xlpm.error_messages))
)</f>
        <v/>
      </c>
    </row>
    <row r="426" spans="1:12">
      <c r="A426" s="94"/>
      <c r="B426" s="95"/>
      <c r="C426" s="95"/>
      <c r="D426" s="94"/>
      <c r="E426" s="94"/>
      <c r="F426" s="96"/>
      <c r="G426" s="94"/>
      <c r="H426" s="96"/>
      <c r="I426" s="96"/>
      <c r="J426" s="92"/>
      <c r="K426" s="97"/>
      <c r="L426" s="99" t="str">
        <f ca="1">_xlfn.LET(
    _xlpm.res_no, J426,
    _xlpm.record_sheet, 'MatRes Record'!J:M,
    _xlpm.AllCellsFilled, COUNTA(A426:K426) = 11,
    _xlpm.QtyIsInt, AND(ISNUMBER(G426), G426=INT(G426)),
    _xlpm.ReqDateIsValid, AND(ISNUMBER(H426), H426&gt;=TODAY()),
    _xlpm.EmailIsValid, RIGHT(I426,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IF(A426="", "", IF(_xlpm.error_messages = "", "Yes", _xlpm.error_messages))
)</f>
        <v/>
      </c>
    </row>
    <row r="427" spans="1:12">
      <c r="A427" s="94"/>
      <c r="B427" s="95"/>
      <c r="C427" s="95"/>
      <c r="D427" s="94"/>
      <c r="E427" s="94"/>
      <c r="F427" s="96"/>
      <c r="G427" s="94"/>
      <c r="H427" s="96"/>
      <c r="I427" s="96"/>
      <c r="J427" s="92"/>
      <c r="K427" s="97"/>
      <c r="L427" s="99" t="str">
        <f ca="1">_xlfn.LET(
    _xlpm.res_no, J427,
    _xlpm.record_sheet, 'MatRes Record'!J:M,
    _xlpm.AllCellsFilled, COUNTA(A427:K427) = 11,
    _xlpm.QtyIsInt, AND(ISNUMBER(G427), G427=INT(G427)),
    _xlpm.ReqDateIsValid, AND(ISNUMBER(H427), H427&gt;=TODAY()),
    _xlpm.EmailIsValid, RIGHT(I427,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IF(A427="", "", IF(_xlpm.error_messages = "", "Yes", _xlpm.error_messages))
)</f>
        <v/>
      </c>
    </row>
    <row r="428" spans="1:12">
      <c r="A428" s="94"/>
      <c r="B428" s="95"/>
      <c r="C428" s="95"/>
      <c r="D428" s="94"/>
      <c r="E428" s="94"/>
      <c r="F428" s="96"/>
      <c r="G428" s="94"/>
      <c r="H428" s="96"/>
      <c r="I428" s="96"/>
      <c r="J428" s="92"/>
      <c r="K428" s="97"/>
      <c r="L428" s="99" t="str">
        <f ca="1">_xlfn.LET(
    _xlpm.res_no, J428,
    _xlpm.record_sheet, 'MatRes Record'!J:M,
    _xlpm.AllCellsFilled, COUNTA(A428:K428) = 11,
    _xlpm.QtyIsInt, AND(ISNUMBER(G428), G428=INT(G428)),
    _xlpm.ReqDateIsValid, AND(ISNUMBER(H428), H428&gt;=TODAY()),
    _xlpm.EmailIsValid, RIGHT(I428,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IF(A428="", "", IF(_xlpm.error_messages = "", "Yes", _xlpm.error_messages))
)</f>
        <v/>
      </c>
    </row>
    <row r="429" spans="1:12">
      <c r="A429" s="94"/>
      <c r="B429" s="95"/>
      <c r="C429" s="95"/>
      <c r="D429" s="94"/>
      <c r="E429" s="94"/>
      <c r="F429" s="96"/>
      <c r="G429" s="94"/>
      <c r="H429" s="96"/>
      <c r="I429" s="96"/>
      <c r="J429" s="92"/>
      <c r="K429" s="97"/>
      <c r="L429" s="99" t="str">
        <f ca="1">_xlfn.LET(
    _xlpm.res_no, J429,
    _xlpm.record_sheet, 'MatRes Record'!J:M,
    _xlpm.AllCellsFilled, COUNTA(A429:K429) = 11,
    _xlpm.QtyIsInt, AND(ISNUMBER(G429), G429=INT(G429)),
    _xlpm.ReqDateIsValid, AND(ISNUMBER(H429), H429&gt;=TODAY()),
    _xlpm.EmailIsValid, RIGHT(I429,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IF(A429="", "", IF(_xlpm.error_messages = "", "Yes", _xlpm.error_messages))
)</f>
        <v/>
      </c>
    </row>
    <row r="430" spans="1:12">
      <c r="A430" s="94"/>
      <c r="B430" s="95"/>
      <c r="C430" s="95"/>
      <c r="D430" s="94"/>
      <c r="E430" s="94"/>
      <c r="F430" s="96"/>
      <c r="G430" s="94"/>
      <c r="H430" s="96"/>
      <c r="I430" s="96"/>
      <c r="J430" s="92"/>
      <c r="K430" s="97"/>
      <c r="L430" s="99" t="str">
        <f ca="1">_xlfn.LET(
    _xlpm.res_no, J430,
    _xlpm.record_sheet, 'MatRes Record'!J:M,
    _xlpm.AllCellsFilled, COUNTA(A430:K430) = 11,
    _xlpm.QtyIsInt, AND(ISNUMBER(G430), G430=INT(G430)),
    _xlpm.ReqDateIsValid, AND(ISNUMBER(H430), H430&gt;=TODAY()),
    _xlpm.EmailIsValid, RIGHT(I430,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IF(A430="", "", IF(_xlpm.error_messages = "", "Yes", _xlpm.error_messages))
)</f>
        <v/>
      </c>
    </row>
    <row r="431" spans="1:12">
      <c r="A431" s="94"/>
      <c r="B431" s="95"/>
      <c r="C431" s="95"/>
      <c r="D431" s="94"/>
      <c r="E431" s="94"/>
      <c r="F431" s="96"/>
      <c r="G431" s="94"/>
      <c r="H431" s="96"/>
      <c r="I431" s="96"/>
      <c r="J431" s="92"/>
      <c r="K431" s="97"/>
      <c r="L431" s="99" t="str">
        <f ca="1">_xlfn.LET(
    _xlpm.res_no, J431,
    _xlpm.record_sheet, 'MatRes Record'!J:M,
    _xlpm.AllCellsFilled, COUNTA(A431:K431) = 11,
    _xlpm.QtyIsInt, AND(ISNUMBER(G431), G431=INT(G431)),
    _xlpm.ReqDateIsValid, AND(ISNUMBER(H431), H431&gt;=TODAY()),
    _xlpm.EmailIsValid, RIGHT(I431,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IF(A431="", "", IF(_xlpm.error_messages = "", "Yes", _xlpm.error_messages))
)</f>
        <v/>
      </c>
    </row>
    <row r="432" spans="1:12">
      <c r="A432" s="94"/>
      <c r="B432" s="95"/>
      <c r="C432" s="95"/>
      <c r="D432" s="94"/>
      <c r="E432" s="94"/>
      <c r="F432" s="96"/>
      <c r="G432" s="94"/>
      <c r="H432" s="96"/>
      <c r="I432" s="96"/>
      <c r="J432" s="92"/>
      <c r="K432" s="97"/>
      <c r="L432" s="99" t="str">
        <f ca="1">_xlfn.LET(
    _xlpm.res_no, J432,
    _xlpm.record_sheet, 'MatRes Record'!J:M,
    _xlpm.AllCellsFilled, COUNTA(A432:K432) = 11,
    _xlpm.QtyIsInt, AND(ISNUMBER(G432), G432=INT(G432)),
    _xlpm.ReqDateIsValid, AND(ISNUMBER(H432), H432&gt;=TODAY()),
    _xlpm.EmailIsValid, RIGHT(I432,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IF(A432="", "", IF(_xlpm.error_messages = "", "Yes", _xlpm.error_messages))
)</f>
        <v/>
      </c>
    </row>
    <row r="433" spans="1:12">
      <c r="A433" s="94"/>
      <c r="B433" s="95"/>
      <c r="C433" s="95"/>
      <c r="D433" s="94"/>
      <c r="E433" s="94"/>
      <c r="F433" s="96"/>
      <c r="G433" s="94"/>
      <c r="H433" s="96"/>
      <c r="I433" s="96"/>
      <c r="J433" s="92"/>
      <c r="K433" s="97"/>
      <c r="L433" s="99" t="str">
        <f ca="1">_xlfn.LET(
    _xlpm.res_no, J433,
    _xlpm.record_sheet, 'MatRes Record'!J:M,
    _xlpm.AllCellsFilled, COUNTA(A433:K433) = 11,
    _xlpm.QtyIsInt, AND(ISNUMBER(G433), G433=INT(G433)),
    _xlpm.ReqDateIsValid, AND(ISNUMBER(H433), H433&gt;=TODAY()),
    _xlpm.EmailIsValid, RIGHT(I433,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IF(A433="", "", IF(_xlpm.error_messages = "", "Yes", _xlpm.error_messages))
)</f>
        <v/>
      </c>
    </row>
    <row r="434" spans="1:12">
      <c r="A434" s="94"/>
      <c r="B434" s="95"/>
      <c r="C434" s="95"/>
      <c r="D434" s="94"/>
      <c r="E434" s="94"/>
      <c r="F434" s="96"/>
      <c r="G434" s="94"/>
      <c r="H434" s="96"/>
      <c r="I434" s="96"/>
      <c r="J434" s="92"/>
      <c r="K434" s="97"/>
      <c r="L434" s="99" t="str">
        <f ca="1">_xlfn.LET(
    _xlpm.res_no, J434,
    _xlpm.record_sheet, 'MatRes Record'!J:M,
    _xlpm.AllCellsFilled, COUNTA(A434:K434) = 11,
    _xlpm.QtyIsInt, AND(ISNUMBER(G434), G434=INT(G434)),
    _xlpm.ReqDateIsValid, AND(ISNUMBER(H434), H434&gt;=TODAY()),
    _xlpm.EmailIsValid, RIGHT(I434,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IF(A434="", "", IF(_xlpm.error_messages = "", "Yes", _xlpm.error_messages))
)</f>
        <v/>
      </c>
    </row>
    <row r="435" spans="1:12">
      <c r="A435" s="94"/>
      <c r="B435" s="95"/>
      <c r="C435" s="95"/>
      <c r="D435" s="94"/>
      <c r="E435" s="94"/>
      <c r="F435" s="96"/>
      <c r="G435" s="94"/>
      <c r="H435" s="96"/>
      <c r="I435" s="96"/>
      <c r="J435" s="92"/>
      <c r="K435" s="97"/>
      <c r="L435" s="99" t="str">
        <f ca="1">_xlfn.LET(
    _xlpm.res_no, J435,
    _xlpm.record_sheet, 'MatRes Record'!J:M,
    _xlpm.AllCellsFilled, COUNTA(A435:K435) = 11,
    _xlpm.QtyIsInt, AND(ISNUMBER(G435), G435=INT(G435)),
    _xlpm.ReqDateIsValid, AND(ISNUMBER(H435), H435&gt;=TODAY()),
    _xlpm.EmailIsValid, RIGHT(I435,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IF(A435="", "", IF(_xlpm.error_messages = "", "Yes", _xlpm.error_messages))
)</f>
        <v/>
      </c>
    </row>
    <row r="436" spans="1:12">
      <c r="A436" s="94"/>
      <c r="B436" s="95"/>
      <c r="C436" s="95"/>
      <c r="D436" s="94"/>
      <c r="E436" s="94"/>
      <c r="F436" s="96"/>
      <c r="G436" s="94"/>
      <c r="H436" s="96"/>
      <c r="I436" s="96"/>
      <c r="J436" s="92"/>
      <c r="K436" s="97"/>
      <c r="L436" s="99" t="str">
        <f ca="1">_xlfn.LET(
    _xlpm.res_no, J436,
    _xlpm.record_sheet, 'MatRes Record'!J:M,
    _xlpm.AllCellsFilled, COUNTA(A436:K436) = 11,
    _xlpm.QtyIsInt, AND(ISNUMBER(G436), G436=INT(G436)),
    _xlpm.ReqDateIsValid, AND(ISNUMBER(H436), H436&gt;=TODAY()),
    _xlpm.EmailIsValid, RIGHT(I436,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IF(A436="", "", IF(_xlpm.error_messages = "", "Yes", _xlpm.error_messages))
)</f>
        <v/>
      </c>
    </row>
    <row r="437" spans="1:12">
      <c r="A437" s="94"/>
      <c r="B437" s="95"/>
      <c r="C437" s="95"/>
      <c r="D437" s="94"/>
      <c r="E437" s="94"/>
      <c r="F437" s="96"/>
      <c r="G437" s="94"/>
      <c r="H437" s="96"/>
      <c r="I437" s="96"/>
      <c r="J437" s="92"/>
      <c r="K437" s="97"/>
      <c r="L437" s="99" t="str">
        <f ca="1">_xlfn.LET(
    _xlpm.res_no, J437,
    _xlpm.record_sheet, 'MatRes Record'!J:M,
    _xlpm.AllCellsFilled, COUNTA(A437:K437) = 11,
    _xlpm.QtyIsInt, AND(ISNUMBER(G437), G437=INT(G437)),
    _xlpm.ReqDateIsValid, AND(ISNUMBER(H437), H437&gt;=TODAY()),
    _xlpm.EmailIsValid, RIGHT(I437,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IF(A437="", "", IF(_xlpm.error_messages = "", "Yes", _xlpm.error_messages))
)</f>
        <v/>
      </c>
    </row>
    <row r="438" spans="1:12">
      <c r="A438" s="94"/>
      <c r="B438" s="95"/>
      <c r="C438" s="95"/>
      <c r="D438" s="94"/>
      <c r="E438" s="94"/>
      <c r="F438" s="96"/>
      <c r="G438" s="94"/>
      <c r="H438" s="96"/>
      <c r="I438" s="96"/>
      <c r="J438" s="92"/>
      <c r="K438" s="97"/>
      <c r="L438" s="99" t="str">
        <f ca="1">_xlfn.LET(
    _xlpm.res_no, J438,
    _xlpm.record_sheet, 'MatRes Record'!J:M,
    _xlpm.AllCellsFilled, COUNTA(A438:K438) = 11,
    _xlpm.QtyIsInt, AND(ISNUMBER(G438), G438=INT(G438)),
    _xlpm.ReqDateIsValid, AND(ISNUMBER(H438), H438&gt;=TODAY()),
    _xlpm.EmailIsValid, RIGHT(I438,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IF(A438="", "", IF(_xlpm.error_messages = "", "Yes", _xlpm.error_messages))
)</f>
        <v/>
      </c>
    </row>
    <row r="439" spans="1:12">
      <c r="A439" s="94"/>
      <c r="B439" s="95"/>
      <c r="C439" s="95"/>
      <c r="D439" s="94"/>
      <c r="E439" s="94"/>
      <c r="F439" s="96"/>
      <c r="G439" s="94"/>
      <c r="H439" s="96"/>
      <c r="I439" s="96"/>
      <c r="J439" s="92"/>
      <c r="K439" s="97"/>
      <c r="L439" s="99" t="str">
        <f ca="1">_xlfn.LET(
    _xlpm.res_no, J439,
    _xlpm.record_sheet, 'MatRes Record'!J:M,
    _xlpm.AllCellsFilled, COUNTA(A439:K439) = 11,
    _xlpm.QtyIsInt, AND(ISNUMBER(G439), G439=INT(G439)),
    _xlpm.ReqDateIsValid, AND(ISNUMBER(H439), H439&gt;=TODAY()),
    _xlpm.EmailIsValid, RIGHT(I439,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IF(A439="", "", IF(_xlpm.error_messages = "", "Yes", _xlpm.error_messages))
)</f>
        <v/>
      </c>
    </row>
    <row r="440" spans="1:12">
      <c r="A440" s="94"/>
      <c r="B440" s="95"/>
      <c r="C440" s="95"/>
      <c r="D440" s="94"/>
      <c r="E440" s="94"/>
      <c r="F440" s="96"/>
      <c r="G440" s="94"/>
      <c r="H440" s="96"/>
      <c r="I440" s="96"/>
      <c r="J440" s="92"/>
      <c r="K440" s="97"/>
      <c r="L440" s="99" t="str">
        <f ca="1">_xlfn.LET(
    _xlpm.res_no, J440,
    _xlpm.record_sheet, 'MatRes Record'!J:M,
    _xlpm.AllCellsFilled, COUNTA(A440:K440) = 11,
    _xlpm.QtyIsInt, AND(ISNUMBER(G440), G440=INT(G440)),
    _xlpm.ReqDateIsValid, AND(ISNUMBER(H440), H440&gt;=TODAY()),
    _xlpm.EmailIsValid, RIGHT(I440,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IF(A440="", "", IF(_xlpm.error_messages = "", "Yes", _xlpm.error_messages))
)</f>
        <v/>
      </c>
    </row>
    <row r="441" spans="1:12">
      <c r="A441" s="94"/>
      <c r="B441" s="95"/>
      <c r="C441" s="95"/>
      <c r="D441" s="94"/>
      <c r="E441" s="94"/>
      <c r="F441" s="96"/>
      <c r="G441" s="94"/>
      <c r="H441" s="96"/>
      <c r="I441" s="96"/>
      <c r="J441" s="92"/>
      <c r="K441" s="97"/>
      <c r="L441" s="99" t="str">
        <f ca="1">_xlfn.LET(
    _xlpm.res_no, J441,
    _xlpm.record_sheet, 'MatRes Record'!J:M,
    _xlpm.AllCellsFilled, COUNTA(A441:K441) = 11,
    _xlpm.QtyIsInt, AND(ISNUMBER(G441), G441=INT(G441)),
    _xlpm.ReqDateIsValid, AND(ISNUMBER(H441), H441&gt;=TODAY()),
    _xlpm.EmailIsValid, RIGHT(I441,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IF(A441="", "", IF(_xlpm.error_messages = "", "Yes", _xlpm.error_messages))
)</f>
        <v/>
      </c>
    </row>
    <row r="442" spans="1:12">
      <c r="A442" s="94"/>
      <c r="B442" s="95"/>
      <c r="C442" s="95"/>
      <c r="D442" s="94"/>
      <c r="E442" s="94"/>
      <c r="F442" s="96"/>
      <c r="G442" s="94"/>
      <c r="H442" s="96"/>
      <c r="I442" s="96"/>
      <c r="J442" s="92"/>
      <c r="K442" s="97"/>
      <c r="L442" s="99" t="str">
        <f ca="1">_xlfn.LET(
    _xlpm.res_no, J442,
    _xlpm.record_sheet, 'MatRes Record'!J:M,
    _xlpm.AllCellsFilled, COUNTA(A442:K442) = 11,
    _xlpm.QtyIsInt, AND(ISNUMBER(G442), G442=INT(G442)),
    _xlpm.ReqDateIsValid, AND(ISNUMBER(H442), H442&gt;=TODAY()),
    _xlpm.EmailIsValid, RIGHT(I442,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IF(A442="", "", IF(_xlpm.error_messages = "", "Yes", _xlpm.error_messages))
)</f>
        <v/>
      </c>
    </row>
    <row r="443" spans="1:12">
      <c r="A443" s="94"/>
      <c r="B443" s="95"/>
      <c r="C443" s="95"/>
      <c r="D443" s="94"/>
      <c r="E443" s="94"/>
      <c r="F443" s="96"/>
      <c r="G443" s="94"/>
      <c r="H443" s="96"/>
      <c r="I443" s="96"/>
      <c r="J443" s="92"/>
      <c r="K443" s="97"/>
      <c r="L443" s="99" t="str">
        <f ca="1">_xlfn.LET(
    _xlpm.res_no, J443,
    _xlpm.record_sheet, 'MatRes Record'!J:M,
    _xlpm.AllCellsFilled, COUNTA(A443:K443) = 11,
    _xlpm.QtyIsInt, AND(ISNUMBER(G443), G443=INT(G443)),
    _xlpm.ReqDateIsValid, AND(ISNUMBER(H443), H443&gt;=TODAY()),
    _xlpm.EmailIsValid, RIGHT(I443,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IF(A443="", "", IF(_xlpm.error_messages = "", "Yes", _xlpm.error_messages))
)</f>
        <v/>
      </c>
    </row>
    <row r="444" spans="1:12">
      <c r="A444" s="94"/>
      <c r="B444" s="95"/>
      <c r="C444" s="95"/>
      <c r="D444" s="94"/>
      <c r="E444" s="94"/>
      <c r="F444" s="96"/>
      <c r="G444" s="94"/>
      <c r="H444" s="96"/>
      <c r="I444" s="96"/>
      <c r="J444" s="92"/>
      <c r="K444" s="97"/>
      <c r="L444" s="99" t="str">
        <f ca="1">_xlfn.LET(
    _xlpm.res_no, J444,
    _xlpm.record_sheet, 'MatRes Record'!J:M,
    _xlpm.AllCellsFilled, COUNTA(A444:K444) = 11,
    _xlpm.QtyIsInt, AND(ISNUMBER(G444), G444=INT(G444)),
    _xlpm.ReqDateIsValid, AND(ISNUMBER(H444), H444&gt;=TODAY()),
    _xlpm.EmailIsValid, RIGHT(I444,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IF(A444="", "", IF(_xlpm.error_messages = "", "Yes", _xlpm.error_messages))
)</f>
        <v/>
      </c>
    </row>
    <row r="445" spans="1:12">
      <c r="A445" s="94"/>
      <c r="B445" s="95"/>
      <c r="C445" s="95"/>
      <c r="D445" s="94"/>
      <c r="E445" s="94"/>
      <c r="F445" s="96"/>
      <c r="G445" s="94"/>
      <c r="H445" s="96"/>
      <c r="I445" s="96"/>
      <c r="J445" s="92"/>
      <c r="K445" s="97"/>
      <c r="L445" s="99" t="str">
        <f ca="1">_xlfn.LET(
    _xlpm.res_no, J445,
    _xlpm.record_sheet, 'MatRes Record'!J:M,
    _xlpm.AllCellsFilled, COUNTA(A445:K445) = 11,
    _xlpm.QtyIsInt, AND(ISNUMBER(G445), G445=INT(G445)),
    _xlpm.ReqDateIsValid, AND(ISNUMBER(H445), H445&gt;=TODAY()),
    _xlpm.EmailIsValid, RIGHT(I445,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IF(A445="", "", IF(_xlpm.error_messages = "", "Yes", _xlpm.error_messages))
)</f>
        <v/>
      </c>
    </row>
    <row r="446" spans="1:12">
      <c r="A446" s="94"/>
      <c r="B446" s="95"/>
      <c r="C446" s="95"/>
      <c r="D446" s="94"/>
      <c r="E446" s="94"/>
      <c r="F446" s="96"/>
      <c r="G446" s="94"/>
      <c r="H446" s="96"/>
      <c r="I446" s="96"/>
      <c r="J446" s="92"/>
      <c r="K446" s="97"/>
      <c r="L446" s="99" t="str">
        <f ca="1">_xlfn.LET(
    _xlpm.res_no, J446,
    _xlpm.record_sheet, 'MatRes Record'!J:M,
    _xlpm.AllCellsFilled, COUNTA(A446:K446) = 11,
    _xlpm.QtyIsInt, AND(ISNUMBER(G446), G446=INT(G446)),
    _xlpm.ReqDateIsValid, AND(ISNUMBER(H446), H446&gt;=TODAY()),
    _xlpm.EmailIsValid, RIGHT(I446,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IF(A446="", "", IF(_xlpm.error_messages = "", "Yes", _xlpm.error_messages))
)</f>
        <v/>
      </c>
    </row>
    <row r="447" spans="1:12">
      <c r="A447" s="94"/>
      <c r="B447" s="95"/>
      <c r="C447" s="95"/>
      <c r="D447" s="94"/>
      <c r="E447" s="94"/>
      <c r="F447" s="96"/>
      <c r="G447" s="94"/>
      <c r="H447" s="96"/>
      <c r="I447" s="96"/>
      <c r="J447" s="92"/>
      <c r="K447" s="97"/>
      <c r="L447" s="99" t="str">
        <f ca="1">_xlfn.LET(
    _xlpm.res_no, J447,
    _xlpm.record_sheet, 'MatRes Record'!J:M,
    _xlpm.AllCellsFilled, COUNTA(A447:K447) = 11,
    _xlpm.QtyIsInt, AND(ISNUMBER(G447), G447=INT(G447)),
    _xlpm.ReqDateIsValid, AND(ISNUMBER(H447), H447&gt;=TODAY()),
    _xlpm.EmailIsValid, RIGHT(I447,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IF(A447="", "", IF(_xlpm.error_messages = "", "Yes", _xlpm.error_messages))
)</f>
        <v/>
      </c>
    </row>
    <row r="448" spans="1:12">
      <c r="A448" s="94"/>
      <c r="B448" s="95"/>
      <c r="C448" s="95"/>
      <c r="D448" s="94"/>
      <c r="E448" s="94"/>
      <c r="F448" s="96"/>
      <c r="G448" s="94"/>
      <c r="H448" s="96"/>
      <c r="I448" s="96"/>
      <c r="J448" s="92"/>
      <c r="K448" s="97"/>
      <c r="L448" s="99" t="str">
        <f ca="1">_xlfn.LET(
    _xlpm.res_no, J448,
    _xlpm.record_sheet, 'MatRes Record'!J:M,
    _xlpm.AllCellsFilled, COUNTA(A448:K448) = 11,
    _xlpm.QtyIsInt, AND(ISNUMBER(G448), G448=INT(G448)),
    _xlpm.ReqDateIsValid, AND(ISNUMBER(H448), H448&gt;=TODAY()),
    _xlpm.EmailIsValid, RIGHT(I448,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IF(A448="", "", IF(_xlpm.error_messages = "", "Yes", _xlpm.error_messages))
)</f>
        <v/>
      </c>
    </row>
    <row r="449" spans="1:12">
      <c r="A449" s="94"/>
      <c r="B449" s="95"/>
      <c r="C449" s="95"/>
      <c r="D449" s="94"/>
      <c r="E449" s="94"/>
      <c r="F449" s="96"/>
      <c r="G449" s="94"/>
      <c r="H449" s="96"/>
      <c r="I449" s="96"/>
      <c r="J449" s="92"/>
      <c r="K449" s="97"/>
      <c r="L449" s="99" t="str">
        <f ca="1">_xlfn.LET(
    _xlpm.res_no, J449,
    _xlpm.record_sheet, 'MatRes Record'!J:M,
    _xlpm.AllCellsFilled, COUNTA(A449:K449) = 11,
    _xlpm.QtyIsInt, AND(ISNUMBER(G449), G449=INT(G449)),
    _xlpm.ReqDateIsValid, AND(ISNUMBER(H449), H449&gt;=TODAY()),
    _xlpm.EmailIsValid, RIGHT(I449,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IF(A449="", "", IF(_xlpm.error_messages = "", "Yes", _xlpm.error_messages))
)</f>
        <v/>
      </c>
    </row>
    <row r="450" spans="1:12">
      <c r="A450" s="94"/>
      <c r="B450" s="95"/>
      <c r="C450" s="95"/>
      <c r="D450" s="94"/>
      <c r="E450" s="94"/>
      <c r="F450" s="96"/>
      <c r="G450" s="94"/>
      <c r="H450" s="96"/>
      <c r="I450" s="96"/>
      <c r="J450" s="92"/>
      <c r="K450" s="97"/>
      <c r="L450" s="99" t="str">
        <f ca="1">_xlfn.LET(
    _xlpm.res_no, J450,
    _xlpm.record_sheet, 'MatRes Record'!J:M,
    _xlpm.AllCellsFilled, COUNTA(A450:K450) = 11,
    _xlpm.QtyIsInt, AND(ISNUMBER(G450), G450=INT(G450)),
    _xlpm.ReqDateIsValid, AND(ISNUMBER(H450), H450&gt;=TODAY()),
    _xlpm.EmailIsValid, RIGHT(I450,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IF(A450="", "", IF(_xlpm.error_messages = "", "Yes", _xlpm.error_messages))
)</f>
        <v/>
      </c>
    </row>
    <row r="451" spans="1:12">
      <c r="A451" s="94"/>
      <c r="B451" s="95"/>
      <c r="C451" s="95"/>
      <c r="D451" s="94"/>
      <c r="E451" s="94"/>
      <c r="F451" s="96"/>
      <c r="G451" s="94"/>
      <c r="H451" s="96"/>
      <c r="I451" s="96"/>
      <c r="J451" s="92"/>
      <c r="K451" s="97"/>
      <c r="L451" s="99" t="str">
        <f ca="1">_xlfn.LET(
    _xlpm.res_no, J451,
    _xlpm.record_sheet, 'MatRes Record'!J:M,
    _xlpm.AllCellsFilled, COUNTA(A451:K451) = 11,
    _xlpm.QtyIsInt, AND(ISNUMBER(G451), G451=INT(G451)),
    _xlpm.ReqDateIsValid, AND(ISNUMBER(H451), H451&gt;=TODAY()),
    _xlpm.EmailIsValid, RIGHT(I451,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IF(A451="", "", IF(_xlpm.error_messages = "", "Yes", _xlpm.error_messages))
)</f>
        <v/>
      </c>
    </row>
    <row r="452" spans="1:12">
      <c r="A452" s="94"/>
      <c r="B452" s="95"/>
      <c r="C452" s="95"/>
      <c r="D452" s="94"/>
      <c r="E452" s="94"/>
      <c r="F452" s="96"/>
      <c r="G452" s="94"/>
      <c r="H452" s="96"/>
      <c r="I452" s="96"/>
      <c r="J452" s="92"/>
      <c r="K452" s="97"/>
      <c r="L452" s="99" t="str">
        <f ca="1">_xlfn.LET(
    _xlpm.res_no, J452,
    _xlpm.record_sheet, 'MatRes Record'!J:M,
    _xlpm.AllCellsFilled, COUNTA(A452:K452) = 11,
    _xlpm.QtyIsInt, AND(ISNUMBER(G452), G452=INT(G452)),
    _xlpm.ReqDateIsValid, AND(ISNUMBER(H452), H452&gt;=TODAY()),
    _xlpm.EmailIsValid, RIGHT(I452,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IF(A452="", "", IF(_xlpm.error_messages = "", "Yes", _xlpm.error_messages))
)</f>
        <v/>
      </c>
    </row>
    <row r="453" spans="1:12">
      <c r="A453" s="94"/>
      <c r="B453" s="95"/>
      <c r="C453" s="95"/>
      <c r="D453" s="94"/>
      <c r="E453" s="94"/>
      <c r="F453" s="96"/>
      <c r="G453" s="94"/>
      <c r="H453" s="96"/>
      <c r="I453" s="96"/>
      <c r="J453" s="92"/>
      <c r="K453" s="97"/>
      <c r="L453" s="99" t="str">
        <f ca="1">_xlfn.LET(
    _xlpm.res_no, J453,
    _xlpm.record_sheet, 'MatRes Record'!J:M,
    _xlpm.AllCellsFilled, COUNTA(A453:K453) = 11,
    _xlpm.QtyIsInt, AND(ISNUMBER(G453), G453=INT(G453)),
    _xlpm.ReqDateIsValid, AND(ISNUMBER(H453), H453&gt;=TODAY()),
    _xlpm.EmailIsValid, RIGHT(I453,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IF(A453="", "", IF(_xlpm.error_messages = "", "Yes", _xlpm.error_messages))
)</f>
        <v/>
      </c>
    </row>
    <row r="454" spans="1:12">
      <c r="A454" s="94"/>
      <c r="B454" s="95"/>
      <c r="C454" s="95"/>
      <c r="D454" s="94"/>
      <c r="E454" s="94"/>
      <c r="F454" s="96"/>
      <c r="G454" s="94"/>
      <c r="H454" s="96"/>
      <c r="I454" s="96"/>
      <c r="J454" s="92"/>
      <c r="K454" s="97"/>
      <c r="L454" s="99" t="str">
        <f ca="1">_xlfn.LET(
    _xlpm.res_no, J454,
    _xlpm.record_sheet, 'MatRes Record'!J:M,
    _xlpm.AllCellsFilled, COUNTA(A454:K454) = 11,
    _xlpm.QtyIsInt, AND(ISNUMBER(G454), G454=INT(G454)),
    _xlpm.ReqDateIsValid, AND(ISNUMBER(H454), H454&gt;=TODAY()),
    _xlpm.EmailIsValid, RIGHT(I454,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IF(A454="", "", IF(_xlpm.error_messages = "", "Yes", _xlpm.error_messages))
)</f>
        <v/>
      </c>
    </row>
    <row r="455" spans="1:12">
      <c r="A455" s="94"/>
      <c r="B455" s="95"/>
      <c r="C455" s="95"/>
      <c r="D455" s="94"/>
      <c r="E455" s="94"/>
      <c r="F455" s="96"/>
      <c r="G455" s="94"/>
      <c r="H455" s="96"/>
      <c r="I455" s="96"/>
      <c r="J455" s="92"/>
      <c r="K455" s="97"/>
      <c r="L455" s="99" t="str">
        <f ca="1">_xlfn.LET(
    _xlpm.res_no, J455,
    _xlpm.record_sheet, 'MatRes Record'!J:M,
    _xlpm.AllCellsFilled, COUNTA(A455:K455) = 11,
    _xlpm.QtyIsInt, AND(ISNUMBER(G455), G455=INT(G455)),
    _xlpm.ReqDateIsValid, AND(ISNUMBER(H455), H455&gt;=TODAY()),
    _xlpm.EmailIsValid, RIGHT(I455,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IF(A455="", "", IF(_xlpm.error_messages = "", "Yes", _xlpm.error_messages))
)</f>
        <v/>
      </c>
    </row>
    <row r="456" spans="1:12">
      <c r="A456" s="94"/>
      <c r="B456" s="95"/>
      <c r="C456" s="95"/>
      <c r="D456" s="94"/>
      <c r="E456" s="94"/>
      <c r="F456" s="96"/>
      <c r="G456" s="94"/>
      <c r="H456" s="96"/>
      <c r="I456" s="96"/>
      <c r="J456" s="92"/>
      <c r="K456" s="97"/>
      <c r="L456" s="99" t="str">
        <f ca="1">_xlfn.LET(
    _xlpm.res_no, J456,
    _xlpm.record_sheet, 'MatRes Record'!J:M,
    _xlpm.AllCellsFilled, COUNTA(A456:K456) = 11,
    _xlpm.QtyIsInt, AND(ISNUMBER(G456), G456=INT(G456)),
    _xlpm.ReqDateIsValid, AND(ISNUMBER(H456), H456&gt;=TODAY()),
    _xlpm.EmailIsValid, RIGHT(I456,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IF(A456="", "", IF(_xlpm.error_messages = "", "Yes", _xlpm.error_messages))
)</f>
        <v/>
      </c>
    </row>
    <row r="457" spans="1:12">
      <c r="A457" s="94"/>
      <c r="B457" s="95"/>
      <c r="C457" s="95"/>
      <c r="D457" s="94"/>
      <c r="E457" s="94"/>
      <c r="F457" s="96"/>
      <c r="G457" s="94"/>
      <c r="H457" s="96"/>
      <c r="I457" s="96"/>
      <c r="J457" s="92"/>
      <c r="K457" s="97"/>
      <c r="L457" s="99" t="str">
        <f ca="1">_xlfn.LET(
    _xlpm.res_no, J457,
    _xlpm.record_sheet, 'MatRes Record'!J:M,
    _xlpm.AllCellsFilled, COUNTA(A457:K457) = 11,
    _xlpm.QtyIsInt, AND(ISNUMBER(G457), G457=INT(G457)),
    _xlpm.ReqDateIsValid, AND(ISNUMBER(H457), H457&gt;=TODAY()),
    _xlpm.EmailIsValid, RIGHT(I457,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IF(A457="", "", IF(_xlpm.error_messages = "", "Yes", _xlpm.error_messages))
)</f>
        <v/>
      </c>
    </row>
    <row r="458" spans="1:12">
      <c r="A458" s="94"/>
      <c r="B458" s="95"/>
      <c r="C458" s="95"/>
      <c r="D458" s="94"/>
      <c r="E458" s="94"/>
      <c r="F458" s="96"/>
      <c r="G458" s="94"/>
      <c r="H458" s="96"/>
      <c r="I458" s="96"/>
      <c r="J458" s="92"/>
      <c r="K458" s="97"/>
      <c r="L458" s="99" t="str">
        <f ca="1">_xlfn.LET(
    _xlpm.res_no, J458,
    _xlpm.record_sheet, 'MatRes Record'!J:M,
    _xlpm.AllCellsFilled, COUNTA(A458:K458) = 11,
    _xlpm.QtyIsInt, AND(ISNUMBER(G458), G458=INT(G458)),
    _xlpm.ReqDateIsValid, AND(ISNUMBER(H458), H458&gt;=TODAY()),
    _xlpm.EmailIsValid, RIGHT(I458,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IF(A458="", "", IF(_xlpm.error_messages = "", "Yes", _xlpm.error_messages))
)</f>
        <v/>
      </c>
    </row>
    <row r="459" spans="1:12">
      <c r="A459" s="94"/>
      <c r="B459" s="95"/>
      <c r="C459" s="95"/>
      <c r="D459" s="94"/>
      <c r="E459" s="94"/>
      <c r="F459" s="96"/>
      <c r="G459" s="94"/>
      <c r="H459" s="96"/>
      <c r="I459" s="96"/>
      <c r="J459" s="92"/>
      <c r="K459" s="97"/>
      <c r="L459" s="99" t="str">
        <f ca="1">_xlfn.LET(
    _xlpm.res_no, J459,
    _xlpm.record_sheet, 'MatRes Record'!J:M,
    _xlpm.AllCellsFilled, COUNTA(A459:K459) = 11,
    _xlpm.QtyIsInt, AND(ISNUMBER(G459), G459=INT(G459)),
    _xlpm.ReqDateIsValid, AND(ISNUMBER(H459), H459&gt;=TODAY()),
    _xlpm.EmailIsValid, RIGHT(I459,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IF(A459="", "", IF(_xlpm.error_messages = "", "Yes", _xlpm.error_messages))
)</f>
        <v/>
      </c>
    </row>
    <row r="460" spans="1:12">
      <c r="A460" s="94"/>
      <c r="B460" s="95"/>
      <c r="C460" s="95"/>
      <c r="D460" s="94"/>
      <c r="E460" s="94"/>
      <c r="F460" s="96"/>
      <c r="G460" s="94"/>
      <c r="H460" s="96"/>
      <c r="I460" s="96"/>
      <c r="J460" s="92"/>
      <c r="K460" s="97"/>
      <c r="L460" s="99" t="str">
        <f ca="1">_xlfn.LET(
    _xlpm.res_no, J460,
    _xlpm.record_sheet, 'MatRes Record'!J:M,
    _xlpm.AllCellsFilled, COUNTA(A460:K460) = 11,
    _xlpm.QtyIsInt, AND(ISNUMBER(G460), G460=INT(G460)),
    _xlpm.ReqDateIsValid, AND(ISNUMBER(H460), H460&gt;=TODAY()),
    _xlpm.EmailIsValid, RIGHT(I460,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IF(A460="", "", IF(_xlpm.error_messages = "", "Yes", _xlpm.error_messages))
)</f>
        <v/>
      </c>
    </row>
    <row r="461" spans="1:12">
      <c r="A461" s="94"/>
      <c r="B461" s="95"/>
      <c r="C461" s="95"/>
      <c r="D461" s="94"/>
      <c r="E461" s="94"/>
      <c r="F461" s="96"/>
      <c r="G461" s="94"/>
      <c r="H461" s="96"/>
      <c r="I461" s="96"/>
      <c r="J461" s="92"/>
      <c r="K461" s="97"/>
      <c r="L461" s="99" t="str">
        <f ca="1">_xlfn.LET(
    _xlpm.res_no, J461,
    _xlpm.record_sheet, 'MatRes Record'!J:M,
    _xlpm.AllCellsFilled, COUNTA(A461:K461) = 11,
    _xlpm.QtyIsInt, AND(ISNUMBER(G461), G461=INT(G461)),
    _xlpm.ReqDateIsValid, AND(ISNUMBER(H461), H461&gt;=TODAY()),
    _xlpm.EmailIsValid, RIGHT(I461,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IF(A461="", "", IF(_xlpm.error_messages = "", "Yes", _xlpm.error_messages))
)</f>
        <v/>
      </c>
    </row>
    <row r="462" spans="1:12">
      <c r="A462" s="94"/>
      <c r="B462" s="95"/>
      <c r="C462" s="95"/>
      <c r="D462" s="94"/>
      <c r="E462" s="94"/>
      <c r="F462" s="96"/>
      <c r="G462" s="94"/>
      <c r="H462" s="96"/>
      <c r="I462" s="96"/>
      <c r="J462" s="92"/>
      <c r="K462" s="97"/>
      <c r="L462" s="99" t="str">
        <f ca="1">_xlfn.LET(
    _xlpm.res_no, J462,
    _xlpm.record_sheet, 'MatRes Record'!J:M,
    _xlpm.AllCellsFilled, COUNTA(A462:K462) = 11,
    _xlpm.QtyIsInt, AND(ISNUMBER(G462), G462=INT(G462)),
    _xlpm.ReqDateIsValid, AND(ISNUMBER(H462), H462&gt;=TODAY()),
    _xlpm.EmailIsValid, RIGHT(I462,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IF(A462="", "", IF(_xlpm.error_messages = "", "Yes", _xlpm.error_messages))
)</f>
        <v/>
      </c>
    </row>
    <row r="463" spans="1:12">
      <c r="A463" s="94"/>
      <c r="B463" s="95"/>
      <c r="C463" s="95"/>
      <c r="D463" s="94"/>
      <c r="E463" s="94"/>
      <c r="F463" s="96"/>
      <c r="G463" s="94"/>
      <c r="H463" s="96"/>
      <c r="I463" s="96"/>
      <c r="J463" s="92"/>
      <c r="K463" s="97"/>
      <c r="L463" s="99" t="str">
        <f ca="1">_xlfn.LET(
    _xlpm.res_no, J463,
    _xlpm.record_sheet, 'MatRes Record'!J:M,
    _xlpm.AllCellsFilled, COUNTA(A463:K463) = 11,
    _xlpm.QtyIsInt, AND(ISNUMBER(G463), G463=INT(G463)),
    _xlpm.ReqDateIsValid, AND(ISNUMBER(H463), H463&gt;=TODAY()),
    _xlpm.EmailIsValid, RIGHT(I463,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IF(A463="", "", IF(_xlpm.error_messages = "", "Yes", _xlpm.error_messages))
)</f>
        <v/>
      </c>
    </row>
    <row r="464" spans="1:12">
      <c r="A464" s="94"/>
      <c r="B464" s="95"/>
      <c r="C464" s="95"/>
      <c r="D464" s="94"/>
      <c r="E464" s="94"/>
      <c r="F464" s="96"/>
      <c r="G464" s="94"/>
      <c r="H464" s="96"/>
      <c r="I464" s="96"/>
      <c r="J464" s="92"/>
      <c r="K464" s="97"/>
      <c r="L464" s="99" t="str">
        <f ca="1">_xlfn.LET(
    _xlpm.res_no, J464,
    _xlpm.record_sheet, 'MatRes Record'!J:M,
    _xlpm.AllCellsFilled, COUNTA(A464:K464) = 11,
    _xlpm.QtyIsInt, AND(ISNUMBER(G464), G464=INT(G464)),
    _xlpm.ReqDateIsValid, AND(ISNUMBER(H464), H464&gt;=TODAY()),
    _xlpm.EmailIsValid, RIGHT(I464,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IF(A464="", "", IF(_xlpm.error_messages = "", "Yes", _xlpm.error_messages))
)</f>
        <v/>
      </c>
    </row>
    <row r="465" spans="1:12">
      <c r="A465" s="94"/>
      <c r="B465" s="95"/>
      <c r="C465" s="95"/>
      <c r="D465" s="94"/>
      <c r="E465" s="94"/>
      <c r="F465" s="96"/>
      <c r="G465" s="94"/>
      <c r="H465" s="96"/>
      <c r="I465" s="96"/>
      <c r="J465" s="92"/>
      <c r="K465" s="97"/>
      <c r="L465" s="99" t="str">
        <f ca="1">_xlfn.LET(
    _xlpm.res_no, J465,
    _xlpm.record_sheet, 'MatRes Record'!J:M,
    _xlpm.AllCellsFilled, COUNTA(A465:K465) = 11,
    _xlpm.QtyIsInt, AND(ISNUMBER(G465), G465=INT(G465)),
    _xlpm.ReqDateIsValid, AND(ISNUMBER(H465), H465&gt;=TODAY()),
    _xlpm.EmailIsValid, RIGHT(I465,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IF(A465="", "", IF(_xlpm.error_messages = "", "Yes", _xlpm.error_messages))
)</f>
        <v/>
      </c>
    </row>
    <row r="466" spans="1:12">
      <c r="A466" s="94"/>
      <c r="B466" s="95"/>
      <c r="C466" s="95"/>
      <c r="D466" s="94"/>
      <c r="E466" s="94"/>
      <c r="F466" s="96"/>
      <c r="G466" s="94"/>
      <c r="H466" s="96"/>
      <c r="I466" s="96"/>
      <c r="J466" s="92"/>
      <c r="K466" s="97"/>
      <c r="L466" s="99" t="str">
        <f ca="1">_xlfn.LET(
    _xlpm.res_no, J466,
    _xlpm.record_sheet, 'MatRes Record'!J:M,
    _xlpm.AllCellsFilled, COUNTA(A466:K466) = 11,
    _xlpm.QtyIsInt, AND(ISNUMBER(G466), G466=INT(G466)),
    _xlpm.ReqDateIsValid, AND(ISNUMBER(H466), H466&gt;=TODAY()),
    _xlpm.EmailIsValid, RIGHT(I466,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IF(A466="", "", IF(_xlpm.error_messages = "", "Yes", _xlpm.error_messages))
)</f>
        <v/>
      </c>
    </row>
    <row r="467" spans="1:12">
      <c r="A467" s="94"/>
      <c r="B467" s="95"/>
      <c r="C467" s="95"/>
      <c r="D467" s="94"/>
      <c r="E467" s="94"/>
      <c r="F467" s="96"/>
      <c r="G467" s="94"/>
      <c r="H467" s="96"/>
      <c r="I467" s="96"/>
      <c r="J467" s="92"/>
      <c r="K467" s="97"/>
      <c r="L467" s="99" t="str">
        <f ca="1">_xlfn.LET(
    _xlpm.res_no, J467,
    _xlpm.record_sheet, 'MatRes Record'!J:M,
    _xlpm.AllCellsFilled, COUNTA(A467:K467) = 11,
    _xlpm.QtyIsInt, AND(ISNUMBER(G467), G467=INT(G467)),
    _xlpm.ReqDateIsValid, AND(ISNUMBER(H467), H467&gt;=TODAY()),
    _xlpm.EmailIsValid, RIGHT(I467,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IF(A467="", "", IF(_xlpm.error_messages = "", "Yes", _xlpm.error_messages))
)</f>
        <v/>
      </c>
    </row>
    <row r="468" spans="1:12">
      <c r="A468" s="94"/>
      <c r="B468" s="95"/>
      <c r="C468" s="95"/>
      <c r="D468" s="94"/>
      <c r="E468" s="94"/>
      <c r="F468" s="96"/>
      <c r="G468" s="94"/>
      <c r="H468" s="96"/>
      <c r="I468" s="96"/>
      <c r="J468" s="92"/>
      <c r="K468" s="97"/>
      <c r="L468" s="99" t="str">
        <f ca="1">_xlfn.LET(
    _xlpm.res_no, J468,
    _xlpm.record_sheet, 'MatRes Record'!J:M,
    _xlpm.AllCellsFilled, COUNTA(A468:K468) = 11,
    _xlpm.QtyIsInt, AND(ISNUMBER(G468), G468=INT(G468)),
    _xlpm.ReqDateIsValid, AND(ISNUMBER(H468), H468&gt;=TODAY()),
    _xlpm.EmailIsValid, RIGHT(I468,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IF(A468="", "", IF(_xlpm.error_messages = "", "Yes", _xlpm.error_messages))
)</f>
        <v/>
      </c>
    </row>
    <row r="469" spans="1:12">
      <c r="A469" s="94"/>
      <c r="B469" s="95"/>
      <c r="C469" s="95"/>
      <c r="D469" s="94"/>
      <c r="E469" s="94"/>
      <c r="F469" s="96"/>
      <c r="G469" s="94"/>
      <c r="H469" s="96"/>
      <c r="I469" s="96"/>
      <c r="J469" s="92"/>
      <c r="K469" s="97"/>
      <c r="L469" s="99" t="str">
        <f ca="1">_xlfn.LET(
    _xlpm.res_no, J469,
    _xlpm.record_sheet, 'MatRes Record'!J:M,
    _xlpm.AllCellsFilled, COUNTA(A469:K469) = 11,
    _xlpm.QtyIsInt, AND(ISNUMBER(G469), G469=INT(G469)),
    _xlpm.ReqDateIsValid, AND(ISNUMBER(H469), H469&gt;=TODAY()),
    _xlpm.EmailIsValid, RIGHT(I469,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IF(A469="", "", IF(_xlpm.error_messages = "", "Yes", _xlpm.error_messages))
)</f>
        <v/>
      </c>
    </row>
    <row r="470" spans="1:12">
      <c r="A470" s="94"/>
      <c r="B470" s="95"/>
      <c r="C470" s="95"/>
      <c r="D470" s="94"/>
      <c r="E470" s="94"/>
      <c r="F470" s="96"/>
      <c r="G470" s="94"/>
      <c r="H470" s="96"/>
      <c r="I470" s="96"/>
      <c r="J470" s="92"/>
      <c r="K470" s="97"/>
      <c r="L470" s="99" t="str">
        <f ca="1">_xlfn.LET(
    _xlpm.res_no, J470,
    _xlpm.record_sheet, 'MatRes Record'!J:M,
    _xlpm.AllCellsFilled, COUNTA(A470:K470) = 11,
    _xlpm.QtyIsInt, AND(ISNUMBER(G470), G470=INT(G470)),
    _xlpm.ReqDateIsValid, AND(ISNUMBER(H470), H470&gt;=TODAY()),
    _xlpm.EmailIsValid, RIGHT(I470,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IF(A470="", "", IF(_xlpm.error_messages = "", "Yes", _xlpm.error_messages))
)</f>
        <v/>
      </c>
    </row>
    <row r="471" spans="1:12">
      <c r="A471" s="94"/>
      <c r="B471" s="95"/>
      <c r="C471" s="95"/>
      <c r="D471" s="94"/>
      <c r="E471" s="94"/>
      <c r="F471" s="96"/>
      <c r="G471" s="94"/>
      <c r="H471" s="96"/>
      <c r="I471" s="96"/>
      <c r="J471" s="92"/>
      <c r="K471" s="97"/>
      <c r="L471" s="99" t="str">
        <f ca="1">_xlfn.LET(
    _xlpm.res_no, J471,
    _xlpm.record_sheet, 'MatRes Record'!J:M,
    _xlpm.AllCellsFilled, COUNTA(A471:K471) = 11,
    _xlpm.QtyIsInt, AND(ISNUMBER(G471), G471=INT(G471)),
    _xlpm.ReqDateIsValid, AND(ISNUMBER(H471), H471&gt;=TODAY()),
    _xlpm.EmailIsValid, RIGHT(I471,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IF(A471="", "", IF(_xlpm.error_messages = "", "Yes", _xlpm.error_messages))
)</f>
        <v/>
      </c>
    </row>
    <row r="472" spans="1:12">
      <c r="A472" s="94"/>
      <c r="B472" s="95"/>
      <c r="C472" s="95"/>
      <c r="D472" s="94"/>
      <c r="E472" s="94"/>
      <c r="F472" s="96"/>
      <c r="G472" s="94"/>
      <c r="H472" s="96"/>
      <c r="I472" s="96"/>
      <c r="J472" s="92"/>
      <c r="K472" s="97"/>
      <c r="L472" s="99" t="str">
        <f ca="1">_xlfn.LET(
    _xlpm.res_no, J472,
    _xlpm.record_sheet, 'MatRes Record'!J:M,
    _xlpm.AllCellsFilled, COUNTA(A472:K472) = 11,
    _xlpm.QtyIsInt, AND(ISNUMBER(G472), G472=INT(G472)),
    _xlpm.ReqDateIsValid, AND(ISNUMBER(H472), H472&gt;=TODAY()),
    _xlpm.EmailIsValid, RIGHT(I472,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IF(A472="", "", IF(_xlpm.error_messages = "", "Yes", _xlpm.error_messages))
)</f>
        <v/>
      </c>
    </row>
    <row r="473" spans="1:12">
      <c r="A473" s="94"/>
      <c r="B473" s="95"/>
      <c r="C473" s="95"/>
      <c r="D473" s="94"/>
      <c r="E473" s="94"/>
      <c r="F473" s="96"/>
      <c r="G473" s="94"/>
      <c r="H473" s="96"/>
      <c r="I473" s="96"/>
      <c r="J473" s="92"/>
      <c r="K473" s="97"/>
      <c r="L473" s="99" t="str">
        <f ca="1">_xlfn.LET(
    _xlpm.res_no, J473,
    _xlpm.record_sheet, 'MatRes Record'!J:M,
    _xlpm.AllCellsFilled, COUNTA(A473:K473) = 11,
    _xlpm.QtyIsInt, AND(ISNUMBER(G473), G473=INT(G473)),
    _xlpm.ReqDateIsValid, AND(ISNUMBER(H473), H473&gt;=TODAY()),
    _xlpm.EmailIsValid, RIGHT(I473,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IF(A473="", "", IF(_xlpm.error_messages = "", "Yes", _xlpm.error_messages))
)</f>
        <v/>
      </c>
    </row>
    <row r="474" spans="1:12">
      <c r="A474" s="94"/>
      <c r="B474" s="95"/>
      <c r="C474" s="95"/>
      <c r="D474" s="94"/>
      <c r="E474" s="94"/>
      <c r="F474" s="96"/>
      <c r="G474" s="94"/>
      <c r="H474" s="96"/>
      <c r="I474" s="96"/>
      <c r="J474" s="92"/>
      <c r="K474" s="97"/>
      <c r="L474" s="99" t="str">
        <f ca="1">_xlfn.LET(
    _xlpm.res_no, J474,
    _xlpm.record_sheet, 'MatRes Record'!J:M,
    _xlpm.AllCellsFilled, COUNTA(A474:K474) = 11,
    _xlpm.QtyIsInt, AND(ISNUMBER(G474), G474=INT(G474)),
    _xlpm.ReqDateIsValid, AND(ISNUMBER(H474), H474&gt;=TODAY()),
    _xlpm.EmailIsValid, RIGHT(I474,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IF(A474="", "", IF(_xlpm.error_messages = "", "Yes", _xlpm.error_messages))
)</f>
        <v/>
      </c>
    </row>
    <row r="475" spans="1:12">
      <c r="A475" s="94"/>
      <c r="B475" s="95"/>
      <c r="C475" s="95"/>
      <c r="D475" s="94"/>
      <c r="E475" s="94"/>
      <c r="F475" s="96"/>
      <c r="G475" s="94"/>
      <c r="H475" s="96"/>
      <c r="I475" s="96"/>
      <c r="J475" s="92"/>
      <c r="K475" s="97"/>
      <c r="L475" s="99" t="str">
        <f ca="1">_xlfn.LET(
    _xlpm.res_no, J475,
    _xlpm.record_sheet, 'MatRes Record'!J:M,
    _xlpm.AllCellsFilled, COUNTA(A475:K475) = 11,
    _xlpm.QtyIsInt, AND(ISNUMBER(G475), G475=INT(G475)),
    _xlpm.ReqDateIsValid, AND(ISNUMBER(H475), H475&gt;=TODAY()),
    _xlpm.EmailIsValid, RIGHT(I475,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IF(A475="", "", IF(_xlpm.error_messages = "", "Yes", _xlpm.error_messages))
)</f>
        <v/>
      </c>
    </row>
    <row r="476" spans="1:12">
      <c r="A476" s="94"/>
      <c r="B476" s="95"/>
      <c r="C476" s="95"/>
      <c r="D476" s="94"/>
      <c r="E476" s="94"/>
      <c r="F476" s="96"/>
      <c r="G476" s="94"/>
      <c r="H476" s="96"/>
      <c r="I476" s="96"/>
      <c r="J476" s="92"/>
      <c r="K476" s="97"/>
      <c r="L476" s="99" t="str">
        <f ca="1">_xlfn.LET(
    _xlpm.res_no, J476,
    _xlpm.record_sheet, 'MatRes Record'!J:M,
    _xlpm.AllCellsFilled, COUNTA(A476:K476) = 11,
    _xlpm.QtyIsInt, AND(ISNUMBER(G476), G476=INT(G476)),
    _xlpm.ReqDateIsValid, AND(ISNUMBER(H476), H476&gt;=TODAY()),
    _xlpm.EmailIsValid, RIGHT(I476,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IF(A476="", "", IF(_xlpm.error_messages = "", "Yes", _xlpm.error_messages))
)</f>
        <v/>
      </c>
    </row>
    <row r="477" spans="1:12">
      <c r="A477" s="94"/>
      <c r="B477" s="95"/>
      <c r="C477" s="95"/>
      <c r="D477" s="94"/>
      <c r="E477" s="94"/>
      <c r="F477" s="96"/>
      <c r="G477" s="94"/>
      <c r="H477" s="96"/>
      <c r="I477" s="96"/>
      <c r="J477" s="92"/>
      <c r="K477" s="97"/>
      <c r="L477" s="99" t="str">
        <f ca="1">_xlfn.LET(
    _xlpm.res_no, J477,
    _xlpm.record_sheet, 'MatRes Record'!J:M,
    _xlpm.AllCellsFilled, COUNTA(A477:K477) = 11,
    _xlpm.QtyIsInt, AND(ISNUMBER(G477), G477=INT(G477)),
    _xlpm.ReqDateIsValid, AND(ISNUMBER(H477), H477&gt;=TODAY()),
    _xlpm.EmailIsValid, RIGHT(I477,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IF(A477="", "", IF(_xlpm.error_messages = "", "Yes", _xlpm.error_messages))
)</f>
        <v/>
      </c>
    </row>
    <row r="478" spans="1:12">
      <c r="A478" s="94"/>
      <c r="B478" s="95"/>
      <c r="C478" s="95"/>
      <c r="D478" s="94"/>
      <c r="E478" s="94"/>
      <c r="F478" s="96"/>
      <c r="G478" s="94"/>
      <c r="H478" s="96"/>
      <c r="I478" s="96"/>
      <c r="J478" s="92"/>
      <c r="K478" s="97"/>
      <c r="L478" s="99" t="str">
        <f ca="1">_xlfn.LET(
    _xlpm.res_no, J478,
    _xlpm.record_sheet, 'MatRes Record'!J:M,
    _xlpm.AllCellsFilled, COUNTA(A478:K478) = 11,
    _xlpm.QtyIsInt, AND(ISNUMBER(G478), G478=INT(G478)),
    _xlpm.ReqDateIsValid, AND(ISNUMBER(H478), H478&gt;=TODAY()),
    _xlpm.EmailIsValid, RIGHT(I478,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IF(A478="", "", IF(_xlpm.error_messages = "", "Yes", _xlpm.error_messages))
)</f>
        <v/>
      </c>
    </row>
    <row r="479" spans="1:12">
      <c r="A479" s="94"/>
      <c r="B479" s="95"/>
      <c r="C479" s="95"/>
      <c r="D479" s="94"/>
      <c r="E479" s="94"/>
      <c r="F479" s="96"/>
      <c r="G479" s="94"/>
      <c r="H479" s="96"/>
      <c r="I479" s="96"/>
      <c r="J479" s="92"/>
      <c r="K479" s="97"/>
      <c r="L479" s="99" t="str">
        <f ca="1">_xlfn.LET(
    _xlpm.res_no, J479,
    _xlpm.record_sheet, 'MatRes Record'!J:M,
    _xlpm.AllCellsFilled, COUNTA(A479:K479) = 11,
    _xlpm.QtyIsInt, AND(ISNUMBER(G479), G479=INT(G479)),
    _xlpm.ReqDateIsValid, AND(ISNUMBER(H479), H479&gt;=TODAY()),
    _xlpm.EmailIsValid, RIGHT(I479,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IF(A479="", "", IF(_xlpm.error_messages = "", "Yes", _xlpm.error_messages))
)</f>
        <v/>
      </c>
    </row>
    <row r="480" spans="1:12">
      <c r="A480" s="94"/>
      <c r="B480" s="95"/>
      <c r="C480" s="95"/>
      <c r="D480" s="94"/>
      <c r="E480" s="94"/>
      <c r="F480" s="96"/>
      <c r="G480" s="94"/>
      <c r="H480" s="96"/>
      <c r="I480" s="96"/>
      <c r="J480" s="92"/>
      <c r="K480" s="97"/>
      <c r="L480" s="99" t="str">
        <f ca="1">_xlfn.LET(
    _xlpm.res_no, J480,
    _xlpm.record_sheet, 'MatRes Record'!J:M,
    _xlpm.AllCellsFilled, COUNTA(A480:K480) = 11,
    _xlpm.QtyIsInt, AND(ISNUMBER(G480), G480=INT(G480)),
    _xlpm.ReqDateIsValid, AND(ISNUMBER(H480), H480&gt;=TODAY()),
    _xlpm.EmailIsValid, RIGHT(I480,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IF(A480="", "", IF(_xlpm.error_messages = "", "Yes", _xlpm.error_messages))
)</f>
        <v/>
      </c>
    </row>
    <row r="481" spans="1:12">
      <c r="A481" s="94"/>
      <c r="B481" s="95"/>
      <c r="C481" s="95"/>
      <c r="D481" s="94"/>
      <c r="E481" s="94"/>
      <c r="F481" s="96"/>
      <c r="G481" s="94"/>
      <c r="H481" s="96"/>
      <c r="I481" s="96"/>
      <c r="J481" s="92"/>
      <c r="K481" s="97"/>
      <c r="L481" s="99" t="str">
        <f ca="1">_xlfn.LET(
    _xlpm.res_no, J481,
    _xlpm.record_sheet, 'MatRes Record'!J:M,
    _xlpm.AllCellsFilled, COUNTA(A481:K481) = 11,
    _xlpm.QtyIsInt, AND(ISNUMBER(G481), G481=INT(G481)),
    _xlpm.ReqDateIsValid, AND(ISNUMBER(H481), H481&gt;=TODAY()),
    _xlpm.EmailIsValid, RIGHT(I481,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IF(A481="", "", IF(_xlpm.error_messages = "", "Yes", _xlpm.error_messages))
)</f>
        <v/>
      </c>
    </row>
    <row r="482" spans="1:12">
      <c r="A482" s="94"/>
      <c r="B482" s="95"/>
      <c r="C482" s="95"/>
      <c r="D482" s="94"/>
      <c r="E482" s="94"/>
      <c r="F482" s="96"/>
      <c r="G482" s="94"/>
      <c r="H482" s="96"/>
      <c r="I482" s="96"/>
      <c r="J482" s="92"/>
      <c r="K482" s="97"/>
      <c r="L482" s="99" t="str">
        <f ca="1">_xlfn.LET(
    _xlpm.res_no, J482,
    _xlpm.record_sheet, 'MatRes Record'!J:M,
    _xlpm.AllCellsFilled, COUNTA(A482:K482) = 11,
    _xlpm.QtyIsInt, AND(ISNUMBER(G482), G482=INT(G482)),
    _xlpm.ReqDateIsValid, AND(ISNUMBER(H482), H482&gt;=TODAY()),
    _xlpm.EmailIsValid, RIGHT(I482,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IF(A482="", "", IF(_xlpm.error_messages = "", "Yes", _xlpm.error_messages))
)</f>
        <v/>
      </c>
    </row>
    <row r="483" spans="1:12">
      <c r="A483" s="94"/>
      <c r="B483" s="95"/>
      <c r="C483" s="95"/>
      <c r="D483" s="94"/>
      <c r="E483" s="94"/>
      <c r="F483" s="96"/>
      <c r="G483" s="94"/>
      <c r="H483" s="96"/>
      <c r="I483" s="96"/>
      <c r="J483" s="92"/>
      <c r="K483" s="97"/>
      <c r="L483" s="99" t="str">
        <f ca="1">_xlfn.LET(
    _xlpm.res_no, J483,
    _xlpm.record_sheet, 'MatRes Record'!J:M,
    _xlpm.AllCellsFilled, COUNTA(A483:K483) = 11,
    _xlpm.QtyIsInt, AND(ISNUMBER(G483), G483=INT(G483)),
    _xlpm.ReqDateIsValid, AND(ISNUMBER(H483), H483&gt;=TODAY()),
    _xlpm.EmailIsValid, RIGHT(I483,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IF(A483="", "", IF(_xlpm.error_messages = "", "Yes", _xlpm.error_messages))
)</f>
        <v/>
      </c>
    </row>
    <row r="484" spans="1:12">
      <c r="A484" s="94"/>
      <c r="B484" s="95"/>
      <c r="C484" s="95"/>
      <c r="D484" s="94"/>
      <c r="E484" s="94"/>
      <c r="F484" s="96"/>
      <c r="G484" s="94"/>
      <c r="H484" s="96"/>
      <c r="I484" s="96"/>
      <c r="J484" s="92"/>
      <c r="K484" s="97"/>
      <c r="L484" s="99" t="str">
        <f ca="1">_xlfn.LET(
    _xlpm.res_no, J484,
    _xlpm.record_sheet, 'MatRes Record'!J:M,
    _xlpm.AllCellsFilled, COUNTA(A484:K484) = 11,
    _xlpm.QtyIsInt, AND(ISNUMBER(G484), G484=INT(G484)),
    _xlpm.ReqDateIsValid, AND(ISNUMBER(H484), H484&gt;=TODAY()),
    _xlpm.EmailIsValid, RIGHT(I484,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IF(A484="", "", IF(_xlpm.error_messages = "", "Yes", _xlpm.error_messages))
)</f>
        <v/>
      </c>
    </row>
    <row r="485" spans="1:12">
      <c r="A485" s="94"/>
      <c r="B485" s="95"/>
      <c r="C485" s="95"/>
      <c r="D485" s="94"/>
      <c r="E485" s="94"/>
      <c r="F485" s="96"/>
      <c r="G485" s="94"/>
      <c r="H485" s="96"/>
      <c r="I485" s="96"/>
      <c r="J485" s="92"/>
      <c r="K485" s="97"/>
      <c r="L485" s="99" t="str">
        <f ca="1">_xlfn.LET(
    _xlpm.res_no, J485,
    _xlpm.record_sheet, 'MatRes Record'!J:M,
    _xlpm.AllCellsFilled, COUNTA(A485:K485) = 11,
    _xlpm.QtyIsInt, AND(ISNUMBER(G485), G485=INT(G485)),
    _xlpm.ReqDateIsValid, AND(ISNUMBER(H485), H485&gt;=TODAY()),
    _xlpm.EmailIsValid, RIGHT(I485,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IF(A485="", "", IF(_xlpm.error_messages = "", "Yes", _xlpm.error_messages))
)</f>
        <v/>
      </c>
    </row>
    <row r="486" spans="1:12">
      <c r="A486" s="94"/>
      <c r="B486" s="95"/>
      <c r="C486" s="95"/>
      <c r="D486" s="94"/>
      <c r="E486" s="94"/>
      <c r="F486" s="96"/>
      <c r="G486" s="94"/>
      <c r="H486" s="96"/>
      <c r="I486" s="96"/>
      <c r="J486" s="92"/>
      <c r="K486" s="97"/>
      <c r="L486" s="99" t="str">
        <f ca="1">_xlfn.LET(
    _xlpm.res_no, J486,
    _xlpm.record_sheet, 'MatRes Record'!J:M,
    _xlpm.AllCellsFilled, COUNTA(A486:K486) = 11,
    _xlpm.QtyIsInt, AND(ISNUMBER(G486), G486=INT(G486)),
    _xlpm.ReqDateIsValid, AND(ISNUMBER(H486), H486&gt;=TODAY()),
    _xlpm.EmailIsValid, RIGHT(I486,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IF(A486="", "", IF(_xlpm.error_messages = "", "Yes", _xlpm.error_messages))
)</f>
        <v/>
      </c>
    </row>
    <row r="487" spans="1:12">
      <c r="A487" s="94"/>
      <c r="B487" s="95"/>
      <c r="C487" s="95"/>
      <c r="D487" s="94"/>
      <c r="E487" s="94"/>
      <c r="F487" s="96"/>
      <c r="G487" s="94"/>
      <c r="H487" s="96"/>
      <c r="I487" s="96"/>
      <c r="J487" s="92"/>
      <c r="K487" s="97"/>
      <c r="L487" s="99" t="str">
        <f ca="1">_xlfn.LET(
    _xlpm.res_no, J487,
    _xlpm.record_sheet, 'MatRes Record'!J:M,
    _xlpm.AllCellsFilled, COUNTA(A487:K487) = 11,
    _xlpm.QtyIsInt, AND(ISNUMBER(G487), G487=INT(G487)),
    _xlpm.ReqDateIsValid, AND(ISNUMBER(H487), H487&gt;=TODAY()),
    _xlpm.EmailIsValid, RIGHT(I487,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IF(A487="", "", IF(_xlpm.error_messages = "", "Yes", _xlpm.error_messages))
)</f>
        <v/>
      </c>
    </row>
    <row r="488" spans="1:12">
      <c r="A488" s="94"/>
      <c r="B488" s="95"/>
      <c r="C488" s="95"/>
      <c r="D488" s="94"/>
      <c r="E488" s="94"/>
      <c r="F488" s="96"/>
      <c r="G488" s="94"/>
      <c r="H488" s="96"/>
      <c r="I488" s="96"/>
      <c r="J488" s="92"/>
      <c r="K488" s="97"/>
      <c r="L488" s="99" t="str">
        <f ca="1">_xlfn.LET(
    _xlpm.res_no, J488,
    _xlpm.record_sheet, 'MatRes Record'!J:M,
    _xlpm.AllCellsFilled, COUNTA(A488:K488) = 11,
    _xlpm.QtyIsInt, AND(ISNUMBER(G488), G488=INT(G488)),
    _xlpm.ReqDateIsValid, AND(ISNUMBER(H488), H488&gt;=TODAY()),
    _xlpm.EmailIsValid, RIGHT(I488,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IF(A488="", "", IF(_xlpm.error_messages = "", "Yes", _xlpm.error_messages))
)</f>
        <v/>
      </c>
    </row>
    <row r="489" spans="1:12">
      <c r="A489" s="94"/>
      <c r="B489" s="95"/>
      <c r="C489" s="95"/>
      <c r="D489" s="94"/>
      <c r="E489" s="94"/>
      <c r="F489" s="96"/>
      <c r="G489" s="94"/>
      <c r="H489" s="96"/>
      <c r="I489" s="96"/>
      <c r="J489" s="92"/>
      <c r="K489" s="97"/>
      <c r="L489" s="99" t="str">
        <f ca="1">_xlfn.LET(
    _xlpm.res_no, J489,
    _xlpm.record_sheet, 'MatRes Record'!J:M,
    _xlpm.AllCellsFilled, COUNTA(A489:K489) = 11,
    _xlpm.QtyIsInt, AND(ISNUMBER(G489), G489=INT(G489)),
    _xlpm.ReqDateIsValid, AND(ISNUMBER(H489), H489&gt;=TODAY()),
    _xlpm.EmailIsValid, RIGHT(I489,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IF(A489="", "", IF(_xlpm.error_messages = "", "Yes", _xlpm.error_messages))
)</f>
        <v/>
      </c>
    </row>
    <row r="490" spans="1:12">
      <c r="A490" s="94"/>
      <c r="B490" s="95"/>
      <c r="C490" s="95"/>
      <c r="D490" s="94"/>
      <c r="E490" s="94"/>
      <c r="F490" s="96"/>
      <c r="G490" s="94"/>
      <c r="H490" s="96"/>
      <c r="I490" s="96"/>
      <c r="J490" s="92"/>
      <c r="K490" s="97"/>
      <c r="L490" s="99" t="str">
        <f ca="1">_xlfn.LET(
    _xlpm.res_no, J490,
    _xlpm.record_sheet, 'MatRes Record'!J:M,
    _xlpm.AllCellsFilled, COUNTA(A490:K490) = 11,
    _xlpm.QtyIsInt, AND(ISNUMBER(G490), G490=INT(G490)),
    _xlpm.ReqDateIsValid, AND(ISNUMBER(H490), H490&gt;=TODAY()),
    _xlpm.EmailIsValid, RIGHT(I490,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IF(A490="", "", IF(_xlpm.error_messages = "", "Yes", _xlpm.error_messages))
)</f>
        <v/>
      </c>
    </row>
    <row r="491" spans="1:12">
      <c r="A491" s="94"/>
      <c r="B491" s="95"/>
      <c r="C491" s="95"/>
      <c r="D491" s="94"/>
      <c r="E491" s="94"/>
      <c r="F491" s="96"/>
      <c r="G491" s="94"/>
      <c r="H491" s="96"/>
      <c r="I491" s="96"/>
      <c r="J491" s="92"/>
      <c r="K491" s="97"/>
      <c r="L491" s="99" t="str">
        <f ca="1">_xlfn.LET(
    _xlpm.res_no, J491,
    _xlpm.record_sheet, 'MatRes Record'!J:M,
    _xlpm.AllCellsFilled, COUNTA(A491:K491) = 11,
    _xlpm.QtyIsInt, AND(ISNUMBER(G491), G491=INT(G491)),
    _xlpm.ReqDateIsValid, AND(ISNUMBER(H491), H491&gt;=TODAY()),
    _xlpm.EmailIsValid, RIGHT(I491,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IF(A491="", "", IF(_xlpm.error_messages = "", "Yes", _xlpm.error_messages))
)</f>
        <v/>
      </c>
    </row>
    <row r="492" spans="1:12">
      <c r="A492" s="94"/>
      <c r="B492" s="95"/>
      <c r="C492" s="95"/>
      <c r="D492" s="94"/>
      <c r="E492" s="94"/>
      <c r="F492" s="96"/>
      <c r="G492" s="94"/>
      <c r="H492" s="96"/>
      <c r="I492" s="96"/>
      <c r="J492" s="92"/>
      <c r="K492" s="97"/>
      <c r="L492" s="99" t="str">
        <f ca="1">_xlfn.LET(
    _xlpm.res_no, J492,
    _xlpm.record_sheet, 'MatRes Record'!J:M,
    _xlpm.AllCellsFilled, COUNTA(A492:K492) = 11,
    _xlpm.QtyIsInt, AND(ISNUMBER(G492), G492=INT(G492)),
    _xlpm.ReqDateIsValid, AND(ISNUMBER(H492), H492&gt;=TODAY()),
    _xlpm.EmailIsValid, RIGHT(I492,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IF(A492="", "", IF(_xlpm.error_messages = "", "Yes", _xlpm.error_messages))
)</f>
        <v/>
      </c>
    </row>
    <row r="493" spans="1:12">
      <c r="A493" s="94"/>
      <c r="B493" s="95"/>
      <c r="C493" s="95"/>
      <c r="D493" s="94"/>
      <c r="E493" s="94"/>
      <c r="F493" s="96"/>
      <c r="G493" s="94"/>
      <c r="H493" s="96"/>
      <c r="I493" s="96"/>
      <c r="J493" s="92"/>
      <c r="K493" s="97"/>
      <c r="L493" s="99" t="str">
        <f ca="1">_xlfn.LET(
    _xlpm.res_no, J493,
    _xlpm.record_sheet, 'MatRes Record'!J:M,
    _xlpm.AllCellsFilled, COUNTA(A493:K493) = 11,
    _xlpm.QtyIsInt, AND(ISNUMBER(G493), G493=INT(G493)),
    _xlpm.ReqDateIsValid, AND(ISNUMBER(H493), H493&gt;=TODAY()),
    _xlpm.EmailIsValid, RIGHT(I493,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IF(A493="", "", IF(_xlpm.error_messages = "", "Yes", _xlpm.error_messages))
)</f>
        <v/>
      </c>
    </row>
    <row r="494" spans="1:12">
      <c r="A494" s="94"/>
      <c r="B494" s="95"/>
      <c r="C494" s="95"/>
      <c r="D494" s="94"/>
      <c r="E494" s="94"/>
      <c r="F494" s="96"/>
      <c r="G494" s="94"/>
      <c r="H494" s="96"/>
      <c r="I494" s="96"/>
      <c r="J494" s="92"/>
      <c r="K494" s="97"/>
      <c r="L494" s="99" t="str">
        <f ca="1">_xlfn.LET(
    _xlpm.res_no, J494,
    _xlpm.record_sheet, 'MatRes Record'!J:M,
    _xlpm.AllCellsFilled, COUNTA(A494:K494) = 11,
    _xlpm.QtyIsInt, AND(ISNUMBER(G494), G494=INT(G494)),
    _xlpm.ReqDateIsValid, AND(ISNUMBER(H494), H494&gt;=TODAY()),
    _xlpm.EmailIsValid, RIGHT(I494,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IF(A494="", "", IF(_xlpm.error_messages = "", "Yes", _xlpm.error_messages))
)</f>
        <v/>
      </c>
    </row>
    <row r="495" spans="1:12">
      <c r="A495" s="94"/>
      <c r="B495" s="95"/>
      <c r="C495" s="95"/>
      <c r="D495" s="94"/>
      <c r="E495" s="94"/>
      <c r="F495" s="96"/>
      <c r="G495" s="94"/>
      <c r="H495" s="96"/>
      <c r="I495" s="96"/>
      <c r="J495" s="92"/>
      <c r="K495" s="97"/>
      <c r="L495" s="99" t="str">
        <f ca="1">_xlfn.LET(
    _xlpm.res_no, J495,
    _xlpm.record_sheet, 'MatRes Record'!J:M,
    _xlpm.AllCellsFilled, COUNTA(A495:K495) = 11,
    _xlpm.QtyIsInt, AND(ISNUMBER(G495), G495=INT(G495)),
    _xlpm.ReqDateIsValid, AND(ISNUMBER(H495), H495&gt;=TODAY()),
    _xlpm.EmailIsValid, RIGHT(I495,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IF(A495="", "", IF(_xlpm.error_messages = "", "Yes", _xlpm.error_messages))
)</f>
        <v/>
      </c>
    </row>
    <row r="496" spans="1:12">
      <c r="A496" s="94"/>
      <c r="B496" s="95"/>
      <c r="C496" s="95"/>
      <c r="D496" s="94"/>
      <c r="E496" s="94"/>
      <c r="F496" s="96"/>
      <c r="G496" s="94"/>
      <c r="H496" s="96"/>
      <c r="I496" s="96"/>
      <c r="J496" s="92"/>
      <c r="K496" s="97"/>
      <c r="L496" s="99" t="str">
        <f ca="1">_xlfn.LET(
    _xlpm.res_no, J496,
    _xlpm.record_sheet, 'MatRes Record'!J:M,
    _xlpm.AllCellsFilled, COUNTA(A496:K496) = 11,
    _xlpm.QtyIsInt, AND(ISNUMBER(G496), G496=INT(G496)),
    _xlpm.ReqDateIsValid, AND(ISNUMBER(H496), H496&gt;=TODAY()),
    _xlpm.EmailIsValid, RIGHT(I496,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IF(A496="", "", IF(_xlpm.error_messages = "", "Yes", _xlpm.error_messages))
)</f>
        <v/>
      </c>
    </row>
    <row r="497" spans="1:12">
      <c r="A497" s="94"/>
      <c r="B497" s="95"/>
      <c r="C497" s="95"/>
      <c r="D497" s="94"/>
      <c r="E497" s="94"/>
      <c r="F497" s="96"/>
      <c r="G497" s="94"/>
      <c r="H497" s="96"/>
      <c r="I497" s="96"/>
      <c r="J497" s="92"/>
      <c r="K497" s="97"/>
      <c r="L497" s="99" t="str">
        <f ca="1">_xlfn.LET(
    _xlpm.res_no, J497,
    _xlpm.record_sheet, 'MatRes Record'!J:M,
    _xlpm.AllCellsFilled, COUNTA(A497:K497) = 11,
    _xlpm.QtyIsInt, AND(ISNUMBER(G497), G497=INT(G497)),
    _xlpm.ReqDateIsValid, AND(ISNUMBER(H497), H497&gt;=TODAY()),
    _xlpm.EmailIsValid, RIGHT(I497,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IF(A497="", "", IF(_xlpm.error_messages = "", "Yes", _xlpm.error_messages))
)</f>
        <v/>
      </c>
    </row>
    <row r="498" spans="1:12">
      <c r="A498" s="94"/>
      <c r="B498" s="95"/>
      <c r="C498" s="95"/>
      <c r="D498" s="94"/>
      <c r="E498" s="94"/>
      <c r="F498" s="96"/>
      <c r="G498" s="94"/>
      <c r="H498" s="96"/>
      <c r="I498" s="96"/>
      <c r="J498" s="92"/>
      <c r="K498" s="97"/>
      <c r="L498" s="99" t="str">
        <f ca="1">_xlfn.LET(
    _xlpm.res_no, J498,
    _xlpm.record_sheet, 'MatRes Record'!J:M,
    _xlpm.AllCellsFilled, COUNTA(A498:K498) = 11,
    _xlpm.QtyIsInt, AND(ISNUMBER(G498), G498=INT(G498)),
    _xlpm.ReqDateIsValid, AND(ISNUMBER(H498), H498&gt;=TODAY()),
    _xlpm.EmailIsValid, RIGHT(I498,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IF(A498="", "", IF(_xlpm.error_messages = "", "Yes", _xlpm.error_messages))
)</f>
        <v/>
      </c>
    </row>
    <row r="499" spans="1:12">
      <c r="A499" s="94"/>
      <c r="B499" s="95"/>
      <c r="C499" s="95"/>
      <c r="D499" s="94"/>
      <c r="E499" s="94"/>
      <c r="F499" s="96"/>
      <c r="G499" s="94"/>
      <c r="H499" s="96"/>
      <c r="I499" s="96"/>
      <c r="J499" s="92"/>
      <c r="K499" s="97"/>
      <c r="L499" s="99" t="str">
        <f ca="1">_xlfn.LET(
    _xlpm.res_no, J499,
    _xlpm.record_sheet, 'MatRes Record'!J:M,
    _xlpm.AllCellsFilled, COUNTA(A499:K499) = 11,
    _xlpm.QtyIsInt, AND(ISNUMBER(G499), G499=INT(G499)),
    _xlpm.ReqDateIsValid, AND(ISNUMBER(H499), H499&gt;=TODAY()),
    _xlpm.EmailIsValid, RIGHT(I499,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IF(A499="", "", IF(_xlpm.error_messages = "", "Yes", _xlpm.error_messages))
)</f>
        <v/>
      </c>
    </row>
    <row r="500" spans="1:12">
      <c r="A500" s="94"/>
      <c r="B500" s="95"/>
      <c r="C500" s="95"/>
      <c r="D500" s="94"/>
      <c r="E500" s="94"/>
      <c r="F500" s="96"/>
      <c r="G500" s="94"/>
      <c r="H500" s="96"/>
      <c r="I500" s="96"/>
      <c r="J500" s="92"/>
      <c r="K500" s="97"/>
      <c r="L500" s="99" t="str">
        <f ca="1">_xlfn.LET(
    _xlpm.res_no, J500,
    _xlpm.record_sheet, 'MatRes Record'!J:M,
    _xlpm.AllCellsFilled, COUNTA(A500:K500) = 11,
    _xlpm.QtyIsInt, AND(ISNUMBER(G500), G500=INT(G500)),
    _xlpm.ReqDateIsValid, AND(ISNUMBER(H500), H500&gt;=TODAY()),
    _xlpm.EmailIsValid, RIGHT(I500,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IF(A500="", "", IF(_xlpm.error_messages = "", "Yes", _xlpm.error_messages))
)</f>
        <v/>
      </c>
    </row>
    <row r="501" spans="1:12">
      <c r="A501" s="94"/>
      <c r="B501" s="95"/>
      <c r="C501" s="95"/>
      <c r="D501" s="94"/>
      <c r="E501" s="94"/>
      <c r="F501" s="96"/>
      <c r="G501" s="94"/>
      <c r="H501" s="96"/>
      <c r="I501" s="96"/>
      <c r="J501" s="92"/>
      <c r="K501" s="97"/>
      <c r="L501" s="99" t="str">
        <f ca="1">_xlfn.LET(
    _xlpm.res_no, J501,
    _xlpm.record_sheet, 'MatRes Record'!J:M,
    _xlpm.AllCellsFilled, COUNTA(A501:K501) = 11,
    _xlpm.QtyIsInt, AND(ISNUMBER(G501), G501=INT(G501)),
    _xlpm.ReqDateIsValid, AND(ISNUMBER(H501), H501&gt;=TODAY()),
    _xlpm.EmailIsValid, RIGHT(I501,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IF(A501="", "", IF(_xlpm.error_messages = "", "Yes", _xlpm.error_messages))
)</f>
        <v/>
      </c>
    </row>
    <row r="502" spans="1:12">
      <c r="A502" s="94"/>
      <c r="B502" s="95"/>
      <c r="C502" s="95"/>
      <c r="D502" s="94"/>
      <c r="E502" s="94"/>
      <c r="F502" s="96"/>
      <c r="G502" s="94"/>
      <c r="H502" s="96"/>
      <c r="I502" s="96"/>
      <c r="J502" s="92"/>
      <c r="K502" s="97"/>
      <c r="L502" s="99" t="str">
        <f ca="1">_xlfn.LET(
    _xlpm.res_no, J502,
    _xlpm.record_sheet, 'MatRes Record'!J:M,
    _xlpm.AllCellsFilled, COUNTA(A502:K502) = 11,
    _xlpm.QtyIsInt, AND(ISNUMBER(G502), G502=INT(G502)),
    _xlpm.ReqDateIsValid, AND(ISNUMBER(H502), H502&gt;=TODAY()),
    _xlpm.EmailIsValid, RIGHT(I502,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IF(A502="", "", IF(_xlpm.error_messages = "", "Yes", _xlpm.error_messages))
)</f>
        <v/>
      </c>
    </row>
    <row r="503" spans="1:12">
      <c r="A503" s="94"/>
      <c r="B503" s="95"/>
      <c r="C503" s="95"/>
      <c r="D503" s="94"/>
      <c r="E503" s="94"/>
      <c r="F503" s="96"/>
      <c r="G503" s="94"/>
      <c r="H503" s="96"/>
      <c r="I503" s="96"/>
      <c r="J503" s="92"/>
      <c r="K503" s="97"/>
      <c r="L503" s="99" t="str">
        <f ca="1">_xlfn.LET(
    _xlpm.res_no, J503,
    _xlpm.record_sheet, 'MatRes Record'!J:M,
    _xlpm.AllCellsFilled, COUNTA(A503:K503) = 11,
    _xlpm.QtyIsInt, AND(ISNUMBER(G503), G503=INT(G503)),
    _xlpm.ReqDateIsValid, AND(ISNUMBER(H503), H503&gt;=TODAY()),
    _xlpm.EmailIsValid, RIGHT(I503,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IF(A503="", "", IF(_xlpm.error_messages = "", "Yes", _xlpm.error_messages))
)</f>
        <v/>
      </c>
    </row>
    <row r="504" spans="1:12">
      <c r="A504" s="94"/>
      <c r="B504" s="95"/>
      <c r="C504" s="95"/>
      <c r="D504" s="94"/>
      <c r="E504" s="94"/>
      <c r="F504" s="96"/>
      <c r="G504" s="94"/>
      <c r="H504" s="96"/>
      <c r="I504" s="96"/>
      <c r="J504" s="92"/>
      <c r="K504" s="97"/>
      <c r="L504" s="99" t="str">
        <f ca="1">_xlfn.LET(
    _xlpm.res_no, J504,
    _xlpm.record_sheet, 'MatRes Record'!J:M,
    _xlpm.AllCellsFilled, COUNTA(A504:K504) = 11,
    _xlpm.QtyIsInt, AND(ISNUMBER(G504), G504=INT(G504)),
    _xlpm.ReqDateIsValid, AND(ISNUMBER(H504), H504&gt;=TODAY()),
    _xlpm.EmailIsValid, RIGHT(I504,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IF(A504="", "", IF(_xlpm.error_messages = "", "Yes", _xlpm.error_messages))
)</f>
        <v/>
      </c>
    </row>
    <row r="505" spans="1:12">
      <c r="A505" s="94"/>
      <c r="B505" s="95"/>
      <c r="C505" s="95"/>
      <c r="D505" s="94"/>
      <c r="E505" s="94"/>
      <c r="F505" s="96"/>
      <c r="G505" s="94"/>
      <c r="H505" s="96"/>
      <c r="I505" s="96"/>
      <c r="J505" s="92"/>
      <c r="K505" s="97"/>
      <c r="L505" s="99" t="str">
        <f ca="1">_xlfn.LET(
    _xlpm.res_no, J505,
    _xlpm.record_sheet, 'MatRes Record'!J:M,
    _xlpm.AllCellsFilled, COUNTA(A505:K505) = 11,
    _xlpm.QtyIsInt, AND(ISNUMBER(G505), G505=INT(G505)),
    _xlpm.ReqDateIsValid, AND(ISNUMBER(H505), H505&gt;=TODAY()),
    _xlpm.EmailIsValid, RIGHT(I505,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IF(A505="", "", IF(_xlpm.error_messages = "", "Yes", _xlpm.error_messages))
)</f>
        <v/>
      </c>
    </row>
    <row r="506" spans="1:12">
      <c r="A506" s="94"/>
      <c r="B506" s="95"/>
      <c r="C506" s="95"/>
      <c r="D506" s="94"/>
      <c r="E506" s="94"/>
      <c r="F506" s="96"/>
      <c r="G506" s="94"/>
      <c r="H506" s="96"/>
      <c r="I506" s="96"/>
      <c r="J506" s="92"/>
      <c r="K506" s="97"/>
      <c r="L506" s="99" t="str">
        <f ca="1">_xlfn.LET(
    _xlpm.res_no, J506,
    _xlpm.record_sheet, 'MatRes Record'!J:M,
    _xlpm.AllCellsFilled, COUNTA(A506:K506) = 11,
    _xlpm.QtyIsInt, AND(ISNUMBER(G506), G506=INT(G506)),
    _xlpm.ReqDateIsValid, AND(ISNUMBER(H506), H506&gt;=TODAY()),
    _xlpm.EmailIsValid, RIGHT(I506,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IF(A506="", "", IF(_xlpm.error_messages = "", "Yes", _xlpm.error_messages))
)</f>
        <v/>
      </c>
    </row>
    <row r="507" spans="1:12">
      <c r="A507" s="94"/>
      <c r="B507" s="95"/>
      <c r="C507" s="95"/>
      <c r="D507" s="94"/>
      <c r="E507" s="94"/>
      <c r="F507" s="96"/>
      <c r="G507" s="94"/>
      <c r="H507" s="96"/>
      <c r="I507" s="96"/>
      <c r="J507" s="92"/>
      <c r="K507" s="97"/>
      <c r="L507" s="99" t="str">
        <f ca="1">_xlfn.LET(
    _xlpm.res_no, J507,
    _xlpm.record_sheet, 'MatRes Record'!J:M,
    _xlpm.AllCellsFilled, COUNTA(A507:K507) = 11,
    _xlpm.QtyIsInt, AND(ISNUMBER(G507), G507=INT(G507)),
    _xlpm.ReqDateIsValid, AND(ISNUMBER(H507), H507&gt;=TODAY()),
    _xlpm.EmailIsValid, RIGHT(I507,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IF(A507="", "", IF(_xlpm.error_messages = "", "Yes", _xlpm.error_messages))
)</f>
        <v/>
      </c>
    </row>
    <row r="508" spans="1:12">
      <c r="A508" s="94"/>
      <c r="B508" s="95"/>
      <c r="C508" s="95"/>
      <c r="D508" s="94"/>
      <c r="E508" s="94"/>
      <c r="F508" s="96"/>
      <c r="G508" s="94"/>
      <c r="H508" s="96"/>
      <c r="I508" s="96"/>
      <c r="J508" s="92"/>
      <c r="K508" s="97"/>
      <c r="L508" s="99" t="str">
        <f ca="1">_xlfn.LET(
    _xlpm.res_no, J508,
    _xlpm.record_sheet, 'MatRes Record'!J:M,
    _xlpm.AllCellsFilled, COUNTA(A508:K508) = 11,
    _xlpm.QtyIsInt, AND(ISNUMBER(G508), G508=INT(G508)),
    _xlpm.ReqDateIsValid, AND(ISNUMBER(H508), H508&gt;=TODAY()),
    _xlpm.EmailIsValid, RIGHT(I508,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IF(A508="", "", IF(_xlpm.error_messages = "", "Yes", _xlpm.error_messages))
)</f>
        <v/>
      </c>
    </row>
    <row r="509" spans="1:12">
      <c r="A509" s="94"/>
      <c r="B509" s="95"/>
      <c r="C509" s="95"/>
      <c r="D509" s="94"/>
      <c r="E509" s="94"/>
      <c r="F509" s="96"/>
      <c r="G509" s="94"/>
      <c r="H509" s="96"/>
      <c r="I509" s="96"/>
      <c r="J509" s="92"/>
      <c r="K509" s="97"/>
      <c r="L509" s="99" t="str">
        <f ca="1">_xlfn.LET(
    _xlpm.res_no, J509,
    _xlpm.record_sheet, 'MatRes Record'!J:M,
    _xlpm.AllCellsFilled, COUNTA(A509:K509) = 11,
    _xlpm.QtyIsInt, AND(ISNUMBER(G509), G509=INT(G509)),
    _xlpm.ReqDateIsValid, AND(ISNUMBER(H509), H509&gt;=TODAY()),
    _xlpm.EmailIsValid, RIGHT(I509,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IF(A509="", "", IF(_xlpm.error_messages = "", "Yes", _xlpm.error_messages))
)</f>
        <v/>
      </c>
    </row>
    <row r="510" spans="1:12">
      <c r="A510" s="94"/>
      <c r="B510" s="95"/>
      <c r="C510" s="95"/>
      <c r="D510" s="94"/>
      <c r="E510" s="94"/>
      <c r="F510" s="96"/>
      <c r="G510" s="94"/>
      <c r="H510" s="96"/>
      <c r="I510" s="96"/>
      <c r="J510" s="92"/>
      <c r="K510" s="97"/>
      <c r="L510" s="99" t="str">
        <f ca="1">_xlfn.LET(
    _xlpm.res_no, J510,
    _xlpm.record_sheet, 'MatRes Record'!J:M,
    _xlpm.AllCellsFilled, COUNTA(A510:K510) = 11,
    _xlpm.QtyIsInt, AND(ISNUMBER(G510), G510=INT(G510)),
    _xlpm.ReqDateIsValid, AND(ISNUMBER(H510), H510&gt;=TODAY()),
    _xlpm.EmailIsValid, RIGHT(I510,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IF(A510="", "", IF(_xlpm.error_messages = "", "Yes", _xlpm.error_messages))
)</f>
        <v/>
      </c>
    </row>
    <row r="511" spans="1:12">
      <c r="A511" s="94"/>
      <c r="B511" s="95"/>
      <c r="C511" s="95"/>
      <c r="D511" s="94"/>
      <c r="E511" s="94"/>
      <c r="F511" s="96"/>
      <c r="G511" s="94"/>
      <c r="H511" s="96"/>
      <c r="I511" s="96"/>
      <c r="J511" s="92"/>
      <c r="K511" s="97"/>
      <c r="L511" s="99" t="str">
        <f ca="1">_xlfn.LET(
    _xlpm.res_no, J511,
    _xlpm.record_sheet, 'MatRes Record'!J:M,
    _xlpm.AllCellsFilled, COUNTA(A511:K511) = 11,
    _xlpm.QtyIsInt, AND(ISNUMBER(G511), G511=INT(G511)),
    _xlpm.ReqDateIsValid, AND(ISNUMBER(H511), H511&gt;=TODAY()),
    _xlpm.EmailIsValid, RIGHT(I511,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IF(A511="", "", IF(_xlpm.error_messages = "", "Yes", _xlpm.error_messages))
)</f>
        <v/>
      </c>
    </row>
    <row r="512" spans="1:12">
      <c r="A512" s="94"/>
      <c r="B512" s="95"/>
      <c r="C512" s="95"/>
      <c r="D512" s="94"/>
      <c r="E512" s="94"/>
      <c r="F512" s="96"/>
      <c r="G512" s="94"/>
      <c r="H512" s="96"/>
      <c r="I512" s="96"/>
      <c r="J512" s="92"/>
      <c r="K512" s="97"/>
      <c r="L512" s="99" t="str">
        <f ca="1">_xlfn.LET(
    _xlpm.res_no, J512,
    _xlpm.record_sheet, 'MatRes Record'!J:M,
    _xlpm.AllCellsFilled, COUNTA(A512:K512) = 11,
    _xlpm.QtyIsInt, AND(ISNUMBER(G512), G512=INT(G512)),
    _xlpm.ReqDateIsValid, AND(ISNUMBER(H512), H512&gt;=TODAY()),
    _xlpm.EmailIsValid, RIGHT(I512,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IF(A512="", "", IF(_xlpm.error_messages = "", "Yes", _xlpm.error_messages))
)</f>
        <v/>
      </c>
    </row>
    <row r="513" spans="1:12">
      <c r="A513" s="94"/>
      <c r="B513" s="95"/>
      <c r="C513" s="95"/>
      <c r="D513" s="94"/>
      <c r="E513" s="94"/>
      <c r="F513" s="96"/>
      <c r="G513" s="94"/>
      <c r="H513" s="96"/>
      <c r="I513" s="96"/>
      <c r="J513" s="92"/>
      <c r="K513" s="97"/>
      <c r="L513" s="99" t="str">
        <f ca="1">_xlfn.LET(
    _xlpm.res_no, J513,
    _xlpm.record_sheet, 'MatRes Record'!J:M,
    _xlpm.AllCellsFilled, COUNTA(A513:K513) = 11,
    _xlpm.QtyIsInt, AND(ISNUMBER(G513), G513=INT(G513)),
    _xlpm.ReqDateIsValid, AND(ISNUMBER(H513), H513&gt;=TODAY()),
    _xlpm.EmailIsValid, RIGHT(I513,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IF(A513="", "", IF(_xlpm.error_messages = "", "Yes", _xlpm.error_messages))
)</f>
        <v/>
      </c>
    </row>
    <row r="514" spans="1:12">
      <c r="A514" s="94"/>
      <c r="B514" s="95"/>
      <c r="C514" s="95"/>
      <c r="D514" s="94"/>
      <c r="E514" s="94"/>
      <c r="F514" s="96"/>
      <c r="G514" s="94"/>
      <c r="H514" s="96"/>
      <c r="I514" s="96"/>
      <c r="J514" s="92"/>
      <c r="K514" s="97"/>
      <c r="L514" s="99" t="str">
        <f ca="1">_xlfn.LET(
    _xlpm.res_no, J514,
    _xlpm.record_sheet, 'MatRes Record'!J:M,
    _xlpm.AllCellsFilled, COUNTA(A514:K514) = 11,
    _xlpm.QtyIsInt, AND(ISNUMBER(G514), G514=INT(G514)),
    _xlpm.ReqDateIsValid, AND(ISNUMBER(H514), H514&gt;=TODAY()),
    _xlpm.EmailIsValid, RIGHT(I514,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IF(A514="", "", IF(_xlpm.error_messages = "", "Yes", _xlpm.error_messages))
)</f>
        <v/>
      </c>
    </row>
    <row r="515" spans="1:12">
      <c r="A515" s="94"/>
      <c r="B515" s="95"/>
      <c r="C515" s="95"/>
      <c r="D515" s="94"/>
      <c r="E515" s="94"/>
      <c r="F515" s="96"/>
      <c r="G515" s="94"/>
      <c r="H515" s="96"/>
      <c r="I515" s="96"/>
      <c r="J515" s="92"/>
      <c r="K515" s="97"/>
      <c r="L515" s="99" t="str">
        <f ca="1">_xlfn.LET(
    _xlpm.res_no, J515,
    _xlpm.record_sheet, 'MatRes Record'!J:M,
    _xlpm.AllCellsFilled, COUNTA(A515:K515) = 11,
    _xlpm.QtyIsInt, AND(ISNUMBER(G515), G515=INT(G515)),
    _xlpm.ReqDateIsValid, AND(ISNUMBER(H515), H515&gt;=TODAY()),
    _xlpm.EmailIsValid, RIGHT(I515,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IF(A515="", "", IF(_xlpm.error_messages = "", "Yes", _xlpm.error_messages))
)</f>
        <v/>
      </c>
    </row>
    <row r="516" spans="1:12">
      <c r="A516" s="94"/>
      <c r="B516" s="95"/>
      <c r="C516" s="95"/>
      <c r="D516" s="94"/>
      <c r="E516" s="94"/>
      <c r="F516" s="96"/>
      <c r="G516" s="94"/>
      <c r="H516" s="96"/>
      <c r="I516" s="96"/>
      <c r="J516" s="92"/>
      <c r="K516" s="97"/>
      <c r="L516" s="99" t="str">
        <f ca="1">_xlfn.LET(
    _xlpm.res_no, J516,
    _xlpm.record_sheet, 'MatRes Record'!J:M,
    _xlpm.AllCellsFilled, COUNTA(A516:K516) = 11,
    _xlpm.QtyIsInt, AND(ISNUMBER(G516), G516=INT(G516)),
    _xlpm.ReqDateIsValid, AND(ISNUMBER(H516), H516&gt;=TODAY()),
    _xlpm.EmailIsValid, RIGHT(I516,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IF(A516="", "", IF(_xlpm.error_messages = "", "Yes", _xlpm.error_messages))
)</f>
        <v/>
      </c>
    </row>
    <row r="517" spans="1:12">
      <c r="A517" s="94"/>
      <c r="B517" s="95"/>
      <c r="C517" s="95"/>
      <c r="D517" s="94"/>
      <c r="E517" s="94"/>
      <c r="F517" s="96"/>
      <c r="G517" s="94"/>
      <c r="H517" s="96"/>
      <c r="I517" s="96"/>
      <c r="J517" s="92"/>
      <c r="K517" s="97"/>
      <c r="L517" s="99" t="str">
        <f ca="1">_xlfn.LET(
    _xlpm.res_no, J517,
    _xlpm.record_sheet, 'MatRes Record'!J:M,
    _xlpm.AllCellsFilled, COUNTA(A517:K517) = 11,
    _xlpm.QtyIsInt, AND(ISNUMBER(G517), G517=INT(G517)),
    _xlpm.ReqDateIsValid, AND(ISNUMBER(H517), H517&gt;=TODAY()),
    _xlpm.EmailIsValid, RIGHT(I517,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IF(A517="", "", IF(_xlpm.error_messages = "", "Yes", _xlpm.error_messages))
)</f>
        <v/>
      </c>
    </row>
    <row r="518" spans="1:12">
      <c r="A518" s="94"/>
      <c r="B518" s="95"/>
      <c r="C518" s="95"/>
      <c r="D518" s="94"/>
      <c r="E518" s="94"/>
      <c r="F518" s="96"/>
      <c r="G518" s="94"/>
      <c r="H518" s="96"/>
      <c r="I518" s="96"/>
      <c r="J518" s="92"/>
      <c r="K518" s="97"/>
      <c r="L518" s="99" t="str">
        <f ca="1">_xlfn.LET(
    _xlpm.res_no, J518,
    _xlpm.record_sheet, 'MatRes Record'!J:M,
    _xlpm.AllCellsFilled, COUNTA(A518:K518) = 11,
    _xlpm.QtyIsInt, AND(ISNUMBER(G518), G518=INT(G518)),
    _xlpm.ReqDateIsValid, AND(ISNUMBER(H518), H518&gt;=TODAY()),
    _xlpm.EmailIsValid, RIGHT(I518,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IF(A518="", "", IF(_xlpm.error_messages = "", "Yes", _xlpm.error_messages))
)</f>
        <v/>
      </c>
    </row>
    <row r="519" spans="1:12">
      <c r="A519" s="94"/>
      <c r="B519" s="95"/>
      <c r="C519" s="95"/>
      <c r="D519" s="94"/>
      <c r="E519" s="94"/>
      <c r="F519" s="96"/>
      <c r="G519" s="94"/>
      <c r="H519" s="96"/>
      <c r="I519" s="96"/>
      <c r="J519" s="92"/>
      <c r="K519" s="97"/>
      <c r="L519" s="99" t="str">
        <f ca="1">_xlfn.LET(
    _xlpm.res_no, J519,
    _xlpm.record_sheet, 'MatRes Record'!J:M,
    _xlpm.AllCellsFilled, COUNTA(A519:K519) = 11,
    _xlpm.QtyIsInt, AND(ISNUMBER(G519), G519=INT(G519)),
    _xlpm.ReqDateIsValid, AND(ISNUMBER(H519), H519&gt;=TODAY()),
    _xlpm.EmailIsValid, RIGHT(I519,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IF(A519="", "", IF(_xlpm.error_messages = "", "Yes", _xlpm.error_messages))
)</f>
        <v/>
      </c>
    </row>
    <row r="520" spans="1:12">
      <c r="A520" s="94"/>
      <c r="B520" s="95"/>
      <c r="C520" s="95"/>
      <c r="D520" s="94"/>
      <c r="E520" s="94"/>
      <c r="F520" s="96"/>
      <c r="G520" s="94"/>
      <c r="H520" s="96"/>
      <c r="I520" s="96"/>
      <c r="J520" s="92"/>
      <c r="K520" s="97"/>
      <c r="L520" s="99" t="str">
        <f ca="1">_xlfn.LET(
    _xlpm.res_no, J520,
    _xlpm.record_sheet, 'MatRes Record'!J:M,
    _xlpm.AllCellsFilled, COUNTA(A520:K520) = 11,
    _xlpm.QtyIsInt, AND(ISNUMBER(G520), G520=INT(G520)),
    _xlpm.ReqDateIsValid, AND(ISNUMBER(H520), H520&gt;=TODAY()),
    _xlpm.EmailIsValid, RIGHT(I520,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IF(A520="", "", IF(_xlpm.error_messages = "", "Yes", _xlpm.error_messages))
)</f>
        <v/>
      </c>
    </row>
    <row r="521" spans="1:12">
      <c r="A521" s="109"/>
      <c r="B521" s="110"/>
      <c r="C521" s="111"/>
      <c r="D521" s="110"/>
      <c r="E521" s="110"/>
      <c r="F521" s="112"/>
      <c r="G521" s="110"/>
      <c r="H521" s="112"/>
      <c r="I521" s="112"/>
      <c r="J521" s="113"/>
      <c r="K521" s="110"/>
      <c r="L521" s="99" t="str">
        <f ca="1">_xlfn.LET(
    _xlpm.res_no, J521,
    _xlpm.record_sheet, 'MatRes Record'!J:M,
    _xlpm.AllCellsFilled, COUNTA(A521:K521) = 11,
    _xlpm.QtyIsInt, AND(ISNUMBER(G521), G521=INT(G521)),
    _xlpm.ReqDateIsValid, AND(ISNUMBER(H521), H521&gt;=TODAY()),
    _xlpm.EmailIsValid, RIGHT(I521,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IF(A521="", "", IF(_xlpm.error_messages = "", "Yes", _xlpm.error_messages))
)</f>
        <v/>
      </c>
    </row>
    <row r="522" spans="1:12">
      <c r="A522" s="114"/>
      <c r="B522" s="115"/>
      <c r="C522" s="116"/>
      <c r="D522" s="115"/>
      <c r="E522" s="115"/>
      <c r="F522" s="117"/>
      <c r="G522" s="115"/>
      <c r="H522" s="117"/>
      <c r="I522" s="117"/>
      <c r="J522" s="118"/>
      <c r="K522" s="115"/>
      <c r="L522" s="99" t="str">
        <f ca="1">_xlfn.LET(
    _xlpm.res_no, J522,
    _xlpm.record_sheet, 'MatRes Record'!J:M,
    _xlpm.AllCellsFilled, COUNTA(A522:K522) = 11,
    _xlpm.QtyIsInt, AND(ISNUMBER(G522), G522=INT(G522)),
    _xlpm.ReqDateIsValid, AND(ISNUMBER(H522), H522&gt;=TODAY()),
    _xlpm.EmailIsValid, RIGHT(I522,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IF(A522="", "", IF(_xlpm.error_messages = "", "Yes", _xlpm.error_messages))
)</f>
        <v/>
      </c>
    </row>
    <row r="523" spans="1:12">
      <c r="A523" s="109"/>
      <c r="B523" s="110"/>
      <c r="C523" s="111"/>
      <c r="D523" s="110"/>
      <c r="E523" s="110"/>
      <c r="F523" s="112"/>
      <c r="G523" s="110"/>
      <c r="H523" s="112"/>
      <c r="I523" s="112"/>
      <c r="J523" s="113"/>
      <c r="K523" s="110"/>
      <c r="L523" s="99" t="str">
        <f ca="1">_xlfn.LET(
    _xlpm.res_no, J523,
    _xlpm.record_sheet, 'MatRes Record'!J:M,
    _xlpm.AllCellsFilled, COUNTA(A523:K523) = 11,
    _xlpm.QtyIsInt, AND(ISNUMBER(G523), G523=INT(G523)),
    _xlpm.ReqDateIsValid, AND(ISNUMBER(H523), H523&gt;=TODAY()),
    _xlpm.EmailIsValid, RIGHT(I523,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IF(A523="", "", IF(_xlpm.error_messages = "", "Yes", _xlpm.error_messages))
)</f>
        <v/>
      </c>
    </row>
    <row r="524" spans="1:12">
      <c r="A524" s="114"/>
      <c r="B524" s="115"/>
      <c r="C524" s="116"/>
      <c r="D524" s="115"/>
      <c r="E524" s="115"/>
      <c r="F524" s="117"/>
      <c r="G524" s="115"/>
      <c r="H524" s="117"/>
      <c r="I524" s="117"/>
      <c r="J524" s="118"/>
      <c r="K524" s="115"/>
      <c r="L524" s="99" t="str">
        <f ca="1">_xlfn.LET(
    _xlpm.res_no, J524,
    _xlpm.record_sheet, 'MatRes Record'!J:M,
    _xlpm.AllCellsFilled, COUNTA(A524:K524) = 11,
    _xlpm.QtyIsInt, AND(ISNUMBER(G524), G524=INT(G524)),
    _xlpm.ReqDateIsValid, AND(ISNUMBER(H524), H524&gt;=TODAY()),
    _xlpm.EmailIsValid, RIGHT(I524,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IF(A524="", "", IF(_xlpm.error_messages = "", "Yes", _xlpm.error_messages))
)</f>
        <v/>
      </c>
    </row>
    <row r="525" spans="1:12">
      <c r="A525" s="109"/>
      <c r="B525" s="110"/>
      <c r="C525" s="111"/>
      <c r="D525" s="110"/>
      <c r="E525" s="110"/>
      <c r="F525" s="112"/>
      <c r="G525" s="110"/>
      <c r="H525" s="112"/>
      <c r="I525" s="112"/>
      <c r="J525" s="113"/>
      <c r="K525" s="110"/>
      <c r="L525" s="99" t="str">
        <f ca="1">_xlfn.LET(
    _xlpm.res_no, J525,
    _xlpm.record_sheet, 'MatRes Record'!J:M,
    _xlpm.AllCellsFilled, COUNTA(A525:K525) = 11,
    _xlpm.QtyIsInt, AND(ISNUMBER(G525), G525=INT(G525)),
    _xlpm.ReqDateIsValid, AND(ISNUMBER(H525), H525&gt;=TODAY()),
    _xlpm.EmailIsValid, RIGHT(I525,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IF(A525="", "", IF(_xlpm.error_messages = "", "Yes", _xlpm.error_messages))
)</f>
        <v/>
      </c>
    </row>
    <row r="526" spans="1:12">
      <c r="A526" s="114"/>
      <c r="B526" s="115"/>
      <c r="C526" s="116"/>
      <c r="D526" s="115"/>
      <c r="E526" s="115"/>
      <c r="F526" s="117"/>
      <c r="G526" s="115"/>
      <c r="H526" s="117"/>
      <c r="I526" s="117"/>
      <c r="J526" s="118"/>
      <c r="K526" s="115"/>
      <c r="L526" s="99" t="str">
        <f ca="1">_xlfn.LET(
    _xlpm.res_no, J526,
    _xlpm.record_sheet, 'MatRes Record'!J:M,
    _xlpm.AllCellsFilled, COUNTA(A526:K526) = 11,
    _xlpm.QtyIsInt, AND(ISNUMBER(G526), G526=INT(G526)),
    _xlpm.ReqDateIsValid, AND(ISNUMBER(H526), H526&gt;=TODAY()),
    _xlpm.EmailIsValid, RIGHT(I526,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IF(A526="", "", IF(_xlpm.error_messages = "", "Yes", _xlpm.error_messages))
)</f>
        <v/>
      </c>
    </row>
    <row r="527" spans="1:12">
      <c r="A527" s="109"/>
      <c r="B527" s="110"/>
      <c r="C527" s="111"/>
      <c r="D527" s="110"/>
      <c r="E527" s="110"/>
      <c r="F527" s="112"/>
      <c r="G527" s="110"/>
      <c r="H527" s="112"/>
      <c r="I527" s="112"/>
      <c r="J527" s="113"/>
      <c r="K527" s="110"/>
      <c r="L527" s="99" t="str">
        <f ca="1">_xlfn.LET(
    _xlpm.res_no, J527,
    _xlpm.record_sheet, 'MatRes Record'!J:M,
    _xlpm.AllCellsFilled, COUNTA(A527:K527) = 11,
    _xlpm.QtyIsInt, AND(ISNUMBER(G527), G527=INT(G527)),
    _xlpm.ReqDateIsValid, AND(ISNUMBER(H527), H527&gt;=TODAY()),
    _xlpm.EmailIsValid, RIGHT(I527,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IF(A527="", "", IF(_xlpm.error_messages = "", "Yes", _xlpm.error_messages))
)</f>
        <v/>
      </c>
    </row>
    <row r="528" spans="1:12">
      <c r="A528" s="119"/>
      <c r="B528" s="118"/>
      <c r="C528" s="120"/>
      <c r="D528" s="121"/>
      <c r="E528" s="121"/>
      <c r="F528" s="122"/>
      <c r="G528" s="118"/>
      <c r="H528" s="117"/>
      <c r="I528" s="122"/>
      <c r="J528" s="118"/>
      <c r="K528" s="115"/>
      <c r="L528" s="99" t="str">
        <f ca="1">_xlfn.LET(
    _xlpm.res_no, J528,
    _xlpm.record_sheet, 'MatRes Record'!J:M,
    _xlpm.AllCellsFilled, COUNTA(A528:K528) = 11,
    _xlpm.QtyIsInt, AND(ISNUMBER(G528), G528=INT(G528)),
    _xlpm.ReqDateIsValid, AND(ISNUMBER(H528), H528&gt;=TODAY()),
    _xlpm.EmailIsValid, RIGHT(I528,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IF(A528="", "", IF(_xlpm.error_messages = "", "Yes", _xlpm.error_messages))
)</f>
        <v/>
      </c>
    </row>
    <row r="529" spans="1:12">
      <c r="A529" s="123"/>
      <c r="B529" s="113"/>
      <c r="C529" s="124"/>
      <c r="D529" s="125"/>
      <c r="E529" s="125"/>
      <c r="F529" s="126"/>
      <c r="G529" s="113"/>
      <c r="H529" s="112"/>
      <c r="I529" s="126"/>
      <c r="J529" s="113"/>
      <c r="K529" s="110"/>
      <c r="L529" s="99" t="str">
        <f ca="1">_xlfn.LET(
    _xlpm.res_no, J529,
    _xlpm.record_sheet, 'MatRes Record'!J:M,
    _xlpm.AllCellsFilled, COUNTA(A529:K529) = 11,
    _xlpm.QtyIsInt, AND(ISNUMBER(G529), G529=INT(G529)),
    _xlpm.ReqDateIsValid, AND(ISNUMBER(H529), H529&gt;=TODAY()),
    _xlpm.EmailIsValid, RIGHT(I529,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IF(A529="", "", IF(_xlpm.error_messages = "", "Yes", _xlpm.error_messages))
)</f>
        <v/>
      </c>
    </row>
    <row r="530" spans="1:12">
      <c r="A530" s="119"/>
      <c r="B530" s="120"/>
      <c r="C530" s="120"/>
      <c r="D530" s="121"/>
      <c r="E530" s="121"/>
      <c r="F530" s="122"/>
      <c r="G530" s="118"/>
      <c r="H530" s="117"/>
      <c r="I530" s="122"/>
      <c r="J530" s="120"/>
      <c r="K530" s="115"/>
      <c r="L530" s="99" t="str">
        <f ca="1">_xlfn.LET(
    _xlpm.res_no, J530,
    _xlpm.record_sheet, 'MatRes Record'!J:M,
    _xlpm.AllCellsFilled, COUNTA(A530:K530) = 11,
    _xlpm.QtyIsInt, AND(ISNUMBER(G530), G530=INT(G530)),
    _xlpm.ReqDateIsValid, AND(ISNUMBER(H530), H530&gt;=TODAY()),
    _xlpm.EmailIsValid, RIGHT(I530,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IF(A530="", "", IF(_xlpm.error_messages = "", "Yes", _xlpm.error_messages))
)</f>
        <v/>
      </c>
    </row>
    <row r="531" spans="1:12">
      <c r="A531" s="123"/>
      <c r="B531" s="124"/>
      <c r="C531" s="124"/>
      <c r="D531" s="125"/>
      <c r="E531" s="125"/>
      <c r="F531" s="126"/>
      <c r="G531" s="113"/>
      <c r="H531" s="112"/>
      <c r="I531" s="126"/>
      <c r="J531" s="124"/>
      <c r="K531" s="110"/>
      <c r="L531" s="99" t="str">
        <f ca="1">_xlfn.LET(
    _xlpm.res_no, J531,
    _xlpm.record_sheet, 'MatRes Record'!J:M,
    _xlpm.AllCellsFilled, COUNTA(A531:K531) = 11,
    _xlpm.QtyIsInt, AND(ISNUMBER(G531), G531=INT(G531)),
    _xlpm.ReqDateIsValid, AND(ISNUMBER(H531), H531&gt;=TODAY()),
    _xlpm.EmailIsValid, RIGHT(I531,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IF(A531="", "", IF(_xlpm.error_messages = "", "Yes", _xlpm.error_messages))
)</f>
        <v/>
      </c>
    </row>
    <row r="532" spans="1:12">
      <c r="A532" s="119"/>
      <c r="B532" s="120"/>
      <c r="C532" s="120"/>
      <c r="D532" s="121"/>
      <c r="E532" s="121"/>
      <c r="F532" s="122"/>
      <c r="G532" s="118"/>
      <c r="H532" s="117"/>
      <c r="I532" s="122"/>
      <c r="J532" s="120"/>
      <c r="K532" s="115"/>
      <c r="L532" s="99" t="str">
        <f ca="1">_xlfn.LET(
    _xlpm.res_no, J532,
    _xlpm.record_sheet, 'MatRes Record'!J:M,
    _xlpm.AllCellsFilled, COUNTA(A532:K532) = 11,
    _xlpm.QtyIsInt, AND(ISNUMBER(G532), G532=INT(G532)),
    _xlpm.ReqDateIsValid, AND(ISNUMBER(H532), H532&gt;=TODAY()),
    _xlpm.EmailIsValid, RIGHT(I532,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IF(A532="", "", IF(_xlpm.error_messages = "", "Yes", _xlpm.error_messages))
)</f>
        <v/>
      </c>
    </row>
    <row r="533" spans="1:12">
      <c r="A533" s="123"/>
      <c r="B533" s="124"/>
      <c r="C533" s="124"/>
      <c r="D533" s="125"/>
      <c r="E533" s="125"/>
      <c r="F533" s="126"/>
      <c r="G533" s="113"/>
      <c r="H533" s="112"/>
      <c r="I533" s="126"/>
      <c r="J533" s="124"/>
      <c r="K533" s="110"/>
      <c r="L533" s="99" t="str">
        <f ca="1">_xlfn.LET(
    _xlpm.res_no, J533,
    _xlpm.record_sheet, 'MatRes Record'!J:M,
    _xlpm.AllCellsFilled, COUNTA(A533:K533) = 11,
    _xlpm.QtyIsInt, AND(ISNUMBER(G533), G533=INT(G533)),
    _xlpm.ReqDateIsValid, AND(ISNUMBER(H533), H533&gt;=TODAY()),
    _xlpm.EmailIsValid, RIGHT(I533,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IF(A533="", "", IF(_xlpm.error_messages = "", "Yes", _xlpm.error_messages))
)</f>
        <v/>
      </c>
    </row>
    <row r="534" spans="1:12">
      <c r="A534" s="119"/>
      <c r="B534" s="120"/>
      <c r="C534" s="120"/>
      <c r="D534" s="121"/>
      <c r="E534" s="121"/>
      <c r="F534" s="122"/>
      <c r="G534" s="118"/>
      <c r="H534" s="117"/>
      <c r="I534" s="122"/>
      <c r="J534" s="120"/>
      <c r="K534" s="115"/>
      <c r="L534" s="99" t="str">
        <f ca="1">_xlfn.LET(
    _xlpm.res_no, J534,
    _xlpm.record_sheet, 'MatRes Record'!J:M,
    _xlpm.AllCellsFilled, COUNTA(A534:K534) = 11,
    _xlpm.QtyIsInt, AND(ISNUMBER(G534), G534=INT(G534)),
    _xlpm.ReqDateIsValid, AND(ISNUMBER(H534), H534&gt;=TODAY()),
    _xlpm.EmailIsValid, RIGHT(I534,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IF(A534="", "", IF(_xlpm.error_messages = "", "Yes", _xlpm.error_messages))
)</f>
        <v/>
      </c>
    </row>
    <row r="535" spans="1:12">
      <c r="A535" s="123"/>
      <c r="B535" s="124"/>
      <c r="C535" s="124"/>
      <c r="D535" s="125"/>
      <c r="E535" s="125"/>
      <c r="F535" s="126"/>
      <c r="G535" s="113"/>
      <c r="H535" s="112"/>
      <c r="I535" s="126"/>
      <c r="J535" s="124"/>
      <c r="K535" s="110"/>
      <c r="L535" s="99" t="str">
        <f ca="1">_xlfn.LET(
    _xlpm.res_no, J535,
    _xlpm.record_sheet, 'MatRes Record'!J:M,
    _xlpm.AllCellsFilled, COUNTA(A535:K535) = 11,
    _xlpm.QtyIsInt, AND(ISNUMBER(G535), G535=INT(G535)),
    _xlpm.ReqDateIsValid, AND(ISNUMBER(H535), H535&gt;=TODAY()),
    _xlpm.EmailIsValid, RIGHT(I535,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IF(A535="", "", IF(_xlpm.error_messages = "", "Yes", _xlpm.error_messages))
)</f>
        <v/>
      </c>
    </row>
    <row r="536" spans="1:12">
      <c r="A536" s="119"/>
      <c r="B536" s="120"/>
      <c r="C536" s="120"/>
      <c r="D536" s="121"/>
      <c r="E536" s="121"/>
      <c r="F536" s="122"/>
      <c r="G536" s="118"/>
      <c r="H536" s="117"/>
      <c r="I536" s="122"/>
      <c r="J536" s="120"/>
      <c r="K536" s="115"/>
      <c r="L536" s="99" t="str">
        <f ca="1">_xlfn.LET(
    _xlpm.res_no, J536,
    _xlpm.record_sheet, 'MatRes Record'!J:M,
    _xlpm.AllCellsFilled, COUNTA(A536:K536) = 11,
    _xlpm.QtyIsInt, AND(ISNUMBER(G536), G536=INT(G536)),
    _xlpm.ReqDateIsValid, AND(ISNUMBER(H536), H536&gt;=TODAY()),
    _xlpm.EmailIsValid, RIGHT(I536,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IF(A536="", "", IF(_xlpm.error_messages = "", "Yes", _xlpm.error_messages))
)</f>
        <v/>
      </c>
    </row>
    <row r="537" spans="1:12">
      <c r="A537" s="123"/>
      <c r="B537" s="124"/>
      <c r="C537" s="124"/>
      <c r="D537" s="125"/>
      <c r="E537" s="125"/>
      <c r="F537" s="126"/>
      <c r="G537" s="113"/>
      <c r="H537" s="112"/>
      <c r="I537" s="126"/>
      <c r="J537" s="124"/>
      <c r="K537" s="110"/>
      <c r="L537" s="99" t="str">
        <f ca="1">_xlfn.LET(
    _xlpm.res_no, J537,
    _xlpm.record_sheet, 'MatRes Record'!J:M,
    _xlpm.AllCellsFilled, COUNTA(A537:K537) = 11,
    _xlpm.QtyIsInt, AND(ISNUMBER(G537), G537=INT(G537)),
    _xlpm.ReqDateIsValid, AND(ISNUMBER(H537), H537&gt;=TODAY()),
    _xlpm.EmailIsValid, RIGHT(I537,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IF(A537="", "", IF(_xlpm.error_messages = "", "Yes", _xlpm.error_messages))
)</f>
        <v/>
      </c>
    </row>
    <row r="538" spans="1:12">
      <c r="A538" s="119"/>
      <c r="B538" s="120"/>
      <c r="C538" s="120"/>
      <c r="D538" s="121"/>
      <c r="E538" s="121"/>
      <c r="F538" s="122"/>
      <c r="G538" s="118"/>
      <c r="H538" s="117"/>
      <c r="I538" s="122"/>
      <c r="J538" s="120"/>
      <c r="K538" s="115"/>
      <c r="L538" s="99" t="str">
        <f ca="1">_xlfn.LET(
    _xlpm.res_no, J538,
    _xlpm.record_sheet, 'MatRes Record'!J:M,
    _xlpm.AllCellsFilled, COUNTA(A538:K538) = 11,
    _xlpm.QtyIsInt, AND(ISNUMBER(G538), G538=INT(G538)),
    _xlpm.ReqDateIsValid, AND(ISNUMBER(H538), H538&gt;=TODAY()),
    _xlpm.EmailIsValid, RIGHT(I538,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IF(A538="", "", IF(_xlpm.error_messages = "", "Yes", _xlpm.error_messages))
)</f>
        <v/>
      </c>
    </row>
    <row r="539" spans="1:12">
      <c r="A539" s="123"/>
      <c r="B539" s="124"/>
      <c r="C539" s="124"/>
      <c r="D539" s="125"/>
      <c r="E539" s="125"/>
      <c r="F539" s="126"/>
      <c r="G539" s="113"/>
      <c r="H539" s="112"/>
      <c r="I539" s="126"/>
      <c r="J539" s="124"/>
      <c r="K539" s="110"/>
      <c r="L539" s="99" t="str">
        <f ca="1">_xlfn.LET(
    _xlpm.res_no, J539,
    _xlpm.record_sheet, 'MatRes Record'!J:M,
    _xlpm.AllCellsFilled, COUNTA(A539:K539) = 11,
    _xlpm.QtyIsInt, AND(ISNUMBER(G539), G539=INT(G539)),
    _xlpm.ReqDateIsValid, AND(ISNUMBER(H539), H539&gt;=TODAY()),
    _xlpm.EmailIsValid, RIGHT(I539,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IF(A539="", "", IF(_xlpm.error_messages = "", "Yes", _xlpm.error_messages))
)</f>
        <v/>
      </c>
    </row>
    <row r="540" spans="1:12">
      <c r="A540" s="119"/>
      <c r="B540" s="120"/>
      <c r="C540" s="120"/>
      <c r="D540" s="121"/>
      <c r="E540" s="121"/>
      <c r="F540" s="122"/>
      <c r="G540" s="118"/>
      <c r="H540" s="117"/>
      <c r="I540" s="122"/>
      <c r="J540" s="120"/>
      <c r="K540" s="115"/>
      <c r="L540" s="99" t="str">
        <f ca="1">_xlfn.LET(
    _xlpm.res_no, J540,
    _xlpm.record_sheet, 'MatRes Record'!J:M,
    _xlpm.AllCellsFilled, COUNTA(A540:K540) = 11,
    _xlpm.QtyIsInt, AND(ISNUMBER(G540), G540=INT(G540)),
    _xlpm.ReqDateIsValid, AND(ISNUMBER(H540), H540&gt;=TODAY()),
    _xlpm.EmailIsValid, RIGHT(I540,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IF(A540="", "", IF(_xlpm.error_messages = "", "Yes", _xlpm.error_messages))
)</f>
        <v/>
      </c>
    </row>
    <row r="541" spans="1:12">
      <c r="A541" s="123"/>
      <c r="B541" s="124"/>
      <c r="C541" s="124"/>
      <c r="D541" s="125"/>
      <c r="E541" s="125"/>
      <c r="F541" s="126"/>
      <c r="G541" s="113"/>
      <c r="H541" s="112"/>
      <c r="I541" s="126"/>
      <c r="J541" s="124"/>
      <c r="K541" s="110"/>
      <c r="L541" s="99" t="str">
        <f ca="1">_xlfn.LET(
    _xlpm.res_no, J541,
    _xlpm.record_sheet, 'MatRes Record'!J:M,
    _xlpm.AllCellsFilled, COUNTA(A541:K541) = 11,
    _xlpm.QtyIsInt, AND(ISNUMBER(G541), G541=INT(G541)),
    _xlpm.ReqDateIsValid, AND(ISNUMBER(H541), H541&gt;=TODAY()),
    _xlpm.EmailIsValid, RIGHT(I541,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IF(A541="", "", IF(_xlpm.error_messages = "", "Yes", _xlpm.error_messages))
)</f>
        <v/>
      </c>
    </row>
    <row r="542" spans="1:12">
      <c r="A542" s="119"/>
      <c r="B542" s="120"/>
      <c r="C542" s="120"/>
      <c r="D542" s="121"/>
      <c r="E542" s="121"/>
      <c r="F542" s="122"/>
      <c r="G542" s="118"/>
      <c r="H542" s="117"/>
      <c r="I542" s="122"/>
      <c r="J542" s="120"/>
      <c r="K542" s="115"/>
      <c r="L542" s="99" t="str">
        <f ca="1">_xlfn.LET(
    _xlpm.res_no, J542,
    _xlpm.record_sheet, 'MatRes Record'!J:M,
    _xlpm.AllCellsFilled, COUNTA(A542:K542) = 11,
    _xlpm.QtyIsInt, AND(ISNUMBER(G542), G542=INT(G542)),
    _xlpm.ReqDateIsValid, AND(ISNUMBER(H542), H542&gt;=TODAY()),
    _xlpm.EmailIsValid, RIGHT(I542,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IF(A542="", "", IF(_xlpm.error_messages = "", "Yes", _xlpm.error_messages))
)</f>
        <v/>
      </c>
    </row>
    <row r="543" spans="1:12">
      <c r="A543" s="123"/>
      <c r="B543" s="124"/>
      <c r="C543" s="124"/>
      <c r="D543" s="125"/>
      <c r="E543" s="125"/>
      <c r="F543" s="126"/>
      <c r="G543" s="113"/>
      <c r="H543" s="112"/>
      <c r="I543" s="126"/>
      <c r="J543" s="124"/>
      <c r="K543" s="110"/>
      <c r="L543" s="99" t="str">
        <f ca="1">_xlfn.LET(
    _xlpm.res_no, J543,
    _xlpm.record_sheet, 'MatRes Record'!J:M,
    _xlpm.AllCellsFilled, COUNTA(A543:K543) = 11,
    _xlpm.QtyIsInt, AND(ISNUMBER(G543), G543=INT(G543)),
    _xlpm.ReqDateIsValid, AND(ISNUMBER(H543), H543&gt;=TODAY()),
    _xlpm.EmailIsValid, RIGHT(I543,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IF(A543="", "", IF(_xlpm.error_messages = "", "Yes", _xlpm.error_messages))
)</f>
        <v/>
      </c>
    </row>
    <row r="544" spans="1:12">
      <c r="A544" s="119"/>
      <c r="B544" s="120"/>
      <c r="C544" s="120"/>
      <c r="D544" s="121"/>
      <c r="E544" s="121"/>
      <c r="F544" s="122"/>
      <c r="G544" s="118"/>
      <c r="H544" s="117"/>
      <c r="I544" s="122"/>
      <c r="J544" s="120"/>
      <c r="K544" s="115"/>
      <c r="L544" s="99" t="str">
        <f ca="1">_xlfn.LET(
    _xlpm.res_no, J544,
    _xlpm.record_sheet, 'MatRes Record'!J:M,
    _xlpm.AllCellsFilled, COUNTA(A544:K544) = 11,
    _xlpm.QtyIsInt, AND(ISNUMBER(G544), G544=INT(G544)),
    _xlpm.ReqDateIsValid, AND(ISNUMBER(H544), H544&gt;=TODAY()),
    _xlpm.EmailIsValid, RIGHT(I544,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IF(A544="", "", IF(_xlpm.error_messages = "", "Yes", _xlpm.error_messages))
)</f>
        <v/>
      </c>
    </row>
    <row r="545" spans="1:12">
      <c r="A545" s="123"/>
      <c r="B545" s="124"/>
      <c r="C545" s="124"/>
      <c r="D545" s="125"/>
      <c r="E545" s="125"/>
      <c r="F545" s="126"/>
      <c r="G545" s="113"/>
      <c r="H545" s="112"/>
      <c r="I545" s="126"/>
      <c r="J545" s="124"/>
      <c r="K545" s="110"/>
      <c r="L545" s="99" t="str">
        <f ca="1">_xlfn.LET(
    _xlpm.res_no, J545,
    _xlpm.record_sheet, 'MatRes Record'!J:M,
    _xlpm.AllCellsFilled, COUNTA(A545:K545) = 11,
    _xlpm.QtyIsInt, AND(ISNUMBER(G545), G545=INT(G545)),
    _xlpm.ReqDateIsValid, AND(ISNUMBER(H545), H545&gt;=TODAY()),
    _xlpm.EmailIsValid, RIGHT(I545,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IF(A545="", "", IF(_xlpm.error_messages = "", "Yes", _xlpm.error_messages))
)</f>
        <v/>
      </c>
    </row>
    <row r="546" spans="1:12">
      <c r="A546" s="119"/>
      <c r="B546" s="120"/>
      <c r="C546" s="120"/>
      <c r="D546" s="121"/>
      <c r="E546" s="121"/>
      <c r="F546" s="122"/>
      <c r="G546" s="118"/>
      <c r="H546" s="117"/>
      <c r="I546" s="122"/>
      <c r="J546" s="120"/>
      <c r="K546" s="115"/>
      <c r="L546" s="99" t="str">
        <f ca="1">_xlfn.LET(
    _xlpm.res_no, J546,
    _xlpm.record_sheet, 'MatRes Record'!J:M,
    _xlpm.AllCellsFilled, COUNTA(A546:K546) = 11,
    _xlpm.QtyIsInt, AND(ISNUMBER(G546), G546=INT(G546)),
    _xlpm.ReqDateIsValid, AND(ISNUMBER(H546), H546&gt;=TODAY()),
    _xlpm.EmailIsValid, RIGHT(I546,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IF(A546="", "", IF(_xlpm.error_messages = "", "Yes", _xlpm.error_messages))
)</f>
        <v/>
      </c>
    </row>
    <row r="547" spans="1:12">
      <c r="A547" s="123"/>
      <c r="B547" s="124"/>
      <c r="C547" s="124"/>
      <c r="D547" s="125"/>
      <c r="E547" s="125"/>
      <c r="F547" s="126"/>
      <c r="G547" s="113"/>
      <c r="H547" s="112"/>
      <c r="I547" s="126"/>
      <c r="J547" s="124"/>
      <c r="K547" s="110"/>
      <c r="L547" s="99" t="str">
        <f ca="1">_xlfn.LET(
    _xlpm.res_no, J547,
    _xlpm.record_sheet, 'MatRes Record'!J:M,
    _xlpm.AllCellsFilled, COUNTA(A547:K547) = 11,
    _xlpm.QtyIsInt, AND(ISNUMBER(G547), G547=INT(G547)),
    _xlpm.ReqDateIsValid, AND(ISNUMBER(H547), H547&gt;=TODAY()),
    _xlpm.EmailIsValid, RIGHT(I547,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IF(A547="", "", IF(_xlpm.error_messages = "", "Yes", _xlpm.error_messages))
)</f>
        <v/>
      </c>
    </row>
    <row r="548" spans="1:12">
      <c r="A548" s="119"/>
      <c r="B548" s="120"/>
      <c r="C548" s="120"/>
      <c r="D548" s="121"/>
      <c r="E548" s="121"/>
      <c r="F548" s="122"/>
      <c r="G548" s="118"/>
      <c r="H548" s="117"/>
      <c r="I548" s="122"/>
      <c r="J548" s="120"/>
      <c r="K548" s="115"/>
      <c r="L548" s="99" t="str">
        <f ca="1">_xlfn.LET(
    _xlpm.res_no, J548,
    _xlpm.record_sheet, 'MatRes Record'!J:M,
    _xlpm.AllCellsFilled, COUNTA(A548:K548) = 11,
    _xlpm.QtyIsInt, AND(ISNUMBER(G548), G548=INT(G548)),
    _xlpm.ReqDateIsValid, AND(ISNUMBER(H548), H548&gt;=TODAY()),
    _xlpm.EmailIsValid, RIGHT(I548,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IF(A548="", "", IF(_xlpm.error_messages = "", "Yes", _xlpm.error_messages))
)</f>
        <v/>
      </c>
    </row>
    <row r="549" spans="1:12">
      <c r="A549" s="123"/>
      <c r="B549" s="124"/>
      <c r="C549" s="124"/>
      <c r="D549" s="125"/>
      <c r="E549" s="125"/>
      <c r="F549" s="126"/>
      <c r="G549" s="113"/>
      <c r="H549" s="112"/>
      <c r="I549" s="126"/>
      <c r="J549" s="124"/>
      <c r="K549" s="110"/>
      <c r="L549" s="99" t="str">
        <f ca="1">_xlfn.LET(
    _xlpm.res_no, J549,
    _xlpm.record_sheet, 'MatRes Record'!J:M,
    _xlpm.AllCellsFilled, COUNTA(A549:K549) = 11,
    _xlpm.QtyIsInt, AND(ISNUMBER(G549), G549=INT(G549)),
    _xlpm.ReqDateIsValid, AND(ISNUMBER(H549), H549&gt;=TODAY()),
    _xlpm.EmailIsValid, RIGHT(I549,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IF(A549="", "", IF(_xlpm.error_messages = "", "Yes", _xlpm.error_messages))
)</f>
        <v/>
      </c>
    </row>
    <row r="550" spans="1:12">
      <c r="A550" s="119"/>
      <c r="B550" s="120"/>
      <c r="C550" s="120"/>
      <c r="D550" s="121"/>
      <c r="E550" s="121"/>
      <c r="F550" s="122"/>
      <c r="G550" s="118"/>
      <c r="H550" s="117"/>
      <c r="I550" s="122"/>
      <c r="J550" s="120"/>
      <c r="K550" s="115"/>
      <c r="L550" s="99" t="str">
        <f ca="1">_xlfn.LET(
    _xlpm.res_no, J550,
    _xlpm.record_sheet, 'MatRes Record'!J:M,
    _xlpm.AllCellsFilled, COUNTA(A550:K550) = 11,
    _xlpm.QtyIsInt, AND(ISNUMBER(G550), G550=INT(G550)),
    _xlpm.ReqDateIsValid, AND(ISNUMBER(H550), H550&gt;=TODAY()),
    _xlpm.EmailIsValid, RIGHT(I550,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IF(A550="", "", IF(_xlpm.error_messages = "", "Yes", _xlpm.error_messages))
)</f>
        <v/>
      </c>
    </row>
    <row r="551" spans="1:12">
      <c r="A551" s="123"/>
      <c r="B551" s="124"/>
      <c r="C551" s="124"/>
      <c r="D551" s="125"/>
      <c r="E551" s="125"/>
      <c r="F551" s="126"/>
      <c r="G551" s="113"/>
      <c r="H551" s="112"/>
      <c r="I551" s="126"/>
      <c r="J551" s="124"/>
      <c r="K551" s="110"/>
      <c r="L551" s="99" t="str">
        <f ca="1">_xlfn.LET(
    _xlpm.res_no, J551,
    _xlpm.record_sheet, 'MatRes Record'!J:M,
    _xlpm.AllCellsFilled, COUNTA(A551:K551) = 11,
    _xlpm.QtyIsInt, AND(ISNUMBER(G551), G551=INT(G551)),
    _xlpm.ReqDateIsValid, AND(ISNUMBER(H551), H551&gt;=TODAY()),
    _xlpm.EmailIsValid, RIGHT(I551,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IF(A551="", "", IF(_xlpm.error_messages = "", "Yes", _xlpm.error_messages))
)</f>
        <v/>
      </c>
    </row>
    <row r="552" spans="1:12">
      <c r="A552" s="119"/>
      <c r="B552" s="120"/>
      <c r="C552" s="120"/>
      <c r="D552" s="121"/>
      <c r="E552" s="121"/>
      <c r="F552" s="122"/>
      <c r="G552" s="118"/>
      <c r="H552" s="117"/>
      <c r="I552" s="122"/>
      <c r="J552" s="120"/>
      <c r="K552" s="115"/>
      <c r="L552" s="99" t="str">
        <f ca="1">_xlfn.LET(
    _xlpm.res_no, J552,
    _xlpm.record_sheet, 'MatRes Record'!J:M,
    _xlpm.AllCellsFilled, COUNTA(A552:K552) = 11,
    _xlpm.QtyIsInt, AND(ISNUMBER(G552), G552=INT(G552)),
    _xlpm.ReqDateIsValid, AND(ISNUMBER(H552), H552&gt;=TODAY()),
    _xlpm.EmailIsValid, RIGHT(I552,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IF(A552="", "", IF(_xlpm.error_messages = "", "Yes", _xlpm.error_messages))
)</f>
        <v/>
      </c>
    </row>
    <row r="553" spans="1:12">
      <c r="A553" s="123"/>
      <c r="B553" s="124"/>
      <c r="C553" s="124"/>
      <c r="D553" s="125"/>
      <c r="E553" s="125"/>
      <c r="F553" s="126"/>
      <c r="G553" s="113"/>
      <c r="H553" s="112"/>
      <c r="I553" s="126"/>
      <c r="J553" s="124"/>
      <c r="K553" s="110"/>
      <c r="L553" s="99" t="str">
        <f ca="1">_xlfn.LET(
    _xlpm.res_no, J553,
    _xlpm.record_sheet, 'MatRes Record'!J:M,
    _xlpm.AllCellsFilled, COUNTA(A553:K553) = 11,
    _xlpm.QtyIsInt, AND(ISNUMBER(G553), G553=INT(G553)),
    _xlpm.ReqDateIsValid, AND(ISNUMBER(H553), H553&gt;=TODAY()),
    _xlpm.EmailIsValid, RIGHT(I553,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IF(A553="", "", IF(_xlpm.error_messages = "", "Yes", _xlpm.error_messages))
)</f>
        <v/>
      </c>
    </row>
    <row r="554" spans="1:12">
      <c r="A554" s="119"/>
      <c r="B554" s="120"/>
      <c r="C554" s="120"/>
      <c r="D554" s="121"/>
      <c r="E554" s="121"/>
      <c r="F554" s="122"/>
      <c r="G554" s="118"/>
      <c r="H554" s="117"/>
      <c r="I554" s="122"/>
      <c r="J554" s="120"/>
      <c r="K554" s="115"/>
      <c r="L554" s="99" t="str">
        <f ca="1">_xlfn.LET(
    _xlpm.res_no, J554,
    _xlpm.record_sheet, 'MatRes Record'!J:M,
    _xlpm.AllCellsFilled, COUNTA(A554:K554) = 11,
    _xlpm.QtyIsInt, AND(ISNUMBER(G554), G554=INT(G554)),
    _xlpm.ReqDateIsValid, AND(ISNUMBER(H554), H554&gt;=TODAY()),
    _xlpm.EmailIsValid, RIGHT(I554,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IF(A554="", "", IF(_xlpm.error_messages = "", "Yes", _xlpm.error_messages))
)</f>
        <v/>
      </c>
    </row>
    <row r="555" spans="1:12">
      <c r="A555" s="123"/>
      <c r="B555" s="124"/>
      <c r="C555" s="124"/>
      <c r="D555" s="125"/>
      <c r="E555" s="125"/>
      <c r="F555" s="126"/>
      <c r="G555" s="113"/>
      <c r="H555" s="112"/>
      <c r="I555" s="126"/>
      <c r="J555" s="124"/>
      <c r="K555" s="110"/>
      <c r="L555" s="99" t="str">
        <f ca="1">_xlfn.LET(
    _xlpm.res_no, J555,
    _xlpm.record_sheet, 'MatRes Record'!J:M,
    _xlpm.AllCellsFilled, COUNTA(A555:K555) = 11,
    _xlpm.QtyIsInt, AND(ISNUMBER(G555), G555=INT(G555)),
    _xlpm.ReqDateIsValid, AND(ISNUMBER(H555), H555&gt;=TODAY()),
    _xlpm.EmailIsValid, RIGHT(I555,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IF(A555="", "", IF(_xlpm.error_messages = "", "Yes", _xlpm.error_messages))
)</f>
        <v/>
      </c>
    </row>
    <row r="556" spans="1:12">
      <c r="A556" s="119"/>
      <c r="B556" s="120"/>
      <c r="C556" s="120"/>
      <c r="D556" s="121"/>
      <c r="E556" s="121"/>
      <c r="F556" s="122"/>
      <c r="G556" s="118"/>
      <c r="H556" s="117"/>
      <c r="I556" s="122"/>
      <c r="J556" s="120"/>
      <c r="K556" s="115"/>
      <c r="L556" s="99" t="str">
        <f ca="1">_xlfn.LET(
    _xlpm.res_no, J556,
    _xlpm.record_sheet, 'MatRes Record'!J:M,
    _xlpm.AllCellsFilled, COUNTA(A556:K556) = 11,
    _xlpm.QtyIsInt, AND(ISNUMBER(G556), G556=INT(G556)),
    _xlpm.ReqDateIsValid, AND(ISNUMBER(H556), H556&gt;=TODAY()),
    _xlpm.EmailIsValid, RIGHT(I556,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IF(A556="", "", IF(_xlpm.error_messages = "", "Yes", _xlpm.error_messages))
)</f>
        <v/>
      </c>
    </row>
    <row r="557" spans="1:12">
      <c r="A557" s="123"/>
      <c r="B557" s="124"/>
      <c r="C557" s="124"/>
      <c r="D557" s="125"/>
      <c r="E557" s="125"/>
      <c r="F557" s="126"/>
      <c r="G557" s="113"/>
      <c r="H557" s="112"/>
      <c r="I557" s="126"/>
      <c r="J557" s="124"/>
      <c r="K557" s="110"/>
      <c r="L557" s="99" t="str">
        <f ca="1">_xlfn.LET(
    _xlpm.res_no, J557,
    _xlpm.record_sheet, 'MatRes Record'!J:M,
    _xlpm.AllCellsFilled, COUNTA(A557:K557) = 11,
    _xlpm.QtyIsInt, AND(ISNUMBER(G557), G557=INT(G557)),
    _xlpm.ReqDateIsValid, AND(ISNUMBER(H557), H557&gt;=TODAY()),
    _xlpm.EmailIsValid, RIGHT(I557,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IF(A557="", "", IF(_xlpm.error_messages = "", "Yes", _xlpm.error_messages))
)</f>
        <v/>
      </c>
    </row>
    <row r="558" spans="1:12">
      <c r="A558" s="119"/>
      <c r="B558" s="120"/>
      <c r="C558" s="120"/>
      <c r="D558" s="121"/>
      <c r="E558" s="121"/>
      <c r="F558" s="122"/>
      <c r="G558" s="118"/>
      <c r="H558" s="117"/>
      <c r="I558" s="122"/>
      <c r="J558" s="120"/>
      <c r="K558" s="115"/>
      <c r="L558" s="99" t="str">
        <f ca="1">_xlfn.LET(
    _xlpm.res_no, J558,
    _xlpm.record_sheet, 'MatRes Record'!J:M,
    _xlpm.AllCellsFilled, COUNTA(A558:K558) = 11,
    _xlpm.QtyIsInt, AND(ISNUMBER(G558), G558=INT(G558)),
    _xlpm.ReqDateIsValid, AND(ISNUMBER(H558), H558&gt;=TODAY()),
    _xlpm.EmailIsValid, RIGHT(I558,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IF(A558="", "", IF(_xlpm.error_messages = "", "Yes", _xlpm.error_messages))
)</f>
        <v/>
      </c>
    </row>
    <row r="559" spans="1:12">
      <c r="A559" s="123"/>
      <c r="B559" s="124"/>
      <c r="C559" s="124"/>
      <c r="D559" s="125"/>
      <c r="E559" s="125"/>
      <c r="F559" s="126"/>
      <c r="G559" s="113"/>
      <c r="H559" s="112"/>
      <c r="I559" s="126"/>
      <c r="J559" s="124"/>
      <c r="K559" s="110"/>
      <c r="L559" s="99" t="str">
        <f ca="1">_xlfn.LET(
    _xlpm.res_no, J559,
    _xlpm.record_sheet, 'MatRes Record'!J:M,
    _xlpm.AllCellsFilled, COUNTA(A559:K559) = 11,
    _xlpm.QtyIsInt, AND(ISNUMBER(G559), G559=INT(G559)),
    _xlpm.ReqDateIsValid, AND(ISNUMBER(H559), H559&gt;=TODAY()),
    _xlpm.EmailIsValid, RIGHT(I559,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IF(A559="", "", IF(_xlpm.error_messages = "", "Yes", _xlpm.error_messages))
)</f>
        <v/>
      </c>
    </row>
    <row r="560" spans="1:12">
      <c r="A560" s="119"/>
      <c r="B560" s="120"/>
      <c r="C560" s="120"/>
      <c r="D560" s="121"/>
      <c r="E560" s="121"/>
      <c r="F560" s="122"/>
      <c r="G560" s="118"/>
      <c r="H560" s="117"/>
      <c r="I560" s="122"/>
      <c r="J560" s="120"/>
      <c r="K560" s="115"/>
      <c r="L560" s="99" t="str">
        <f ca="1">_xlfn.LET(
    _xlpm.res_no, J560,
    _xlpm.record_sheet, 'MatRes Record'!J:M,
    _xlpm.AllCellsFilled, COUNTA(A560:K560) = 11,
    _xlpm.QtyIsInt, AND(ISNUMBER(G560), G560=INT(G560)),
    _xlpm.ReqDateIsValid, AND(ISNUMBER(H560), H560&gt;=TODAY()),
    _xlpm.EmailIsValid, RIGHT(I560,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IF(A560="", "", IF(_xlpm.error_messages = "", "Yes", _xlpm.error_messages))
)</f>
        <v/>
      </c>
    </row>
    <row r="561" spans="1:12">
      <c r="A561" s="123"/>
      <c r="B561" s="124"/>
      <c r="C561" s="124"/>
      <c r="D561" s="125"/>
      <c r="E561" s="125"/>
      <c r="F561" s="126"/>
      <c r="G561" s="113"/>
      <c r="H561" s="112"/>
      <c r="I561" s="126"/>
      <c r="J561" s="124"/>
      <c r="K561" s="110"/>
      <c r="L561" s="99" t="str">
        <f ca="1">_xlfn.LET(
    _xlpm.res_no, J561,
    _xlpm.record_sheet, 'MatRes Record'!J:M,
    _xlpm.AllCellsFilled, COUNTA(A561:K561) = 11,
    _xlpm.QtyIsInt, AND(ISNUMBER(G561), G561=INT(G561)),
    _xlpm.ReqDateIsValid, AND(ISNUMBER(H561), H561&gt;=TODAY()),
    _xlpm.EmailIsValid, RIGHT(I561,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IF(A561="", "", IF(_xlpm.error_messages = "", "Yes", _xlpm.error_messages))
)</f>
        <v/>
      </c>
    </row>
    <row r="562" spans="1:12">
      <c r="A562" s="119"/>
      <c r="B562" s="120"/>
      <c r="C562" s="120"/>
      <c r="D562" s="121"/>
      <c r="E562" s="121"/>
      <c r="F562" s="122"/>
      <c r="G562" s="118"/>
      <c r="H562" s="117"/>
      <c r="I562" s="122"/>
      <c r="J562" s="120"/>
      <c r="K562" s="115"/>
      <c r="L562" s="99" t="str">
        <f ca="1">_xlfn.LET(
    _xlpm.res_no, J562,
    _xlpm.record_sheet, 'MatRes Record'!J:M,
    _xlpm.AllCellsFilled, COUNTA(A562:K562) = 11,
    _xlpm.QtyIsInt, AND(ISNUMBER(G562), G562=INT(G562)),
    _xlpm.ReqDateIsValid, AND(ISNUMBER(H562), H562&gt;=TODAY()),
    _xlpm.EmailIsValid, RIGHT(I562,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IF(A562="", "", IF(_xlpm.error_messages = "", "Yes", _xlpm.error_messages))
)</f>
        <v/>
      </c>
    </row>
    <row r="563" spans="1:12">
      <c r="A563" s="123"/>
      <c r="B563" s="124"/>
      <c r="C563" s="124"/>
      <c r="D563" s="125"/>
      <c r="E563" s="125"/>
      <c r="F563" s="126"/>
      <c r="G563" s="113"/>
      <c r="H563" s="112"/>
      <c r="I563" s="126"/>
      <c r="J563" s="124"/>
      <c r="K563" s="110"/>
      <c r="L563" s="99" t="str">
        <f ca="1">_xlfn.LET(
    _xlpm.res_no, J563,
    _xlpm.record_sheet, 'MatRes Record'!J:M,
    _xlpm.AllCellsFilled, COUNTA(A563:K563) = 11,
    _xlpm.QtyIsInt, AND(ISNUMBER(G563), G563=INT(G563)),
    _xlpm.ReqDateIsValid, AND(ISNUMBER(H563), H563&gt;=TODAY()),
    _xlpm.EmailIsValid, RIGHT(I563,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IF(A563="", "", IF(_xlpm.error_messages = "", "Yes", _xlpm.error_messages))
)</f>
        <v/>
      </c>
    </row>
    <row r="564" spans="1:12">
      <c r="A564" s="119"/>
      <c r="B564" s="120"/>
      <c r="C564" s="120"/>
      <c r="D564" s="121"/>
      <c r="E564" s="121"/>
      <c r="F564" s="122"/>
      <c r="G564" s="118"/>
      <c r="H564" s="117"/>
      <c r="I564" s="122"/>
      <c r="J564" s="120"/>
      <c r="K564" s="115"/>
      <c r="L564" s="99" t="str">
        <f ca="1">_xlfn.LET(
    _xlpm.res_no, J564,
    _xlpm.record_sheet, 'MatRes Record'!J:M,
    _xlpm.AllCellsFilled, COUNTA(A564:K564) = 11,
    _xlpm.QtyIsInt, AND(ISNUMBER(G564), G564=INT(G564)),
    _xlpm.ReqDateIsValid, AND(ISNUMBER(H564), H564&gt;=TODAY()),
    _xlpm.EmailIsValid, RIGHT(I564,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IF(A564="", "", IF(_xlpm.error_messages = "", "Yes", _xlpm.error_messages))
)</f>
        <v/>
      </c>
    </row>
    <row r="565" spans="1:12">
      <c r="A565" s="123"/>
      <c r="B565" s="124"/>
      <c r="C565" s="124"/>
      <c r="D565" s="125"/>
      <c r="E565" s="125"/>
      <c r="F565" s="126"/>
      <c r="G565" s="113"/>
      <c r="H565" s="112"/>
      <c r="I565" s="126"/>
      <c r="J565" s="124"/>
      <c r="K565" s="110"/>
      <c r="L565" s="99" t="str">
        <f ca="1">_xlfn.LET(
    _xlpm.res_no, J565,
    _xlpm.record_sheet, 'MatRes Record'!J:M,
    _xlpm.AllCellsFilled, COUNTA(A565:K565) = 11,
    _xlpm.QtyIsInt, AND(ISNUMBER(G565), G565=INT(G565)),
    _xlpm.ReqDateIsValid, AND(ISNUMBER(H565), H565&gt;=TODAY()),
    _xlpm.EmailIsValid, RIGHT(I565,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IF(A565="", "", IF(_xlpm.error_messages = "", "Yes", _xlpm.error_messages))
)</f>
        <v/>
      </c>
    </row>
    <row r="566" spans="1:12">
      <c r="A566" s="119"/>
      <c r="B566" s="120"/>
      <c r="C566" s="120"/>
      <c r="D566" s="121"/>
      <c r="E566" s="121"/>
      <c r="F566" s="122"/>
      <c r="G566" s="118"/>
      <c r="H566" s="117"/>
      <c r="I566" s="122"/>
      <c r="J566" s="120"/>
      <c r="K566" s="115"/>
      <c r="L566" s="99" t="str">
        <f ca="1">_xlfn.LET(
    _xlpm.res_no, J566,
    _xlpm.record_sheet, 'MatRes Record'!J:M,
    _xlpm.AllCellsFilled, COUNTA(A566:K566) = 11,
    _xlpm.QtyIsInt, AND(ISNUMBER(G566), G566=INT(G566)),
    _xlpm.ReqDateIsValid, AND(ISNUMBER(H566), H566&gt;=TODAY()),
    _xlpm.EmailIsValid, RIGHT(I566,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IF(A566="", "", IF(_xlpm.error_messages = "", "Yes", _xlpm.error_messages))
)</f>
        <v/>
      </c>
    </row>
    <row r="567" spans="1:12">
      <c r="A567" s="123"/>
      <c r="B567" s="124"/>
      <c r="C567" s="124"/>
      <c r="D567" s="125"/>
      <c r="E567" s="125"/>
      <c r="F567" s="126"/>
      <c r="G567" s="113"/>
      <c r="H567" s="112"/>
      <c r="I567" s="126"/>
      <c r="J567" s="124"/>
      <c r="K567" s="110"/>
      <c r="L567" s="99" t="str">
        <f ca="1">_xlfn.LET(
    _xlpm.res_no, J567,
    _xlpm.record_sheet, 'MatRes Record'!J:M,
    _xlpm.AllCellsFilled, COUNTA(A567:K567) = 11,
    _xlpm.QtyIsInt, AND(ISNUMBER(G567), G567=INT(G567)),
    _xlpm.ReqDateIsValid, AND(ISNUMBER(H567), H567&gt;=TODAY()),
    _xlpm.EmailIsValid, RIGHT(I567,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IF(A567="", "", IF(_xlpm.error_messages = "", "Yes", _xlpm.error_messages))
)</f>
        <v/>
      </c>
    </row>
    <row r="568" spans="1:12">
      <c r="A568" s="119"/>
      <c r="B568" s="120"/>
      <c r="C568" s="120"/>
      <c r="D568" s="121"/>
      <c r="E568" s="121"/>
      <c r="F568" s="122"/>
      <c r="G568" s="118"/>
      <c r="H568" s="117"/>
      <c r="I568" s="122"/>
      <c r="J568" s="120"/>
      <c r="K568" s="115"/>
      <c r="L568" s="99" t="str">
        <f ca="1">_xlfn.LET(
    _xlpm.res_no, J568,
    _xlpm.record_sheet, 'MatRes Record'!J:M,
    _xlpm.AllCellsFilled, COUNTA(A568:K568) = 11,
    _xlpm.QtyIsInt, AND(ISNUMBER(G568), G568=INT(G568)),
    _xlpm.ReqDateIsValid, AND(ISNUMBER(H568), H568&gt;=TODAY()),
    _xlpm.EmailIsValid, RIGHT(I568,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IF(A568="", "", IF(_xlpm.error_messages = "", "Yes", _xlpm.error_messages))
)</f>
        <v/>
      </c>
    </row>
    <row r="569" spans="1:12">
      <c r="A569" s="123"/>
      <c r="B569" s="124"/>
      <c r="C569" s="124"/>
      <c r="D569" s="125"/>
      <c r="E569" s="125"/>
      <c r="F569" s="126"/>
      <c r="G569" s="113"/>
      <c r="H569" s="112"/>
      <c r="I569" s="126"/>
      <c r="J569" s="124"/>
      <c r="K569" s="110"/>
      <c r="L569" s="99" t="str">
        <f ca="1">_xlfn.LET(
    _xlpm.res_no, J569,
    _xlpm.record_sheet, 'MatRes Record'!J:M,
    _xlpm.AllCellsFilled, COUNTA(A569:K569) = 11,
    _xlpm.QtyIsInt, AND(ISNUMBER(G569), G569=INT(G569)),
    _xlpm.ReqDateIsValid, AND(ISNUMBER(H569), H569&gt;=TODAY()),
    _xlpm.EmailIsValid, RIGHT(I569,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IF(A569="", "", IF(_xlpm.error_messages = "", "Yes", _xlpm.error_messages))
)</f>
        <v/>
      </c>
    </row>
    <row r="570" spans="1:12">
      <c r="A570" s="119"/>
      <c r="B570" s="120"/>
      <c r="C570" s="120"/>
      <c r="D570" s="121"/>
      <c r="E570" s="121"/>
      <c r="F570" s="122"/>
      <c r="G570" s="118"/>
      <c r="H570" s="117"/>
      <c r="I570" s="122"/>
      <c r="J570" s="120"/>
      <c r="K570" s="115"/>
      <c r="L570" s="99" t="str">
        <f ca="1">_xlfn.LET(
    _xlpm.res_no, J570,
    _xlpm.record_sheet, 'MatRes Record'!J:M,
    _xlpm.AllCellsFilled, COUNTA(A570:K570) = 11,
    _xlpm.QtyIsInt, AND(ISNUMBER(G570), G570=INT(G570)),
    _xlpm.ReqDateIsValid, AND(ISNUMBER(H570), H570&gt;=TODAY()),
    _xlpm.EmailIsValid, RIGHT(I570,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IF(A570="", "", IF(_xlpm.error_messages = "", "Yes", _xlpm.error_messages))
)</f>
        <v/>
      </c>
    </row>
    <row r="571" spans="1:12">
      <c r="A571" s="127"/>
      <c r="B571" s="124"/>
      <c r="C571" s="124"/>
      <c r="D571" s="113"/>
      <c r="E571" s="125"/>
      <c r="F571" s="126"/>
      <c r="G571" s="113"/>
      <c r="H571" s="112"/>
      <c r="I571" s="126"/>
      <c r="J571" s="124"/>
      <c r="K571" s="110"/>
      <c r="L571" s="99" t="str">
        <f ca="1">_xlfn.LET(
    _xlpm.res_no, J571,
    _xlpm.record_sheet, 'MatRes Record'!J:M,
    _xlpm.AllCellsFilled, COUNTA(A571:K571) = 11,
    _xlpm.QtyIsInt, AND(ISNUMBER(G571), G571=INT(G571)),
    _xlpm.ReqDateIsValid, AND(ISNUMBER(H571), H571&gt;=TODAY()),
    _xlpm.EmailIsValid, RIGHT(I571,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IF(A571="", "", IF(_xlpm.error_messages = "", "Yes", _xlpm.error_messages))
)</f>
        <v/>
      </c>
    </row>
    <row r="572" spans="1:12">
      <c r="A572" s="128"/>
      <c r="B572" s="120"/>
      <c r="C572" s="120"/>
      <c r="D572" s="118"/>
      <c r="E572" s="121"/>
      <c r="F572" s="122"/>
      <c r="G572" s="118"/>
      <c r="H572" s="117"/>
      <c r="I572" s="122"/>
      <c r="J572" s="120"/>
      <c r="K572" s="115"/>
      <c r="L572" s="99" t="str">
        <f ca="1">_xlfn.LET(
    _xlpm.res_no, J572,
    _xlpm.record_sheet, 'MatRes Record'!J:M,
    _xlpm.AllCellsFilled, COUNTA(A572:K572) = 11,
    _xlpm.QtyIsInt, AND(ISNUMBER(G572), G572=INT(G572)),
    _xlpm.ReqDateIsValid, AND(ISNUMBER(H572), H572&gt;=TODAY()),
    _xlpm.EmailIsValid, RIGHT(I572,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IF(A572="", "", IF(_xlpm.error_messages = "", "Yes", _xlpm.error_messages))
)</f>
        <v/>
      </c>
    </row>
    <row r="573" spans="1:12">
      <c r="A573" s="127"/>
      <c r="B573" s="124"/>
      <c r="C573" s="124"/>
      <c r="D573" s="113"/>
      <c r="E573" s="125"/>
      <c r="F573" s="126"/>
      <c r="G573" s="113"/>
      <c r="H573" s="112"/>
      <c r="I573" s="126"/>
      <c r="J573" s="124"/>
      <c r="K573" s="110"/>
      <c r="L573" s="99" t="str">
        <f ca="1">_xlfn.LET(
    _xlpm.res_no, J573,
    _xlpm.record_sheet, 'MatRes Record'!J:M,
    _xlpm.AllCellsFilled, COUNTA(A573:K573) = 11,
    _xlpm.QtyIsInt, AND(ISNUMBER(G573), G573=INT(G573)),
    _xlpm.ReqDateIsValid, AND(ISNUMBER(H573), H573&gt;=TODAY()),
    _xlpm.EmailIsValid, RIGHT(I573,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IF(A573="", "", IF(_xlpm.error_messages = "", "Yes", _xlpm.error_messages))
)</f>
        <v/>
      </c>
    </row>
    <row r="574" spans="1:12">
      <c r="A574" s="128"/>
      <c r="B574" s="120"/>
      <c r="C574" s="120"/>
      <c r="D574" s="118"/>
      <c r="E574" s="121"/>
      <c r="F574" s="122"/>
      <c r="G574" s="118"/>
      <c r="H574" s="117"/>
      <c r="I574" s="122"/>
      <c r="J574" s="120"/>
      <c r="K574" s="115"/>
      <c r="L574" s="99" t="str">
        <f ca="1">_xlfn.LET(
    _xlpm.res_no, J574,
    _xlpm.record_sheet, 'MatRes Record'!J:M,
    _xlpm.AllCellsFilled, COUNTA(A574:K574) = 11,
    _xlpm.QtyIsInt, AND(ISNUMBER(G574), G574=INT(G574)),
    _xlpm.ReqDateIsValid, AND(ISNUMBER(H574), H574&gt;=TODAY()),
    _xlpm.EmailIsValid, RIGHT(I574,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IF(A574="", "", IF(_xlpm.error_messages = "", "Yes", _xlpm.error_messages))
)</f>
        <v/>
      </c>
    </row>
    <row r="575" spans="1:12">
      <c r="A575" s="127"/>
      <c r="B575" s="124"/>
      <c r="C575" s="124"/>
      <c r="D575" s="113"/>
      <c r="E575" s="125"/>
      <c r="F575" s="126"/>
      <c r="G575" s="113"/>
      <c r="H575" s="112"/>
      <c r="I575" s="126"/>
      <c r="J575" s="124"/>
      <c r="K575" s="110"/>
      <c r="L575" s="99" t="str">
        <f ca="1">_xlfn.LET(
    _xlpm.res_no, J575,
    _xlpm.record_sheet, 'MatRes Record'!J:M,
    _xlpm.AllCellsFilled, COUNTA(A575:K575) = 11,
    _xlpm.QtyIsInt, AND(ISNUMBER(G575), G575=INT(G575)),
    _xlpm.ReqDateIsValid, AND(ISNUMBER(H575), H575&gt;=TODAY()),
    _xlpm.EmailIsValid, RIGHT(I575,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IF(A575="", "", IF(_xlpm.error_messages = "", "Yes", _xlpm.error_messages))
)</f>
        <v/>
      </c>
    </row>
    <row r="576" spans="1:12">
      <c r="A576" s="128"/>
      <c r="B576" s="120"/>
      <c r="C576" s="120"/>
      <c r="D576" s="118"/>
      <c r="E576" s="121"/>
      <c r="F576" s="122"/>
      <c r="G576" s="118"/>
      <c r="H576" s="117"/>
      <c r="I576" s="122"/>
      <c r="J576" s="120"/>
      <c r="K576" s="115"/>
      <c r="L576" s="99" t="str">
        <f ca="1">_xlfn.LET(
    _xlpm.res_no, J576,
    _xlpm.record_sheet, 'MatRes Record'!J:M,
    _xlpm.AllCellsFilled, COUNTA(A576:K576) = 11,
    _xlpm.QtyIsInt, AND(ISNUMBER(G576), G576=INT(G576)),
    _xlpm.ReqDateIsValid, AND(ISNUMBER(H576), H576&gt;=TODAY()),
    _xlpm.EmailIsValid, RIGHT(I576,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IF(A576="", "", IF(_xlpm.error_messages = "", "Yes", _xlpm.error_messages))
)</f>
        <v/>
      </c>
    </row>
    <row r="577" spans="1:12">
      <c r="A577" s="127"/>
      <c r="B577" s="124"/>
      <c r="C577" s="124"/>
      <c r="D577" s="113"/>
      <c r="E577" s="125"/>
      <c r="F577" s="126"/>
      <c r="G577" s="113"/>
      <c r="H577" s="112"/>
      <c r="I577" s="126"/>
      <c r="J577" s="124"/>
      <c r="K577" s="110"/>
      <c r="L577" s="99" t="str">
        <f ca="1">_xlfn.LET(
    _xlpm.res_no, J577,
    _xlpm.record_sheet, 'MatRes Record'!J:M,
    _xlpm.AllCellsFilled, COUNTA(A577:K577) = 11,
    _xlpm.QtyIsInt, AND(ISNUMBER(G577), G577=INT(G577)),
    _xlpm.ReqDateIsValid, AND(ISNUMBER(H577), H577&gt;=TODAY()),
    _xlpm.EmailIsValid, RIGHT(I577,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IF(A577="", "", IF(_xlpm.error_messages = "", "Yes", _xlpm.error_messages))
)</f>
        <v/>
      </c>
    </row>
    <row r="578" spans="1:12">
      <c r="A578" s="128"/>
      <c r="B578" s="120"/>
      <c r="C578" s="120"/>
      <c r="D578" s="118"/>
      <c r="E578" s="121"/>
      <c r="F578" s="122"/>
      <c r="G578" s="118"/>
      <c r="H578" s="117"/>
      <c r="I578" s="122"/>
      <c r="J578" s="120"/>
      <c r="K578" s="115"/>
      <c r="L578" s="99" t="str">
        <f ca="1">_xlfn.LET(
    _xlpm.res_no, J578,
    _xlpm.record_sheet, 'MatRes Record'!J:M,
    _xlpm.AllCellsFilled, COUNTA(A578:K578) = 11,
    _xlpm.QtyIsInt, AND(ISNUMBER(G578), G578=INT(G578)),
    _xlpm.ReqDateIsValid, AND(ISNUMBER(H578), H578&gt;=TODAY()),
    _xlpm.EmailIsValid, RIGHT(I578,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IF(A578="", "", IF(_xlpm.error_messages = "", "Yes", _xlpm.error_messages))
)</f>
        <v/>
      </c>
    </row>
    <row r="579" spans="1:12">
      <c r="A579" s="127"/>
      <c r="B579" s="124"/>
      <c r="C579" s="124"/>
      <c r="D579" s="113"/>
      <c r="E579" s="125"/>
      <c r="F579" s="126"/>
      <c r="G579" s="113"/>
      <c r="H579" s="112"/>
      <c r="I579" s="126"/>
      <c r="J579" s="124"/>
      <c r="K579" s="110"/>
      <c r="L579" s="99" t="str">
        <f ca="1">_xlfn.LET(
    _xlpm.res_no, J579,
    _xlpm.record_sheet, 'MatRes Record'!J:M,
    _xlpm.AllCellsFilled, COUNTA(A579:K579) = 11,
    _xlpm.QtyIsInt, AND(ISNUMBER(G579), G579=INT(G579)),
    _xlpm.ReqDateIsValid, AND(ISNUMBER(H579), H579&gt;=TODAY()),
    _xlpm.EmailIsValid, RIGHT(I579,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IF(A579="", "", IF(_xlpm.error_messages = "", "Yes", _xlpm.error_messages))
)</f>
        <v/>
      </c>
    </row>
    <row r="580" spans="1:12">
      <c r="A580" s="128"/>
      <c r="B580" s="120"/>
      <c r="C580" s="120"/>
      <c r="D580" s="118"/>
      <c r="E580" s="121"/>
      <c r="F580" s="122"/>
      <c r="G580" s="118"/>
      <c r="H580" s="117"/>
      <c r="I580" s="122"/>
      <c r="J580" s="120"/>
      <c r="K580" s="115"/>
      <c r="L580" s="99" t="str">
        <f ca="1">_xlfn.LET(
    _xlpm.res_no, J580,
    _xlpm.record_sheet, 'MatRes Record'!J:M,
    _xlpm.AllCellsFilled, COUNTA(A580:K580) = 11,
    _xlpm.QtyIsInt, AND(ISNUMBER(G580), G580=INT(G580)),
    _xlpm.ReqDateIsValid, AND(ISNUMBER(H580), H580&gt;=TODAY()),
    _xlpm.EmailIsValid, RIGHT(I580,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IF(A580="", "", IF(_xlpm.error_messages = "", "Yes", _xlpm.error_messages))
)</f>
        <v/>
      </c>
    </row>
    <row r="581" spans="1:12">
      <c r="A581" s="127"/>
      <c r="B581" s="124"/>
      <c r="C581" s="124"/>
      <c r="D581" s="113"/>
      <c r="E581" s="125"/>
      <c r="F581" s="126"/>
      <c r="G581" s="113"/>
      <c r="H581" s="112"/>
      <c r="I581" s="126"/>
      <c r="J581" s="124"/>
      <c r="K581" s="110"/>
      <c r="L581" s="99" t="str">
        <f ca="1">_xlfn.LET(
    _xlpm.res_no, J581,
    _xlpm.record_sheet, 'MatRes Record'!J:M,
    _xlpm.AllCellsFilled, COUNTA(A581:K581) = 11,
    _xlpm.QtyIsInt, AND(ISNUMBER(G581), G581=INT(G581)),
    _xlpm.ReqDateIsValid, AND(ISNUMBER(H581), H581&gt;=TODAY()),
    _xlpm.EmailIsValid, RIGHT(I581,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IF(A581="", "", IF(_xlpm.error_messages = "", "Yes", _xlpm.error_messages))
)</f>
        <v/>
      </c>
    </row>
    <row r="582" spans="1:12">
      <c r="A582" s="128"/>
      <c r="B582" s="120"/>
      <c r="C582" s="120"/>
      <c r="D582" s="118"/>
      <c r="E582" s="121"/>
      <c r="F582" s="122"/>
      <c r="G582" s="118"/>
      <c r="H582" s="117"/>
      <c r="I582" s="122"/>
      <c r="J582" s="120"/>
      <c r="K582" s="115"/>
      <c r="L582" s="99" t="str">
        <f ca="1">_xlfn.LET(
    _xlpm.res_no, J582,
    _xlpm.record_sheet, 'MatRes Record'!J:M,
    _xlpm.AllCellsFilled, COUNTA(A582:K582) = 11,
    _xlpm.QtyIsInt, AND(ISNUMBER(G582), G582=INT(G582)),
    _xlpm.ReqDateIsValid, AND(ISNUMBER(H582), H582&gt;=TODAY()),
    _xlpm.EmailIsValid, RIGHT(I582,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IF(A582="", "", IF(_xlpm.error_messages = "", "Yes", _xlpm.error_messages))
)</f>
        <v/>
      </c>
    </row>
    <row r="583" spans="1:12">
      <c r="A583" s="129"/>
      <c r="B583" s="130"/>
      <c r="C583" s="130"/>
      <c r="D583" s="131"/>
      <c r="E583" s="132"/>
      <c r="F583" s="133"/>
      <c r="G583" s="131"/>
      <c r="H583" s="112"/>
      <c r="I583" s="133"/>
      <c r="J583" s="130"/>
      <c r="K583" s="110"/>
      <c r="L583" s="99" t="str">
        <f ca="1">_xlfn.LET(
    _xlpm.res_no, J583,
    _xlpm.record_sheet, 'MatRes Record'!J:M,
    _xlpm.AllCellsFilled, COUNTA(A583:K583) = 11,
    _xlpm.QtyIsInt, AND(ISNUMBER(G583), G583=INT(G583)),
    _xlpm.ReqDateIsValid, AND(ISNUMBER(H583), H583&gt;=TODAY()),
    _xlpm.EmailIsValid, RIGHT(I583,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IF(A583="", "", IF(_xlpm.error_messages = "", "Yes", _xlpm.error_messages))
)</f>
        <v/>
      </c>
    </row>
    <row r="584" spans="1:12">
      <c r="A584" s="128"/>
      <c r="B584" s="120"/>
      <c r="C584" s="120"/>
      <c r="D584" s="118"/>
      <c r="E584" s="121"/>
      <c r="F584" s="122"/>
      <c r="G584" s="118"/>
      <c r="H584" s="117"/>
      <c r="I584" s="122"/>
      <c r="J584" s="120"/>
      <c r="K584" s="115"/>
      <c r="L584" s="99" t="str">
        <f ca="1">_xlfn.LET(
    _xlpm.res_no, J584,
    _xlpm.record_sheet, 'MatRes Record'!J:M,
    _xlpm.AllCellsFilled, COUNTA(A584:K584) = 11,
    _xlpm.QtyIsInt, AND(ISNUMBER(G584), G584=INT(G584)),
    _xlpm.ReqDateIsValid, AND(ISNUMBER(H584), H584&gt;=TODAY()),
    _xlpm.EmailIsValid, RIGHT(I584,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IF(A584="", "", IF(_xlpm.error_messages = "", "Yes", _xlpm.error_messages))
)</f>
        <v/>
      </c>
    </row>
    <row r="585" spans="1:12">
      <c r="A585" s="127"/>
      <c r="B585" s="124"/>
      <c r="C585" s="124"/>
      <c r="D585" s="113"/>
      <c r="E585" s="125"/>
      <c r="F585" s="126"/>
      <c r="G585" s="113"/>
      <c r="H585" s="112"/>
      <c r="I585" s="126"/>
      <c r="J585" s="124"/>
      <c r="K585" s="110"/>
      <c r="L585" s="99" t="str">
        <f ca="1">_xlfn.LET(
    _xlpm.res_no, J585,
    _xlpm.record_sheet, 'MatRes Record'!J:M,
    _xlpm.AllCellsFilled, COUNTA(A585:K585) = 11,
    _xlpm.QtyIsInt, AND(ISNUMBER(G585), G585=INT(G585)),
    _xlpm.ReqDateIsValid, AND(ISNUMBER(H585), H585&gt;=TODAY()),
    _xlpm.EmailIsValid, RIGHT(I585,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IF(A585="", "", IF(_xlpm.error_messages = "", "Yes", _xlpm.error_messages))
)</f>
        <v/>
      </c>
    </row>
    <row r="586" spans="1:12">
      <c r="A586" s="128"/>
      <c r="B586" s="120"/>
      <c r="C586" s="120"/>
      <c r="D586" s="118"/>
      <c r="E586" s="121"/>
      <c r="F586" s="122"/>
      <c r="G586" s="118"/>
      <c r="H586" s="117"/>
      <c r="I586" s="122"/>
      <c r="J586" s="120"/>
      <c r="K586" s="115"/>
      <c r="L586" s="99" t="str">
        <f ca="1">_xlfn.LET(
    _xlpm.res_no, J586,
    _xlpm.record_sheet, 'MatRes Record'!J:M,
    _xlpm.AllCellsFilled, COUNTA(A586:K586) = 11,
    _xlpm.QtyIsInt, AND(ISNUMBER(G586), G586=INT(G586)),
    _xlpm.ReqDateIsValid, AND(ISNUMBER(H586), H586&gt;=TODAY()),
    _xlpm.EmailIsValid, RIGHT(I586,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IF(A586="", "", IF(_xlpm.error_messages = "", "Yes", _xlpm.error_messages))
)</f>
        <v/>
      </c>
    </row>
    <row r="587" spans="1:12">
      <c r="A587" s="127"/>
      <c r="B587" s="124"/>
      <c r="C587" s="124"/>
      <c r="D587" s="113"/>
      <c r="E587" s="125"/>
      <c r="F587" s="126"/>
      <c r="G587" s="113"/>
      <c r="H587" s="112"/>
      <c r="I587" s="126"/>
      <c r="J587" s="124"/>
      <c r="K587" s="110"/>
      <c r="L587" s="99" t="str">
        <f ca="1">_xlfn.LET(
    _xlpm.res_no, J587,
    _xlpm.record_sheet, 'MatRes Record'!J:M,
    _xlpm.AllCellsFilled, COUNTA(A587:K587) = 11,
    _xlpm.QtyIsInt, AND(ISNUMBER(G587), G587=INT(G587)),
    _xlpm.ReqDateIsValid, AND(ISNUMBER(H587), H587&gt;=TODAY()),
    _xlpm.EmailIsValid, RIGHT(I587,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IF(A587="", "", IF(_xlpm.error_messages = "", "Yes", _xlpm.error_messages))
)</f>
        <v/>
      </c>
    </row>
    <row r="588" spans="1:12">
      <c r="A588" s="134"/>
      <c r="B588" s="135"/>
      <c r="C588" s="135"/>
      <c r="D588" s="136"/>
      <c r="E588" s="137"/>
      <c r="F588" s="138"/>
      <c r="G588" s="136"/>
      <c r="H588" s="139"/>
      <c r="I588" s="138"/>
      <c r="J588" s="135"/>
      <c r="K588" s="115"/>
      <c r="L588" s="99" t="str">
        <f ca="1">_xlfn.LET(
    _xlpm.res_no, J588,
    _xlpm.record_sheet, 'MatRes Record'!J:M,
    _xlpm.AllCellsFilled, COUNTA(A588:K588) = 11,
    _xlpm.QtyIsInt, AND(ISNUMBER(G588), G588=INT(G588)),
    _xlpm.ReqDateIsValid, AND(ISNUMBER(H588), H588&gt;=TODAY()),
    _xlpm.EmailIsValid, RIGHT(I588,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IF(A588="", "", IF(_xlpm.error_messages = "", "Yes", _xlpm.error_messages))
)</f>
        <v/>
      </c>
    </row>
    <row r="589" spans="1:12">
      <c r="A589" s="94"/>
      <c r="B589" s="95"/>
      <c r="C589" s="95"/>
      <c r="D589" s="94"/>
      <c r="E589" s="94"/>
      <c r="F589" s="96"/>
      <c r="G589" s="94"/>
      <c r="H589" s="96"/>
      <c r="I589" s="96"/>
      <c r="J589" s="92"/>
      <c r="K589" s="97"/>
      <c r="L589" s="99" t="str">
        <f ca="1">_xlfn.LET(
    _xlpm.res_no, J589,
    _xlpm.record_sheet, 'MatRes Record'!J:M,
    _xlpm.AllCellsFilled, COUNTA(A589:K589) = 11,
    _xlpm.QtyIsInt, AND(ISNUMBER(G589), G589=INT(G589)),
    _xlpm.ReqDateIsValid, AND(ISNUMBER(H589), H589&gt;=TODAY()),
    _xlpm.EmailIsValid, RIGHT(I589,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IF(A589="", "", IF(_xlpm.error_messages = "", "Yes", _xlpm.error_messages))
)</f>
        <v/>
      </c>
    </row>
    <row r="590" spans="1:12">
      <c r="A590" s="94"/>
      <c r="B590" s="95"/>
      <c r="C590" s="95"/>
      <c r="D590" s="94"/>
      <c r="E590" s="94"/>
      <c r="F590" s="96"/>
      <c r="G590" s="94"/>
      <c r="H590" s="96"/>
      <c r="I590" s="96"/>
      <c r="J590" s="92"/>
      <c r="K590" s="97"/>
      <c r="L590" s="99" t="str">
        <f ca="1">_xlfn.LET(
    _xlpm.res_no, J590,
    _xlpm.record_sheet, 'MatRes Record'!J:M,
    _xlpm.AllCellsFilled, COUNTA(A590:K590) = 11,
    _xlpm.QtyIsInt, AND(ISNUMBER(G590), G590=INT(G590)),
    _xlpm.ReqDateIsValid, AND(ISNUMBER(H590), H590&gt;=TODAY()),
    _xlpm.EmailIsValid, RIGHT(I590,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IF(A590="", "", IF(_xlpm.error_messages = "", "Yes", _xlpm.error_messages))
)</f>
        <v/>
      </c>
    </row>
    <row r="591" spans="1:12">
      <c r="A591" s="94"/>
      <c r="B591" s="95"/>
      <c r="C591" s="95"/>
      <c r="D591" s="94"/>
      <c r="E591" s="94"/>
      <c r="F591" s="96"/>
      <c r="G591" s="94"/>
      <c r="H591" s="96"/>
      <c r="I591" s="96"/>
      <c r="J591" s="92"/>
      <c r="K591" s="97"/>
      <c r="L591" s="99" t="str">
        <f ca="1">_xlfn.LET(
    _xlpm.res_no, J591,
    _xlpm.record_sheet, 'MatRes Record'!J:M,
    _xlpm.AllCellsFilled, COUNTA(A591:K591) = 11,
    _xlpm.QtyIsInt, AND(ISNUMBER(G591), G591=INT(G591)),
    _xlpm.ReqDateIsValid, AND(ISNUMBER(H591), H591&gt;=TODAY()),
    _xlpm.EmailIsValid, RIGHT(I591,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IF(A591="", "", IF(_xlpm.error_messages = "", "Yes", _xlpm.error_messages))
)</f>
        <v/>
      </c>
    </row>
    <row r="592" spans="1:12">
      <c r="A592" s="94"/>
      <c r="B592" s="95"/>
      <c r="C592" s="95"/>
      <c r="D592" s="94"/>
      <c r="E592" s="94"/>
      <c r="F592" s="96"/>
      <c r="G592" s="94"/>
      <c r="H592" s="96"/>
      <c r="I592" s="96"/>
      <c r="J592" s="92"/>
      <c r="K592" s="97"/>
      <c r="L592" s="99" t="str">
        <f ca="1">_xlfn.LET(
    _xlpm.res_no, J592,
    _xlpm.record_sheet, 'MatRes Record'!J:M,
    _xlpm.AllCellsFilled, COUNTA(A592:K592) = 11,
    _xlpm.QtyIsInt, AND(ISNUMBER(G592), G592=INT(G592)),
    _xlpm.ReqDateIsValid, AND(ISNUMBER(H592), H592&gt;=TODAY()),
    _xlpm.EmailIsValid, RIGHT(I592,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IF(A592="", "", IF(_xlpm.error_messages = "", "Yes", _xlpm.error_messages))
)</f>
        <v/>
      </c>
    </row>
    <row r="593" spans="1:12">
      <c r="A593" s="94"/>
      <c r="B593" s="95"/>
      <c r="C593" s="95"/>
      <c r="D593" s="94"/>
      <c r="E593" s="94"/>
      <c r="F593" s="96"/>
      <c r="G593" s="94"/>
      <c r="H593" s="96"/>
      <c r="I593" s="96"/>
      <c r="J593" s="92"/>
      <c r="K593" s="97"/>
      <c r="L593" s="99" t="str">
        <f ca="1">_xlfn.LET(
    _xlpm.res_no, J593,
    _xlpm.record_sheet, 'MatRes Record'!J:M,
    _xlpm.AllCellsFilled, COUNTA(A593:K593) = 11,
    _xlpm.QtyIsInt, AND(ISNUMBER(G593), G593=INT(G593)),
    _xlpm.ReqDateIsValid, AND(ISNUMBER(H593), H593&gt;=TODAY()),
    _xlpm.EmailIsValid, RIGHT(I593,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IF(A593="", "", IF(_xlpm.error_messages = "", "Yes", _xlpm.error_messages))
)</f>
        <v/>
      </c>
    </row>
    <row r="594" spans="1:12">
      <c r="A594" s="94"/>
      <c r="B594" s="95"/>
      <c r="C594" s="95"/>
      <c r="D594" s="94"/>
      <c r="E594" s="94"/>
      <c r="F594" s="96"/>
      <c r="G594" s="94"/>
      <c r="H594" s="96"/>
      <c r="I594" s="96"/>
      <c r="J594" s="92"/>
      <c r="K594" s="97"/>
      <c r="L594" s="99" t="str">
        <f ca="1">_xlfn.LET(
    _xlpm.res_no, J594,
    _xlpm.record_sheet, 'MatRes Record'!J:M,
    _xlpm.AllCellsFilled, COUNTA(A594:K594) = 11,
    _xlpm.QtyIsInt, AND(ISNUMBER(G594), G594=INT(G594)),
    _xlpm.ReqDateIsValid, AND(ISNUMBER(H594), H594&gt;=TODAY()),
    _xlpm.EmailIsValid, RIGHT(I594,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IF(A594="", "", IF(_xlpm.error_messages = "", "Yes", _xlpm.error_messages))
)</f>
        <v/>
      </c>
    </row>
    <row r="595" spans="1:12">
      <c r="A595" s="94"/>
      <c r="B595" s="95"/>
      <c r="C595" s="95"/>
      <c r="D595" s="94"/>
      <c r="E595" s="94"/>
      <c r="F595" s="96"/>
      <c r="G595" s="94"/>
      <c r="H595" s="96"/>
      <c r="I595" s="96"/>
      <c r="J595" s="92"/>
      <c r="K595" s="97"/>
      <c r="L595" s="99" t="str">
        <f ca="1">_xlfn.LET(
    _xlpm.res_no, J595,
    _xlpm.record_sheet, 'MatRes Record'!J:M,
    _xlpm.AllCellsFilled, COUNTA(A595:K595) = 11,
    _xlpm.QtyIsInt, AND(ISNUMBER(G595), G595=INT(G595)),
    _xlpm.ReqDateIsValid, AND(ISNUMBER(H595), H595&gt;=TODAY()),
    _xlpm.EmailIsValid, RIGHT(I595,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IF(A595="", "", IF(_xlpm.error_messages = "", "Yes", _xlpm.error_messages))
)</f>
        <v/>
      </c>
    </row>
    <row r="596" spans="1:12">
      <c r="A596" s="94"/>
      <c r="B596" s="95"/>
      <c r="C596" s="95"/>
      <c r="D596" s="94"/>
      <c r="E596" s="94"/>
      <c r="F596" s="96"/>
      <c r="G596" s="94"/>
      <c r="H596" s="96"/>
      <c r="I596" s="96"/>
      <c r="J596" s="92"/>
      <c r="K596" s="97"/>
      <c r="L596" s="99" t="str">
        <f ca="1">_xlfn.LET(
    _xlpm.res_no, J596,
    _xlpm.record_sheet, 'MatRes Record'!J:M,
    _xlpm.AllCellsFilled, COUNTA(A596:K596) = 11,
    _xlpm.QtyIsInt, AND(ISNUMBER(G596), G596=INT(G596)),
    _xlpm.ReqDateIsValid, AND(ISNUMBER(H596), H596&gt;=TODAY()),
    _xlpm.EmailIsValid, RIGHT(I596,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IF(A596="", "", IF(_xlpm.error_messages = "", "Yes", _xlpm.error_messages))
)</f>
        <v/>
      </c>
    </row>
    <row r="597" spans="1:12">
      <c r="A597" s="94"/>
      <c r="B597" s="95"/>
      <c r="C597" s="95"/>
      <c r="D597" s="94"/>
      <c r="E597" s="94"/>
      <c r="F597" s="96"/>
      <c r="G597" s="94"/>
      <c r="H597" s="96"/>
      <c r="I597" s="96"/>
      <c r="J597" s="92"/>
      <c r="K597" s="97"/>
      <c r="L597" s="99" t="str">
        <f ca="1">_xlfn.LET(
    _xlpm.res_no, J597,
    _xlpm.record_sheet, 'MatRes Record'!J:M,
    _xlpm.AllCellsFilled, COUNTA(A597:K597) = 11,
    _xlpm.QtyIsInt, AND(ISNUMBER(G597), G597=INT(G597)),
    _xlpm.ReqDateIsValid, AND(ISNUMBER(H597), H597&gt;=TODAY()),
    _xlpm.EmailIsValid, RIGHT(I597,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IF(A597="", "", IF(_xlpm.error_messages = "", "Yes", _xlpm.error_messages))
)</f>
        <v/>
      </c>
    </row>
    <row r="598" spans="1:12">
      <c r="A598" s="94"/>
      <c r="B598" s="95"/>
      <c r="C598" s="95"/>
      <c r="D598" s="94"/>
      <c r="E598" s="94"/>
      <c r="F598" s="96"/>
      <c r="G598" s="94"/>
      <c r="H598" s="96"/>
      <c r="I598" s="96"/>
      <c r="J598" s="92"/>
      <c r="K598" s="97"/>
      <c r="L598" s="99" t="str">
        <f ca="1">_xlfn.LET(
    _xlpm.res_no, J598,
    _xlpm.record_sheet, 'MatRes Record'!J:M,
    _xlpm.AllCellsFilled, COUNTA(A598:K598) = 11,
    _xlpm.QtyIsInt, AND(ISNUMBER(G598), G598=INT(G598)),
    _xlpm.ReqDateIsValid, AND(ISNUMBER(H598), H598&gt;=TODAY()),
    _xlpm.EmailIsValid, RIGHT(I598,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IF(A598="", "", IF(_xlpm.error_messages = "", "Yes", _xlpm.error_messages))
)</f>
        <v/>
      </c>
    </row>
    <row r="599" spans="1:12">
      <c r="A599" s="94"/>
      <c r="B599" s="95"/>
      <c r="C599" s="95"/>
      <c r="D599" s="94"/>
      <c r="E599" s="94"/>
      <c r="F599" s="96"/>
      <c r="G599" s="94"/>
      <c r="H599" s="96"/>
      <c r="I599" s="96"/>
      <c r="J599" s="92"/>
      <c r="K599" s="97"/>
      <c r="L599" s="99" t="str">
        <f ca="1">_xlfn.LET(
    _xlpm.res_no, J599,
    _xlpm.record_sheet, 'MatRes Record'!J:M,
    _xlpm.AllCellsFilled, COUNTA(A599:K599) = 11,
    _xlpm.QtyIsInt, AND(ISNUMBER(G599), G599=INT(G599)),
    _xlpm.ReqDateIsValid, AND(ISNUMBER(H599), H599&gt;=TODAY()),
    _xlpm.EmailIsValid, RIGHT(I599,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IF(A599="", "", IF(_xlpm.error_messages = "", "Yes", _xlpm.error_messages))
)</f>
        <v/>
      </c>
    </row>
    <row r="600" spans="1:12">
      <c r="A600" s="94"/>
      <c r="B600" s="95"/>
      <c r="C600" s="95"/>
      <c r="D600" s="94"/>
      <c r="E600" s="94"/>
      <c r="F600" s="96"/>
      <c r="G600" s="94"/>
      <c r="H600" s="96"/>
      <c r="I600" s="96"/>
      <c r="J600" s="92"/>
      <c r="K600" s="97"/>
      <c r="L600" s="99" t="str">
        <f ca="1">_xlfn.LET(
    _xlpm.res_no, J600,
    _xlpm.record_sheet, 'MatRes Record'!J:M,
    _xlpm.AllCellsFilled, COUNTA(A600:K600) = 11,
    _xlpm.QtyIsInt, AND(ISNUMBER(G600), G600=INT(G600)),
    _xlpm.ReqDateIsValid, AND(ISNUMBER(H600), H600&gt;=TODAY()),
    _xlpm.EmailIsValid, RIGHT(I600,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IF(A600="", "", IF(_xlpm.error_messages = "", "Yes", _xlpm.error_messages))
)</f>
        <v/>
      </c>
    </row>
    <row r="601" spans="1:12">
      <c r="A601" s="94"/>
      <c r="B601" s="95"/>
      <c r="C601" s="95"/>
      <c r="D601" s="94"/>
      <c r="E601" s="94"/>
      <c r="F601" s="96"/>
      <c r="G601" s="94"/>
      <c r="H601" s="96"/>
      <c r="I601" s="96"/>
      <c r="J601" s="92"/>
      <c r="K601" s="97"/>
      <c r="L601" s="99" t="str">
        <f ca="1">_xlfn.LET(
    _xlpm.res_no, J601,
    _xlpm.record_sheet, 'MatRes Record'!J:M,
    _xlpm.AllCellsFilled, COUNTA(A601:K601) = 11,
    _xlpm.QtyIsInt, AND(ISNUMBER(G601), G601=INT(G601)),
    _xlpm.ReqDateIsValid, AND(ISNUMBER(H601), H601&gt;=TODAY()),
    _xlpm.EmailIsValid, RIGHT(I601,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IF(A601="", "", IF(_xlpm.error_messages = "", "Yes", _xlpm.error_messages))
)</f>
        <v/>
      </c>
    </row>
    <row r="602" spans="1:12">
      <c r="A602" s="94"/>
      <c r="B602" s="95"/>
      <c r="C602" s="95"/>
      <c r="D602" s="94"/>
      <c r="E602" s="94"/>
      <c r="F602" s="96"/>
      <c r="G602" s="94"/>
      <c r="H602" s="96"/>
      <c r="I602" s="96"/>
      <c r="J602" s="92"/>
      <c r="K602" s="97"/>
      <c r="L602" s="99" t="str">
        <f ca="1">_xlfn.LET(
    _xlpm.res_no, J602,
    _xlpm.record_sheet, 'MatRes Record'!J:M,
    _xlpm.AllCellsFilled, COUNTA(A602:K602) = 11,
    _xlpm.QtyIsInt, AND(ISNUMBER(G602), G602=INT(G602)),
    _xlpm.ReqDateIsValid, AND(ISNUMBER(H602), H602&gt;=TODAY()),
    _xlpm.EmailIsValid, RIGHT(I602,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IF(A602="", "", IF(_xlpm.error_messages = "", "Yes", _xlpm.error_messages))
)</f>
        <v/>
      </c>
    </row>
    <row r="603" spans="1:12">
      <c r="A603" s="94"/>
      <c r="B603" s="95"/>
      <c r="C603" s="95"/>
      <c r="D603" s="94"/>
      <c r="E603" s="94"/>
      <c r="F603" s="96"/>
      <c r="G603" s="94"/>
      <c r="H603" s="96"/>
      <c r="I603" s="96"/>
      <c r="J603" s="92"/>
      <c r="K603" s="97"/>
      <c r="L603" s="99" t="str">
        <f ca="1">_xlfn.LET(
    _xlpm.res_no, J603,
    _xlpm.record_sheet, 'MatRes Record'!J:M,
    _xlpm.AllCellsFilled, COUNTA(A603:K603) = 11,
    _xlpm.QtyIsInt, AND(ISNUMBER(G603), G603=INT(G603)),
    _xlpm.ReqDateIsValid, AND(ISNUMBER(H603), H603&gt;=TODAY()),
    _xlpm.EmailIsValid, RIGHT(I603,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IF(A603="", "", IF(_xlpm.error_messages = "", "Yes", _xlpm.error_messages))
)</f>
        <v/>
      </c>
    </row>
    <row r="604" spans="1:12">
      <c r="A604" s="94"/>
      <c r="B604" s="95"/>
      <c r="C604" s="95"/>
      <c r="D604" s="94"/>
      <c r="E604" s="94"/>
      <c r="F604" s="96"/>
      <c r="G604" s="94"/>
      <c r="H604" s="96"/>
      <c r="I604" s="96"/>
      <c r="J604" s="92"/>
      <c r="K604" s="97"/>
      <c r="L604" s="99" t="str">
        <f ca="1">_xlfn.LET(
    _xlpm.res_no, J604,
    _xlpm.record_sheet, 'MatRes Record'!J:M,
    _xlpm.AllCellsFilled, COUNTA(A604:K604) = 11,
    _xlpm.QtyIsInt, AND(ISNUMBER(G604), G604=INT(G604)),
    _xlpm.ReqDateIsValid, AND(ISNUMBER(H604), H604&gt;=TODAY()),
    _xlpm.EmailIsValid, RIGHT(I604,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IF(A604="", "", IF(_xlpm.error_messages = "", "Yes", _xlpm.error_messages))
)</f>
        <v/>
      </c>
    </row>
    <row r="605" spans="1:12">
      <c r="A605" s="94"/>
      <c r="B605" s="95"/>
      <c r="C605" s="95"/>
      <c r="D605" s="94"/>
      <c r="E605" s="94"/>
      <c r="F605" s="96"/>
      <c r="G605" s="94"/>
      <c r="H605" s="96"/>
      <c r="I605" s="96"/>
      <c r="J605" s="92"/>
      <c r="K605" s="97"/>
      <c r="L605" s="99" t="str">
        <f ca="1">_xlfn.LET(
    _xlpm.res_no, J605,
    _xlpm.record_sheet, 'MatRes Record'!J:M,
    _xlpm.AllCellsFilled, COUNTA(A605:K605) = 11,
    _xlpm.QtyIsInt, AND(ISNUMBER(G605), G605=INT(G605)),
    _xlpm.ReqDateIsValid, AND(ISNUMBER(H605), H605&gt;=TODAY()),
    _xlpm.EmailIsValid, RIGHT(I605,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IF(A605="", "", IF(_xlpm.error_messages = "", "Yes", _xlpm.error_messages))
)</f>
        <v/>
      </c>
    </row>
    <row r="606" spans="1:12">
      <c r="A606" s="94"/>
      <c r="B606" s="95"/>
      <c r="C606" s="95"/>
      <c r="D606" s="94"/>
      <c r="E606" s="94"/>
      <c r="F606" s="96"/>
      <c r="G606" s="94"/>
      <c r="H606" s="96"/>
      <c r="I606" s="96"/>
      <c r="J606" s="92"/>
      <c r="K606" s="97"/>
      <c r="L606" s="99" t="str">
        <f ca="1">_xlfn.LET(
    _xlpm.res_no, J606,
    _xlpm.record_sheet, 'MatRes Record'!J:M,
    _xlpm.AllCellsFilled, COUNTA(A606:K606) = 11,
    _xlpm.QtyIsInt, AND(ISNUMBER(G606), G606=INT(G606)),
    _xlpm.ReqDateIsValid, AND(ISNUMBER(H606), H606&gt;=TODAY()),
    _xlpm.EmailIsValid, RIGHT(I606,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IF(A606="", "", IF(_xlpm.error_messages = "", "Yes", _xlpm.error_messages))
)</f>
        <v/>
      </c>
    </row>
    <row r="607" spans="1:12">
      <c r="A607" s="94"/>
      <c r="B607" s="95"/>
      <c r="C607" s="95"/>
      <c r="D607" s="94"/>
      <c r="E607" s="94"/>
      <c r="F607" s="96"/>
      <c r="G607" s="94"/>
      <c r="H607" s="96"/>
      <c r="I607" s="96"/>
      <c r="J607" s="92"/>
      <c r="K607" s="97"/>
      <c r="L607" s="99" t="str">
        <f ca="1">_xlfn.LET(
    _xlpm.res_no, J607,
    _xlpm.record_sheet, 'MatRes Record'!J:M,
    _xlpm.AllCellsFilled, COUNTA(A607:K607) = 11,
    _xlpm.QtyIsInt, AND(ISNUMBER(G607), G607=INT(G607)),
    _xlpm.ReqDateIsValid, AND(ISNUMBER(H607), H607&gt;=TODAY()),
    _xlpm.EmailIsValid, RIGHT(I607,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IF(A607="", "", IF(_xlpm.error_messages = "", "Yes", _xlpm.error_messages))
)</f>
        <v/>
      </c>
    </row>
    <row r="608" spans="1:12">
      <c r="A608" s="94"/>
      <c r="B608" s="95"/>
      <c r="C608" s="95"/>
      <c r="D608" s="94"/>
      <c r="E608" s="94"/>
      <c r="F608" s="96"/>
      <c r="G608" s="94"/>
      <c r="H608" s="96"/>
      <c r="I608" s="96"/>
      <c r="J608" s="92"/>
      <c r="K608" s="97"/>
      <c r="L608" s="99" t="str">
        <f ca="1">_xlfn.LET(
    _xlpm.res_no, J608,
    _xlpm.record_sheet, 'MatRes Record'!J:M,
    _xlpm.AllCellsFilled, COUNTA(A608:K608) = 11,
    _xlpm.QtyIsInt, AND(ISNUMBER(G608), G608=INT(G608)),
    _xlpm.ReqDateIsValid, AND(ISNUMBER(H608), H608&gt;=TODAY()),
    _xlpm.EmailIsValid, RIGHT(I608,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IF(A608="", "", IF(_xlpm.error_messages = "", "Yes", _xlpm.error_messages))
)</f>
        <v/>
      </c>
    </row>
    <row r="609" spans="1:12">
      <c r="A609" s="94"/>
      <c r="B609" s="95"/>
      <c r="C609" s="95"/>
      <c r="D609" s="94"/>
      <c r="E609" s="94"/>
      <c r="F609" s="96"/>
      <c r="G609" s="94"/>
      <c r="H609" s="96"/>
      <c r="I609" s="96"/>
      <c r="J609" s="92"/>
      <c r="K609" s="97"/>
      <c r="L609" s="99" t="str">
        <f ca="1">_xlfn.LET(
    _xlpm.res_no, J609,
    _xlpm.record_sheet, 'MatRes Record'!J:M,
    _xlpm.AllCellsFilled, COUNTA(A609:K609) = 11,
    _xlpm.QtyIsInt, AND(ISNUMBER(G609), G609=INT(G609)),
    _xlpm.ReqDateIsValid, AND(ISNUMBER(H609), H609&gt;=TODAY()),
    _xlpm.EmailIsValid, RIGHT(I609,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IF(A609="", "", IF(_xlpm.error_messages = "", "Yes", _xlpm.error_messages))
)</f>
        <v/>
      </c>
    </row>
    <row r="610" spans="1:12">
      <c r="A610" s="94"/>
      <c r="B610" s="95"/>
      <c r="C610" s="95"/>
      <c r="D610" s="94"/>
      <c r="E610" s="94"/>
      <c r="F610" s="96"/>
      <c r="G610" s="94"/>
      <c r="H610" s="96"/>
      <c r="I610" s="96"/>
      <c r="J610" s="92"/>
      <c r="K610" s="97"/>
      <c r="L610" s="99" t="str">
        <f ca="1">_xlfn.LET(
    _xlpm.res_no, J610,
    _xlpm.record_sheet, 'MatRes Record'!J:M,
    _xlpm.AllCellsFilled, COUNTA(A610:K610) = 11,
    _xlpm.QtyIsInt, AND(ISNUMBER(G610), G610=INT(G610)),
    _xlpm.ReqDateIsValid, AND(ISNUMBER(H610), H610&gt;=TODAY()),
    _xlpm.EmailIsValid, RIGHT(I610,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IF(A610="", "", IF(_xlpm.error_messages = "", "Yes", _xlpm.error_messages))
)</f>
        <v/>
      </c>
    </row>
    <row r="611" spans="1:12">
      <c r="A611" s="94"/>
      <c r="B611" s="95"/>
      <c r="C611" s="95"/>
      <c r="D611" s="94"/>
      <c r="E611" s="94"/>
      <c r="F611" s="96"/>
      <c r="G611" s="94"/>
      <c r="H611" s="96"/>
      <c r="I611" s="96"/>
      <c r="J611" s="92"/>
      <c r="K611" s="97"/>
      <c r="L611" s="99" t="str">
        <f ca="1">_xlfn.LET(
    _xlpm.res_no, J611,
    _xlpm.record_sheet, 'MatRes Record'!J:M,
    _xlpm.AllCellsFilled, COUNTA(A611:K611) = 11,
    _xlpm.QtyIsInt, AND(ISNUMBER(G611), G611=INT(G611)),
    _xlpm.ReqDateIsValid, AND(ISNUMBER(H611), H611&gt;=TODAY()),
    _xlpm.EmailIsValid, RIGHT(I611,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IF(A611="", "", IF(_xlpm.error_messages = "", "Yes", _xlpm.error_messages))
)</f>
        <v/>
      </c>
    </row>
    <row r="612" spans="1:12">
      <c r="A612" s="94"/>
      <c r="B612" s="95"/>
      <c r="C612" s="95"/>
      <c r="D612" s="94"/>
      <c r="E612" s="94"/>
      <c r="F612" s="96"/>
      <c r="G612" s="94"/>
      <c r="H612" s="96"/>
      <c r="I612" s="96"/>
      <c r="J612" s="92"/>
      <c r="K612" s="97"/>
      <c r="L612" s="99" t="str">
        <f ca="1">_xlfn.LET(
    _xlpm.res_no, J612,
    _xlpm.record_sheet, 'MatRes Record'!J:M,
    _xlpm.AllCellsFilled, COUNTA(A612:K612) = 11,
    _xlpm.QtyIsInt, AND(ISNUMBER(G612), G612=INT(G612)),
    _xlpm.ReqDateIsValid, AND(ISNUMBER(H612), H612&gt;=TODAY()),
    _xlpm.EmailIsValid, RIGHT(I612,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IF(A612="", "", IF(_xlpm.error_messages = "", "Yes", _xlpm.error_messages))
)</f>
        <v/>
      </c>
    </row>
    <row r="613" spans="1:12">
      <c r="A613" s="94"/>
      <c r="B613" s="95"/>
      <c r="C613" s="95"/>
      <c r="D613" s="94"/>
      <c r="E613" s="94"/>
      <c r="F613" s="96"/>
      <c r="G613" s="94"/>
      <c r="H613" s="96"/>
      <c r="I613" s="96"/>
      <c r="J613" s="92"/>
      <c r="K613" s="97"/>
      <c r="L613" s="99" t="str">
        <f ca="1">_xlfn.LET(
    _xlpm.res_no, J613,
    _xlpm.record_sheet, 'MatRes Record'!J:M,
    _xlpm.AllCellsFilled, COUNTA(A613:K613) = 11,
    _xlpm.QtyIsInt, AND(ISNUMBER(G613), G613=INT(G613)),
    _xlpm.ReqDateIsValid, AND(ISNUMBER(H613), H613&gt;=TODAY()),
    _xlpm.EmailIsValid, RIGHT(I613,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IF(A613="", "", IF(_xlpm.error_messages = "", "Yes", _xlpm.error_messages))
)</f>
        <v/>
      </c>
    </row>
    <row r="614" spans="1:12">
      <c r="A614" s="94"/>
      <c r="B614" s="95"/>
      <c r="C614" s="95"/>
      <c r="D614" s="94"/>
      <c r="E614" s="94"/>
      <c r="F614" s="96"/>
      <c r="G614" s="94"/>
      <c r="H614" s="96"/>
      <c r="I614" s="96"/>
      <c r="J614" s="92"/>
      <c r="K614" s="97"/>
      <c r="L614" s="99" t="str">
        <f ca="1">_xlfn.LET(
    _xlpm.res_no, J614,
    _xlpm.record_sheet, 'MatRes Record'!J:M,
    _xlpm.AllCellsFilled, COUNTA(A614:K614) = 11,
    _xlpm.QtyIsInt, AND(ISNUMBER(G614), G614=INT(G614)),
    _xlpm.ReqDateIsValid, AND(ISNUMBER(H614), H614&gt;=TODAY()),
    _xlpm.EmailIsValid, RIGHT(I614,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IF(A614="", "", IF(_xlpm.error_messages = "", "Yes", _xlpm.error_messages))
)</f>
        <v/>
      </c>
    </row>
    <row r="615" spans="1:12">
      <c r="A615" s="94"/>
      <c r="B615" s="95"/>
      <c r="C615" s="95"/>
      <c r="D615" s="94"/>
      <c r="E615" s="94"/>
      <c r="F615" s="96"/>
      <c r="G615" s="94"/>
      <c r="H615" s="96"/>
      <c r="I615" s="96"/>
      <c r="J615" s="92"/>
      <c r="K615" s="97"/>
      <c r="L615" s="99" t="str">
        <f ca="1">_xlfn.LET(
    _xlpm.res_no, J615,
    _xlpm.record_sheet, 'MatRes Record'!J:M,
    _xlpm.AllCellsFilled, COUNTA(A615:K615) = 11,
    _xlpm.QtyIsInt, AND(ISNUMBER(G615), G615=INT(G615)),
    _xlpm.ReqDateIsValid, AND(ISNUMBER(H615), H615&gt;=TODAY()),
    _xlpm.EmailIsValid, RIGHT(I615,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IF(A615="", "", IF(_xlpm.error_messages = "", "Yes", _xlpm.error_messages))
)</f>
        <v/>
      </c>
    </row>
    <row r="616" spans="1:12">
      <c r="A616" s="94"/>
      <c r="B616" s="95"/>
      <c r="C616" s="95"/>
      <c r="D616" s="94"/>
      <c r="E616" s="94"/>
      <c r="F616" s="96"/>
      <c r="G616" s="94"/>
      <c r="H616" s="96"/>
      <c r="I616" s="96"/>
      <c r="J616" s="92"/>
      <c r="K616" s="97"/>
      <c r="L616" s="99" t="str">
        <f ca="1">_xlfn.LET(
    _xlpm.res_no, J616,
    _xlpm.record_sheet, 'MatRes Record'!J:M,
    _xlpm.AllCellsFilled, COUNTA(A616:K616) = 11,
    _xlpm.QtyIsInt, AND(ISNUMBER(G616), G616=INT(G616)),
    _xlpm.ReqDateIsValid, AND(ISNUMBER(H616), H616&gt;=TODAY()),
    _xlpm.EmailIsValid, RIGHT(I616,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IF(A616="", "", IF(_xlpm.error_messages = "", "Yes", _xlpm.error_messages))
)</f>
        <v/>
      </c>
    </row>
    <row r="617" spans="1:12">
      <c r="A617" s="94"/>
      <c r="B617" s="95"/>
      <c r="C617" s="95"/>
      <c r="D617" s="94"/>
      <c r="E617" s="94"/>
      <c r="F617" s="96"/>
      <c r="G617" s="94"/>
      <c r="H617" s="96"/>
      <c r="I617" s="96"/>
      <c r="J617" s="92"/>
      <c r="K617" s="97"/>
      <c r="L617" s="99" t="str">
        <f ca="1">_xlfn.LET(
    _xlpm.res_no, J617,
    _xlpm.record_sheet, 'MatRes Record'!J:M,
    _xlpm.AllCellsFilled, COUNTA(A617:K617) = 11,
    _xlpm.QtyIsInt, AND(ISNUMBER(G617), G617=INT(G617)),
    _xlpm.ReqDateIsValid, AND(ISNUMBER(H617), H617&gt;=TODAY()),
    _xlpm.EmailIsValid, RIGHT(I617,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IF(A617="", "", IF(_xlpm.error_messages = "", "Yes", _xlpm.error_messages))
)</f>
        <v/>
      </c>
    </row>
    <row r="618" spans="1:12">
      <c r="A618" s="94"/>
      <c r="B618" s="95"/>
      <c r="C618" s="95"/>
      <c r="D618" s="94"/>
      <c r="E618" s="94"/>
      <c r="F618" s="96"/>
      <c r="G618" s="94"/>
      <c r="H618" s="96"/>
      <c r="I618" s="96"/>
      <c r="J618" s="92"/>
      <c r="K618" s="97"/>
      <c r="L618" s="99" t="str">
        <f ca="1">_xlfn.LET(
    _xlpm.res_no, J618,
    _xlpm.record_sheet, 'MatRes Record'!J:M,
    _xlpm.AllCellsFilled, COUNTA(A618:K618) = 11,
    _xlpm.QtyIsInt, AND(ISNUMBER(G618), G618=INT(G618)),
    _xlpm.ReqDateIsValid, AND(ISNUMBER(H618), H618&gt;=TODAY()),
    _xlpm.EmailIsValid, RIGHT(I618,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IF(A618="", "", IF(_xlpm.error_messages = "", "Yes", _xlpm.error_messages))
)</f>
        <v/>
      </c>
    </row>
    <row r="619" spans="1:12">
      <c r="A619" s="94"/>
      <c r="B619" s="95"/>
      <c r="C619" s="95"/>
      <c r="D619" s="94"/>
      <c r="E619" s="94"/>
      <c r="F619" s="96"/>
      <c r="G619" s="94"/>
      <c r="H619" s="96"/>
      <c r="I619" s="96"/>
      <c r="J619" s="92"/>
      <c r="K619" s="97"/>
      <c r="L619" s="99" t="str">
        <f ca="1">_xlfn.LET(
    _xlpm.res_no, J619,
    _xlpm.record_sheet, 'MatRes Record'!J:M,
    _xlpm.AllCellsFilled, COUNTA(A619:K619) = 11,
    _xlpm.QtyIsInt, AND(ISNUMBER(G619), G619=INT(G619)),
    _xlpm.ReqDateIsValid, AND(ISNUMBER(H619), H619&gt;=TODAY()),
    _xlpm.EmailIsValid, RIGHT(I619,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IF(A619="", "", IF(_xlpm.error_messages = "", "Yes", _xlpm.error_messages))
)</f>
        <v/>
      </c>
    </row>
    <row r="620" spans="1:12">
      <c r="A620" s="94"/>
      <c r="B620" s="95"/>
      <c r="C620" s="95"/>
      <c r="D620" s="94"/>
      <c r="E620" s="94"/>
      <c r="F620" s="96"/>
      <c r="G620" s="94"/>
      <c r="H620" s="96"/>
      <c r="I620" s="96"/>
      <c r="J620" s="92"/>
      <c r="K620" s="97"/>
      <c r="L620" s="99" t="str">
        <f ca="1">_xlfn.LET(
    _xlpm.res_no, J620,
    _xlpm.record_sheet, 'MatRes Record'!J:M,
    _xlpm.AllCellsFilled, COUNTA(A620:K620) = 11,
    _xlpm.QtyIsInt, AND(ISNUMBER(G620), G620=INT(G620)),
    _xlpm.ReqDateIsValid, AND(ISNUMBER(H620), H620&gt;=TODAY()),
    _xlpm.EmailIsValid, RIGHT(I620,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IF(A620="", "", IF(_xlpm.error_messages = "", "Yes", _xlpm.error_messages))
)</f>
        <v/>
      </c>
    </row>
    <row r="621" spans="1:12">
      <c r="A621" s="94"/>
      <c r="B621" s="95"/>
      <c r="C621" s="95"/>
      <c r="D621" s="94"/>
      <c r="E621" s="94"/>
      <c r="F621" s="96"/>
      <c r="G621" s="94"/>
      <c r="H621" s="96"/>
      <c r="I621" s="96"/>
      <c r="J621" s="92"/>
      <c r="K621" s="97"/>
      <c r="L621" s="99" t="str">
        <f ca="1">_xlfn.LET(
    _xlpm.res_no, J621,
    _xlpm.record_sheet, 'MatRes Record'!J:M,
    _xlpm.AllCellsFilled, COUNTA(A621:K621) = 11,
    _xlpm.QtyIsInt, AND(ISNUMBER(G621), G621=INT(G621)),
    _xlpm.ReqDateIsValid, AND(ISNUMBER(H621), H621&gt;=TODAY()),
    _xlpm.EmailIsValid, RIGHT(I621,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IF(A621="", "", IF(_xlpm.error_messages = "", "Yes", _xlpm.error_messages))
)</f>
        <v/>
      </c>
    </row>
    <row r="622" spans="1:12">
      <c r="A622" s="94"/>
      <c r="B622" s="95"/>
      <c r="C622" s="95"/>
      <c r="D622" s="94"/>
      <c r="E622" s="94"/>
      <c r="F622" s="96"/>
      <c r="G622" s="94"/>
      <c r="H622" s="96"/>
      <c r="I622" s="96"/>
      <c r="J622" s="92"/>
      <c r="K622" s="97"/>
      <c r="L622" s="99" t="str">
        <f ca="1">_xlfn.LET(
    _xlpm.res_no, J622,
    _xlpm.record_sheet, 'MatRes Record'!J:M,
    _xlpm.AllCellsFilled, COUNTA(A622:K622) = 11,
    _xlpm.QtyIsInt, AND(ISNUMBER(G622), G622=INT(G622)),
    _xlpm.ReqDateIsValid, AND(ISNUMBER(H622), H622&gt;=TODAY()),
    _xlpm.EmailIsValid, RIGHT(I622,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IF(A622="", "", IF(_xlpm.error_messages = "", "Yes", _xlpm.error_messages))
)</f>
        <v/>
      </c>
    </row>
    <row r="623" spans="1:12">
      <c r="A623" s="94"/>
      <c r="B623" s="95"/>
      <c r="C623" s="95"/>
      <c r="D623" s="94"/>
      <c r="E623" s="94"/>
      <c r="F623" s="96"/>
      <c r="G623" s="94"/>
      <c r="H623" s="96"/>
      <c r="I623" s="96"/>
      <c r="J623" s="92"/>
      <c r="K623" s="97"/>
      <c r="L623" s="99" t="str">
        <f ca="1">_xlfn.LET(
    _xlpm.res_no, J623,
    _xlpm.record_sheet, 'MatRes Record'!J:M,
    _xlpm.AllCellsFilled, COUNTA(A623:K623) = 11,
    _xlpm.QtyIsInt, AND(ISNUMBER(G623), G623=INT(G623)),
    _xlpm.ReqDateIsValid, AND(ISNUMBER(H623), H623&gt;=TODAY()),
    _xlpm.EmailIsValid, RIGHT(I623,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IF(A623="", "", IF(_xlpm.error_messages = "", "Yes", _xlpm.error_messages))
)</f>
        <v/>
      </c>
    </row>
    <row r="624" spans="1:12">
      <c r="A624" s="94"/>
      <c r="B624" s="95"/>
      <c r="C624" s="95"/>
      <c r="D624" s="94"/>
      <c r="E624" s="94"/>
      <c r="F624" s="96"/>
      <c r="G624" s="94"/>
      <c r="H624" s="96"/>
      <c r="I624" s="96"/>
      <c r="J624" s="92"/>
      <c r="K624" s="97"/>
      <c r="L624" s="99" t="str">
        <f ca="1">_xlfn.LET(
    _xlpm.res_no, J624,
    _xlpm.record_sheet, 'MatRes Record'!J:M,
    _xlpm.AllCellsFilled, COUNTA(A624:K624) = 11,
    _xlpm.QtyIsInt, AND(ISNUMBER(G624), G624=INT(G624)),
    _xlpm.ReqDateIsValid, AND(ISNUMBER(H624), H624&gt;=TODAY()),
    _xlpm.EmailIsValid, RIGHT(I624,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IF(A624="", "", IF(_xlpm.error_messages = "", "Yes", _xlpm.error_messages))
)</f>
        <v/>
      </c>
    </row>
    <row r="625" spans="1:12">
      <c r="A625" s="94"/>
      <c r="B625" s="95"/>
      <c r="C625" s="95"/>
      <c r="D625" s="94"/>
      <c r="E625" s="94"/>
      <c r="F625" s="96"/>
      <c r="G625" s="94"/>
      <c r="H625" s="96"/>
      <c r="I625" s="96"/>
      <c r="J625" s="92"/>
      <c r="K625" s="97"/>
      <c r="L625" s="99" t="str">
        <f ca="1">_xlfn.LET(
    _xlpm.res_no, J625,
    _xlpm.record_sheet, 'MatRes Record'!J:M,
    _xlpm.AllCellsFilled, COUNTA(A625:K625) = 11,
    _xlpm.QtyIsInt, AND(ISNUMBER(G625), G625=INT(G625)),
    _xlpm.ReqDateIsValid, AND(ISNUMBER(H625), H625&gt;=TODAY()),
    _xlpm.EmailIsValid, RIGHT(I625,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IF(A625="", "", IF(_xlpm.error_messages = "", "Yes", _xlpm.error_messages))
)</f>
        <v/>
      </c>
    </row>
    <row r="626" spans="1:12">
      <c r="A626" s="94"/>
      <c r="B626" s="95"/>
      <c r="C626" s="95"/>
      <c r="D626" s="94"/>
      <c r="E626" s="94"/>
      <c r="F626" s="96"/>
      <c r="G626" s="94"/>
      <c r="H626" s="96"/>
      <c r="I626" s="96"/>
      <c r="J626" s="92"/>
      <c r="K626" s="97"/>
      <c r="L626" s="99" t="str">
        <f ca="1">_xlfn.LET(
    _xlpm.res_no, J626,
    _xlpm.record_sheet, 'MatRes Record'!J:M,
    _xlpm.AllCellsFilled, COUNTA(A626:K626) = 11,
    _xlpm.QtyIsInt, AND(ISNUMBER(G626), G626=INT(G626)),
    _xlpm.ReqDateIsValid, AND(ISNUMBER(H626), H626&gt;=TODAY()),
    _xlpm.EmailIsValid, RIGHT(I626,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IF(A626="", "", IF(_xlpm.error_messages = "", "Yes", _xlpm.error_messages))
)</f>
        <v/>
      </c>
    </row>
    <row r="627" spans="1:12">
      <c r="A627" s="94"/>
      <c r="B627" s="95"/>
      <c r="C627" s="95"/>
      <c r="D627" s="94"/>
      <c r="E627" s="94"/>
      <c r="F627" s="96"/>
      <c r="G627" s="94"/>
      <c r="H627" s="96"/>
      <c r="I627" s="96"/>
      <c r="J627" s="92"/>
      <c r="K627" s="97"/>
      <c r="L627" s="99" t="str">
        <f ca="1">_xlfn.LET(
    _xlpm.res_no, J627,
    _xlpm.record_sheet, 'MatRes Record'!J:M,
    _xlpm.AllCellsFilled, COUNTA(A627:K627) = 11,
    _xlpm.QtyIsInt, AND(ISNUMBER(G627), G627=INT(G627)),
    _xlpm.ReqDateIsValid, AND(ISNUMBER(H627), H627&gt;=TODAY()),
    _xlpm.EmailIsValid, RIGHT(I627,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IF(A627="", "", IF(_xlpm.error_messages = "", "Yes", _xlpm.error_messages))
)</f>
        <v/>
      </c>
    </row>
    <row r="628" spans="1:12">
      <c r="A628" s="94"/>
      <c r="B628" s="95"/>
      <c r="C628" s="95"/>
      <c r="D628" s="94"/>
      <c r="E628" s="94"/>
      <c r="F628" s="96"/>
      <c r="G628" s="94"/>
      <c r="H628" s="96"/>
      <c r="I628" s="96"/>
      <c r="J628" s="92"/>
      <c r="K628" s="97"/>
      <c r="L628" s="99" t="str">
        <f ca="1">_xlfn.LET(
    _xlpm.res_no, J628,
    _xlpm.record_sheet, 'MatRes Record'!J:M,
    _xlpm.AllCellsFilled, COUNTA(A628:K628) = 11,
    _xlpm.QtyIsInt, AND(ISNUMBER(G628), G628=INT(G628)),
    _xlpm.ReqDateIsValid, AND(ISNUMBER(H628), H628&gt;=TODAY()),
    _xlpm.EmailIsValid, RIGHT(I628,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IF(A628="", "", IF(_xlpm.error_messages = "", "Yes", _xlpm.error_messages))
)</f>
        <v/>
      </c>
    </row>
    <row r="629" spans="1:12">
      <c r="A629" s="94"/>
      <c r="B629" s="95"/>
      <c r="C629" s="95"/>
      <c r="D629" s="94"/>
      <c r="E629" s="94"/>
      <c r="F629" s="96"/>
      <c r="G629" s="94"/>
      <c r="H629" s="96"/>
      <c r="I629" s="96"/>
      <c r="J629" s="92"/>
      <c r="K629" s="97"/>
      <c r="L629" s="99" t="str">
        <f ca="1">_xlfn.LET(
    _xlpm.res_no, J629,
    _xlpm.record_sheet, 'MatRes Record'!J:M,
    _xlpm.AllCellsFilled, COUNTA(A629:K629) = 11,
    _xlpm.QtyIsInt, AND(ISNUMBER(G629), G629=INT(G629)),
    _xlpm.ReqDateIsValid, AND(ISNUMBER(H629), H629&gt;=TODAY()),
    _xlpm.EmailIsValid, RIGHT(I629,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IF(A629="", "", IF(_xlpm.error_messages = "", "Yes", _xlpm.error_messages))
)</f>
        <v/>
      </c>
    </row>
    <row r="630" spans="1:12">
      <c r="A630" s="94"/>
      <c r="B630" s="95"/>
      <c r="C630" s="95"/>
      <c r="D630" s="94"/>
      <c r="E630" s="94"/>
      <c r="F630" s="96"/>
      <c r="G630" s="94"/>
      <c r="H630" s="96"/>
      <c r="I630" s="96"/>
      <c r="J630" s="92"/>
      <c r="K630" s="97"/>
      <c r="L630" s="99" t="str">
        <f ca="1">_xlfn.LET(
    _xlpm.res_no, J630,
    _xlpm.record_sheet, 'MatRes Record'!J:M,
    _xlpm.AllCellsFilled, COUNTA(A630:K630) = 11,
    _xlpm.QtyIsInt, AND(ISNUMBER(G630), G630=INT(G630)),
    _xlpm.ReqDateIsValid, AND(ISNUMBER(H630), H630&gt;=TODAY()),
    _xlpm.EmailIsValid, RIGHT(I630,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IF(A630="", "", IF(_xlpm.error_messages = "", "Yes", _xlpm.error_messages))
)</f>
        <v/>
      </c>
    </row>
    <row r="631" spans="1:12">
      <c r="A631" s="94"/>
      <c r="B631" s="95"/>
      <c r="C631" s="95"/>
      <c r="D631" s="94"/>
      <c r="E631" s="94"/>
      <c r="F631" s="96"/>
      <c r="G631" s="94"/>
      <c r="H631" s="96"/>
      <c r="I631" s="96"/>
      <c r="J631" s="92"/>
      <c r="K631" s="97"/>
      <c r="L631" s="99" t="str">
        <f ca="1">_xlfn.LET(
    _xlpm.res_no, J631,
    _xlpm.record_sheet, 'MatRes Record'!J:M,
    _xlpm.AllCellsFilled, COUNTA(A631:K631) = 11,
    _xlpm.QtyIsInt, AND(ISNUMBER(G631), G631=INT(G631)),
    _xlpm.ReqDateIsValid, AND(ISNUMBER(H631), H631&gt;=TODAY()),
    _xlpm.EmailIsValid, RIGHT(I631,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IF(A631="", "", IF(_xlpm.error_messages = "", "Yes", _xlpm.error_messages))
)</f>
        <v/>
      </c>
    </row>
    <row r="632" spans="1:12">
      <c r="A632" s="94"/>
      <c r="B632" s="95"/>
      <c r="C632" s="95"/>
      <c r="D632" s="94"/>
      <c r="E632" s="94"/>
      <c r="F632" s="96"/>
      <c r="G632" s="94"/>
      <c r="H632" s="96"/>
      <c r="I632" s="96"/>
      <c r="J632" s="92"/>
      <c r="K632" s="97"/>
      <c r="L632" s="99" t="str">
        <f ca="1">_xlfn.LET(
    _xlpm.res_no, J632,
    _xlpm.record_sheet, 'MatRes Record'!J:M,
    _xlpm.AllCellsFilled, COUNTA(A632:K632) = 11,
    _xlpm.QtyIsInt, AND(ISNUMBER(G632), G632=INT(G632)),
    _xlpm.ReqDateIsValid, AND(ISNUMBER(H632), H632&gt;=TODAY()),
    _xlpm.EmailIsValid, RIGHT(I632,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IF(A632="", "", IF(_xlpm.error_messages = "", "Yes", _xlpm.error_messages))
)</f>
        <v/>
      </c>
    </row>
    <row r="633" spans="1:12">
      <c r="A633" s="94"/>
      <c r="B633" s="95"/>
      <c r="C633" s="95"/>
      <c r="D633" s="94"/>
      <c r="E633" s="94"/>
      <c r="F633" s="96"/>
      <c r="G633" s="94"/>
      <c r="H633" s="96"/>
      <c r="I633" s="96"/>
      <c r="J633" s="92"/>
      <c r="K633" s="97"/>
      <c r="L633" s="99" t="str">
        <f ca="1">_xlfn.LET(
    _xlpm.res_no, J633,
    _xlpm.record_sheet, 'MatRes Record'!J:M,
    _xlpm.AllCellsFilled, COUNTA(A633:K633) = 11,
    _xlpm.QtyIsInt, AND(ISNUMBER(G633), G633=INT(G633)),
    _xlpm.ReqDateIsValid, AND(ISNUMBER(H633), H633&gt;=TODAY()),
    _xlpm.EmailIsValid, RIGHT(I633,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IF(A633="", "", IF(_xlpm.error_messages = "", "Yes", _xlpm.error_messages))
)</f>
        <v/>
      </c>
    </row>
    <row r="634" spans="1:12">
      <c r="A634" s="94"/>
      <c r="B634" s="95"/>
      <c r="C634" s="95"/>
      <c r="D634" s="94"/>
      <c r="E634" s="94"/>
      <c r="F634" s="96"/>
      <c r="G634" s="94"/>
      <c r="H634" s="96"/>
      <c r="I634" s="96"/>
      <c r="J634" s="92"/>
      <c r="K634" s="97"/>
      <c r="L634" s="99" t="str">
        <f ca="1">_xlfn.LET(
    _xlpm.res_no, J634,
    _xlpm.record_sheet, 'MatRes Record'!J:M,
    _xlpm.AllCellsFilled, COUNTA(A634:K634) = 11,
    _xlpm.QtyIsInt, AND(ISNUMBER(G634), G634=INT(G634)),
    _xlpm.ReqDateIsValid, AND(ISNUMBER(H634), H634&gt;=TODAY()),
    _xlpm.EmailIsValid, RIGHT(I634,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IF(A634="", "", IF(_xlpm.error_messages = "", "Yes", _xlpm.error_messages))
)</f>
        <v/>
      </c>
    </row>
    <row r="635" spans="1:12">
      <c r="A635" s="94"/>
      <c r="B635" s="95"/>
      <c r="C635" s="95"/>
      <c r="D635" s="94"/>
      <c r="E635" s="94"/>
      <c r="F635" s="96"/>
      <c r="G635" s="94"/>
      <c r="H635" s="96"/>
      <c r="I635" s="96"/>
      <c r="J635" s="92"/>
      <c r="K635" s="97"/>
      <c r="L635" s="99" t="str">
        <f ca="1">_xlfn.LET(
    _xlpm.res_no, J635,
    _xlpm.record_sheet, 'MatRes Record'!J:M,
    _xlpm.AllCellsFilled, COUNTA(A635:K635) = 11,
    _xlpm.QtyIsInt, AND(ISNUMBER(G635), G635=INT(G635)),
    _xlpm.ReqDateIsValid, AND(ISNUMBER(H635), H635&gt;=TODAY()),
    _xlpm.EmailIsValid, RIGHT(I635,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IF(A635="", "", IF(_xlpm.error_messages = "", "Yes", _xlpm.error_messages))
)</f>
        <v/>
      </c>
    </row>
    <row r="636" spans="1:12">
      <c r="A636" s="94"/>
      <c r="B636" s="95"/>
      <c r="C636" s="95"/>
      <c r="D636" s="94"/>
      <c r="E636" s="94"/>
      <c r="F636" s="96"/>
      <c r="G636" s="94"/>
      <c r="H636" s="96"/>
      <c r="I636" s="96"/>
      <c r="J636" s="92"/>
      <c r="K636" s="97"/>
      <c r="L636" s="99" t="str">
        <f ca="1">_xlfn.LET(
    _xlpm.res_no, J636,
    _xlpm.record_sheet, 'MatRes Record'!J:M,
    _xlpm.AllCellsFilled, COUNTA(A636:K636) = 11,
    _xlpm.QtyIsInt, AND(ISNUMBER(G636), G636=INT(G636)),
    _xlpm.ReqDateIsValid, AND(ISNUMBER(H636), H636&gt;=TODAY()),
    _xlpm.EmailIsValid, RIGHT(I636,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IF(A636="", "", IF(_xlpm.error_messages = "", "Yes", _xlpm.error_messages))
)</f>
        <v/>
      </c>
    </row>
    <row r="637" spans="1:12">
      <c r="A637" s="94"/>
      <c r="B637" s="95"/>
      <c r="C637" s="95"/>
      <c r="D637" s="94"/>
      <c r="E637" s="94"/>
      <c r="F637" s="96"/>
      <c r="G637" s="94"/>
      <c r="H637" s="96"/>
      <c r="I637" s="96"/>
      <c r="J637" s="92"/>
      <c r="K637" s="97"/>
      <c r="L637" s="99" t="str">
        <f ca="1">_xlfn.LET(
    _xlpm.res_no, J637,
    _xlpm.record_sheet, 'MatRes Record'!J:M,
    _xlpm.AllCellsFilled, COUNTA(A637:K637) = 11,
    _xlpm.QtyIsInt, AND(ISNUMBER(G637), G637=INT(G637)),
    _xlpm.ReqDateIsValid, AND(ISNUMBER(H637), H637&gt;=TODAY()),
    _xlpm.EmailIsValid, RIGHT(I637,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IF(A637="", "", IF(_xlpm.error_messages = "", "Yes", _xlpm.error_messages))
)</f>
        <v/>
      </c>
    </row>
    <row r="638" spans="1:12">
      <c r="A638" s="94"/>
      <c r="B638" s="95"/>
      <c r="C638" s="95"/>
      <c r="D638" s="94"/>
      <c r="E638" s="94"/>
      <c r="F638" s="96"/>
      <c r="G638" s="94"/>
      <c r="H638" s="96"/>
      <c r="I638" s="96"/>
      <c r="J638" s="92"/>
      <c r="K638" s="97"/>
      <c r="L638" s="99" t="str">
        <f ca="1">_xlfn.LET(
    _xlpm.res_no, J638,
    _xlpm.record_sheet, 'MatRes Record'!J:M,
    _xlpm.AllCellsFilled, COUNTA(A638:K638) = 11,
    _xlpm.QtyIsInt, AND(ISNUMBER(G638), G638=INT(G638)),
    _xlpm.ReqDateIsValid, AND(ISNUMBER(H638), H638&gt;=TODAY()),
    _xlpm.EmailIsValid, RIGHT(I638,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IF(A638="", "", IF(_xlpm.error_messages = "", "Yes", _xlpm.error_messages))
)</f>
        <v/>
      </c>
    </row>
    <row r="639" spans="1:12">
      <c r="A639" s="94"/>
      <c r="B639" s="95"/>
      <c r="C639" s="95"/>
      <c r="D639" s="94"/>
      <c r="E639" s="94"/>
      <c r="F639" s="96"/>
      <c r="G639" s="94"/>
      <c r="H639" s="96"/>
      <c r="I639" s="96"/>
      <c r="J639" s="92"/>
      <c r="K639" s="97"/>
      <c r="L639" s="99" t="str">
        <f ca="1">_xlfn.LET(
    _xlpm.res_no, J639,
    _xlpm.record_sheet, 'MatRes Record'!J:M,
    _xlpm.AllCellsFilled, COUNTA(A639:K639) = 11,
    _xlpm.QtyIsInt, AND(ISNUMBER(G639), G639=INT(G639)),
    _xlpm.ReqDateIsValid, AND(ISNUMBER(H639), H639&gt;=TODAY()),
    _xlpm.EmailIsValid, RIGHT(I639,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IF(A639="", "", IF(_xlpm.error_messages = "", "Yes", _xlpm.error_messages))
)</f>
        <v/>
      </c>
    </row>
    <row r="640" spans="1:12">
      <c r="A640" s="94"/>
      <c r="B640" s="95"/>
      <c r="C640" s="95"/>
      <c r="D640" s="94"/>
      <c r="E640" s="94"/>
      <c r="F640" s="96"/>
      <c r="G640" s="94"/>
      <c r="H640" s="96"/>
      <c r="I640" s="96"/>
      <c r="J640" s="92"/>
      <c r="K640" s="97"/>
      <c r="L640" s="99" t="str">
        <f ca="1">_xlfn.LET(
    _xlpm.res_no, J640,
    _xlpm.record_sheet, 'MatRes Record'!J:M,
    _xlpm.AllCellsFilled, COUNTA(A640:K640) = 11,
    _xlpm.QtyIsInt, AND(ISNUMBER(G640), G640=INT(G640)),
    _xlpm.ReqDateIsValid, AND(ISNUMBER(H640), H640&gt;=TODAY()),
    _xlpm.EmailIsValid, RIGHT(I640,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IF(A640="", "", IF(_xlpm.error_messages = "", "Yes", _xlpm.error_messages))
)</f>
        <v/>
      </c>
    </row>
    <row r="641" spans="1:12">
      <c r="A641" s="94"/>
      <c r="B641" s="95"/>
      <c r="C641" s="95"/>
      <c r="D641" s="94"/>
      <c r="E641" s="94"/>
      <c r="F641" s="96"/>
      <c r="G641" s="94"/>
      <c r="H641" s="96"/>
      <c r="I641" s="96"/>
      <c r="J641" s="92"/>
      <c r="K641" s="97"/>
      <c r="L641" s="99" t="str">
        <f ca="1">_xlfn.LET(
    _xlpm.res_no, J641,
    _xlpm.record_sheet, 'MatRes Record'!J:M,
    _xlpm.AllCellsFilled, COUNTA(A641:K641) = 11,
    _xlpm.QtyIsInt, AND(ISNUMBER(G641), G641=INT(G641)),
    _xlpm.ReqDateIsValid, AND(ISNUMBER(H641), H641&gt;=TODAY()),
    _xlpm.EmailIsValid, RIGHT(I641,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IF(A641="", "", IF(_xlpm.error_messages = "", "Yes", _xlpm.error_messages))
)</f>
        <v/>
      </c>
    </row>
    <row r="642" spans="1:12">
      <c r="A642" s="94"/>
      <c r="B642" s="95"/>
      <c r="C642" s="95"/>
      <c r="D642" s="94"/>
      <c r="E642" s="94"/>
      <c r="F642" s="96"/>
      <c r="G642" s="94"/>
      <c r="H642" s="96"/>
      <c r="I642" s="96"/>
      <c r="J642" s="92"/>
      <c r="K642" s="97"/>
      <c r="L642" s="99" t="str">
        <f ca="1">_xlfn.LET(
    _xlpm.res_no, J642,
    _xlpm.record_sheet, 'MatRes Record'!J:M,
    _xlpm.AllCellsFilled, COUNTA(A642:K642) = 11,
    _xlpm.QtyIsInt, AND(ISNUMBER(G642), G642=INT(G642)),
    _xlpm.ReqDateIsValid, AND(ISNUMBER(H642), H642&gt;=TODAY()),
    _xlpm.EmailIsValid, RIGHT(I642,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IF(A642="", "", IF(_xlpm.error_messages = "", "Yes", _xlpm.error_messages))
)</f>
        <v/>
      </c>
    </row>
    <row r="643" spans="1:12">
      <c r="A643" s="94"/>
      <c r="B643" s="95"/>
      <c r="C643" s="95"/>
      <c r="D643" s="94"/>
      <c r="E643" s="94"/>
      <c r="F643" s="96"/>
      <c r="G643" s="94"/>
      <c r="H643" s="96"/>
      <c r="I643" s="96"/>
      <c r="J643" s="92"/>
      <c r="K643" s="97"/>
      <c r="L643" s="99" t="str">
        <f ca="1">_xlfn.LET(
    _xlpm.res_no, J643,
    _xlpm.record_sheet, 'MatRes Record'!J:M,
    _xlpm.AllCellsFilled, COUNTA(A643:K643) = 11,
    _xlpm.QtyIsInt, AND(ISNUMBER(G643), G643=INT(G643)),
    _xlpm.ReqDateIsValid, AND(ISNUMBER(H643), H643&gt;=TODAY()),
    _xlpm.EmailIsValid, RIGHT(I643,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IF(A643="", "", IF(_xlpm.error_messages = "", "Yes", _xlpm.error_messages))
)</f>
        <v/>
      </c>
    </row>
    <row r="644" spans="1:12">
      <c r="A644" s="94"/>
      <c r="B644" s="95"/>
      <c r="C644" s="95"/>
      <c r="D644" s="94"/>
      <c r="E644" s="94"/>
      <c r="F644" s="96"/>
      <c r="G644" s="94"/>
      <c r="H644" s="96"/>
      <c r="I644" s="96"/>
      <c r="J644" s="92"/>
      <c r="K644" s="97"/>
      <c r="L644" s="99" t="str">
        <f ca="1">_xlfn.LET(
    _xlpm.res_no, J644,
    _xlpm.record_sheet, 'MatRes Record'!J:M,
    _xlpm.AllCellsFilled, COUNTA(A644:K644) = 11,
    _xlpm.QtyIsInt, AND(ISNUMBER(G644), G644=INT(G644)),
    _xlpm.ReqDateIsValid, AND(ISNUMBER(H644), H644&gt;=TODAY()),
    _xlpm.EmailIsValid, RIGHT(I644,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IF(A644="", "", IF(_xlpm.error_messages = "", "Yes", _xlpm.error_messages))
)</f>
        <v/>
      </c>
    </row>
    <row r="645" spans="1:12">
      <c r="A645" s="94"/>
      <c r="B645" s="95"/>
      <c r="C645" s="95"/>
      <c r="D645" s="94"/>
      <c r="E645" s="94"/>
      <c r="F645" s="96"/>
      <c r="G645" s="94"/>
      <c r="H645" s="96"/>
      <c r="I645" s="96"/>
      <c r="J645" s="92"/>
      <c r="K645" s="97"/>
      <c r="L645" s="99" t="str">
        <f ca="1">_xlfn.LET(
    _xlpm.res_no, J645,
    _xlpm.record_sheet, 'MatRes Record'!J:M,
    _xlpm.AllCellsFilled, COUNTA(A645:K645) = 11,
    _xlpm.QtyIsInt, AND(ISNUMBER(G645), G645=INT(G645)),
    _xlpm.ReqDateIsValid, AND(ISNUMBER(H645), H645&gt;=TODAY()),
    _xlpm.EmailIsValid, RIGHT(I645,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IF(A645="", "", IF(_xlpm.error_messages = "", "Yes", _xlpm.error_messages))
)</f>
        <v/>
      </c>
    </row>
    <row r="646" spans="1:12">
      <c r="A646" s="94"/>
      <c r="B646" s="95"/>
      <c r="C646" s="95"/>
      <c r="D646" s="94"/>
      <c r="E646" s="94"/>
      <c r="F646" s="96"/>
      <c r="G646" s="94"/>
      <c r="H646" s="96"/>
      <c r="I646" s="96"/>
      <c r="J646" s="92"/>
      <c r="K646" s="97"/>
      <c r="L646" s="99" t="str">
        <f ca="1">_xlfn.LET(
    _xlpm.res_no, J646,
    _xlpm.record_sheet, 'MatRes Record'!J:M,
    _xlpm.AllCellsFilled, COUNTA(A646:K646) = 11,
    _xlpm.QtyIsInt, AND(ISNUMBER(G646), G646=INT(G646)),
    _xlpm.ReqDateIsValid, AND(ISNUMBER(H646), H646&gt;=TODAY()),
    _xlpm.EmailIsValid, RIGHT(I646,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IF(A646="", "", IF(_xlpm.error_messages = "", "Yes", _xlpm.error_messages))
)</f>
        <v/>
      </c>
    </row>
    <row r="647" spans="1:12">
      <c r="A647" s="94"/>
      <c r="B647" s="95"/>
      <c r="C647" s="95"/>
      <c r="D647" s="94"/>
      <c r="E647" s="94"/>
      <c r="F647" s="96"/>
      <c r="G647" s="94"/>
      <c r="H647" s="96"/>
      <c r="I647" s="96"/>
      <c r="J647" s="92"/>
      <c r="K647" s="97"/>
      <c r="L647" s="99" t="str">
        <f ca="1">_xlfn.LET(
    _xlpm.res_no, J647,
    _xlpm.record_sheet, 'MatRes Record'!J:M,
    _xlpm.AllCellsFilled, COUNTA(A647:K647) = 11,
    _xlpm.QtyIsInt, AND(ISNUMBER(G647), G647=INT(G647)),
    _xlpm.ReqDateIsValid, AND(ISNUMBER(H647), H647&gt;=TODAY()),
    _xlpm.EmailIsValid, RIGHT(I647,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IF(A647="", "", IF(_xlpm.error_messages = "", "Yes", _xlpm.error_messages))
)</f>
        <v/>
      </c>
    </row>
    <row r="648" spans="1:12">
      <c r="A648" s="94"/>
      <c r="B648" s="95"/>
      <c r="C648" s="95"/>
      <c r="D648" s="94"/>
      <c r="E648" s="94"/>
      <c r="F648" s="96"/>
      <c r="G648" s="94"/>
      <c r="H648" s="96"/>
      <c r="I648" s="96"/>
      <c r="J648" s="92"/>
      <c r="K648" s="97"/>
      <c r="L648" s="99" t="str">
        <f ca="1">_xlfn.LET(
    _xlpm.res_no, J648,
    _xlpm.record_sheet, 'MatRes Record'!J:M,
    _xlpm.AllCellsFilled, COUNTA(A648:K648) = 11,
    _xlpm.QtyIsInt, AND(ISNUMBER(G648), G648=INT(G648)),
    _xlpm.ReqDateIsValid, AND(ISNUMBER(H648), H648&gt;=TODAY()),
    _xlpm.EmailIsValid, RIGHT(I648,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IF(A648="", "", IF(_xlpm.error_messages = "", "Yes", _xlpm.error_messages))
)</f>
        <v/>
      </c>
    </row>
    <row r="649" spans="1:12">
      <c r="A649" s="94"/>
      <c r="B649" s="95"/>
      <c r="C649" s="95"/>
      <c r="D649" s="94"/>
      <c r="E649" s="94"/>
      <c r="F649" s="96"/>
      <c r="G649" s="94"/>
      <c r="H649" s="96"/>
      <c r="I649" s="96"/>
      <c r="J649" s="92"/>
      <c r="K649" s="97"/>
      <c r="L649" s="99" t="str">
        <f ca="1">_xlfn.LET(
    _xlpm.res_no, J649,
    _xlpm.record_sheet, 'MatRes Record'!J:M,
    _xlpm.AllCellsFilled, COUNTA(A649:K649) = 11,
    _xlpm.QtyIsInt, AND(ISNUMBER(G649), G649=INT(G649)),
    _xlpm.ReqDateIsValid, AND(ISNUMBER(H649), H649&gt;=TODAY()),
    _xlpm.EmailIsValid, RIGHT(I649,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IF(A649="", "", IF(_xlpm.error_messages = "", "Yes", _xlpm.error_messages))
)</f>
        <v/>
      </c>
    </row>
    <row r="650" spans="1:12">
      <c r="A650" s="94"/>
      <c r="B650" s="95"/>
      <c r="C650" s="95"/>
      <c r="D650" s="94"/>
      <c r="E650" s="94"/>
      <c r="F650" s="96"/>
      <c r="G650" s="94"/>
      <c r="H650" s="96"/>
      <c r="I650" s="96"/>
      <c r="J650" s="92"/>
      <c r="K650" s="97"/>
      <c r="L650" s="99" t="str">
        <f ca="1">_xlfn.LET(
    _xlpm.res_no, J650,
    _xlpm.record_sheet, 'MatRes Record'!J:M,
    _xlpm.AllCellsFilled, COUNTA(A650:K650) = 11,
    _xlpm.QtyIsInt, AND(ISNUMBER(G650), G650=INT(G650)),
    _xlpm.ReqDateIsValid, AND(ISNUMBER(H650), H650&gt;=TODAY()),
    _xlpm.EmailIsValid, RIGHT(I650,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IF(A650="", "", IF(_xlpm.error_messages = "", "Yes", _xlpm.error_messages))
)</f>
        <v/>
      </c>
    </row>
    <row r="651" spans="1:12">
      <c r="A651" s="94"/>
      <c r="B651" s="95"/>
      <c r="C651" s="95"/>
      <c r="D651" s="94"/>
      <c r="E651" s="94"/>
      <c r="F651" s="96"/>
      <c r="G651" s="94"/>
      <c r="H651" s="96"/>
      <c r="I651" s="96"/>
      <c r="J651" s="92"/>
      <c r="K651" s="97"/>
      <c r="L651" s="99" t="str">
        <f ca="1">_xlfn.LET(
    _xlpm.res_no, J651,
    _xlpm.record_sheet, 'MatRes Record'!J:M,
    _xlpm.AllCellsFilled, COUNTA(A651:K651) = 11,
    _xlpm.QtyIsInt, AND(ISNUMBER(G651), G651=INT(G651)),
    _xlpm.ReqDateIsValid, AND(ISNUMBER(H651), H651&gt;=TODAY()),
    _xlpm.EmailIsValid, RIGHT(I651,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IF(A651="", "", IF(_xlpm.error_messages = "", "Yes", _xlpm.error_messages))
)</f>
        <v/>
      </c>
    </row>
    <row r="652" spans="1:12">
      <c r="A652" s="94"/>
      <c r="B652" s="95"/>
      <c r="C652" s="95"/>
      <c r="D652" s="94"/>
      <c r="E652" s="94"/>
      <c r="F652" s="96"/>
      <c r="G652" s="94"/>
      <c r="H652" s="96"/>
      <c r="I652" s="96"/>
      <c r="J652" s="92"/>
      <c r="K652" s="97"/>
      <c r="L652" s="99" t="str">
        <f ca="1">_xlfn.LET(
    _xlpm.res_no, J652,
    _xlpm.record_sheet, 'MatRes Record'!J:M,
    _xlpm.AllCellsFilled, COUNTA(A652:K652) = 11,
    _xlpm.QtyIsInt, AND(ISNUMBER(G652), G652=INT(G652)),
    _xlpm.ReqDateIsValid, AND(ISNUMBER(H652), H652&gt;=TODAY()),
    _xlpm.EmailIsValid, RIGHT(I652,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IF(A652="", "", IF(_xlpm.error_messages = "", "Yes", _xlpm.error_messages))
)</f>
        <v/>
      </c>
    </row>
    <row r="653" spans="1:12">
      <c r="A653" s="94"/>
      <c r="B653" s="95"/>
      <c r="C653" s="95"/>
      <c r="D653" s="94"/>
      <c r="E653" s="94"/>
      <c r="F653" s="96"/>
      <c r="G653" s="94"/>
      <c r="H653" s="96"/>
      <c r="I653" s="96"/>
      <c r="J653" s="92"/>
      <c r="K653" s="97"/>
      <c r="L653" s="99" t="str">
        <f ca="1">_xlfn.LET(
    _xlpm.res_no, J653,
    _xlpm.record_sheet, 'MatRes Record'!J:M,
    _xlpm.AllCellsFilled, COUNTA(A653:K653) = 11,
    _xlpm.QtyIsInt, AND(ISNUMBER(G653), G653=INT(G653)),
    _xlpm.ReqDateIsValid, AND(ISNUMBER(H653), H653&gt;=TODAY()),
    _xlpm.EmailIsValid, RIGHT(I653,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IF(A653="", "", IF(_xlpm.error_messages = "", "Yes", _xlpm.error_messages))
)</f>
        <v/>
      </c>
    </row>
    <row r="654" spans="1:12">
      <c r="A654" s="94"/>
      <c r="B654" s="95"/>
      <c r="C654" s="95"/>
      <c r="D654" s="94"/>
      <c r="E654" s="94"/>
      <c r="F654" s="96"/>
      <c r="G654" s="94"/>
      <c r="H654" s="96"/>
      <c r="I654" s="96"/>
      <c r="J654" s="92"/>
      <c r="K654" s="97"/>
      <c r="L654" s="99" t="str">
        <f ca="1">_xlfn.LET(
    _xlpm.res_no, J654,
    _xlpm.record_sheet, 'MatRes Record'!J:M,
    _xlpm.AllCellsFilled, COUNTA(A654:K654) = 11,
    _xlpm.QtyIsInt, AND(ISNUMBER(G654), G654=INT(G654)),
    _xlpm.ReqDateIsValid, AND(ISNUMBER(H654), H654&gt;=TODAY()),
    _xlpm.EmailIsValid, RIGHT(I654,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IF(A654="", "", IF(_xlpm.error_messages = "", "Yes", _xlpm.error_messages))
)</f>
        <v/>
      </c>
    </row>
    <row r="655" spans="1:12">
      <c r="A655" s="94"/>
      <c r="B655" s="95"/>
      <c r="C655" s="95"/>
      <c r="D655" s="94"/>
      <c r="E655" s="94"/>
      <c r="F655" s="96"/>
      <c r="G655" s="94"/>
      <c r="H655" s="96"/>
      <c r="I655" s="96"/>
      <c r="J655" s="92"/>
      <c r="K655" s="97"/>
      <c r="L655" s="99" t="str">
        <f ca="1">_xlfn.LET(
    _xlpm.res_no, J655,
    _xlpm.record_sheet, 'MatRes Record'!J:M,
    _xlpm.AllCellsFilled, COUNTA(A655:K655) = 11,
    _xlpm.QtyIsInt, AND(ISNUMBER(G655), G655=INT(G655)),
    _xlpm.ReqDateIsValid, AND(ISNUMBER(H655), H655&gt;=TODAY()),
    _xlpm.EmailIsValid, RIGHT(I655,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IF(A655="", "", IF(_xlpm.error_messages = "", "Yes", _xlpm.error_messages))
)</f>
        <v/>
      </c>
    </row>
    <row r="656" spans="1:12">
      <c r="A656" s="94"/>
      <c r="B656" s="95"/>
      <c r="C656" s="95"/>
      <c r="D656" s="94"/>
      <c r="E656" s="94"/>
      <c r="F656" s="96"/>
      <c r="G656" s="94"/>
      <c r="H656" s="96"/>
      <c r="I656" s="96"/>
      <c r="J656" s="92"/>
      <c r="K656" s="97"/>
      <c r="L656" s="99" t="str">
        <f ca="1">_xlfn.LET(
    _xlpm.res_no, J656,
    _xlpm.record_sheet, 'MatRes Record'!J:M,
    _xlpm.AllCellsFilled, COUNTA(A656:K656) = 11,
    _xlpm.QtyIsInt, AND(ISNUMBER(G656), G656=INT(G656)),
    _xlpm.ReqDateIsValid, AND(ISNUMBER(H656), H656&gt;=TODAY()),
    _xlpm.EmailIsValid, RIGHT(I656,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IF(A656="", "", IF(_xlpm.error_messages = "", "Yes", _xlpm.error_messages))
)</f>
        <v/>
      </c>
    </row>
    <row r="657" spans="1:12">
      <c r="A657" s="94"/>
      <c r="B657" s="95"/>
      <c r="C657" s="95"/>
      <c r="D657" s="94"/>
      <c r="E657" s="94"/>
      <c r="F657" s="96"/>
      <c r="G657" s="94"/>
      <c r="H657" s="96"/>
      <c r="I657" s="96"/>
      <c r="J657" s="92"/>
      <c r="K657" s="97"/>
      <c r="L657" s="99" t="str">
        <f ca="1">_xlfn.LET(
    _xlpm.res_no, J657,
    _xlpm.record_sheet, 'MatRes Record'!J:M,
    _xlpm.AllCellsFilled, COUNTA(A657:K657) = 11,
    _xlpm.QtyIsInt, AND(ISNUMBER(G657), G657=INT(G657)),
    _xlpm.ReqDateIsValid, AND(ISNUMBER(H657), H657&gt;=TODAY()),
    _xlpm.EmailIsValid, RIGHT(I657,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IF(A657="", "", IF(_xlpm.error_messages = "", "Yes", _xlpm.error_messages))
)</f>
        <v/>
      </c>
    </row>
    <row r="658" spans="1:12">
      <c r="A658" s="94"/>
      <c r="B658" s="95"/>
      <c r="C658" s="95"/>
      <c r="D658" s="94"/>
      <c r="E658" s="94"/>
      <c r="F658" s="96"/>
      <c r="G658" s="94"/>
      <c r="H658" s="96"/>
      <c r="I658" s="96"/>
      <c r="J658" s="92"/>
      <c r="K658" s="97"/>
      <c r="L658" s="99" t="str">
        <f ca="1">_xlfn.LET(
    _xlpm.res_no, J658,
    _xlpm.record_sheet, 'MatRes Record'!J:M,
    _xlpm.AllCellsFilled, COUNTA(A658:K658) = 11,
    _xlpm.QtyIsInt, AND(ISNUMBER(G658), G658=INT(G658)),
    _xlpm.ReqDateIsValid, AND(ISNUMBER(H658), H658&gt;=TODAY()),
    _xlpm.EmailIsValid, RIGHT(I658,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IF(A658="", "", IF(_xlpm.error_messages = "", "Yes", _xlpm.error_messages))
)</f>
        <v/>
      </c>
    </row>
    <row r="659" spans="1:12">
      <c r="A659" s="94"/>
      <c r="B659" s="95"/>
      <c r="C659" s="95"/>
      <c r="D659" s="94"/>
      <c r="E659" s="94"/>
      <c r="F659" s="96"/>
      <c r="G659" s="94"/>
      <c r="H659" s="96"/>
      <c r="I659" s="96"/>
      <c r="J659" s="92"/>
      <c r="K659" s="97"/>
      <c r="L659" s="99" t="str">
        <f ca="1">_xlfn.LET(
    _xlpm.res_no, J659,
    _xlpm.record_sheet, 'MatRes Record'!J:M,
    _xlpm.AllCellsFilled, COUNTA(A659:K659) = 11,
    _xlpm.QtyIsInt, AND(ISNUMBER(G659), G659=INT(G659)),
    _xlpm.ReqDateIsValid, AND(ISNUMBER(H659), H659&gt;=TODAY()),
    _xlpm.EmailIsValid, RIGHT(I659,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IF(A659="", "", IF(_xlpm.error_messages = "", "Yes", _xlpm.error_messages))
)</f>
        <v/>
      </c>
    </row>
    <row r="660" spans="1:12">
      <c r="A660" s="94"/>
      <c r="B660" s="95"/>
      <c r="C660" s="95"/>
      <c r="D660" s="94"/>
      <c r="E660" s="94"/>
      <c r="F660" s="96"/>
      <c r="G660" s="94"/>
      <c r="H660" s="96"/>
      <c r="I660" s="96"/>
      <c r="J660" s="92"/>
      <c r="K660" s="97"/>
      <c r="L660" s="99" t="str">
        <f ca="1">_xlfn.LET(
    _xlpm.res_no, J660,
    _xlpm.record_sheet, 'MatRes Record'!J:M,
    _xlpm.AllCellsFilled, COUNTA(A660:K660) = 11,
    _xlpm.QtyIsInt, AND(ISNUMBER(G660), G660=INT(G660)),
    _xlpm.ReqDateIsValid, AND(ISNUMBER(H660), H660&gt;=TODAY()),
    _xlpm.EmailIsValid, RIGHT(I660,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IF(A660="", "", IF(_xlpm.error_messages = "", "Yes", _xlpm.error_messages))
)</f>
        <v/>
      </c>
    </row>
    <row r="661" spans="1:12">
      <c r="A661" s="94"/>
      <c r="B661" s="95"/>
      <c r="C661" s="95"/>
      <c r="D661" s="94"/>
      <c r="E661" s="94"/>
      <c r="F661" s="96"/>
      <c r="G661" s="94"/>
      <c r="H661" s="96"/>
      <c r="I661" s="96"/>
      <c r="J661" s="92"/>
      <c r="K661" s="97"/>
      <c r="L661" s="99" t="str">
        <f ca="1">_xlfn.LET(
    _xlpm.res_no, J661,
    _xlpm.record_sheet, 'MatRes Record'!J:M,
    _xlpm.AllCellsFilled, COUNTA(A661:K661) = 11,
    _xlpm.QtyIsInt, AND(ISNUMBER(G661), G661=INT(G661)),
    _xlpm.ReqDateIsValid, AND(ISNUMBER(H661), H661&gt;=TODAY()),
    _xlpm.EmailIsValid, RIGHT(I661,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IF(A661="", "", IF(_xlpm.error_messages = "", "Yes", _xlpm.error_messages))
)</f>
        <v/>
      </c>
    </row>
    <row r="662" spans="1:12">
      <c r="A662" s="94"/>
      <c r="B662" s="95"/>
      <c r="C662" s="95"/>
      <c r="D662" s="94"/>
      <c r="E662" s="94"/>
      <c r="F662" s="96"/>
      <c r="G662" s="94"/>
      <c r="H662" s="96"/>
      <c r="I662" s="96"/>
      <c r="J662" s="92"/>
      <c r="K662" s="97"/>
      <c r="L662" s="99" t="str">
        <f ca="1">_xlfn.LET(
    _xlpm.res_no, J662,
    _xlpm.record_sheet, 'MatRes Record'!J:M,
    _xlpm.AllCellsFilled, COUNTA(A662:K662) = 11,
    _xlpm.QtyIsInt, AND(ISNUMBER(G662), G662=INT(G662)),
    _xlpm.ReqDateIsValid, AND(ISNUMBER(H662), H662&gt;=TODAY()),
    _xlpm.EmailIsValid, RIGHT(I662,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IF(A662="", "", IF(_xlpm.error_messages = "", "Yes", _xlpm.error_messages))
)</f>
        <v/>
      </c>
    </row>
    <row r="663" spans="1:12">
      <c r="A663" s="94"/>
      <c r="B663" s="95"/>
      <c r="C663" s="95"/>
      <c r="D663" s="94"/>
      <c r="E663" s="94"/>
      <c r="F663" s="96"/>
      <c r="G663" s="94"/>
      <c r="H663" s="96"/>
      <c r="I663" s="96"/>
      <c r="J663" s="92"/>
      <c r="K663" s="97"/>
      <c r="L663" s="99" t="str">
        <f ca="1">_xlfn.LET(
    _xlpm.res_no, J663,
    _xlpm.record_sheet, 'MatRes Record'!J:M,
    _xlpm.AllCellsFilled, COUNTA(A663:K663) = 11,
    _xlpm.QtyIsInt, AND(ISNUMBER(G663), G663=INT(G663)),
    _xlpm.ReqDateIsValid, AND(ISNUMBER(H663), H663&gt;=TODAY()),
    _xlpm.EmailIsValid, RIGHT(I663,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IF(A663="", "", IF(_xlpm.error_messages = "", "Yes", _xlpm.error_messages))
)</f>
        <v/>
      </c>
    </row>
    <row r="664" spans="1:12">
      <c r="A664" s="94"/>
      <c r="B664" s="95"/>
      <c r="C664" s="95"/>
      <c r="D664" s="94"/>
      <c r="E664" s="94"/>
      <c r="F664" s="96"/>
      <c r="G664" s="94"/>
      <c r="H664" s="96"/>
      <c r="I664" s="96"/>
      <c r="J664" s="92"/>
      <c r="K664" s="97"/>
      <c r="L664" s="99" t="str">
        <f ca="1">_xlfn.LET(
    _xlpm.res_no, J664,
    _xlpm.record_sheet, 'MatRes Record'!J:M,
    _xlpm.AllCellsFilled, COUNTA(A664:K664) = 11,
    _xlpm.QtyIsInt, AND(ISNUMBER(G664), G664=INT(G664)),
    _xlpm.ReqDateIsValid, AND(ISNUMBER(H664), H664&gt;=TODAY()),
    _xlpm.EmailIsValid, RIGHT(I664,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IF(A664="", "", IF(_xlpm.error_messages = "", "Yes", _xlpm.error_messages))
)</f>
        <v/>
      </c>
    </row>
    <row r="665" spans="1:12">
      <c r="A665" s="94"/>
      <c r="B665" s="95"/>
      <c r="C665" s="95"/>
      <c r="D665" s="94"/>
      <c r="E665" s="94"/>
      <c r="F665" s="96"/>
      <c r="G665" s="94"/>
      <c r="H665" s="96"/>
      <c r="I665" s="96"/>
      <c r="J665" s="92"/>
      <c r="K665" s="97"/>
      <c r="L665" s="99" t="str">
        <f ca="1">_xlfn.LET(
    _xlpm.res_no, J665,
    _xlpm.record_sheet, 'MatRes Record'!J:M,
    _xlpm.AllCellsFilled, COUNTA(A665:K665) = 11,
    _xlpm.QtyIsInt, AND(ISNUMBER(G665), G665=INT(G665)),
    _xlpm.ReqDateIsValid, AND(ISNUMBER(H665), H665&gt;=TODAY()),
    _xlpm.EmailIsValid, RIGHT(I665,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IF(A665="", "", IF(_xlpm.error_messages = "", "Yes", _xlpm.error_messages))
)</f>
        <v/>
      </c>
    </row>
    <row r="666" spans="1:12">
      <c r="A666" s="94"/>
      <c r="B666" s="95"/>
      <c r="C666" s="95"/>
      <c r="D666" s="94"/>
      <c r="E666" s="94"/>
      <c r="F666" s="96"/>
      <c r="G666" s="94"/>
      <c r="H666" s="96"/>
      <c r="I666" s="96"/>
      <c r="J666" s="92"/>
      <c r="K666" s="97"/>
      <c r="L666" s="99" t="str">
        <f ca="1">_xlfn.LET(
    _xlpm.res_no, J666,
    _xlpm.record_sheet, 'MatRes Record'!J:M,
    _xlpm.AllCellsFilled, COUNTA(A666:K666) = 11,
    _xlpm.QtyIsInt, AND(ISNUMBER(G666), G666=INT(G666)),
    _xlpm.ReqDateIsValid, AND(ISNUMBER(H666), H666&gt;=TODAY()),
    _xlpm.EmailIsValid, RIGHT(I666,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IF(A666="", "", IF(_xlpm.error_messages = "", "Yes", _xlpm.error_messages))
)</f>
        <v/>
      </c>
    </row>
    <row r="667" spans="1:12">
      <c r="A667" s="94"/>
      <c r="B667" s="95"/>
      <c r="C667" s="95"/>
      <c r="D667" s="94"/>
      <c r="E667" s="94"/>
      <c r="F667" s="96"/>
      <c r="G667" s="94"/>
      <c r="H667" s="96"/>
      <c r="I667" s="96"/>
      <c r="J667" s="92"/>
      <c r="K667" s="97"/>
      <c r="L667" s="99" t="str">
        <f ca="1">_xlfn.LET(
    _xlpm.res_no, J667,
    _xlpm.record_sheet, 'MatRes Record'!J:M,
    _xlpm.AllCellsFilled, COUNTA(A667:K667) = 11,
    _xlpm.QtyIsInt, AND(ISNUMBER(G667), G667=INT(G667)),
    _xlpm.ReqDateIsValid, AND(ISNUMBER(H667), H667&gt;=TODAY()),
    _xlpm.EmailIsValid, RIGHT(I667,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IF(A667="", "", IF(_xlpm.error_messages = "", "Yes", _xlpm.error_messages))
)</f>
        <v/>
      </c>
    </row>
    <row r="668" spans="1:12">
      <c r="A668" s="94"/>
      <c r="B668" s="95"/>
      <c r="C668" s="95"/>
      <c r="D668" s="94"/>
      <c r="E668" s="94"/>
      <c r="F668" s="96"/>
      <c r="G668" s="94"/>
      <c r="H668" s="96"/>
      <c r="I668" s="96"/>
      <c r="J668" s="92"/>
      <c r="K668" s="97"/>
      <c r="L668" s="99" t="str">
        <f ca="1">_xlfn.LET(
    _xlpm.res_no, J668,
    _xlpm.record_sheet, 'MatRes Record'!J:M,
    _xlpm.AllCellsFilled, COUNTA(A668:K668) = 11,
    _xlpm.QtyIsInt, AND(ISNUMBER(G668), G668=INT(G668)),
    _xlpm.ReqDateIsValid, AND(ISNUMBER(H668), H668&gt;=TODAY()),
    _xlpm.EmailIsValid, RIGHT(I668,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IF(A668="", "", IF(_xlpm.error_messages = "", "Yes", _xlpm.error_messages))
)</f>
        <v/>
      </c>
    </row>
    <row r="669" spans="1:12">
      <c r="A669" s="94"/>
      <c r="B669" s="95"/>
      <c r="C669" s="95"/>
      <c r="D669" s="94"/>
      <c r="E669" s="94"/>
      <c r="F669" s="96"/>
      <c r="G669" s="94"/>
      <c r="H669" s="96"/>
      <c r="I669" s="96"/>
      <c r="J669" s="92"/>
      <c r="K669" s="97"/>
      <c r="L669" s="99" t="str">
        <f ca="1">_xlfn.LET(
    _xlpm.res_no, J669,
    _xlpm.record_sheet, 'MatRes Record'!J:M,
    _xlpm.AllCellsFilled, COUNTA(A669:K669) = 11,
    _xlpm.QtyIsInt, AND(ISNUMBER(G669), G669=INT(G669)),
    _xlpm.ReqDateIsValid, AND(ISNUMBER(H669), H669&gt;=TODAY()),
    _xlpm.EmailIsValid, RIGHT(I669,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IF(A669="", "", IF(_xlpm.error_messages = "", "Yes", _xlpm.error_messages))
)</f>
        <v/>
      </c>
    </row>
    <row r="670" spans="1:12">
      <c r="A670" s="94"/>
      <c r="B670" s="95"/>
      <c r="C670" s="95"/>
      <c r="D670" s="94"/>
      <c r="E670" s="94"/>
      <c r="F670" s="96"/>
      <c r="G670" s="94"/>
      <c r="H670" s="96"/>
      <c r="I670" s="96"/>
      <c r="J670" s="92"/>
      <c r="K670" s="97"/>
      <c r="L670" s="99" t="str">
        <f ca="1">_xlfn.LET(
    _xlpm.res_no, J670,
    _xlpm.record_sheet, 'MatRes Record'!J:M,
    _xlpm.AllCellsFilled, COUNTA(A670:K670) = 11,
    _xlpm.QtyIsInt, AND(ISNUMBER(G670), G670=INT(G670)),
    _xlpm.ReqDateIsValid, AND(ISNUMBER(H670), H670&gt;=TODAY()),
    _xlpm.EmailIsValid, RIGHT(I670,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IF(A670="", "", IF(_xlpm.error_messages = "", "Yes", _xlpm.error_messages))
)</f>
        <v/>
      </c>
    </row>
    <row r="671" spans="1:12">
      <c r="A671" s="94"/>
      <c r="B671" s="95"/>
      <c r="C671" s="95"/>
      <c r="D671" s="94"/>
      <c r="E671" s="94"/>
      <c r="F671" s="96"/>
      <c r="G671" s="94"/>
      <c r="H671" s="96"/>
      <c r="I671" s="96"/>
      <c r="J671" s="92"/>
      <c r="K671" s="97"/>
      <c r="L671" s="99" t="str">
        <f ca="1">_xlfn.LET(
    _xlpm.res_no, J671,
    _xlpm.record_sheet, 'MatRes Record'!J:M,
    _xlpm.AllCellsFilled, COUNTA(A671:K671) = 11,
    _xlpm.QtyIsInt, AND(ISNUMBER(G671), G671=INT(G671)),
    _xlpm.ReqDateIsValid, AND(ISNUMBER(H671), H671&gt;=TODAY()),
    _xlpm.EmailIsValid, RIGHT(I671,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IF(A671="", "", IF(_xlpm.error_messages = "", "Yes", _xlpm.error_messages))
)</f>
        <v/>
      </c>
    </row>
    <row r="672" spans="1:12">
      <c r="A672" s="94"/>
      <c r="B672" s="95"/>
      <c r="C672" s="95"/>
      <c r="D672" s="94"/>
      <c r="E672" s="94"/>
      <c r="F672" s="96"/>
      <c r="G672" s="94"/>
      <c r="H672" s="96"/>
      <c r="I672" s="96"/>
      <c r="J672" s="92"/>
      <c r="K672" s="97"/>
      <c r="L672" s="99" t="str">
        <f ca="1">_xlfn.LET(
    _xlpm.res_no, J672,
    _xlpm.record_sheet, 'MatRes Record'!J:M,
    _xlpm.AllCellsFilled, COUNTA(A672:K672) = 11,
    _xlpm.QtyIsInt, AND(ISNUMBER(G672), G672=INT(G672)),
    _xlpm.ReqDateIsValid, AND(ISNUMBER(H672), H672&gt;=TODAY()),
    _xlpm.EmailIsValid, RIGHT(I672,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IF(A672="", "", IF(_xlpm.error_messages = "", "Yes", _xlpm.error_messages))
)</f>
        <v/>
      </c>
    </row>
    <row r="673" spans="1:12">
      <c r="A673" s="94"/>
      <c r="B673" s="95"/>
      <c r="C673" s="95"/>
      <c r="D673" s="94"/>
      <c r="E673" s="94"/>
      <c r="F673" s="96"/>
      <c r="G673" s="94"/>
      <c r="H673" s="96"/>
      <c r="I673" s="96"/>
      <c r="J673" s="92"/>
      <c r="K673" s="97"/>
      <c r="L673" s="99" t="str">
        <f ca="1">_xlfn.LET(
    _xlpm.res_no, J673,
    _xlpm.record_sheet, 'MatRes Record'!J:M,
    _xlpm.AllCellsFilled, COUNTA(A673:K673) = 11,
    _xlpm.QtyIsInt, AND(ISNUMBER(G673), G673=INT(G673)),
    _xlpm.ReqDateIsValid, AND(ISNUMBER(H673), H673&gt;=TODAY()),
    _xlpm.EmailIsValid, RIGHT(I673,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IF(A673="", "", IF(_xlpm.error_messages = "", "Yes", _xlpm.error_messages))
)</f>
        <v/>
      </c>
    </row>
    <row r="674" spans="1:12">
      <c r="A674" s="94"/>
      <c r="B674" s="95"/>
      <c r="C674" s="95"/>
      <c r="D674" s="94"/>
      <c r="E674" s="94"/>
      <c r="F674" s="96"/>
      <c r="G674" s="94"/>
      <c r="H674" s="96"/>
      <c r="I674" s="96"/>
      <c r="J674" s="92"/>
      <c r="K674" s="97"/>
      <c r="L674" s="99" t="str">
        <f ca="1">_xlfn.LET(
    _xlpm.res_no, J674,
    _xlpm.record_sheet, 'MatRes Record'!J:M,
    _xlpm.AllCellsFilled, COUNTA(A674:K674) = 11,
    _xlpm.QtyIsInt, AND(ISNUMBER(G674), G674=INT(G674)),
    _xlpm.ReqDateIsValid, AND(ISNUMBER(H674), H674&gt;=TODAY()),
    _xlpm.EmailIsValid, RIGHT(I674,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IF(A674="", "", IF(_xlpm.error_messages = "", "Yes", _xlpm.error_messages))
)</f>
        <v/>
      </c>
    </row>
    <row r="675" spans="1:12">
      <c r="A675" s="94"/>
      <c r="B675" s="95"/>
      <c r="C675" s="95"/>
      <c r="D675" s="94"/>
      <c r="E675" s="94"/>
      <c r="F675" s="96"/>
      <c r="G675" s="94"/>
      <c r="H675" s="96"/>
      <c r="I675" s="96"/>
      <c r="J675" s="92"/>
      <c r="K675" s="97"/>
      <c r="L675" s="99" t="str">
        <f ca="1">_xlfn.LET(
    _xlpm.res_no, J675,
    _xlpm.record_sheet, 'MatRes Record'!J:M,
    _xlpm.AllCellsFilled, COUNTA(A675:K675) = 11,
    _xlpm.QtyIsInt, AND(ISNUMBER(G675), G675=INT(G675)),
    _xlpm.ReqDateIsValid, AND(ISNUMBER(H675), H675&gt;=TODAY()),
    _xlpm.EmailIsValid, RIGHT(I675,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IF(A675="", "", IF(_xlpm.error_messages = "", "Yes", _xlpm.error_messages))
)</f>
        <v/>
      </c>
    </row>
    <row r="676" spans="1:12">
      <c r="A676" s="94"/>
      <c r="B676" s="95"/>
      <c r="C676" s="95"/>
      <c r="D676" s="94"/>
      <c r="E676" s="94"/>
      <c r="F676" s="96"/>
      <c r="G676" s="94"/>
      <c r="H676" s="96"/>
      <c r="I676" s="96"/>
      <c r="J676" s="92"/>
      <c r="K676" s="97"/>
      <c r="L676" s="99" t="str">
        <f ca="1">_xlfn.LET(
    _xlpm.res_no, J676,
    _xlpm.record_sheet, 'MatRes Record'!J:M,
    _xlpm.AllCellsFilled, COUNTA(A676:K676) = 11,
    _xlpm.QtyIsInt, AND(ISNUMBER(G676), G676=INT(G676)),
    _xlpm.ReqDateIsValid, AND(ISNUMBER(H676), H676&gt;=TODAY()),
    _xlpm.EmailIsValid, RIGHT(I676,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IF(A676="", "", IF(_xlpm.error_messages = "", "Yes", _xlpm.error_messages))
)</f>
        <v/>
      </c>
    </row>
    <row r="677" spans="1:12">
      <c r="A677" s="94"/>
      <c r="B677" s="95"/>
      <c r="C677" s="95"/>
      <c r="D677" s="94"/>
      <c r="E677" s="94"/>
      <c r="F677" s="96"/>
      <c r="G677" s="94"/>
      <c r="H677" s="96"/>
      <c r="I677" s="96"/>
      <c r="J677" s="92"/>
      <c r="K677" s="97"/>
      <c r="L677" s="99" t="str">
        <f ca="1">_xlfn.LET(
    _xlpm.res_no, J677,
    _xlpm.record_sheet, 'MatRes Record'!J:M,
    _xlpm.AllCellsFilled, COUNTA(A677:K677) = 11,
    _xlpm.QtyIsInt, AND(ISNUMBER(G677), G677=INT(G677)),
    _xlpm.ReqDateIsValid, AND(ISNUMBER(H677), H677&gt;=TODAY()),
    _xlpm.EmailIsValid, RIGHT(I677,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IF(A677="", "", IF(_xlpm.error_messages = "", "Yes", _xlpm.error_messages))
)</f>
        <v/>
      </c>
    </row>
    <row r="678" spans="1:12">
      <c r="A678" s="94"/>
      <c r="B678" s="95"/>
      <c r="C678" s="95"/>
      <c r="D678" s="94"/>
      <c r="E678" s="94"/>
      <c r="F678" s="96"/>
      <c r="G678" s="94"/>
      <c r="H678" s="96"/>
      <c r="I678" s="96"/>
      <c r="J678" s="92"/>
      <c r="K678" s="97"/>
      <c r="L678" s="99" t="str">
        <f ca="1">_xlfn.LET(
    _xlpm.res_no, J678,
    _xlpm.record_sheet, 'MatRes Record'!J:M,
    _xlpm.AllCellsFilled, COUNTA(A678:K678) = 11,
    _xlpm.QtyIsInt, AND(ISNUMBER(G678), G678=INT(G678)),
    _xlpm.ReqDateIsValid, AND(ISNUMBER(H678), H678&gt;=TODAY()),
    _xlpm.EmailIsValid, RIGHT(I678,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IF(A678="", "", IF(_xlpm.error_messages = "", "Yes", _xlpm.error_messages))
)</f>
        <v/>
      </c>
    </row>
    <row r="679" spans="1:12">
      <c r="A679" s="94"/>
      <c r="B679" s="95"/>
      <c r="C679" s="95"/>
      <c r="D679" s="94"/>
      <c r="E679" s="94"/>
      <c r="F679" s="96"/>
      <c r="G679" s="94"/>
      <c r="H679" s="96"/>
      <c r="I679" s="96"/>
      <c r="J679" s="92"/>
      <c r="K679" s="97"/>
      <c r="L679" s="99" t="str">
        <f ca="1">_xlfn.LET(
    _xlpm.res_no, J679,
    _xlpm.record_sheet, 'MatRes Record'!J:M,
    _xlpm.AllCellsFilled, COUNTA(A679:K679) = 11,
    _xlpm.QtyIsInt, AND(ISNUMBER(G679), G679=INT(G679)),
    _xlpm.ReqDateIsValid, AND(ISNUMBER(H679), H679&gt;=TODAY()),
    _xlpm.EmailIsValid, RIGHT(I679,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IF(A679="", "", IF(_xlpm.error_messages = "", "Yes", _xlpm.error_messages))
)</f>
        <v/>
      </c>
    </row>
    <row r="680" spans="1:12">
      <c r="A680" s="94"/>
      <c r="B680" s="95"/>
      <c r="C680" s="95"/>
      <c r="D680" s="94"/>
      <c r="E680" s="94"/>
      <c r="F680" s="96"/>
      <c r="G680" s="94"/>
      <c r="H680" s="96"/>
      <c r="I680" s="96"/>
      <c r="J680" s="92"/>
      <c r="K680" s="97"/>
      <c r="L680" s="99" t="str">
        <f ca="1">_xlfn.LET(
    _xlpm.res_no, J680,
    _xlpm.record_sheet, 'MatRes Record'!J:M,
    _xlpm.AllCellsFilled, COUNTA(A680:K680) = 11,
    _xlpm.QtyIsInt, AND(ISNUMBER(G680), G680=INT(G680)),
    _xlpm.ReqDateIsValid, AND(ISNUMBER(H680), H680&gt;=TODAY()),
    _xlpm.EmailIsValid, RIGHT(I680,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IF(A680="", "", IF(_xlpm.error_messages = "", "Yes", _xlpm.error_messages))
)</f>
        <v/>
      </c>
    </row>
    <row r="681" spans="1:12">
      <c r="A681" s="94"/>
      <c r="B681" s="95"/>
      <c r="C681" s="95"/>
      <c r="D681" s="94"/>
      <c r="E681" s="94"/>
      <c r="F681" s="96"/>
      <c r="G681" s="94"/>
      <c r="H681" s="96"/>
      <c r="I681" s="96"/>
      <c r="J681" s="92"/>
      <c r="K681" s="97"/>
      <c r="L681" s="99" t="str">
        <f ca="1">_xlfn.LET(
    _xlpm.res_no, J681,
    _xlpm.record_sheet, 'MatRes Record'!J:M,
    _xlpm.AllCellsFilled, COUNTA(A681:K681) = 11,
    _xlpm.QtyIsInt, AND(ISNUMBER(G681), G681=INT(G681)),
    _xlpm.ReqDateIsValid, AND(ISNUMBER(H681), H681&gt;=TODAY()),
    _xlpm.EmailIsValid, RIGHT(I681,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IF(A681="", "", IF(_xlpm.error_messages = "", "Yes", _xlpm.error_messages))
)</f>
        <v/>
      </c>
    </row>
    <row r="682" spans="1:12">
      <c r="A682" s="94"/>
      <c r="B682" s="95"/>
      <c r="C682" s="95"/>
      <c r="D682" s="94"/>
      <c r="E682" s="94"/>
      <c r="F682" s="96"/>
      <c r="G682" s="94"/>
      <c r="H682" s="96"/>
      <c r="I682" s="96"/>
      <c r="J682" s="92"/>
      <c r="K682" s="97"/>
      <c r="L682" s="99" t="str">
        <f ca="1">_xlfn.LET(
    _xlpm.res_no, J682,
    _xlpm.record_sheet, 'MatRes Record'!J:M,
    _xlpm.AllCellsFilled, COUNTA(A682:K682) = 11,
    _xlpm.QtyIsInt, AND(ISNUMBER(G682), G682=INT(G682)),
    _xlpm.ReqDateIsValid, AND(ISNUMBER(H682), H682&gt;=TODAY()),
    _xlpm.EmailIsValid, RIGHT(I682,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IF(A682="", "", IF(_xlpm.error_messages = "", "Yes", _xlpm.error_messages))
)</f>
        <v/>
      </c>
    </row>
    <row r="683" spans="1:12">
      <c r="A683" s="94"/>
      <c r="B683" s="95"/>
      <c r="C683" s="95"/>
      <c r="D683" s="94"/>
      <c r="E683" s="94"/>
      <c r="F683" s="96"/>
      <c r="G683" s="94"/>
      <c r="H683" s="96"/>
      <c r="I683" s="96"/>
      <c r="J683" s="92"/>
      <c r="K683" s="97"/>
      <c r="L683" s="99" t="str">
        <f ca="1">_xlfn.LET(
    _xlpm.res_no, J683,
    _xlpm.record_sheet, 'MatRes Record'!J:M,
    _xlpm.AllCellsFilled, COUNTA(A683:K683) = 11,
    _xlpm.QtyIsInt, AND(ISNUMBER(G683), G683=INT(G683)),
    _xlpm.ReqDateIsValid, AND(ISNUMBER(H683), H683&gt;=TODAY()),
    _xlpm.EmailIsValid, RIGHT(I683,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IF(A683="", "", IF(_xlpm.error_messages = "", "Yes", _xlpm.error_messages))
)</f>
        <v/>
      </c>
    </row>
    <row r="684" spans="1:12">
      <c r="A684" s="94"/>
      <c r="B684" s="95"/>
      <c r="C684" s="95"/>
      <c r="D684" s="94"/>
      <c r="E684" s="94"/>
      <c r="F684" s="96"/>
      <c r="G684" s="94"/>
      <c r="H684" s="96"/>
      <c r="I684" s="96"/>
      <c r="J684" s="92"/>
      <c r="K684" s="97"/>
      <c r="L684" s="99" t="str">
        <f ca="1">_xlfn.LET(
    _xlpm.res_no, J684,
    _xlpm.record_sheet, 'MatRes Record'!J:M,
    _xlpm.AllCellsFilled, COUNTA(A684:K684) = 11,
    _xlpm.QtyIsInt, AND(ISNUMBER(G684), G684=INT(G684)),
    _xlpm.ReqDateIsValid, AND(ISNUMBER(H684), H684&gt;=TODAY()),
    _xlpm.EmailIsValid, RIGHT(I684,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IF(A684="", "", IF(_xlpm.error_messages = "", "Yes", _xlpm.error_messages))
)</f>
        <v/>
      </c>
    </row>
    <row r="685" spans="1:12">
      <c r="A685" s="94"/>
      <c r="B685" s="95"/>
      <c r="C685" s="95"/>
      <c r="D685" s="94"/>
      <c r="E685" s="94"/>
      <c r="F685" s="96"/>
      <c r="G685" s="94"/>
      <c r="H685" s="96"/>
      <c r="I685" s="96"/>
      <c r="J685" s="92"/>
      <c r="K685" s="97"/>
      <c r="L685" s="99" t="str">
        <f ca="1">_xlfn.LET(
    _xlpm.res_no, J685,
    _xlpm.record_sheet, 'MatRes Record'!J:M,
    _xlpm.AllCellsFilled, COUNTA(A685:K685) = 11,
    _xlpm.QtyIsInt, AND(ISNUMBER(G685), G685=INT(G685)),
    _xlpm.ReqDateIsValid, AND(ISNUMBER(H685), H685&gt;=TODAY()),
    _xlpm.EmailIsValid, RIGHT(I685,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IF(A685="", "", IF(_xlpm.error_messages = "", "Yes", _xlpm.error_messages))
)</f>
        <v/>
      </c>
    </row>
    <row r="686" spans="1:12">
      <c r="A686" s="94"/>
      <c r="B686" s="95"/>
      <c r="C686" s="95"/>
      <c r="D686" s="94"/>
      <c r="E686" s="94"/>
      <c r="F686" s="96"/>
      <c r="G686" s="94"/>
      <c r="H686" s="96"/>
      <c r="I686" s="96"/>
      <c r="J686" s="92"/>
      <c r="K686" s="97"/>
      <c r="L686" s="99" t="str">
        <f ca="1">_xlfn.LET(
    _xlpm.res_no, J686,
    _xlpm.record_sheet, 'MatRes Record'!J:M,
    _xlpm.AllCellsFilled, COUNTA(A686:K686) = 11,
    _xlpm.QtyIsInt, AND(ISNUMBER(G686), G686=INT(G686)),
    _xlpm.ReqDateIsValid, AND(ISNUMBER(H686), H686&gt;=TODAY()),
    _xlpm.EmailIsValid, RIGHT(I686,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IF(A686="", "", IF(_xlpm.error_messages = "", "Yes", _xlpm.error_messages))
)</f>
        <v/>
      </c>
    </row>
    <row r="687" spans="1:12">
      <c r="A687" s="94"/>
      <c r="B687" s="95"/>
      <c r="C687" s="95"/>
      <c r="D687" s="94"/>
      <c r="E687" s="94"/>
      <c r="F687" s="96"/>
      <c r="G687" s="94"/>
      <c r="H687" s="96"/>
      <c r="I687" s="96"/>
      <c r="J687" s="92"/>
      <c r="K687" s="97"/>
      <c r="L687" s="99" t="str">
        <f ca="1">_xlfn.LET(
    _xlpm.res_no, J687,
    _xlpm.record_sheet, 'MatRes Record'!J:M,
    _xlpm.AllCellsFilled, COUNTA(A687:K687) = 11,
    _xlpm.QtyIsInt, AND(ISNUMBER(G687), G687=INT(G687)),
    _xlpm.ReqDateIsValid, AND(ISNUMBER(H687), H687&gt;=TODAY()),
    _xlpm.EmailIsValid, RIGHT(I687,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IF(A687="", "", IF(_xlpm.error_messages = "", "Yes", _xlpm.error_messages))
)</f>
        <v/>
      </c>
    </row>
    <row r="688" spans="1:12">
      <c r="A688" s="94"/>
      <c r="B688" s="95"/>
      <c r="C688" s="95"/>
      <c r="D688" s="94"/>
      <c r="E688" s="94"/>
      <c r="F688" s="96"/>
      <c r="G688" s="94"/>
      <c r="H688" s="96"/>
      <c r="I688" s="96"/>
      <c r="J688" s="92"/>
      <c r="K688" s="97"/>
      <c r="L688" s="99" t="str">
        <f ca="1">_xlfn.LET(
    _xlpm.res_no, J688,
    _xlpm.record_sheet, 'MatRes Record'!J:M,
    _xlpm.AllCellsFilled, COUNTA(A688:K688) = 11,
    _xlpm.QtyIsInt, AND(ISNUMBER(G688), G688=INT(G688)),
    _xlpm.ReqDateIsValid, AND(ISNUMBER(H688), H688&gt;=TODAY()),
    _xlpm.EmailIsValid, RIGHT(I688,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IF(A688="", "", IF(_xlpm.error_messages = "", "Yes", _xlpm.error_messages))
)</f>
        <v/>
      </c>
    </row>
    <row r="689" spans="1:12">
      <c r="A689" s="94"/>
      <c r="B689" s="95"/>
      <c r="C689" s="95"/>
      <c r="D689" s="94"/>
      <c r="E689" s="94"/>
      <c r="F689" s="96"/>
      <c r="G689" s="94"/>
      <c r="H689" s="96"/>
      <c r="I689" s="96"/>
      <c r="J689" s="92"/>
      <c r="K689" s="97"/>
      <c r="L689" s="99" t="str">
        <f ca="1">_xlfn.LET(
    _xlpm.res_no, J689,
    _xlpm.record_sheet, 'MatRes Record'!J:M,
    _xlpm.AllCellsFilled, COUNTA(A689:K689) = 11,
    _xlpm.QtyIsInt, AND(ISNUMBER(G689), G689=INT(G689)),
    _xlpm.ReqDateIsValid, AND(ISNUMBER(H689), H689&gt;=TODAY()),
    _xlpm.EmailIsValid, RIGHT(I689,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IF(A689="", "", IF(_xlpm.error_messages = "", "Yes", _xlpm.error_messages))
)</f>
        <v/>
      </c>
    </row>
    <row r="690" spans="1:12">
      <c r="A690" s="94"/>
      <c r="B690" s="95"/>
      <c r="C690" s="95"/>
      <c r="D690" s="94"/>
      <c r="E690" s="94"/>
      <c r="F690" s="96"/>
      <c r="G690" s="94"/>
      <c r="H690" s="96"/>
      <c r="I690" s="96"/>
      <c r="J690" s="92"/>
      <c r="K690" s="97"/>
      <c r="L690" s="99" t="str">
        <f ca="1">_xlfn.LET(
    _xlpm.res_no, J690,
    _xlpm.record_sheet, 'MatRes Record'!J:M,
    _xlpm.AllCellsFilled, COUNTA(A690:K690) = 11,
    _xlpm.QtyIsInt, AND(ISNUMBER(G690), G690=INT(G690)),
    _xlpm.ReqDateIsValid, AND(ISNUMBER(H690), H690&gt;=TODAY()),
    _xlpm.EmailIsValid, RIGHT(I690,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IF(A690="", "", IF(_xlpm.error_messages = "", "Yes", _xlpm.error_messages))
)</f>
        <v/>
      </c>
    </row>
    <row r="691" spans="1:12">
      <c r="A691" s="94"/>
      <c r="B691" s="95"/>
      <c r="C691" s="95"/>
      <c r="D691" s="94"/>
      <c r="E691" s="94"/>
      <c r="F691" s="96"/>
      <c r="G691" s="94"/>
      <c r="H691" s="96"/>
      <c r="I691" s="96"/>
      <c r="J691" s="92"/>
      <c r="K691" s="97"/>
      <c r="L691" s="99" t="str">
        <f ca="1">_xlfn.LET(
    _xlpm.res_no, J691,
    _xlpm.record_sheet, 'MatRes Record'!J:M,
    _xlpm.AllCellsFilled, COUNTA(A691:K691) = 11,
    _xlpm.QtyIsInt, AND(ISNUMBER(G691), G691=INT(G691)),
    _xlpm.ReqDateIsValid, AND(ISNUMBER(H691), H691&gt;=TODAY()),
    _xlpm.EmailIsValid, RIGHT(I691,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IF(A691="", "", IF(_xlpm.error_messages = "", "Yes", _xlpm.error_messages))
)</f>
        <v/>
      </c>
    </row>
    <row r="692" spans="1:12">
      <c r="A692" s="94"/>
      <c r="B692" s="95"/>
      <c r="C692" s="95"/>
      <c r="D692" s="94"/>
      <c r="E692" s="94"/>
      <c r="F692" s="96"/>
      <c r="G692" s="94"/>
      <c r="H692" s="96"/>
      <c r="I692" s="96"/>
      <c r="J692" s="92"/>
      <c r="K692" s="97"/>
      <c r="L692" s="99" t="str">
        <f ca="1">_xlfn.LET(
    _xlpm.res_no, J692,
    _xlpm.record_sheet, 'MatRes Record'!J:M,
    _xlpm.AllCellsFilled, COUNTA(A692:K692) = 11,
    _xlpm.QtyIsInt, AND(ISNUMBER(G692), G692=INT(G692)),
    _xlpm.ReqDateIsValid, AND(ISNUMBER(H692), H692&gt;=TODAY()),
    _xlpm.EmailIsValid, RIGHT(I692,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IF(A692="", "", IF(_xlpm.error_messages = "", "Yes", _xlpm.error_messages))
)</f>
        <v/>
      </c>
    </row>
    <row r="693" spans="1:12">
      <c r="A693" s="94"/>
      <c r="B693" s="95"/>
      <c r="C693" s="95"/>
      <c r="D693" s="94"/>
      <c r="E693" s="94"/>
      <c r="F693" s="96"/>
      <c r="G693" s="94"/>
      <c r="H693" s="96"/>
      <c r="I693" s="96"/>
      <c r="J693" s="92"/>
      <c r="K693" s="97"/>
      <c r="L693" s="99" t="str">
        <f ca="1">_xlfn.LET(
    _xlpm.res_no, J693,
    _xlpm.record_sheet, 'MatRes Record'!J:M,
    _xlpm.AllCellsFilled, COUNTA(A693:K693) = 11,
    _xlpm.QtyIsInt, AND(ISNUMBER(G693), G693=INT(G693)),
    _xlpm.ReqDateIsValid, AND(ISNUMBER(H693), H693&gt;=TODAY()),
    _xlpm.EmailIsValid, RIGHT(I693,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IF(A693="", "", IF(_xlpm.error_messages = "", "Yes", _xlpm.error_messages))
)</f>
        <v/>
      </c>
    </row>
    <row r="694" spans="1:12">
      <c r="A694" s="94"/>
      <c r="B694" s="95"/>
      <c r="C694" s="95"/>
      <c r="D694" s="94"/>
      <c r="E694" s="94"/>
      <c r="F694" s="96"/>
      <c r="G694" s="94"/>
      <c r="H694" s="96"/>
      <c r="I694" s="96"/>
      <c r="J694" s="92"/>
      <c r="K694" s="97"/>
      <c r="L694" s="99" t="str">
        <f ca="1">_xlfn.LET(
    _xlpm.res_no, J694,
    _xlpm.record_sheet, 'MatRes Record'!J:M,
    _xlpm.AllCellsFilled, COUNTA(A694:K694) = 11,
    _xlpm.QtyIsInt, AND(ISNUMBER(G694), G694=INT(G694)),
    _xlpm.ReqDateIsValid, AND(ISNUMBER(H694), H694&gt;=TODAY()),
    _xlpm.EmailIsValid, RIGHT(I694,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IF(A694="", "", IF(_xlpm.error_messages = "", "Yes", _xlpm.error_messages))
)</f>
        <v/>
      </c>
    </row>
    <row r="695" spans="1:12">
      <c r="A695" s="94"/>
      <c r="B695" s="95"/>
      <c r="C695" s="95"/>
      <c r="D695" s="94"/>
      <c r="E695" s="94"/>
      <c r="F695" s="96"/>
      <c r="G695" s="94"/>
      <c r="H695" s="96"/>
      <c r="I695" s="96"/>
      <c r="J695" s="92"/>
      <c r="K695" s="97"/>
      <c r="L695" s="99" t="str">
        <f ca="1">_xlfn.LET(
    _xlpm.res_no, J695,
    _xlpm.record_sheet, 'MatRes Record'!J:M,
    _xlpm.AllCellsFilled, COUNTA(A695:K695) = 11,
    _xlpm.QtyIsInt, AND(ISNUMBER(G695), G695=INT(G695)),
    _xlpm.ReqDateIsValid, AND(ISNUMBER(H695), H695&gt;=TODAY()),
    _xlpm.EmailIsValid, RIGHT(I695,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IF(A695="", "", IF(_xlpm.error_messages = "", "Yes", _xlpm.error_messages))
)</f>
        <v/>
      </c>
    </row>
    <row r="696" spans="1:12">
      <c r="A696" s="94"/>
      <c r="B696" s="95"/>
      <c r="C696" s="95"/>
      <c r="D696" s="94"/>
      <c r="E696" s="94"/>
      <c r="F696" s="96"/>
      <c r="G696" s="94"/>
      <c r="H696" s="96"/>
      <c r="I696" s="96"/>
      <c r="J696" s="92"/>
      <c r="K696" s="97"/>
      <c r="L696" s="99" t="str">
        <f ca="1">_xlfn.LET(
    _xlpm.res_no, J696,
    _xlpm.record_sheet, 'MatRes Record'!J:M,
    _xlpm.AllCellsFilled, COUNTA(A696:K696) = 11,
    _xlpm.QtyIsInt, AND(ISNUMBER(G696), G696=INT(G696)),
    _xlpm.ReqDateIsValid, AND(ISNUMBER(H696), H696&gt;=TODAY()),
    _xlpm.EmailIsValid, RIGHT(I696,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IF(A696="", "", IF(_xlpm.error_messages = "", "Yes", _xlpm.error_messages))
)</f>
        <v/>
      </c>
    </row>
    <row r="697" spans="1:12">
      <c r="A697" s="94"/>
      <c r="B697" s="95"/>
      <c r="C697" s="95"/>
      <c r="D697" s="94"/>
      <c r="E697" s="94"/>
      <c r="F697" s="96"/>
      <c r="G697" s="94"/>
      <c r="H697" s="96"/>
      <c r="I697" s="96"/>
      <c r="J697" s="92"/>
      <c r="K697" s="97"/>
      <c r="L697" s="99" t="str">
        <f ca="1">_xlfn.LET(
    _xlpm.res_no, J697,
    _xlpm.record_sheet, 'MatRes Record'!J:M,
    _xlpm.AllCellsFilled, COUNTA(A697:K697) = 11,
    _xlpm.QtyIsInt, AND(ISNUMBER(G697), G697=INT(G697)),
    _xlpm.ReqDateIsValid, AND(ISNUMBER(H697), H697&gt;=TODAY()),
    _xlpm.EmailIsValid, RIGHT(I697,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IF(A697="", "", IF(_xlpm.error_messages = "", "Yes", _xlpm.error_messages))
)</f>
        <v/>
      </c>
    </row>
    <row r="698" spans="1:12">
      <c r="A698" s="94"/>
      <c r="B698" s="95"/>
      <c r="C698" s="95"/>
      <c r="D698" s="94"/>
      <c r="E698" s="94"/>
      <c r="F698" s="96"/>
      <c r="G698" s="94"/>
      <c r="H698" s="96"/>
      <c r="I698" s="96"/>
      <c r="J698" s="92"/>
      <c r="K698" s="97"/>
      <c r="L698" s="99" t="str">
        <f ca="1">_xlfn.LET(
    _xlpm.res_no, J698,
    _xlpm.record_sheet, 'MatRes Record'!J:M,
    _xlpm.AllCellsFilled, COUNTA(A698:K698) = 11,
    _xlpm.QtyIsInt, AND(ISNUMBER(G698), G698=INT(G698)),
    _xlpm.ReqDateIsValid, AND(ISNUMBER(H698), H698&gt;=TODAY()),
    _xlpm.EmailIsValid, RIGHT(I698,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IF(A698="", "", IF(_xlpm.error_messages = "", "Yes", _xlpm.error_messages))
)</f>
        <v/>
      </c>
    </row>
    <row r="699" spans="1:12">
      <c r="A699" s="94"/>
      <c r="B699" s="95"/>
      <c r="C699" s="95"/>
      <c r="D699" s="94"/>
      <c r="E699" s="94"/>
      <c r="F699" s="96"/>
      <c r="G699" s="94"/>
      <c r="H699" s="96"/>
      <c r="I699" s="96"/>
      <c r="J699" s="92"/>
      <c r="K699" s="97"/>
      <c r="L699" s="99" t="str">
        <f ca="1">_xlfn.LET(
    _xlpm.res_no, J699,
    _xlpm.record_sheet, 'MatRes Record'!J:M,
    _xlpm.AllCellsFilled, COUNTA(A699:K699) = 11,
    _xlpm.QtyIsInt, AND(ISNUMBER(G699), G699=INT(G699)),
    _xlpm.ReqDateIsValid, AND(ISNUMBER(H699), H699&gt;=TODAY()),
    _xlpm.EmailIsValid, RIGHT(I699,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IF(A699="", "", IF(_xlpm.error_messages = "", "Yes", _xlpm.error_messages))
)</f>
        <v/>
      </c>
    </row>
    <row r="700" spans="1:12">
      <c r="A700" s="94"/>
      <c r="B700" s="95"/>
      <c r="C700" s="95"/>
      <c r="D700" s="94"/>
      <c r="E700" s="94"/>
      <c r="F700" s="96"/>
      <c r="G700" s="94"/>
      <c r="H700" s="96"/>
      <c r="I700" s="96"/>
      <c r="J700" s="92"/>
      <c r="K700" s="97"/>
      <c r="L700" s="99" t="str">
        <f ca="1">_xlfn.LET(
    _xlpm.res_no, J700,
    _xlpm.record_sheet, 'MatRes Record'!J:M,
    _xlpm.AllCellsFilled, COUNTA(A700:K700) = 11,
    _xlpm.QtyIsInt, AND(ISNUMBER(G700), G700=INT(G700)),
    _xlpm.ReqDateIsValid, AND(ISNUMBER(H700), H700&gt;=TODAY()),
    _xlpm.EmailIsValid, RIGHT(I700,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IF(A700="", "", IF(_xlpm.error_messages = "", "Yes", _xlpm.error_messages))
)</f>
        <v/>
      </c>
    </row>
    <row r="701" spans="1:12">
      <c r="A701" s="94"/>
      <c r="B701" s="95"/>
      <c r="C701" s="95"/>
      <c r="D701" s="94"/>
      <c r="E701" s="94"/>
      <c r="F701" s="96"/>
      <c r="G701" s="94"/>
      <c r="H701" s="96"/>
      <c r="I701" s="96"/>
      <c r="J701" s="92"/>
      <c r="K701" s="97"/>
      <c r="L701" s="99" t="str">
        <f ca="1">_xlfn.LET(
    _xlpm.res_no, J701,
    _xlpm.record_sheet, 'MatRes Record'!J:M,
    _xlpm.AllCellsFilled, COUNTA(A701:K701) = 11,
    _xlpm.QtyIsInt, AND(ISNUMBER(G701), G701=INT(G701)),
    _xlpm.ReqDateIsValid, AND(ISNUMBER(H701), H701&gt;=TODAY()),
    _xlpm.EmailIsValid, RIGHT(I701,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IF(A701="", "", IF(_xlpm.error_messages = "", "Yes", _xlpm.error_messages))
)</f>
        <v/>
      </c>
    </row>
    <row r="702" spans="1:12">
      <c r="A702" s="94"/>
      <c r="B702" s="95"/>
      <c r="C702" s="95"/>
      <c r="D702" s="94"/>
      <c r="E702" s="94"/>
      <c r="F702" s="96"/>
      <c r="G702" s="94"/>
      <c r="H702" s="96"/>
      <c r="I702" s="96"/>
      <c r="J702" s="92"/>
      <c r="K702" s="97"/>
      <c r="L702" s="99" t="str">
        <f ca="1">_xlfn.LET(
    _xlpm.res_no, J702,
    _xlpm.record_sheet, 'MatRes Record'!J:M,
    _xlpm.AllCellsFilled, COUNTA(A702:K702) = 11,
    _xlpm.QtyIsInt, AND(ISNUMBER(G702), G702=INT(G702)),
    _xlpm.ReqDateIsValid, AND(ISNUMBER(H702), H702&gt;=TODAY()),
    _xlpm.EmailIsValid, RIGHT(I702,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IF(A702="", "", IF(_xlpm.error_messages = "", "Yes", _xlpm.error_messages))
)</f>
        <v/>
      </c>
    </row>
    <row r="703" spans="1:12">
      <c r="A703" s="94"/>
      <c r="B703" s="95"/>
      <c r="C703" s="95"/>
      <c r="D703" s="94"/>
      <c r="E703" s="94"/>
      <c r="F703" s="96"/>
      <c r="G703" s="94"/>
      <c r="H703" s="96"/>
      <c r="I703" s="96"/>
      <c r="J703" s="92"/>
      <c r="K703" s="97"/>
      <c r="L703" s="99" t="str">
        <f ca="1">_xlfn.LET(
    _xlpm.res_no, J703,
    _xlpm.record_sheet, 'MatRes Record'!J:M,
    _xlpm.AllCellsFilled, COUNTA(A703:K703) = 11,
    _xlpm.QtyIsInt, AND(ISNUMBER(G703), G703=INT(G703)),
    _xlpm.ReqDateIsValid, AND(ISNUMBER(H703), H703&gt;=TODAY()),
    _xlpm.EmailIsValid, RIGHT(I703,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IF(A703="", "", IF(_xlpm.error_messages = "", "Yes", _xlpm.error_messages))
)</f>
        <v/>
      </c>
    </row>
    <row r="704" spans="1:12">
      <c r="A704" s="94"/>
      <c r="B704" s="95"/>
      <c r="C704" s="95"/>
      <c r="D704" s="94"/>
      <c r="E704" s="94"/>
      <c r="F704" s="96"/>
      <c r="G704" s="94"/>
      <c r="H704" s="96"/>
      <c r="I704" s="96"/>
      <c r="J704" s="92"/>
      <c r="K704" s="97"/>
      <c r="L704" s="99" t="str">
        <f ca="1">_xlfn.LET(
    _xlpm.res_no, J704,
    _xlpm.record_sheet, 'MatRes Record'!J:M,
    _xlpm.AllCellsFilled, COUNTA(A704:K704) = 11,
    _xlpm.QtyIsInt, AND(ISNUMBER(G704), G704=INT(G704)),
    _xlpm.ReqDateIsValid, AND(ISNUMBER(H704), H704&gt;=TODAY()),
    _xlpm.EmailIsValid, RIGHT(I704,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IF(A704="", "", IF(_xlpm.error_messages = "", "Yes", _xlpm.error_messages))
)</f>
        <v/>
      </c>
    </row>
    <row r="705" spans="1:12">
      <c r="A705" s="94"/>
      <c r="B705" s="95"/>
      <c r="C705" s="95"/>
      <c r="D705" s="94"/>
      <c r="E705" s="94"/>
      <c r="F705" s="96"/>
      <c r="G705" s="94"/>
      <c r="H705" s="96"/>
      <c r="I705" s="96"/>
      <c r="J705" s="92"/>
      <c r="K705" s="97"/>
      <c r="L705" s="99" t="str">
        <f ca="1">_xlfn.LET(
    _xlpm.res_no, J705,
    _xlpm.record_sheet, 'MatRes Record'!J:M,
    _xlpm.AllCellsFilled, COUNTA(A705:K705) = 11,
    _xlpm.QtyIsInt, AND(ISNUMBER(G705), G705=INT(G705)),
    _xlpm.ReqDateIsValid, AND(ISNUMBER(H705), H705&gt;=TODAY()),
    _xlpm.EmailIsValid, RIGHT(I705,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IF(A705="", "", IF(_xlpm.error_messages = "", "Yes", _xlpm.error_messages))
)</f>
        <v/>
      </c>
    </row>
    <row r="706" spans="1:12">
      <c r="A706" s="94"/>
      <c r="B706" s="95"/>
      <c r="C706" s="95"/>
      <c r="D706" s="94"/>
      <c r="E706" s="94"/>
      <c r="F706" s="96"/>
      <c r="G706" s="94"/>
      <c r="H706" s="96"/>
      <c r="I706" s="96"/>
      <c r="J706" s="92"/>
      <c r="K706" s="97"/>
      <c r="L706" s="99" t="str">
        <f ca="1">_xlfn.LET(
    _xlpm.res_no, J706,
    _xlpm.record_sheet, 'MatRes Record'!J:M,
    _xlpm.AllCellsFilled, COUNTA(A706:K706) = 11,
    _xlpm.QtyIsInt, AND(ISNUMBER(G706), G706=INT(G706)),
    _xlpm.ReqDateIsValid, AND(ISNUMBER(H706), H706&gt;=TODAY()),
    _xlpm.EmailIsValid, RIGHT(I706,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IF(A706="", "", IF(_xlpm.error_messages = "", "Yes", _xlpm.error_messages))
)</f>
        <v/>
      </c>
    </row>
    <row r="707" spans="1:12">
      <c r="A707" s="94"/>
      <c r="B707" s="95"/>
      <c r="C707" s="95"/>
      <c r="D707" s="94"/>
      <c r="E707" s="94"/>
      <c r="F707" s="96"/>
      <c r="G707" s="94"/>
      <c r="H707" s="96"/>
      <c r="I707" s="96"/>
      <c r="J707" s="92"/>
      <c r="K707" s="97"/>
      <c r="L707" s="99" t="str">
        <f ca="1">_xlfn.LET(
    _xlpm.res_no, J707,
    _xlpm.record_sheet, 'MatRes Record'!J:M,
    _xlpm.AllCellsFilled, COUNTA(A707:K707) = 11,
    _xlpm.QtyIsInt, AND(ISNUMBER(G707), G707=INT(G707)),
    _xlpm.ReqDateIsValid, AND(ISNUMBER(H707), H707&gt;=TODAY()),
    _xlpm.EmailIsValid, RIGHT(I707,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IF(A707="", "", IF(_xlpm.error_messages = "", "Yes", _xlpm.error_messages))
)</f>
        <v/>
      </c>
    </row>
    <row r="708" spans="1:12">
      <c r="A708" s="94"/>
      <c r="B708" s="95"/>
      <c r="C708" s="95"/>
      <c r="D708" s="94"/>
      <c r="E708" s="94"/>
      <c r="F708" s="96"/>
      <c r="G708" s="94"/>
      <c r="H708" s="96"/>
      <c r="I708" s="96"/>
      <c r="J708" s="92"/>
      <c r="K708" s="97"/>
      <c r="L708" s="99" t="str">
        <f ca="1">_xlfn.LET(
    _xlpm.res_no, J708,
    _xlpm.record_sheet, 'MatRes Record'!J:M,
    _xlpm.AllCellsFilled, COUNTA(A708:K708) = 11,
    _xlpm.QtyIsInt, AND(ISNUMBER(G708), G708=INT(G708)),
    _xlpm.ReqDateIsValid, AND(ISNUMBER(H708), H708&gt;=TODAY()),
    _xlpm.EmailIsValid, RIGHT(I708,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IF(A708="", "", IF(_xlpm.error_messages = "", "Yes", _xlpm.error_messages))
)</f>
        <v/>
      </c>
    </row>
    <row r="709" spans="1:12">
      <c r="A709" s="94"/>
      <c r="B709" s="95"/>
      <c r="C709" s="95"/>
      <c r="D709" s="94"/>
      <c r="E709" s="94"/>
      <c r="F709" s="96"/>
      <c r="G709" s="94"/>
      <c r="H709" s="96"/>
      <c r="I709" s="96"/>
      <c r="J709" s="92"/>
      <c r="K709" s="97"/>
      <c r="L709" s="99" t="str">
        <f ca="1">_xlfn.LET(
    _xlpm.res_no, J709,
    _xlpm.record_sheet, 'MatRes Record'!J:M,
    _xlpm.AllCellsFilled, COUNTA(A709:K709) = 11,
    _xlpm.QtyIsInt, AND(ISNUMBER(G709), G709=INT(G709)),
    _xlpm.ReqDateIsValid, AND(ISNUMBER(H709), H709&gt;=TODAY()),
    _xlpm.EmailIsValid, RIGHT(I709,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IF(A709="", "", IF(_xlpm.error_messages = "", "Yes", _xlpm.error_messages))
)</f>
        <v/>
      </c>
    </row>
    <row r="710" spans="1:12">
      <c r="A710" s="94"/>
      <c r="B710" s="95"/>
      <c r="C710" s="95"/>
      <c r="D710" s="94"/>
      <c r="E710" s="94"/>
      <c r="F710" s="96"/>
      <c r="G710" s="94"/>
      <c r="H710" s="96"/>
      <c r="I710" s="96"/>
      <c r="J710" s="92"/>
      <c r="K710" s="97"/>
      <c r="L710" s="99" t="str">
        <f ca="1">_xlfn.LET(
    _xlpm.res_no, J710,
    _xlpm.record_sheet, 'MatRes Record'!J:M,
    _xlpm.AllCellsFilled, COUNTA(A710:K710) = 11,
    _xlpm.QtyIsInt, AND(ISNUMBER(G710), G710=INT(G710)),
    _xlpm.ReqDateIsValid, AND(ISNUMBER(H710), H710&gt;=TODAY()),
    _xlpm.EmailIsValid, RIGHT(I710,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IF(A710="", "", IF(_xlpm.error_messages = "", "Yes", _xlpm.error_messages))
)</f>
        <v/>
      </c>
    </row>
    <row r="711" spans="1:12">
      <c r="A711" s="94"/>
      <c r="B711" s="95"/>
      <c r="C711" s="95"/>
      <c r="D711" s="94"/>
      <c r="E711" s="94"/>
      <c r="F711" s="96"/>
      <c r="G711" s="94"/>
      <c r="H711" s="96"/>
      <c r="I711" s="96"/>
      <c r="J711" s="92"/>
      <c r="K711" s="97"/>
      <c r="L711" s="99" t="str">
        <f ca="1">_xlfn.LET(
    _xlpm.res_no, J711,
    _xlpm.record_sheet, 'MatRes Record'!J:M,
    _xlpm.AllCellsFilled, COUNTA(A711:K711) = 11,
    _xlpm.QtyIsInt, AND(ISNUMBER(G711), G711=INT(G711)),
    _xlpm.ReqDateIsValid, AND(ISNUMBER(H711), H711&gt;=TODAY()),
    _xlpm.EmailIsValid, RIGHT(I711,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IF(A711="", "", IF(_xlpm.error_messages = "", "Yes", _xlpm.error_messages))
)</f>
        <v/>
      </c>
    </row>
    <row r="712" spans="1:12">
      <c r="A712" s="94"/>
      <c r="B712" s="95"/>
      <c r="C712" s="95"/>
      <c r="D712" s="94"/>
      <c r="E712" s="94"/>
      <c r="F712" s="96"/>
      <c r="G712" s="94"/>
      <c r="H712" s="96"/>
      <c r="I712" s="96"/>
      <c r="J712" s="92"/>
      <c r="K712" s="97"/>
      <c r="L712" s="99" t="str">
        <f ca="1">_xlfn.LET(
    _xlpm.res_no, J712,
    _xlpm.record_sheet, 'MatRes Record'!J:M,
    _xlpm.AllCellsFilled, COUNTA(A712:K712) = 11,
    _xlpm.QtyIsInt, AND(ISNUMBER(G712), G712=INT(G712)),
    _xlpm.ReqDateIsValid, AND(ISNUMBER(H712), H712&gt;=TODAY()),
    _xlpm.EmailIsValid, RIGHT(I712,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IF(A712="", "", IF(_xlpm.error_messages = "", "Yes", _xlpm.error_messages))
)</f>
        <v/>
      </c>
    </row>
    <row r="713" spans="1:12">
      <c r="A713" s="94"/>
      <c r="B713" s="95"/>
      <c r="C713" s="95"/>
      <c r="D713" s="94"/>
      <c r="E713" s="94"/>
      <c r="F713" s="96"/>
      <c r="G713" s="94"/>
      <c r="H713" s="96"/>
      <c r="I713" s="96"/>
      <c r="J713" s="92"/>
      <c r="K713" s="97"/>
      <c r="L713" s="99" t="str">
        <f ca="1">_xlfn.LET(
    _xlpm.res_no, J713,
    _xlpm.record_sheet, 'MatRes Record'!J:M,
    _xlpm.AllCellsFilled, COUNTA(A713:K713) = 11,
    _xlpm.QtyIsInt, AND(ISNUMBER(G713), G713=INT(G713)),
    _xlpm.ReqDateIsValid, AND(ISNUMBER(H713), H713&gt;=TODAY()),
    _xlpm.EmailIsValid, RIGHT(I713,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IF(A713="", "", IF(_xlpm.error_messages = "", "Yes", _xlpm.error_messages))
)</f>
        <v/>
      </c>
    </row>
    <row r="714" spans="1:12">
      <c r="A714" s="94"/>
      <c r="B714" s="95"/>
      <c r="C714" s="95"/>
      <c r="D714" s="94"/>
      <c r="E714" s="94"/>
      <c r="F714" s="96"/>
      <c r="G714" s="94"/>
      <c r="H714" s="96"/>
      <c r="I714" s="96"/>
      <c r="J714" s="92"/>
      <c r="K714" s="97"/>
      <c r="L714" s="99" t="str">
        <f ca="1">_xlfn.LET(
    _xlpm.res_no, J714,
    _xlpm.record_sheet, 'MatRes Record'!J:M,
    _xlpm.AllCellsFilled, COUNTA(A714:K714) = 11,
    _xlpm.QtyIsInt, AND(ISNUMBER(G714), G714=INT(G714)),
    _xlpm.ReqDateIsValid, AND(ISNUMBER(H714), H714&gt;=TODAY()),
    _xlpm.EmailIsValid, RIGHT(I714,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IF(A714="", "", IF(_xlpm.error_messages = "", "Yes", _xlpm.error_messages))
)</f>
        <v/>
      </c>
    </row>
    <row r="715" spans="1:12">
      <c r="A715" s="94"/>
      <c r="B715" s="95"/>
      <c r="C715" s="95"/>
      <c r="D715" s="94"/>
      <c r="E715" s="94"/>
      <c r="F715" s="96"/>
      <c r="G715" s="94"/>
      <c r="H715" s="96"/>
      <c r="I715" s="96"/>
      <c r="J715" s="92"/>
      <c r="K715" s="97"/>
      <c r="L715" s="99" t="str">
        <f ca="1">_xlfn.LET(
    _xlpm.res_no, J715,
    _xlpm.record_sheet, 'MatRes Record'!J:M,
    _xlpm.AllCellsFilled, COUNTA(A715:K715) = 11,
    _xlpm.QtyIsInt, AND(ISNUMBER(G715), G715=INT(G715)),
    _xlpm.ReqDateIsValid, AND(ISNUMBER(H715), H715&gt;=TODAY()),
    _xlpm.EmailIsValid, RIGHT(I715,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IF(A715="", "", IF(_xlpm.error_messages = "", "Yes", _xlpm.error_messages))
)</f>
        <v/>
      </c>
    </row>
    <row r="716" spans="1:12">
      <c r="A716" s="94"/>
      <c r="B716" s="95"/>
      <c r="C716" s="95"/>
      <c r="D716" s="94"/>
      <c r="E716" s="94"/>
      <c r="F716" s="96"/>
      <c r="G716" s="94"/>
      <c r="H716" s="96"/>
      <c r="I716" s="96"/>
      <c r="J716" s="92"/>
      <c r="K716" s="97"/>
      <c r="L716" s="99" t="str">
        <f ca="1">_xlfn.LET(
    _xlpm.res_no, J716,
    _xlpm.record_sheet, 'MatRes Record'!J:M,
    _xlpm.AllCellsFilled, COUNTA(A716:K716) = 11,
    _xlpm.QtyIsInt, AND(ISNUMBER(G716), G716=INT(G716)),
    _xlpm.ReqDateIsValid, AND(ISNUMBER(H716), H716&gt;=TODAY()),
    _xlpm.EmailIsValid, RIGHT(I716,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IF(A716="", "", IF(_xlpm.error_messages = "", "Yes", _xlpm.error_messages))
)</f>
        <v/>
      </c>
    </row>
    <row r="717" spans="1:12">
      <c r="A717" s="94"/>
      <c r="B717" s="95"/>
      <c r="C717" s="95"/>
      <c r="D717" s="94"/>
      <c r="E717" s="94"/>
      <c r="F717" s="96"/>
      <c r="G717" s="94"/>
      <c r="H717" s="96"/>
      <c r="I717" s="96"/>
      <c r="J717" s="92"/>
      <c r="K717" s="97"/>
      <c r="L717" s="99" t="str">
        <f ca="1">_xlfn.LET(
    _xlpm.res_no, J717,
    _xlpm.record_sheet, 'MatRes Record'!J:M,
    _xlpm.AllCellsFilled, COUNTA(A717:K717) = 11,
    _xlpm.QtyIsInt, AND(ISNUMBER(G717), G717=INT(G717)),
    _xlpm.ReqDateIsValid, AND(ISNUMBER(H717), H717&gt;=TODAY()),
    _xlpm.EmailIsValid, RIGHT(I717,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IF(A717="", "", IF(_xlpm.error_messages = "", "Yes", _xlpm.error_messages))
)</f>
        <v/>
      </c>
    </row>
    <row r="718" spans="1:12">
      <c r="A718" s="94"/>
      <c r="B718" s="95"/>
      <c r="C718" s="95"/>
      <c r="D718" s="94"/>
      <c r="E718" s="94"/>
      <c r="F718" s="96"/>
      <c r="G718" s="94"/>
      <c r="H718" s="96"/>
      <c r="I718" s="96"/>
      <c r="J718" s="92"/>
      <c r="K718" s="97"/>
      <c r="L718" s="99" t="str">
        <f ca="1">_xlfn.LET(
    _xlpm.res_no, J718,
    _xlpm.record_sheet, 'MatRes Record'!J:M,
    _xlpm.AllCellsFilled, COUNTA(A718:K718) = 11,
    _xlpm.QtyIsInt, AND(ISNUMBER(G718), G718=INT(G718)),
    _xlpm.ReqDateIsValid, AND(ISNUMBER(H718), H718&gt;=TODAY()),
    _xlpm.EmailIsValid, RIGHT(I718,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IF(A718="", "", IF(_xlpm.error_messages = "", "Yes", _xlpm.error_messages))
)</f>
        <v/>
      </c>
    </row>
    <row r="719" spans="1:12">
      <c r="A719" s="94"/>
      <c r="B719" s="95"/>
      <c r="C719" s="95"/>
      <c r="D719" s="94"/>
      <c r="E719" s="94"/>
      <c r="F719" s="96"/>
      <c r="G719" s="94"/>
      <c r="H719" s="96"/>
      <c r="I719" s="96"/>
      <c r="J719" s="92"/>
      <c r="K719" s="97"/>
      <c r="L719" s="99" t="str">
        <f ca="1">_xlfn.LET(
    _xlpm.res_no, J719,
    _xlpm.record_sheet, 'MatRes Record'!J:M,
    _xlpm.AllCellsFilled, COUNTA(A719:K719) = 11,
    _xlpm.QtyIsInt, AND(ISNUMBER(G719), G719=INT(G719)),
    _xlpm.ReqDateIsValid, AND(ISNUMBER(H719), H719&gt;=TODAY()),
    _xlpm.EmailIsValid, RIGHT(I719,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IF(A719="", "", IF(_xlpm.error_messages = "", "Yes", _xlpm.error_messages))
)</f>
        <v/>
      </c>
    </row>
    <row r="720" spans="1:12">
      <c r="A720" s="94"/>
      <c r="B720" s="95"/>
      <c r="C720" s="95"/>
      <c r="D720" s="94"/>
      <c r="E720" s="94"/>
      <c r="F720" s="96"/>
      <c r="G720" s="94"/>
      <c r="H720" s="96"/>
      <c r="I720" s="96"/>
      <c r="J720" s="92"/>
      <c r="K720" s="97"/>
      <c r="L720" s="99" t="str">
        <f ca="1">_xlfn.LET(
    _xlpm.res_no, J720,
    _xlpm.record_sheet, 'MatRes Record'!J:M,
    _xlpm.AllCellsFilled, COUNTA(A720:K720) = 11,
    _xlpm.QtyIsInt, AND(ISNUMBER(G720), G720=INT(G720)),
    _xlpm.ReqDateIsValid, AND(ISNUMBER(H720), H720&gt;=TODAY()),
    _xlpm.EmailIsValid, RIGHT(I720,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IF(A720="", "", IF(_xlpm.error_messages = "", "Yes", _xlpm.error_messages))
)</f>
        <v/>
      </c>
    </row>
    <row r="721" spans="1:12">
      <c r="A721" s="94"/>
      <c r="B721" s="95"/>
      <c r="C721" s="95"/>
      <c r="D721" s="94"/>
      <c r="E721" s="94"/>
      <c r="F721" s="96"/>
      <c r="G721" s="94"/>
      <c r="H721" s="96"/>
      <c r="I721" s="96"/>
      <c r="J721" s="92"/>
      <c r="K721" s="97"/>
      <c r="L721" s="99" t="str">
        <f ca="1">_xlfn.LET(
    _xlpm.res_no, J721,
    _xlpm.record_sheet, 'MatRes Record'!J:M,
    _xlpm.AllCellsFilled, COUNTA(A721:K721) = 11,
    _xlpm.QtyIsInt, AND(ISNUMBER(G721), G721=INT(G721)),
    _xlpm.ReqDateIsValid, AND(ISNUMBER(H721), H721&gt;=TODAY()),
    _xlpm.EmailIsValid, RIGHT(I721,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IF(A721="", "", IF(_xlpm.error_messages = "", "Yes", _xlpm.error_messages))
)</f>
        <v/>
      </c>
    </row>
    <row r="722" spans="1:12">
      <c r="A722" s="94"/>
      <c r="B722" s="95"/>
      <c r="C722" s="95"/>
      <c r="D722" s="94"/>
      <c r="E722" s="94"/>
      <c r="F722" s="96"/>
      <c r="G722" s="94"/>
      <c r="H722" s="96"/>
      <c r="I722" s="96"/>
      <c r="J722" s="92"/>
      <c r="K722" s="97"/>
      <c r="L722" s="99" t="str">
        <f ca="1">_xlfn.LET(
    _xlpm.res_no, J722,
    _xlpm.record_sheet, 'MatRes Record'!J:M,
    _xlpm.AllCellsFilled, COUNTA(A722:K722) = 11,
    _xlpm.QtyIsInt, AND(ISNUMBER(G722), G722=INT(G722)),
    _xlpm.ReqDateIsValid, AND(ISNUMBER(H722), H722&gt;=TODAY()),
    _xlpm.EmailIsValid, RIGHT(I722,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IF(A722="", "", IF(_xlpm.error_messages = "", "Yes", _xlpm.error_messages))
)</f>
        <v/>
      </c>
    </row>
    <row r="723" spans="1:12">
      <c r="A723" s="94"/>
      <c r="B723" s="95"/>
      <c r="C723" s="95"/>
      <c r="D723" s="94"/>
      <c r="E723" s="94"/>
      <c r="F723" s="96"/>
      <c r="G723" s="94"/>
      <c r="H723" s="96"/>
      <c r="I723" s="96"/>
      <c r="J723" s="92"/>
      <c r="K723" s="97"/>
      <c r="L723" s="99" t="str">
        <f ca="1">_xlfn.LET(
    _xlpm.res_no, J723,
    _xlpm.record_sheet, 'MatRes Record'!J:M,
    _xlpm.AllCellsFilled, COUNTA(A723:K723) = 11,
    _xlpm.QtyIsInt, AND(ISNUMBER(G723), G723=INT(G723)),
    _xlpm.ReqDateIsValid, AND(ISNUMBER(H723), H723&gt;=TODAY()),
    _xlpm.EmailIsValid, RIGHT(I723,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IF(A723="", "", IF(_xlpm.error_messages = "", "Yes", _xlpm.error_messages))
)</f>
        <v/>
      </c>
    </row>
    <row r="724" spans="1:12">
      <c r="A724" s="94"/>
      <c r="B724" s="95"/>
      <c r="C724" s="95"/>
      <c r="D724" s="94"/>
      <c r="E724" s="94"/>
      <c r="F724" s="96"/>
      <c r="G724" s="94"/>
      <c r="H724" s="96"/>
      <c r="I724" s="96"/>
      <c r="J724" s="92"/>
      <c r="K724" s="97"/>
      <c r="L724" s="99" t="str">
        <f ca="1">_xlfn.LET(
    _xlpm.res_no, J724,
    _xlpm.record_sheet, 'MatRes Record'!J:M,
    _xlpm.AllCellsFilled, COUNTA(A724:K724) = 11,
    _xlpm.QtyIsInt, AND(ISNUMBER(G724), G724=INT(G724)),
    _xlpm.ReqDateIsValid, AND(ISNUMBER(H724), H724&gt;=TODAY()),
    _xlpm.EmailIsValid, RIGHT(I724,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IF(A724="", "", IF(_xlpm.error_messages = "", "Yes", _xlpm.error_messages))
)</f>
        <v/>
      </c>
    </row>
    <row r="725" spans="1:12">
      <c r="A725" s="94"/>
      <c r="B725" s="95"/>
      <c r="C725" s="95"/>
      <c r="D725" s="94"/>
      <c r="E725" s="94"/>
      <c r="F725" s="96"/>
      <c r="G725" s="94"/>
      <c r="H725" s="96"/>
      <c r="I725" s="96"/>
      <c r="J725" s="92"/>
      <c r="K725" s="97"/>
      <c r="L725" s="99" t="str">
        <f ca="1">_xlfn.LET(
    _xlpm.res_no, J725,
    _xlpm.record_sheet, 'MatRes Record'!J:M,
    _xlpm.AllCellsFilled, COUNTA(A725:K725) = 11,
    _xlpm.QtyIsInt, AND(ISNUMBER(G725), G725=INT(G725)),
    _xlpm.ReqDateIsValid, AND(ISNUMBER(H725), H725&gt;=TODAY()),
    _xlpm.EmailIsValid, RIGHT(I725,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IF(A725="", "", IF(_xlpm.error_messages = "", "Yes", _xlpm.error_messages))
)</f>
        <v/>
      </c>
    </row>
    <row r="726" spans="1:12">
      <c r="A726" s="94"/>
      <c r="B726" s="95"/>
      <c r="C726" s="95"/>
      <c r="D726" s="94"/>
      <c r="E726" s="94"/>
      <c r="F726" s="96"/>
      <c r="G726" s="94"/>
      <c r="H726" s="96"/>
      <c r="I726" s="96"/>
      <c r="J726" s="92"/>
      <c r="K726" s="97"/>
      <c r="L726" s="99" t="str">
        <f ca="1">_xlfn.LET(
    _xlpm.res_no, J726,
    _xlpm.record_sheet, 'MatRes Record'!J:M,
    _xlpm.AllCellsFilled, COUNTA(A726:K726) = 11,
    _xlpm.QtyIsInt, AND(ISNUMBER(G726), G726=INT(G726)),
    _xlpm.ReqDateIsValid, AND(ISNUMBER(H726), H726&gt;=TODAY()),
    _xlpm.EmailIsValid, RIGHT(I726,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IF(A726="", "", IF(_xlpm.error_messages = "", "Yes", _xlpm.error_messages))
)</f>
        <v/>
      </c>
    </row>
    <row r="727" spans="1:12">
      <c r="A727" s="94"/>
      <c r="B727" s="95"/>
      <c r="C727" s="95"/>
      <c r="D727" s="94"/>
      <c r="E727" s="94"/>
      <c r="F727" s="96"/>
      <c r="G727" s="94"/>
      <c r="H727" s="96"/>
      <c r="I727" s="96"/>
      <c r="J727" s="92"/>
      <c r="K727" s="97"/>
      <c r="L727" s="99" t="str">
        <f ca="1">_xlfn.LET(
    _xlpm.res_no, J727,
    _xlpm.record_sheet, 'MatRes Record'!J:M,
    _xlpm.AllCellsFilled, COUNTA(A727:K727) = 11,
    _xlpm.QtyIsInt, AND(ISNUMBER(G727), G727=INT(G727)),
    _xlpm.ReqDateIsValid, AND(ISNUMBER(H727), H727&gt;=TODAY()),
    _xlpm.EmailIsValid, RIGHT(I727,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IF(A727="", "", IF(_xlpm.error_messages = "", "Yes", _xlpm.error_messages))
)</f>
        <v/>
      </c>
    </row>
    <row r="728" spans="1:12">
      <c r="A728" s="94"/>
      <c r="B728" s="95"/>
      <c r="C728" s="95"/>
      <c r="D728" s="94"/>
      <c r="E728" s="94"/>
      <c r="F728" s="96"/>
      <c r="G728" s="94"/>
      <c r="H728" s="96"/>
      <c r="I728" s="96"/>
      <c r="J728" s="92"/>
      <c r="K728" s="97"/>
      <c r="L728" s="99" t="str">
        <f ca="1">_xlfn.LET(
    _xlpm.res_no, J728,
    _xlpm.record_sheet, 'MatRes Record'!J:M,
    _xlpm.AllCellsFilled, COUNTA(A728:K728) = 11,
    _xlpm.QtyIsInt, AND(ISNUMBER(G728), G728=INT(G728)),
    _xlpm.ReqDateIsValid, AND(ISNUMBER(H728), H728&gt;=TODAY()),
    _xlpm.EmailIsValid, RIGHT(I728,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IF(A728="", "", IF(_xlpm.error_messages = "", "Yes", _xlpm.error_messages))
)</f>
        <v/>
      </c>
    </row>
    <row r="729" spans="1:12">
      <c r="A729" s="94"/>
      <c r="B729" s="95"/>
      <c r="C729" s="95"/>
      <c r="D729" s="94"/>
      <c r="E729" s="94"/>
      <c r="F729" s="96"/>
      <c r="G729" s="94"/>
      <c r="H729" s="96"/>
      <c r="I729" s="96"/>
      <c r="J729" s="92"/>
      <c r="K729" s="97"/>
      <c r="L729" s="99" t="str">
        <f ca="1">_xlfn.LET(
    _xlpm.res_no, J729,
    _xlpm.record_sheet, 'MatRes Record'!J:M,
    _xlpm.AllCellsFilled, COUNTA(A729:K729) = 11,
    _xlpm.QtyIsInt, AND(ISNUMBER(G729), G729=INT(G729)),
    _xlpm.ReqDateIsValid, AND(ISNUMBER(H729), H729&gt;=TODAY()),
    _xlpm.EmailIsValid, RIGHT(I729,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IF(A729="", "", IF(_xlpm.error_messages = "", "Yes", _xlpm.error_messages))
)</f>
        <v/>
      </c>
    </row>
    <row r="730" spans="1:12">
      <c r="A730" s="94"/>
      <c r="B730" s="95"/>
      <c r="C730" s="95"/>
      <c r="D730" s="94"/>
      <c r="E730" s="94"/>
      <c r="F730" s="96"/>
      <c r="G730" s="94"/>
      <c r="H730" s="96"/>
      <c r="I730" s="96"/>
      <c r="J730" s="92"/>
      <c r="K730" s="97"/>
      <c r="L730" s="99" t="str">
        <f ca="1">_xlfn.LET(
    _xlpm.res_no, J730,
    _xlpm.record_sheet, 'MatRes Record'!J:M,
    _xlpm.AllCellsFilled, COUNTA(A730:K730) = 11,
    _xlpm.QtyIsInt, AND(ISNUMBER(G730), G730=INT(G730)),
    _xlpm.ReqDateIsValid, AND(ISNUMBER(H730), H730&gt;=TODAY()),
    _xlpm.EmailIsValid, RIGHT(I730,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IF(A730="", "", IF(_xlpm.error_messages = "", "Yes", _xlpm.error_messages))
)</f>
        <v/>
      </c>
    </row>
    <row r="731" spans="1:12">
      <c r="A731" s="94"/>
      <c r="B731" s="95"/>
      <c r="C731" s="95"/>
      <c r="D731" s="94"/>
      <c r="E731" s="94"/>
      <c r="F731" s="96"/>
      <c r="G731" s="94"/>
      <c r="H731" s="96"/>
      <c r="I731" s="96"/>
      <c r="J731" s="92"/>
      <c r="K731" s="97"/>
      <c r="L731" s="99" t="str">
        <f ca="1">_xlfn.LET(
    _xlpm.res_no, J731,
    _xlpm.record_sheet, 'MatRes Record'!J:M,
    _xlpm.AllCellsFilled, COUNTA(A731:K731) = 11,
    _xlpm.QtyIsInt, AND(ISNUMBER(G731), G731=INT(G731)),
    _xlpm.ReqDateIsValid, AND(ISNUMBER(H731), H731&gt;=TODAY()),
    _xlpm.EmailIsValid, RIGHT(I731,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IF(A731="", "", IF(_xlpm.error_messages = "", "Yes", _xlpm.error_messages))
)</f>
        <v/>
      </c>
    </row>
    <row r="732" spans="1:12">
      <c r="A732" s="94"/>
      <c r="B732" s="95"/>
      <c r="C732" s="95"/>
      <c r="D732" s="94"/>
      <c r="E732" s="94"/>
      <c r="F732" s="96"/>
      <c r="G732" s="94"/>
      <c r="H732" s="96"/>
      <c r="I732" s="96"/>
      <c r="J732" s="92"/>
      <c r="K732" s="97"/>
      <c r="L732" s="99" t="str">
        <f ca="1">_xlfn.LET(
    _xlpm.res_no, J732,
    _xlpm.record_sheet, 'MatRes Record'!J:M,
    _xlpm.AllCellsFilled, COUNTA(A732:K732) = 11,
    _xlpm.QtyIsInt, AND(ISNUMBER(G732), G732=INT(G732)),
    _xlpm.ReqDateIsValid, AND(ISNUMBER(H732), H732&gt;=TODAY()),
    _xlpm.EmailIsValid, RIGHT(I732,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IF(A732="", "", IF(_xlpm.error_messages = "", "Yes", _xlpm.error_messages))
)</f>
        <v/>
      </c>
    </row>
    <row r="733" spans="1:12">
      <c r="A733" s="94"/>
      <c r="B733" s="95"/>
      <c r="C733" s="95"/>
      <c r="D733" s="94"/>
      <c r="E733" s="94"/>
      <c r="F733" s="96"/>
      <c r="G733" s="94"/>
      <c r="H733" s="96"/>
      <c r="I733" s="96"/>
      <c r="J733" s="92"/>
      <c r="K733" s="97"/>
      <c r="L733" s="99" t="str">
        <f ca="1">_xlfn.LET(
    _xlpm.res_no, J733,
    _xlpm.record_sheet, 'MatRes Record'!J:M,
    _xlpm.AllCellsFilled, COUNTA(A733:K733) = 11,
    _xlpm.QtyIsInt, AND(ISNUMBER(G733), G733=INT(G733)),
    _xlpm.ReqDateIsValid, AND(ISNUMBER(H733), H733&gt;=TODAY()),
    _xlpm.EmailIsValid, RIGHT(I733,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IF(A733="", "", IF(_xlpm.error_messages = "", "Yes", _xlpm.error_messages))
)</f>
        <v/>
      </c>
    </row>
    <row r="734" spans="1:12">
      <c r="A734" s="94"/>
      <c r="B734" s="95"/>
      <c r="C734" s="95"/>
      <c r="D734" s="94"/>
      <c r="E734" s="94"/>
      <c r="F734" s="96"/>
      <c r="G734" s="94"/>
      <c r="H734" s="96"/>
      <c r="I734" s="96"/>
      <c r="J734" s="92"/>
      <c r="K734" s="97"/>
      <c r="L734" s="99" t="str">
        <f ca="1">_xlfn.LET(
    _xlpm.res_no, J734,
    _xlpm.record_sheet, 'MatRes Record'!J:M,
    _xlpm.AllCellsFilled, COUNTA(A734:K734) = 11,
    _xlpm.QtyIsInt, AND(ISNUMBER(G734), G734=INT(G734)),
    _xlpm.ReqDateIsValid, AND(ISNUMBER(H734), H734&gt;=TODAY()),
    _xlpm.EmailIsValid, RIGHT(I734,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IF(A734="", "", IF(_xlpm.error_messages = "", "Yes", _xlpm.error_messages))
)</f>
        <v/>
      </c>
    </row>
    <row r="735" spans="1:12">
      <c r="A735" s="94"/>
      <c r="B735" s="95"/>
      <c r="C735" s="95"/>
      <c r="D735" s="94"/>
      <c r="E735" s="94"/>
      <c r="F735" s="96"/>
      <c r="G735" s="94"/>
      <c r="H735" s="96"/>
      <c r="I735" s="96"/>
      <c r="J735" s="92"/>
      <c r="K735" s="97"/>
      <c r="L735" s="99" t="str">
        <f ca="1">_xlfn.LET(
    _xlpm.res_no, J735,
    _xlpm.record_sheet, 'MatRes Record'!J:M,
    _xlpm.AllCellsFilled, COUNTA(A735:K735) = 11,
    _xlpm.QtyIsInt, AND(ISNUMBER(G735), G735=INT(G735)),
    _xlpm.ReqDateIsValid, AND(ISNUMBER(H735), H735&gt;=TODAY()),
    _xlpm.EmailIsValid, RIGHT(I735,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IF(A735="", "", IF(_xlpm.error_messages = "", "Yes", _xlpm.error_messages))
)</f>
        <v/>
      </c>
    </row>
    <row r="736" spans="1:12">
      <c r="A736" s="94"/>
      <c r="B736" s="95"/>
      <c r="C736" s="95"/>
      <c r="D736" s="94"/>
      <c r="E736" s="94"/>
      <c r="F736" s="96"/>
      <c r="G736" s="94"/>
      <c r="H736" s="96"/>
      <c r="I736" s="96"/>
      <c r="J736" s="92"/>
      <c r="K736" s="97"/>
      <c r="L736" s="99" t="str">
        <f ca="1">_xlfn.LET(
    _xlpm.res_no, J736,
    _xlpm.record_sheet, 'MatRes Record'!J:M,
    _xlpm.AllCellsFilled, COUNTA(A736:K736) = 11,
    _xlpm.QtyIsInt, AND(ISNUMBER(G736), G736=INT(G736)),
    _xlpm.ReqDateIsValid, AND(ISNUMBER(H736), H736&gt;=TODAY()),
    _xlpm.EmailIsValid, RIGHT(I736,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IF(A736="", "", IF(_xlpm.error_messages = "", "Yes", _xlpm.error_messages))
)</f>
        <v/>
      </c>
    </row>
    <row r="737" spans="1:12">
      <c r="A737" s="94"/>
      <c r="B737" s="95"/>
      <c r="C737" s="95"/>
      <c r="D737" s="94"/>
      <c r="E737" s="94"/>
      <c r="F737" s="96"/>
      <c r="G737" s="94"/>
      <c r="H737" s="96"/>
      <c r="I737" s="96"/>
      <c r="J737" s="92"/>
      <c r="K737" s="97"/>
      <c r="L737" s="99" t="str">
        <f ca="1">_xlfn.LET(
    _xlpm.res_no, J737,
    _xlpm.record_sheet, 'MatRes Record'!J:M,
    _xlpm.AllCellsFilled, COUNTA(A737:K737) = 11,
    _xlpm.QtyIsInt, AND(ISNUMBER(G737), G737=INT(G737)),
    _xlpm.ReqDateIsValid, AND(ISNUMBER(H737), H737&gt;=TODAY()),
    _xlpm.EmailIsValid, RIGHT(I737,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IF(A737="", "", IF(_xlpm.error_messages = "", "Yes", _xlpm.error_messages))
)</f>
        <v/>
      </c>
    </row>
    <row r="738" spans="1:12">
      <c r="A738" s="94"/>
      <c r="B738" s="95"/>
      <c r="C738" s="95"/>
      <c r="D738" s="94"/>
      <c r="E738" s="94"/>
      <c r="F738" s="96"/>
      <c r="G738" s="94"/>
      <c r="H738" s="96"/>
      <c r="I738" s="96"/>
      <c r="J738" s="92"/>
      <c r="K738" s="97"/>
      <c r="L738" s="99" t="str">
        <f ca="1">_xlfn.LET(
    _xlpm.res_no, J738,
    _xlpm.record_sheet, 'MatRes Record'!J:M,
    _xlpm.AllCellsFilled, COUNTA(A738:K738) = 11,
    _xlpm.QtyIsInt, AND(ISNUMBER(G738), G738=INT(G738)),
    _xlpm.ReqDateIsValid, AND(ISNUMBER(H738), H738&gt;=TODAY()),
    _xlpm.EmailIsValid, RIGHT(I738,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IF(A738="", "", IF(_xlpm.error_messages = "", "Yes", _xlpm.error_messages))
)</f>
        <v/>
      </c>
    </row>
    <row r="739" spans="1:12">
      <c r="A739" s="94"/>
      <c r="B739" s="95"/>
      <c r="C739" s="95"/>
      <c r="D739" s="94"/>
      <c r="E739" s="94"/>
      <c r="F739" s="96"/>
      <c r="G739" s="94"/>
      <c r="H739" s="96"/>
      <c r="I739" s="96"/>
      <c r="J739" s="92"/>
      <c r="K739" s="97"/>
      <c r="L739" s="99" t="str">
        <f ca="1">_xlfn.LET(
    _xlpm.res_no, J739,
    _xlpm.record_sheet, 'MatRes Record'!J:M,
    _xlpm.AllCellsFilled, COUNTA(A739:K739) = 11,
    _xlpm.QtyIsInt, AND(ISNUMBER(G739), G739=INT(G739)),
    _xlpm.ReqDateIsValid, AND(ISNUMBER(H739), H739&gt;=TODAY()),
    _xlpm.EmailIsValid, RIGHT(I739,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IF(A739="", "", IF(_xlpm.error_messages = "", "Yes", _xlpm.error_messages))
)</f>
        <v/>
      </c>
    </row>
    <row r="740" spans="1:12">
      <c r="A740" s="94"/>
      <c r="B740" s="95"/>
      <c r="C740" s="95"/>
      <c r="D740" s="94"/>
      <c r="E740" s="94"/>
      <c r="F740" s="96"/>
      <c r="G740" s="94"/>
      <c r="H740" s="96"/>
      <c r="I740" s="96"/>
      <c r="J740" s="92"/>
      <c r="K740" s="97"/>
      <c r="L740" s="99" t="str">
        <f ca="1">_xlfn.LET(
    _xlpm.res_no, J740,
    _xlpm.record_sheet, 'MatRes Record'!J:M,
    _xlpm.AllCellsFilled, COUNTA(A740:K740) = 11,
    _xlpm.QtyIsInt, AND(ISNUMBER(G740), G740=INT(G740)),
    _xlpm.ReqDateIsValid, AND(ISNUMBER(H740), H740&gt;=TODAY()),
    _xlpm.EmailIsValid, RIGHT(I740,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IF(A740="", "", IF(_xlpm.error_messages = "", "Yes", _xlpm.error_messages))
)</f>
        <v/>
      </c>
    </row>
    <row r="741" spans="1:12">
      <c r="A741" s="94"/>
      <c r="B741" s="95"/>
      <c r="C741" s="95"/>
      <c r="D741" s="94"/>
      <c r="E741" s="94"/>
      <c r="F741" s="96"/>
      <c r="G741" s="94"/>
      <c r="H741" s="96"/>
      <c r="I741" s="96"/>
      <c r="J741" s="92"/>
      <c r="K741" s="97"/>
      <c r="L741" s="99" t="str">
        <f ca="1">_xlfn.LET(
    _xlpm.res_no, J741,
    _xlpm.record_sheet, 'MatRes Record'!J:M,
    _xlpm.AllCellsFilled, COUNTA(A741:K741) = 11,
    _xlpm.QtyIsInt, AND(ISNUMBER(G741), G741=INT(G741)),
    _xlpm.ReqDateIsValid, AND(ISNUMBER(H741), H741&gt;=TODAY()),
    _xlpm.EmailIsValid, RIGHT(I741,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IF(A741="", "", IF(_xlpm.error_messages = "", "Yes", _xlpm.error_messages))
)</f>
        <v/>
      </c>
    </row>
    <row r="742" spans="1:12">
      <c r="A742" s="94"/>
      <c r="B742" s="95"/>
      <c r="C742" s="95"/>
      <c r="D742" s="94"/>
      <c r="E742" s="94"/>
      <c r="F742" s="96"/>
      <c r="G742" s="94"/>
      <c r="H742" s="96"/>
      <c r="I742" s="96"/>
      <c r="J742" s="92"/>
      <c r="K742" s="97"/>
      <c r="L742" s="99" t="str">
        <f ca="1">_xlfn.LET(
    _xlpm.res_no, J742,
    _xlpm.record_sheet, 'MatRes Record'!J:M,
    _xlpm.AllCellsFilled, COUNTA(A742:K742) = 11,
    _xlpm.QtyIsInt, AND(ISNUMBER(G742), G742=INT(G742)),
    _xlpm.ReqDateIsValid, AND(ISNUMBER(H742), H742&gt;=TODAY()),
    _xlpm.EmailIsValid, RIGHT(I742,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IF(A742="", "", IF(_xlpm.error_messages = "", "Yes", _xlpm.error_messages))
)</f>
        <v/>
      </c>
    </row>
    <row r="743" spans="1:12">
      <c r="A743" s="94"/>
      <c r="B743" s="95"/>
      <c r="C743" s="95"/>
      <c r="D743" s="94"/>
      <c r="E743" s="94"/>
      <c r="F743" s="96"/>
      <c r="G743" s="94"/>
      <c r="H743" s="96"/>
      <c r="I743" s="96"/>
      <c r="J743" s="92"/>
      <c r="K743" s="97"/>
      <c r="L743" s="99" t="str">
        <f ca="1">_xlfn.LET(
    _xlpm.res_no, J743,
    _xlpm.record_sheet, 'MatRes Record'!J:M,
    _xlpm.AllCellsFilled, COUNTA(A743:K743) = 11,
    _xlpm.QtyIsInt, AND(ISNUMBER(G743), G743=INT(G743)),
    _xlpm.ReqDateIsValid, AND(ISNUMBER(H743), H743&gt;=TODAY()),
    _xlpm.EmailIsValid, RIGHT(I743,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IF(A743="", "", IF(_xlpm.error_messages = "", "Yes", _xlpm.error_messages))
)</f>
        <v/>
      </c>
    </row>
    <row r="744" spans="1:12">
      <c r="A744" s="94"/>
      <c r="B744" s="95"/>
      <c r="C744" s="95"/>
      <c r="D744" s="94"/>
      <c r="E744" s="94"/>
      <c r="F744" s="96"/>
      <c r="G744" s="94"/>
      <c r="H744" s="96"/>
      <c r="I744" s="96"/>
      <c r="J744" s="92"/>
      <c r="K744" s="97"/>
      <c r="L744" s="99" t="str">
        <f ca="1">_xlfn.LET(
    _xlpm.res_no, J744,
    _xlpm.record_sheet, 'MatRes Record'!J:M,
    _xlpm.AllCellsFilled, COUNTA(A744:K744) = 11,
    _xlpm.QtyIsInt, AND(ISNUMBER(G744), G744=INT(G744)),
    _xlpm.ReqDateIsValid, AND(ISNUMBER(H744), H744&gt;=TODAY()),
    _xlpm.EmailIsValid, RIGHT(I744,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IF(A744="", "", IF(_xlpm.error_messages = "", "Yes", _xlpm.error_messages))
)</f>
        <v/>
      </c>
    </row>
    <row r="745" spans="1:12">
      <c r="A745" s="94"/>
      <c r="B745" s="95"/>
      <c r="C745" s="95"/>
      <c r="D745" s="94"/>
      <c r="E745" s="94"/>
      <c r="F745" s="96"/>
      <c r="G745" s="94"/>
      <c r="H745" s="96"/>
      <c r="I745" s="96"/>
      <c r="J745" s="92"/>
      <c r="K745" s="97"/>
      <c r="L745" s="99" t="str">
        <f ca="1">_xlfn.LET(
    _xlpm.res_no, J745,
    _xlpm.record_sheet, 'MatRes Record'!J:M,
    _xlpm.AllCellsFilled, COUNTA(A745:K745) = 11,
    _xlpm.QtyIsInt, AND(ISNUMBER(G745), G745=INT(G745)),
    _xlpm.ReqDateIsValid, AND(ISNUMBER(H745), H745&gt;=TODAY()),
    _xlpm.EmailIsValid, RIGHT(I745,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IF(A745="", "", IF(_xlpm.error_messages = "", "Yes", _xlpm.error_messages))
)</f>
        <v/>
      </c>
    </row>
    <row r="746" spans="1:12">
      <c r="A746" s="94"/>
      <c r="B746" s="95"/>
      <c r="C746" s="95"/>
      <c r="D746" s="94"/>
      <c r="E746" s="94"/>
      <c r="F746" s="96"/>
      <c r="G746" s="94"/>
      <c r="H746" s="96"/>
      <c r="I746" s="96"/>
      <c r="J746" s="92"/>
      <c r="K746" s="97"/>
      <c r="L746" s="99" t="str">
        <f ca="1">_xlfn.LET(
    _xlpm.res_no, J746,
    _xlpm.record_sheet, 'MatRes Record'!J:M,
    _xlpm.AllCellsFilled, COUNTA(A746:K746) = 11,
    _xlpm.QtyIsInt, AND(ISNUMBER(G746), G746=INT(G746)),
    _xlpm.ReqDateIsValid, AND(ISNUMBER(H746), H746&gt;=TODAY()),
    _xlpm.EmailIsValid, RIGHT(I746,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IF(A746="", "", IF(_xlpm.error_messages = "", "Yes", _xlpm.error_messages))
)</f>
        <v/>
      </c>
    </row>
    <row r="747" spans="1:12">
      <c r="A747" s="94"/>
      <c r="B747" s="95"/>
      <c r="C747" s="95"/>
      <c r="D747" s="94"/>
      <c r="E747" s="94"/>
      <c r="F747" s="96"/>
      <c r="G747" s="94"/>
      <c r="H747" s="96"/>
      <c r="I747" s="96"/>
      <c r="J747" s="92"/>
      <c r="K747" s="97"/>
      <c r="L747" s="99" t="str">
        <f ca="1">_xlfn.LET(
    _xlpm.res_no, J747,
    _xlpm.record_sheet, 'MatRes Record'!J:M,
    _xlpm.AllCellsFilled, COUNTA(A747:K747) = 11,
    _xlpm.QtyIsInt, AND(ISNUMBER(G747), G747=INT(G747)),
    _xlpm.ReqDateIsValid, AND(ISNUMBER(H747), H747&gt;=TODAY()),
    _xlpm.EmailIsValid, RIGHT(I747,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IF(A747="", "", IF(_xlpm.error_messages = "", "Yes", _xlpm.error_messages))
)</f>
        <v/>
      </c>
    </row>
    <row r="748" spans="1:12">
      <c r="A748" s="94"/>
      <c r="B748" s="95"/>
      <c r="C748" s="95"/>
      <c r="D748" s="94"/>
      <c r="E748" s="94"/>
      <c r="F748" s="96"/>
      <c r="G748" s="94"/>
      <c r="H748" s="96"/>
      <c r="I748" s="96"/>
      <c r="J748" s="92"/>
      <c r="K748" s="97"/>
      <c r="L748" s="99" t="str">
        <f ca="1">_xlfn.LET(
    _xlpm.res_no, J748,
    _xlpm.record_sheet, 'MatRes Record'!J:M,
    _xlpm.AllCellsFilled, COUNTA(A748:K748) = 11,
    _xlpm.QtyIsInt, AND(ISNUMBER(G748), G748=INT(G748)),
    _xlpm.ReqDateIsValid, AND(ISNUMBER(H748), H748&gt;=TODAY()),
    _xlpm.EmailIsValid, RIGHT(I748,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IF(A748="", "", IF(_xlpm.error_messages = "", "Yes", _xlpm.error_messages))
)</f>
        <v/>
      </c>
    </row>
    <row r="749" spans="1:12">
      <c r="A749" s="94"/>
      <c r="B749" s="95"/>
      <c r="C749" s="95"/>
      <c r="D749" s="94"/>
      <c r="E749" s="94"/>
      <c r="F749" s="96"/>
      <c r="G749" s="94"/>
      <c r="H749" s="96"/>
      <c r="I749" s="96"/>
      <c r="J749" s="92"/>
      <c r="K749" s="97"/>
      <c r="L749" s="99" t="str">
        <f ca="1">_xlfn.LET(
    _xlpm.res_no, J749,
    _xlpm.record_sheet, 'MatRes Record'!J:M,
    _xlpm.AllCellsFilled, COUNTA(A749:K749) = 11,
    _xlpm.QtyIsInt, AND(ISNUMBER(G749), G749=INT(G749)),
    _xlpm.ReqDateIsValid, AND(ISNUMBER(H749), H749&gt;=TODAY()),
    _xlpm.EmailIsValid, RIGHT(I749,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IF(A749="", "", IF(_xlpm.error_messages = "", "Yes", _xlpm.error_messages))
)</f>
        <v/>
      </c>
    </row>
    <row r="750" spans="1:12">
      <c r="A750" s="94"/>
      <c r="B750" s="95"/>
      <c r="C750" s="95"/>
      <c r="D750" s="94"/>
      <c r="E750" s="94"/>
      <c r="F750" s="96"/>
      <c r="G750" s="94"/>
      <c r="H750" s="96"/>
      <c r="I750" s="96"/>
      <c r="J750" s="92"/>
      <c r="K750" s="97"/>
      <c r="L750" s="99" t="str">
        <f ca="1">_xlfn.LET(
    _xlpm.res_no, J750,
    _xlpm.record_sheet, 'MatRes Record'!J:M,
    _xlpm.AllCellsFilled, COUNTA(A750:K750) = 11,
    _xlpm.QtyIsInt, AND(ISNUMBER(G750), G750=INT(G750)),
    _xlpm.ReqDateIsValid, AND(ISNUMBER(H750), H750&gt;=TODAY()),
    _xlpm.EmailIsValid, RIGHT(I750,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IF(A750="", "", IF(_xlpm.error_messages = "", "Yes", _xlpm.error_messages))
)</f>
        <v/>
      </c>
    </row>
    <row r="751" spans="1:12">
      <c r="A751" s="94"/>
      <c r="B751" s="95"/>
      <c r="C751" s="95"/>
      <c r="D751" s="94"/>
      <c r="E751" s="94"/>
      <c r="F751" s="96"/>
      <c r="G751" s="94"/>
      <c r="H751" s="96"/>
      <c r="I751" s="96"/>
      <c r="J751" s="92"/>
      <c r="K751" s="97"/>
      <c r="L751" s="99" t="str">
        <f ca="1">_xlfn.LET(
    _xlpm.res_no, J751,
    _xlpm.record_sheet, 'MatRes Record'!J:M,
    _xlpm.AllCellsFilled, COUNTA(A751:K751) = 11,
    _xlpm.QtyIsInt, AND(ISNUMBER(G751), G751=INT(G751)),
    _xlpm.ReqDateIsValid, AND(ISNUMBER(H751), H751&gt;=TODAY()),
    _xlpm.EmailIsValid, RIGHT(I751,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IF(A751="", "", IF(_xlpm.error_messages = "", "Yes", _xlpm.error_messages))
)</f>
        <v/>
      </c>
    </row>
    <row r="752" spans="1:12">
      <c r="A752" s="94"/>
      <c r="B752" s="95"/>
      <c r="C752" s="95"/>
      <c r="D752" s="94"/>
      <c r="E752" s="94"/>
      <c r="F752" s="96"/>
      <c r="G752" s="94"/>
      <c r="H752" s="96"/>
      <c r="I752" s="96"/>
      <c r="J752" s="92"/>
      <c r="K752" s="97"/>
      <c r="L752" s="99" t="str">
        <f ca="1">_xlfn.LET(
    _xlpm.res_no, J752,
    _xlpm.record_sheet, 'MatRes Record'!J:M,
    _xlpm.AllCellsFilled, COUNTA(A752:K752) = 11,
    _xlpm.QtyIsInt, AND(ISNUMBER(G752), G752=INT(G752)),
    _xlpm.ReqDateIsValid, AND(ISNUMBER(H752), H752&gt;=TODAY()),
    _xlpm.EmailIsValid, RIGHT(I752,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IF(A752="", "", IF(_xlpm.error_messages = "", "Yes", _xlpm.error_messages))
)</f>
        <v/>
      </c>
    </row>
    <row r="753" spans="1:12">
      <c r="A753" s="94"/>
      <c r="B753" s="95"/>
      <c r="C753" s="95"/>
      <c r="D753" s="94"/>
      <c r="E753" s="94"/>
      <c r="F753" s="96"/>
      <c r="G753" s="94"/>
      <c r="H753" s="96"/>
      <c r="I753" s="96"/>
      <c r="J753" s="92"/>
      <c r="K753" s="97"/>
      <c r="L753" s="99" t="str">
        <f ca="1">_xlfn.LET(
    _xlpm.res_no, J753,
    _xlpm.record_sheet, 'MatRes Record'!J:M,
    _xlpm.AllCellsFilled, COUNTA(A753:K753) = 11,
    _xlpm.QtyIsInt, AND(ISNUMBER(G753), G753=INT(G753)),
    _xlpm.ReqDateIsValid, AND(ISNUMBER(H753), H753&gt;=TODAY()),
    _xlpm.EmailIsValid, RIGHT(I753,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IF(A753="", "", IF(_xlpm.error_messages = "", "Yes", _xlpm.error_messages))
)</f>
        <v/>
      </c>
    </row>
    <row r="754" spans="1:12">
      <c r="A754" s="94"/>
      <c r="B754" s="95"/>
      <c r="C754" s="95"/>
      <c r="D754" s="94"/>
      <c r="E754" s="94"/>
      <c r="F754" s="96"/>
      <c r="G754" s="94"/>
      <c r="H754" s="96"/>
      <c r="I754" s="96"/>
      <c r="J754" s="92"/>
      <c r="K754" s="97"/>
      <c r="L754" s="99" t="str">
        <f ca="1">_xlfn.LET(
    _xlpm.res_no, J754,
    _xlpm.record_sheet, 'MatRes Record'!J:M,
    _xlpm.AllCellsFilled, COUNTA(A754:K754) = 11,
    _xlpm.QtyIsInt, AND(ISNUMBER(G754), G754=INT(G754)),
    _xlpm.ReqDateIsValid, AND(ISNUMBER(H754), H754&gt;=TODAY()),
    _xlpm.EmailIsValid, RIGHT(I754,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IF(A754="", "", IF(_xlpm.error_messages = "", "Yes", _xlpm.error_messages))
)</f>
        <v/>
      </c>
    </row>
    <row r="755" spans="1:12">
      <c r="A755" s="94"/>
      <c r="B755" s="95"/>
      <c r="C755" s="95"/>
      <c r="D755" s="94"/>
      <c r="E755" s="94"/>
      <c r="F755" s="96"/>
      <c r="G755" s="94"/>
      <c r="H755" s="96"/>
      <c r="I755" s="96"/>
      <c r="J755" s="92"/>
      <c r="K755" s="97"/>
      <c r="L755" s="99" t="str">
        <f ca="1">_xlfn.LET(
    _xlpm.res_no, J755,
    _xlpm.record_sheet, 'MatRes Record'!J:M,
    _xlpm.AllCellsFilled, COUNTA(A755:K755) = 11,
    _xlpm.QtyIsInt, AND(ISNUMBER(G755), G755=INT(G755)),
    _xlpm.ReqDateIsValid, AND(ISNUMBER(H755), H755&gt;=TODAY()),
    _xlpm.EmailIsValid, RIGHT(I755,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IF(A755="", "", IF(_xlpm.error_messages = "", "Yes", _xlpm.error_messages))
)</f>
        <v/>
      </c>
    </row>
    <row r="756" spans="1:12">
      <c r="A756" s="94"/>
      <c r="B756" s="95"/>
      <c r="C756" s="95"/>
      <c r="D756" s="94"/>
      <c r="E756" s="94"/>
      <c r="F756" s="96"/>
      <c r="G756" s="94"/>
      <c r="H756" s="96"/>
      <c r="I756" s="96"/>
      <c r="J756" s="92"/>
      <c r="K756" s="97"/>
      <c r="L756" s="99" t="str">
        <f ca="1">_xlfn.LET(
    _xlpm.res_no, J756,
    _xlpm.record_sheet, 'MatRes Record'!J:M,
    _xlpm.AllCellsFilled, COUNTA(A756:K756) = 11,
    _xlpm.QtyIsInt, AND(ISNUMBER(G756), G756=INT(G756)),
    _xlpm.ReqDateIsValid, AND(ISNUMBER(H756), H756&gt;=TODAY()),
    _xlpm.EmailIsValid, RIGHT(I756,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IF(A756="", "", IF(_xlpm.error_messages = "", "Yes", _xlpm.error_messages))
)</f>
        <v/>
      </c>
    </row>
    <row r="757" spans="1:12">
      <c r="A757" s="94"/>
      <c r="B757" s="95"/>
      <c r="C757" s="95"/>
      <c r="D757" s="94"/>
      <c r="E757" s="94"/>
      <c r="F757" s="96"/>
      <c r="G757" s="94"/>
      <c r="H757" s="96"/>
      <c r="I757" s="96"/>
      <c r="J757" s="92"/>
      <c r="K757" s="97"/>
      <c r="L757" s="99" t="str">
        <f ca="1">_xlfn.LET(
    _xlpm.res_no, J757,
    _xlpm.record_sheet, 'MatRes Record'!J:M,
    _xlpm.AllCellsFilled, COUNTA(A757:K757) = 11,
    _xlpm.QtyIsInt, AND(ISNUMBER(G757), G757=INT(G757)),
    _xlpm.ReqDateIsValid, AND(ISNUMBER(H757), H757&gt;=TODAY()),
    _xlpm.EmailIsValid, RIGHT(I757,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IF(A757="", "", IF(_xlpm.error_messages = "", "Yes", _xlpm.error_messages))
)</f>
        <v/>
      </c>
    </row>
    <row r="758" spans="1:12">
      <c r="A758" s="94"/>
      <c r="B758" s="95"/>
      <c r="C758" s="95"/>
      <c r="D758" s="94"/>
      <c r="E758" s="94"/>
      <c r="F758" s="96"/>
      <c r="G758" s="94"/>
      <c r="H758" s="96"/>
      <c r="I758" s="96"/>
      <c r="J758" s="92"/>
      <c r="K758" s="97"/>
      <c r="L758" s="99" t="str">
        <f ca="1">_xlfn.LET(
    _xlpm.res_no, J758,
    _xlpm.record_sheet, 'MatRes Record'!J:M,
    _xlpm.AllCellsFilled, COUNTA(A758:K758) = 11,
    _xlpm.QtyIsInt, AND(ISNUMBER(G758), G758=INT(G758)),
    _xlpm.ReqDateIsValid, AND(ISNUMBER(H758), H758&gt;=TODAY()),
    _xlpm.EmailIsValid, RIGHT(I758,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IF(A758="", "", IF(_xlpm.error_messages = "", "Yes", _xlpm.error_messages))
)</f>
        <v/>
      </c>
    </row>
    <row r="759" spans="1:12">
      <c r="A759" s="94"/>
      <c r="B759" s="95"/>
      <c r="C759" s="95"/>
      <c r="D759" s="94"/>
      <c r="E759" s="94"/>
      <c r="F759" s="96"/>
      <c r="G759" s="94"/>
      <c r="H759" s="96"/>
      <c r="I759" s="96"/>
      <c r="J759" s="92"/>
      <c r="K759" s="97"/>
      <c r="L759" s="99" t="str">
        <f ca="1">_xlfn.LET(
    _xlpm.res_no, J759,
    _xlpm.record_sheet, 'MatRes Record'!J:M,
    _xlpm.AllCellsFilled, COUNTA(A759:K759) = 11,
    _xlpm.QtyIsInt, AND(ISNUMBER(G759), G759=INT(G759)),
    _xlpm.ReqDateIsValid, AND(ISNUMBER(H759), H759&gt;=TODAY()),
    _xlpm.EmailIsValid, RIGHT(I759,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IF(A759="", "", IF(_xlpm.error_messages = "", "Yes", _xlpm.error_messages))
)</f>
        <v/>
      </c>
    </row>
    <row r="760" spans="1:12">
      <c r="A760" s="94"/>
      <c r="B760" s="95"/>
      <c r="C760" s="95"/>
      <c r="D760" s="94"/>
      <c r="E760" s="94"/>
      <c r="F760" s="96"/>
      <c r="G760" s="94"/>
      <c r="H760" s="96"/>
      <c r="I760" s="96"/>
      <c r="J760" s="92"/>
      <c r="K760" s="97"/>
      <c r="L760" s="99" t="str">
        <f ca="1">_xlfn.LET(
    _xlpm.res_no, J760,
    _xlpm.record_sheet, 'MatRes Record'!J:M,
    _xlpm.AllCellsFilled, COUNTA(A760:K760) = 11,
    _xlpm.QtyIsInt, AND(ISNUMBER(G760), G760=INT(G760)),
    _xlpm.ReqDateIsValid, AND(ISNUMBER(H760), H760&gt;=TODAY()),
    _xlpm.EmailIsValid, RIGHT(I760,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IF(A760="", "", IF(_xlpm.error_messages = "", "Yes", _xlpm.error_messages))
)</f>
        <v/>
      </c>
    </row>
    <row r="761" spans="1:12">
      <c r="A761" s="94"/>
      <c r="B761" s="95"/>
      <c r="C761" s="95"/>
      <c r="D761" s="94"/>
      <c r="E761" s="94"/>
      <c r="F761" s="96"/>
      <c r="G761" s="94"/>
      <c r="H761" s="96"/>
      <c r="I761" s="96"/>
      <c r="J761" s="92"/>
      <c r="K761" s="97"/>
      <c r="L761" s="99" t="str">
        <f ca="1">_xlfn.LET(
    _xlpm.res_no, J761,
    _xlpm.record_sheet, 'MatRes Record'!J:M,
    _xlpm.AllCellsFilled, COUNTA(A761:K761) = 11,
    _xlpm.QtyIsInt, AND(ISNUMBER(G761), G761=INT(G761)),
    _xlpm.ReqDateIsValid, AND(ISNUMBER(H761), H761&gt;=TODAY()),
    _xlpm.EmailIsValid, RIGHT(I761,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IF(A761="", "", IF(_xlpm.error_messages = "", "Yes", _xlpm.error_messages))
)</f>
        <v/>
      </c>
    </row>
    <row r="762" spans="1:12">
      <c r="A762" s="94"/>
      <c r="B762" s="95"/>
      <c r="C762" s="95"/>
      <c r="D762" s="94"/>
      <c r="E762" s="94"/>
      <c r="F762" s="96"/>
      <c r="G762" s="94"/>
      <c r="H762" s="96"/>
      <c r="I762" s="96"/>
      <c r="J762" s="92"/>
      <c r="K762" s="97"/>
      <c r="L762" s="99" t="str">
        <f ca="1">_xlfn.LET(
    _xlpm.res_no, J762,
    _xlpm.record_sheet, 'MatRes Record'!J:M,
    _xlpm.AllCellsFilled, COUNTA(A762:K762) = 11,
    _xlpm.QtyIsInt, AND(ISNUMBER(G762), G762=INT(G762)),
    _xlpm.ReqDateIsValid, AND(ISNUMBER(H762), H762&gt;=TODAY()),
    _xlpm.EmailIsValid, RIGHT(I762,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IF(A762="", "", IF(_xlpm.error_messages = "", "Yes", _xlpm.error_messages))
)</f>
        <v/>
      </c>
    </row>
    <row r="763" spans="1:12">
      <c r="A763" s="94"/>
      <c r="B763" s="95"/>
      <c r="C763" s="95"/>
      <c r="D763" s="94"/>
      <c r="E763" s="94"/>
      <c r="F763" s="96"/>
      <c r="G763" s="94"/>
      <c r="H763" s="96"/>
      <c r="I763" s="96"/>
      <c r="J763" s="92"/>
      <c r="K763" s="97"/>
      <c r="L763" s="99" t="str">
        <f ca="1">_xlfn.LET(
    _xlpm.res_no, J763,
    _xlpm.record_sheet, 'MatRes Record'!J:M,
    _xlpm.AllCellsFilled, COUNTA(A763:K763) = 11,
    _xlpm.QtyIsInt, AND(ISNUMBER(G763), G763=INT(G763)),
    _xlpm.ReqDateIsValid, AND(ISNUMBER(H763), H763&gt;=TODAY()),
    _xlpm.EmailIsValid, RIGHT(I763,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IF(A763="", "", IF(_xlpm.error_messages = "", "Yes", _xlpm.error_messages))
)</f>
        <v/>
      </c>
    </row>
    <row r="764" spans="1:12">
      <c r="A764" s="94"/>
      <c r="B764" s="95"/>
      <c r="C764" s="95"/>
      <c r="D764" s="94"/>
      <c r="E764" s="94"/>
      <c r="F764" s="96"/>
      <c r="G764" s="94"/>
      <c r="H764" s="96"/>
      <c r="I764" s="96"/>
      <c r="J764" s="92"/>
      <c r="K764" s="97"/>
      <c r="L764" s="99" t="str">
        <f ca="1">_xlfn.LET(
    _xlpm.res_no, J764,
    _xlpm.record_sheet, 'MatRes Record'!J:M,
    _xlpm.AllCellsFilled, COUNTA(A764:K764) = 11,
    _xlpm.QtyIsInt, AND(ISNUMBER(G764), G764=INT(G764)),
    _xlpm.ReqDateIsValid, AND(ISNUMBER(H764), H764&gt;=TODAY()),
    _xlpm.EmailIsValid, RIGHT(I764,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IF(A764="", "", IF(_xlpm.error_messages = "", "Yes", _xlpm.error_messages))
)</f>
        <v/>
      </c>
    </row>
    <row r="765" spans="1:12">
      <c r="A765" s="94"/>
      <c r="B765" s="95"/>
      <c r="C765" s="95"/>
      <c r="D765" s="94"/>
      <c r="E765" s="94"/>
      <c r="F765" s="96"/>
      <c r="G765" s="94"/>
      <c r="H765" s="96"/>
      <c r="I765" s="96"/>
      <c r="J765" s="92"/>
      <c r="K765" s="97"/>
      <c r="L765" s="99" t="str">
        <f ca="1">_xlfn.LET(
    _xlpm.res_no, J765,
    _xlpm.record_sheet, 'MatRes Record'!J:M,
    _xlpm.AllCellsFilled, COUNTA(A765:K765) = 11,
    _xlpm.QtyIsInt, AND(ISNUMBER(G765), G765=INT(G765)),
    _xlpm.ReqDateIsValid, AND(ISNUMBER(H765), H765&gt;=TODAY()),
    _xlpm.EmailIsValid, RIGHT(I765,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IF(A765="", "", IF(_xlpm.error_messages = "", "Yes", _xlpm.error_messages))
)</f>
        <v/>
      </c>
    </row>
    <row r="766" spans="1:12">
      <c r="A766" s="94"/>
      <c r="B766" s="95"/>
      <c r="C766" s="95"/>
      <c r="D766" s="94"/>
      <c r="E766" s="94"/>
      <c r="F766" s="96"/>
      <c r="G766" s="94"/>
      <c r="H766" s="96"/>
      <c r="I766" s="96"/>
      <c r="J766" s="92"/>
      <c r="K766" s="97"/>
      <c r="L766" s="99" t="str">
        <f ca="1">_xlfn.LET(
    _xlpm.res_no, J766,
    _xlpm.record_sheet, 'MatRes Record'!J:M,
    _xlpm.AllCellsFilled, COUNTA(A766:K766) = 11,
    _xlpm.QtyIsInt, AND(ISNUMBER(G766), G766=INT(G766)),
    _xlpm.ReqDateIsValid, AND(ISNUMBER(H766), H766&gt;=TODAY()),
    _xlpm.EmailIsValid, RIGHT(I766,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IF(A766="", "", IF(_xlpm.error_messages = "", "Yes", _xlpm.error_messages))
)</f>
        <v/>
      </c>
    </row>
    <row r="767" spans="1:12">
      <c r="A767" s="94"/>
      <c r="B767" s="95"/>
      <c r="C767" s="95"/>
      <c r="D767" s="94"/>
      <c r="E767" s="94"/>
      <c r="F767" s="96"/>
      <c r="G767" s="94"/>
      <c r="H767" s="96"/>
      <c r="I767" s="96"/>
      <c r="J767" s="92"/>
      <c r="K767" s="97"/>
      <c r="L767" s="99" t="str">
        <f ca="1">_xlfn.LET(
    _xlpm.res_no, J767,
    _xlpm.record_sheet, 'MatRes Record'!J:M,
    _xlpm.AllCellsFilled, COUNTA(A767:K767) = 11,
    _xlpm.QtyIsInt, AND(ISNUMBER(G767), G767=INT(G767)),
    _xlpm.ReqDateIsValid, AND(ISNUMBER(H767), H767&gt;=TODAY()),
    _xlpm.EmailIsValid, RIGHT(I767,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IF(A767="", "", IF(_xlpm.error_messages = "", "Yes", _xlpm.error_messages))
)</f>
        <v/>
      </c>
    </row>
    <row r="768" spans="1:12">
      <c r="A768" s="94"/>
      <c r="B768" s="95"/>
      <c r="C768" s="95"/>
      <c r="D768" s="94"/>
      <c r="E768" s="94"/>
      <c r="F768" s="96"/>
      <c r="G768" s="94"/>
      <c r="H768" s="96"/>
      <c r="I768" s="96"/>
      <c r="J768" s="92"/>
      <c r="K768" s="97"/>
      <c r="L768" s="99" t="str">
        <f ca="1">_xlfn.LET(
    _xlpm.res_no, J768,
    _xlpm.record_sheet, 'MatRes Record'!J:M,
    _xlpm.AllCellsFilled, COUNTA(A768:K768) = 11,
    _xlpm.QtyIsInt, AND(ISNUMBER(G768), G768=INT(G768)),
    _xlpm.ReqDateIsValid, AND(ISNUMBER(H768), H768&gt;=TODAY()),
    _xlpm.EmailIsValid, RIGHT(I768,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IF(A768="", "", IF(_xlpm.error_messages = "", "Yes", _xlpm.error_messages))
)</f>
        <v/>
      </c>
    </row>
    <row r="769" spans="1:12">
      <c r="A769" s="94"/>
      <c r="B769" s="95"/>
      <c r="C769" s="95"/>
      <c r="D769" s="94"/>
      <c r="E769" s="94"/>
      <c r="F769" s="96"/>
      <c r="G769" s="94"/>
      <c r="H769" s="96"/>
      <c r="I769" s="96"/>
      <c r="J769" s="92"/>
      <c r="K769" s="97"/>
      <c r="L769" s="99" t="str">
        <f ca="1">_xlfn.LET(
    _xlpm.res_no, J769,
    _xlpm.record_sheet, 'MatRes Record'!J:M,
    _xlpm.AllCellsFilled, COUNTA(A769:K769) = 11,
    _xlpm.QtyIsInt, AND(ISNUMBER(G769), G769=INT(G769)),
    _xlpm.ReqDateIsValid, AND(ISNUMBER(H769), H769&gt;=TODAY()),
    _xlpm.EmailIsValid, RIGHT(I769,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IF(A769="", "", IF(_xlpm.error_messages = "", "Yes", _xlpm.error_messages))
)</f>
        <v/>
      </c>
    </row>
    <row r="770" spans="1:12">
      <c r="A770" s="94"/>
      <c r="B770" s="95"/>
      <c r="C770" s="95"/>
      <c r="D770" s="94"/>
      <c r="E770" s="94"/>
      <c r="F770" s="96"/>
      <c r="G770" s="94"/>
      <c r="H770" s="96"/>
      <c r="I770" s="96"/>
      <c r="J770" s="92"/>
      <c r="K770" s="97"/>
      <c r="L770" s="99" t="str">
        <f ca="1">_xlfn.LET(
    _xlpm.res_no, J770,
    _xlpm.record_sheet, 'MatRes Record'!J:M,
    _xlpm.AllCellsFilled, COUNTA(A770:K770) = 11,
    _xlpm.QtyIsInt, AND(ISNUMBER(G770), G770=INT(G770)),
    _xlpm.ReqDateIsValid, AND(ISNUMBER(H770), H770&gt;=TODAY()),
    _xlpm.EmailIsValid, RIGHT(I770,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IF(A770="", "", IF(_xlpm.error_messages = "", "Yes", _xlpm.error_messages))
)</f>
        <v/>
      </c>
    </row>
    <row r="771" spans="1:12">
      <c r="A771" s="94"/>
      <c r="B771" s="95"/>
      <c r="C771" s="95"/>
      <c r="D771" s="94"/>
      <c r="E771" s="94"/>
      <c r="F771" s="96"/>
      <c r="G771" s="94"/>
      <c r="H771" s="96"/>
      <c r="I771" s="96"/>
      <c r="J771" s="92"/>
      <c r="K771" s="97"/>
      <c r="L771" s="99" t="str">
        <f ca="1">_xlfn.LET(
    _xlpm.res_no, J771,
    _xlpm.record_sheet, 'MatRes Record'!J:M,
    _xlpm.AllCellsFilled, COUNTA(A771:K771) = 11,
    _xlpm.QtyIsInt, AND(ISNUMBER(G771), G771=INT(G771)),
    _xlpm.ReqDateIsValid, AND(ISNUMBER(H771), H771&gt;=TODAY()),
    _xlpm.EmailIsValid, RIGHT(I771,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IF(A771="", "", IF(_xlpm.error_messages = "", "Yes", _xlpm.error_messages))
)</f>
        <v/>
      </c>
    </row>
    <row r="772" spans="1:12">
      <c r="A772" s="94"/>
      <c r="B772" s="95"/>
      <c r="C772" s="95"/>
      <c r="D772" s="94"/>
      <c r="E772" s="94"/>
      <c r="F772" s="96"/>
      <c r="G772" s="94"/>
      <c r="H772" s="96"/>
      <c r="I772" s="96"/>
      <c r="J772" s="92"/>
      <c r="K772" s="97"/>
      <c r="L772" s="99" t="str">
        <f ca="1">_xlfn.LET(
    _xlpm.res_no, J772,
    _xlpm.record_sheet, 'MatRes Record'!J:M,
    _xlpm.AllCellsFilled, COUNTA(A772:K772) = 11,
    _xlpm.QtyIsInt, AND(ISNUMBER(G772), G772=INT(G772)),
    _xlpm.ReqDateIsValid, AND(ISNUMBER(H772), H772&gt;=TODAY()),
    _xlpm.EmailIsValid, RIGHT(I772,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IF(A772="", "", IF(_xlpm.error_messages = "", "Yes", _xlpm.error_messages))
)</f>
        <v/>
      </c>
    </row>
    <row r="773" spans="1:12">
      <c r="A773" s="94"/>
      <c r="B773" s="95"/>
      <c r="C773" s="95"/>
      <c r="D773" s="94"/>
      <c r="E773" s="94"/>
      <c r="F773" s="96"/>
      <c r="G773" s="94"/>
      <c r="H773" s="96"/>
      <c r="I773" s="96"/>
      <c r="J773" s="92"/>
      <c r="K773" s="97"/>
      <c r="L773" s="99" t="str">
        <f ca="1">_xlfn.LET(
    _xlpm.res_no, J773,
    _xlpm.record_sheet, 'MatRes Record'!J:M,
    _xlpm.AllCellsFilled, COUNTA(A773:K773) = 11,
    _xlpm.QtyIsInt, AND(ISNUMBER(G773), G773=INT(G773)),
    _xlpm.ReqDateIsValid, AND(ISNUMBER(H773), H773&gt;=TODAY()),
    _xlpm.EmailIsValid, RIGHT(I773,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IF(A773="", "", IF(_xlpm.error_messages = "", "Yes", _xlpm.error_messages))
)</f>
        <v/>
      </c>
    </row>
    <row r="774" spans="1:12">
      <c r="A774" s="94"/>
      <c r="B774" s="95"/>
      <c r="C774" s="95"/>
      <c r="D774" s="94"/>
      <c r="E774" s="94"/>
      <c r="F774" s="96"/>
      <c r="G774" s="94"/>
      <c r="H774" s="96"/>
      <c r="I774" s="96"/>
      <c r="J774" s="92"/>
      <c r="K774" s="97"/>
      <c r="L774" s="99" t="str">
        <f ca="1">_xlfn.LET(
    _xlpm.res_no, J774,
    _xlpm.record_sheet, 'MatRes Record'!J:M,
    _xlpm.AllCellsFilled, COUNTA(A774:K774) = 11,
    _xlpm.QtyIsInt, AND(ISNUMBER(G774), G774=INT(G774)),
    _xlpm.ReqDateIsValid, AND(ISNUMBER(H774), H774&gt;=TODAY()),
    _xlpm.EmailIsValid, RIGHT(I774,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IF(A774="", "", IF(_xlpm.error_messages = "", "Yes", _xlpm.error_messages))
)</f>
        <v/>
      </c>
    </row>
    <row r="775" spans="1:12">
      <c r="A775" s="94"/>
      <c r="B775" s="95"/>
      <c r="C775" s="95"/>
      <c r="D775" s="94"/>
      <c r="E775" s="94"/>
      <c r="F775" s="96"/>
      <c r="G775" s="94"/>
      <c r="H775" s="96"/>
      <c r="I775" s="96"/>
      <c r="J775" s="92"/>
      <c r="K775" s="97"/>
      <c r="L775" s="99" t="str">
        <f ca="1">_xlfn.LET(
    _xlpm.res_no, J775,
    _xlpm.record_sheet, 'MatRes Record'!J:M,
    _xlpm.AllCellsFilled, COUNTA(A775:K775) = 11,
    _xlpm.QtyIsInt, AND(ISNUMBER(G775), G775=INT(G775)),
    _xlpm.ReqDateIsValid, AND(ISNUMBER(H775), H775&gt;=TODAY()),
    _xlpm.EmailIsValid, RIGHT(I775,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IF(A775="", "", IF(_xlpm.error_messages = "", "Yes", _xlpm.error_messages))
)</f>
        <v/>
      </c>
    </row>
    <row r="776" spans="1:12">
      <c r="A776" s="94"/>
      <c r="B776" s="95"/>
      <c r="C776" s="95"/>
      <c r="D776" s="94"/>
      <c r="E776" s="94"/>
      <c r="F776" s="96"/>
      <c r="G776" s="94"/>
      <c r="H776" s="96"/>
      <c r="I776" s="96"/>
      <c r="J776" s="92"/>
      <c r="K776" s="97"/>
      <c r="L776" s="99" t="str">
        <f ca="1">_xlfn.LET(
    _xlpm.res_no, J776,
    _xlpm.record_sheet, 'MatRes Record'!J:M,
    _xlpm.AllCellsFilled, COUNTA(A776:K776) = 11,
    _xlpm.QtyIsInt, AND(ISNUMBER(G776), G776=INT(G776)),
    _xlpm.ReqDateIsValid, AND(ISNUMBER(H776), H776&gt;=TODAY()),
    _xlpm.EmailIsValid, RIGHT(I776,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IF(A776="", "", IF(_xlpm.error_messages = "", "Yes", _xlpm.error_messages))
)</f>
        <v/>
      </c>
    </row>
    <row r="777" spans="1:12">
      <c r="A777" s="94"/>
      <c r="B777" s="95"/>
      <c r="C777" s="95"/>
      <c r="D777" s="94"/>
      <c r="E777" s="94"/>
      <c r="F777" s="96"/>
      <c r="G777" s="94"/>
      <c r="H777" s="96"/>
      <c r="I777" s="96"/>
      <c r="J777" s="92"/>
      <c r="K777" s="97"/>
      <c r="L777" s="99" t="str">
        <f ca="1">_xlfn.LET(
    _xlpm.res_no, J777,
    _xlpm.record_sheet, 'MatRes Record'!J:M,
    _xlpm.AllCellsFilled, COUNTA(A777:K777) = 11,
    _xlpm.QtyIsInt, AND(ISNUMBER(G777), G777=INT(G777)),
    _xlpm.ReqDateIsValid, AND(ISNUMBER(H777), H777&gt;=TODAY()),
    _xlpm.EmailIsValid, RIGHT(I777,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IF(A777="", "", IF(_xlpm.error_messages = "", "Yes", _xlpm.error_messages))
)</f>
        <v/>
      </c>
    </row>
    <row r="778" spans="1:12">
      <c r="A778" s="94"/>
      <c r="B778" s="95"/>
      <c r="C778" s="95"/>
      <c r="D778" s="94"/>
      <c r="E778" s="94"/>
      <c r="F778" s="96"/>
      <c r="G778" s="94"/>
      <c r="H778" s="96"/>
      <c r="I778" s="96"/>
      <c r="J778" s="92"/>
      <c r="K778" s="97"/>
      <c r="L778" s="99" t="str">
        <f ca="1">_xlfn.LET(
    _xlpm.res_no, J778,
    _xlpm.record_sheet, 'MatRes Record'!J:M,
    _xlpm.AllCellsFilled, COUNTA(A778:K778) = 11,
    _xlpm.QtyIsInt, AND(ISNUMBER(G778), G778=INT(G778)),
    _xlpm.ReqDateIsValid, AND(ISNUMBER(H778), H778&gt;=TODAY()),
    _xlpm.EmailIsValid, RIGHT(I778,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IF(A778="", "", IF(_xlpm.error_messages = "", "Yes", _xlpm.error_messages))
)</f>
        <v/>
      </c>
    </row>
    <row r="779" spans="1:12">
      <c r="A779" s="94"/>
      <c r="B779" s="95"/>
      <c r="C779" s="95"/>
      <c r="D779" s="94"/>
      <c r="E779" s="94"/>
      <c r="F779" s="96"/>
      <c r="G779" s="94"/>
      <c r="H779" s="96"/>
      <c r="I779" s="96"/>
      <c r="J779" s="92"/>
      <c r="K779" s="97"/>
      <c r="L779" s="99" t="str">
        <f ca="1">_xlfn.LET(
    _xlpm.res_no, J779,
    _xlpm.record_sheet, 'MatRes Record'!J:M,
    _xlpm.AllCellsFilled, COUNTA(A779:K779) = 11,
    _xlpm.QtyIsInt, AND(ISNUMBER(G779), G779=INT(G779)),
    _xlpm.ReqDateIsValid, AND(ISNUMBER(H779), H779&gt;=TODAY()),
    _xlpm.EmailIsValid, RIGHT(I779,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IF(A779="", "", IF(_xlpm.error_messages = "", "Yes", _xlpm.error_messages))
)</f>
        <v/>
      </c>
    </row>
    <row r="780" spans="1:12">
      <c r="A780" s="94"/>
      <c r="B780" s="95"/>
      <c r="C780" s="95"/>
      <c r="D780" s="94"/>
      <c r="E780" s="94"/>
      <c r="F780" s="96"/>
      <c r="G780" s="94"/>
      <c r="H780" s="96"/>
      <c r="I780" s="96"/>
      <c r="J780" s="92"/>
      <c r="K780" s="97"/>
      <c r="L780" s="99" t="str">
        <f ca="1">_xlfn.LET(
    _xlpm.res_no, J780,
    _xlpm.record_sheet, 'MatRes Record'!J:M,
    _xlpm.AllCellsFilled, COUNTA(A780:K780) = 11,
    _xlpm.QtyIsInt, AND(ISNUMBER(G780), G780=INT(G780)),
    _xlpm.ReqDateIsValid, AND(ISNUMBER(H780), H780&gt;=TODAY()),
    _xlpm.EmailIsValid, RIGHT(I780,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IF(A780="", "", IF(_xlpm.error_messages = "", "Yes", _xlpm.error_messages))
)</f>
        <v/>
      </c>
    </row>
    <row r="781" spans="1:12">
      <c r="A781" s="94"/>
      <c r="B781" s="95"/>
      <c r="C781" s="95"/>
      <c r="D781" s="94"/>
      <c r="E781" s="94"/>
      <c r="F781" s="96"/>
      <c r="G781" s="94"/>
      <c r="H781" s="96"/>
      <c r="I781" s="96"/>
      <c r="J781" s="92"/>
      <c r="K781" s="97"/>
      <c r="L781" s="99" t="str">
        <f ca="1">_xlfn.LET(
    _xlpm.res_no, J781,
    _xlpm.record_sheet, 'MatRes Record'!J:M,
    _xlpm.AllCellsFilled, COUNTA(A781:K781) = 11,
    _xlpm.QtyIsInt, AND(ISNUMBER(G781), G781=INT(G781)),
    _xlpm.ReqDateIsValid, AND(ISNUMBER(H781), H781&gt;=TODAY()),
    _xlpm.EmailIsValid, RIGHT(I781,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IF(A781="", "", IF(_xlpm.error_messages = "", "Yes", _xlpm.error_messages))
)</f>
        <v/>
      </c>
    </row>
    <row r="782" spans="1:12">
      <c r="A782" s="94"/>
      <c r="B782" s="95"/>
      <c r="C782" s="95"/>
      <c r="D782" s="94"/>
      <c r="E782" s="94"/>
      <c r="F782" s="96"/>
      <c r="G782" s="94"/>
      <c r="H782" s="96"/>
      <c r="I782" s="96"/>
      <c r="J782" s="92"/>
      <c r="K782" s="97"/>
      <c r="L782" s="99" t="str">
        <f ca="1">_xlfn.LET(
    _xlpm.res_no, J782,
    _xlpm.record_sheet, 'MatRes Record'!J:M,
    _xlpm.AllCellsFilled, COUNTA(A782:K782) = 11,
    _xlpm.QtyIsInt, AND(ISNUMBER(G782), G782=INT(G782)),
    _xlpm.ReqDateIsValid, AND(ISNUMBER(H782), H782&gt;=TODAY()),
    _xlpm.EmailIsValid, RIGHT(I782,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IF(A782="", "", IF(_xlpm.error_messages = "", "Yes", _xlpm.error_messages))
)</f>
        <v/>
      </c>
    </row>
    <row r="783" spans="1:12">
      <c r="A783" s="94"/>
      <c r="B783" s="95"/>
      <c r="C783" s="95"/>
      <c r="D783" s="94"/>
      <c r="E783" s="94"/>
      <c r="F783" s="96"/>
      <c r="G783" s="94"/>
      <c r="H783" s="96"/>
      <c r="I783" s="96"/>
      <c r="J783" s="92"/>
      <c r="K783" s="97"/>
      <c r="L783" s="99" t="str">
        <f ca="1">_xlfn.LET(
    _xlpm.res_no, J783,
    _xlpm.record_sheet, 'MatRes Record'!J:M,
    _xlpm.AllCellsFilled, COUNTA(A783:K783) = 11,
    _xlpm.QtyIsInt, AND(ISNUMBER(G783), G783=INT(G783)),
    _xlpm.ReqDateIsValid, AND(ISNUMBER(H783), H783&gt;=TODAY()),
    _xlpm.EmailIsValid, RIGHT(I783,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IF(A783="", "", IF(_xlpm.error_messages = "", "Yes", _xlpm.error_messages))
)</f>
        <v/>
      </c>
    </row>
    <row r="784" spans="1:12">
      <c r="A784" s="94"/>
      <c r="B784" s="95"/>
      <c r="C784" s="95"/>
      <c r="D784" s="94"/>
      <c r="E784" s="94"/>
      <c r="F784" s="96"/>
      <c r="G784" s="94"/>
      <c r="H784" s="96"/>
      <c r="I784" s="96"/>
      <c r="J784" s="92"/>
      <c r="K784" s="97"/>
      <c r="L784" s="99" t="str">
        <f ca="1">_xlfn.LET(
    _xlpm.res_no, J784,
    _xlpm.record_sheet, 'MatRes Record'!J:M,
    _xlpm.AllCellsFilled, COUNTA(A784:K784) = 11,
    _xlpm.QtyIsInt, AND(ISNUMBER(G784), G784=INT(G784)),
    _xlpm.ReqDateIsValid, AND(ISNUMBER(H784), H784&gt;=TODAY()),
    _xlpm.EmailIsValid, RIGHT(I784,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IF(A784="", "", IF(_xlpm.error_messages = "", "Yes", _xlpm.error_messages))
)</f>
        <v/>
      </c>
    </row>
    <row r="785" spans="1:12">
      <c r="A785" s="94"/>
      <c r="B785" s="95"/>
      <c r="C785" s="95"/>
      <c r="D785" s="94"/>
      <c r="E785" s="94"/>
      <c r="F785" s="96"/>
      <c r="G785" s="94"/>
      <c r="H785" s="96"/>
      <c r="I785" s="96"/>
      <c r="J785" s="92"/>
      <c r="K785" s="97"/>
      <c r="L785" s="99" t="str">
        <f ca="1">_xlfn.LET(
    _xlpm.res_no, J785,
    _xlpm.record_sheet, 'MatRes Record'!J:M,
    _xlpm.AllCellsFilled, COUNTA(A785:K785) = 11,
    _xlpm.QtyIsInt, AND(ISNUMBER(G785), G785=INT(G785)),
    _xlpm.ReqDateIsValid, AND(ISNUMBER(H785), H785&gt;=TODAY()),
    _xlpm.EmailIsValid, RIGHT(I785,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IF(A785="", "", IF(_xlpm.error_messages = "", "Yes", _xlpm.error_messages))
)</f>
        <v/>
      </c>
    </row>
    <row r="786" spans="1:12">
      <c r="A786" s="94"/>
      <c r="B786" s="95"/>
      <c r="C786" s="95"/>
      <c r="D786" s="94"/>
      <c r="E786" s="94"/>
      <c r="F786" s="96"/>
      <c r="G786" s="94"/>
      <c r="H786" s="96"/>
      <c r="I786" s="96"/>
      <c r="J786" s="92"/>
      <c r="K786" s="97"/>
      <c r="L786" s="99" t="str">
        <f ca="1">_xlfn.LET(
    _xlpm.res_no, J786,
    _xlpm.record_sheet, 'MatRes Record'!J:M,
    _xlpm.AllCellsFilled, COUNTA(A786:K786) = 11,
    _xlpm.QtyIsInt, AND(ISNUMBER(G786), G786=INT(G786)),
    _xlpm.ReqDateIsValid, AND(ISNUMBER(H786), H786&gt;=TODAY()),
    _xlpm.EmailIsValid, RIGHT(I786,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IF(A786="", "", IF(_xlpm.error_messages = "", "Yes", _xlpm.error_messages))
)</f>
        <v/>
      </c>
    </row>
    <row r="787" spans="1:12">
      <c r="A787" s="94"/>
      <c r="B787" s="95"/>
      <c r="C787" s="95"/>
      <c r="D787" s="94"/>
      <c r="E787" s="94"/>
      <c r="F787" s="96"/>
      <c r="G787" s="94"/>
      <c r="H787" s="96"/>
      <c r="I787" s="96"/>
      <c r="J787" s="92"/>
      <c r="K787" s="97"/>
      <c r="L787" s="99" t="str">
        <f ca="1">_xlfn.LET(
    _xlpm.res_no, J787,
    _xlpm.record_sheet, 'MatRes Record'!J:M,
    _xlpm.AllCellsFilled, COUNTA(A787:K787) = 11,
    _xlpm.QtyIsInt, AND(ISNUMBER(G787), G787=INT(G787)),
    _xlpm.ReqDateIsValid, AND(ISNUMBER(H787), H787&gt;=TODAY()),
    _xlpm.EmailIsValid, RIGHT(I787,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IF(A787="", "", IF(_xlpm.error_messages = "", "Yes", _xlpm.error_messages))
)</f>
        <v/>
      </c>
    </row>
    <row r="788" spans="1:12">
      <c r="A788" s="94"/>
      <c r="B788" s="95"/>
      <c r="C788" s="95"/>
      <c r="D788" s="94"/>
      <c r="E788" s="94"/>
      <c r="F788" s="96"/>
      <c r="G788" s="94"/>
      <c r="H788" s="96"/>
      <c r="I788" s="96"/>
      <c r="J788" s="92"/>
      <c r="K788" s="97"/>
      <c r="L788" s="99" t="str">
        <f ca="1">_xlfn.LET(
    _xlpm.res_no, J788,
    _xlpm.record_sheet, 'MatRes Record'!J:M,
    _xlpm.AllCellsFilled, COUNTA(A788:K788) = 11,
    _xlpm.QtyIsInt, AND(ISNUMBER(G788), G788=INT(G788)),
    _xlpm.ReqDateIsValid, AND(ISNUMBER(H788), H788&gt;=TODAY()),
    _xlpm.EmailIsValid, RIGHT(I788,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IF(A788="", "", IF(_xlpm.error_messages = "", "Yes", _xlpm.error_messages))
)</f>
        <v/>
      </c>
    </row>
    <row r="789" spans="1:12">
      <c r="A789" s="94"/>
      <c r="B789" s="95"/>
      <c r="C789" s="95"/>
      <c r="D789" s="94"/>
      <c r="E789" s="94"/>
      <c r="F789" s="96"/>
      <c r="G789" s="94"/>
      <c r="H789" s="96"/>
      <c r="I789" s="96"/>
      <c r="J789" s="92"/>
      <c r="K789" s="97"/>
      <c r="L789" s="99" t="str">
        <f ca="1">_xlfn.LET(
    _xlpm.res_no, J789,
    _xlpm.record_sheet, 'MatRes Record'!J:M,
    _xlpm.AllCellsFilled, COUNTA(A789:K789) = 11,
    _xlpm.QtyIsInt, AND(ISNUMBER(G789), G789=INT(G789)),
    _xlpm.ReqDateIsValid, AND(ISNUMBER(H789), H789&gt;=TODAY()),
    _xlpm.EmailIsValid, RIGHT(I789,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IF(A789="", "", IF(_xlpm.error_messages = "", "Yes", _xlpm.error_messages))
)</f>
        <v/>
      </c>
    </row>
    <row r="790" spans="1:12">
      <c r="A790" s="94"/>
      <c r="B790" s="95"/>
      <c r="C790" s="95"/>
      <c r="D790" s="94"/>
      <c r="E790" s="94"/>
      <c r="F790" s="96"/>
      <c r="G790" s="94"/>
      <c r="H790" s="96"/>
      <c r="I790" s="96"/>
      <c r="J790" s="92"/>
      <c r="K790" s="97"/>
      <c r="L790" s="99" t="str">
        <f ca="1">_xlfn.LET(
    _xlpm.res_no, J790,
    _xlpm.record_sheet, 'MatRes Record'!J:M,
    _xlpm.AllCellsFilled, COUNTA(A790:K790) = 11,
    _xlpm.QtyIsInt, AND(ISNUMBER(G790), G790=INT(G790)),
    _xlpm.ReqDateIsValid, AND(ISNUMBER(H790), H790&gt;=TODAY()),
    _xlpm.EmailIsValid, RIGHT(I790,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IF(A790="", "", IF(_xlpm.error_messages = "", "Yes", _xlpm.error_messages))
)</f>
        <v/>
      </c>
    </row>
    <row r="791" spans="1:12">
      <c r="A791" s="94"/>
      <c r="B791" s="95"/>
      <c r="C791" s="95"/>
      <c r="D791" s="94"/>
      <c r="E791" s="94"/>
      <c r="F791" s="96"/>
      <c r="G791" s="94"/>
      <c r="H791" s="96"/>
      <c r="I791" s="96"/>
      <c r="J791" s="92"/>
      <c r="K791" s="97"/>
      <c r="L791" s="99" t="str">
        <f ca="1">_xlfn.LET(
    _xlpm.res_no, J791,
    _xlpm.record_sheet, 'MatRes Record'!J:M,
    _xlpm.AllCellsFilled, COUNTA(A791:K791) = 11,
    _xlpm.QtyIsInt, AND(ISNUMBER(G791), G791=INT(G791)),
    _xlpm.ReqDateIsValid, AND(ISNUMBER(H791), H791&gt;=TODAY()),
    _xlpm.EmailIsValid, RIGHT(I791,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IF(A791="", "", IF(_xlpm.error_messages = "", "Yes", _xlpm.error_messages))
)</f>
        <v/>
      </c>
    </row>
    <row r="792" spans="1:12">
      <c r="A792" s="94"/>
      <c r="B792" s="95"/>
      <c r="C792" s="95"/>
      <c r="D792" s="94"/>
      <c r="E792" s="94"/>
      <c r="F792" s="96"/>
      <c r="G792" s="94"/>
      <c r="H792" s="96"/>
      <c r="I792" s="96"/>
      <c r="J792" s="92"/>
      <c r="K792" s="97"/>
      <c r="L792" s="99" t="str">
        <f ca="1">_xlfn.LET(
    _xlpm.res_no, J792,
    _xlpm.record_sheet, 'MatRes Record'!J:M,
    _xlpm.AllCellsFilled, COUNTA(A792:K792) = 11,
    _xlpm.QtyIsInt, AND(ISNUMBER(G792), G792=INT(G792)),
    _xlpm.ReqDateIsValid, AND(ISNUMBER(H792), H792&gt;=TODAY()),
    _xlpm.EmailIsValid, RIGHT(I792,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IF(A792="", "", IF(_xlpm.error_messages = "", "Yes", _xlpm.error_messages))
)</f>
        <v/>
      </c>
    </row>
    <row r="793" spans="1:12">
      <c r="A793" s="94"/>
      <c r="B793" s="95"/>
      <c r="C793" s="95"/>
      <c r="D793" s="94"/>
      <c r="E793" s="94"/>
      <c r="F793" s="96"/>
      <c r="G793" s="94"/>
      <c r="H793" s="96"/>
      <c r="I793" s="96"/>
      <c r="J793" s="92"/>
      <c r="K793" s="97"/>
      <c r="L793" s="99" t="str">
        <f ca="1">_xlfn.LET(
    _xlpm.res_no, J793,
    _xlpm.record_sheet, 'MatRes Record'!J:M,
    _xlpm.AllCellsFilled, COUNTA(A793:K793) = 11,
    _xlpm.QtyIsInt, AND(ISNUMBER(G793), G793=INT(G793)),
    _xlpm.ReqDateIsValid, AND(ISNUMBER(H793), H793&gt;=TODAY()),
    _xlpm.EmailIsValid, RIGHT(I793,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IF(A793="", "", IF(_xlpm.error_messages = "", "Yes", _xlpm.error_messages))
)</f>
        <v/>
      </c>
    </row>
    <row r="794" spans="1:12">
      <c r="A794" s="94"/>
      <c r="B794" s="95"/>
      <c r="C794" s="95"/>
      <c r="D794" s="94"/>
      <c r="E794" s="94"/>
      <c r="F794" s="96"/>
      <c r="G794" s="94"/>
      <c r="H794" s="96"/>
      <c r="I794" s="96"/>
      <c r="J794" s="92"/>
      <c r="K794" s="97"/>
      <c r="L794" s="99" t="str">
        <f ca="1">_xlfn.LET(
    _xlpm.res_no, J794,
    _xlpm.record_sheet, 'MatRes Record'!J:M,
    _xlpm.AllCellsFilled, COUNTA(A794:K794) = 11,
    _xlpm.QtyIsInt, AND(ISNUMBER(G794), G794=INT(G794)),
    _xlpm.ReqDateIsValid, AND(ISNUMBER(H794), H794&gt;=TODAY()),
    _xlpm.EmailIsValid, RIGHT(I794,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IF(A794="", "", IF(_xlpm.error_messages = "", "Yes", _xlpm.error_messages))
)</f>
        <v/>
      </c>
    </row>
    <row r="795" spans="1:12">
      <c r="A795" s="94"/>
      <c r="B795" s="95"/>
      <c r="C795" s="95"/>
      <c r="D795" s="94"/>
      <c r="E795" s="94"/>
      <c r="F795" s="96"/>
      <c r="G795" s="94"/>
      <c r="H795" s="96"/>
      <c r="I795" s="96"/>
      <c r="J795" s="92"/>
      <c r="K795" s="97"/>
      <c r="L795" s="99" t="str">
        <f ca="1">_xlfn.LET(
    _xlpm.res_no, J795,
    _xlpm.record_sheet, 'MatRes Record'!J:M,
    _xlpm.AllCellsFilled, COUNTA(A795:K795) = 11,
    _xlpm.QtyIsInt, AND(ISNUMBER(G795), G795=INT(G795)),
    _xlpm.ReqDateIsValid, AND(ISNUMBER(H795), H795&gt;=TODAY()),
    _xlpm.EmailIsValid, RIGHT(I795,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IF(A795="", "", IF(_xlpm.error_messages = "", "Yes", _xlpm.error_messages))
)</f>
        <v/>
      </c>
    </row>
    <row r="796" spans="1:12">
      <c r="A796" s="94"/>
      <c r="B796" s="95"/>
      <c r="C796" s="95"/>
      <c r="D796" s="94"/>
      <c r="E796" s="94"/>
      <c r="F796" s="96"/>
      <c r="G796" s="94"/>
      <c r="H796" s="96"/>
      <c r="I796" s="96"/>
      <c r="J796" s="92"/>
      <c r="K796" s="97"/>
      <c r="L796" s="99" t="str">
        <f ca="1">_xlfn.LET(
    _xlpm.res_no, J796,
    _xlpm.record_sheet, 'MatRes Record'!J:M,
    _xlpm.AllCellsFilled, COUNTA(A796:K796) = 11,
    _xlpm.QtyIsInt, AND(ISNUMBER(G796), G796=INT(G796)),
    _xlpm.ReqDateIsValid, AND(ISNUMBER(H796), H796&gt;=TODAY()),
    _xlpm.EmailIsValid, RIGHT(I796,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IF(A796="", "", IF(_xlpm.error_messages = "", "Yes", _xlpm.error_messages))
)</f>
        <v/>
      </c>
    </row>
    <row r="797" spans="1:12">
      <c r="A797" s="94"/>
      <c r="B797" s="95"/>
      <c r="C797" s="95"/>
      <c r="D797" s="94"/>
      <c r="E797" s="94"/>
      <c r="F797" s="96"/>
      <c r="G797" s="94"/>
      <c r="H797" s="96"/>
      <c r="I797" s="96"/>
      <c r="J797" s="92"/>
      <c r="K797" s="97"/>
      <c r="L797" s="99" t="str">
        <f ca="1">_xlfn.LET(
    _xlpm.res_no, J797,
    _xlpm.record_sheet, 'MatRes Record'!J:M,
    _xlpm.AllCellsFilled, COUNTA(A797:K797) = 11,
    _xlpm.QtyIsInt, AND(ISNUMBER(G797), G797=INT(G797)),
    _xlpm.ReqDateIsValid, AND(ISNUMBER(H797), H797&gt;=TODAY()),
    _xlpm.EmailIsValid, RIGHT(I797,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IF(A797="", "", IF(_xlpm.error_messages = "", "Yes", _xlpm.error_messages))
)</f>
        <v/>
      </c>
    </row>
    <row r="798" spans="1:12">
      <c r="A798" s="94"/>
      <c r="B798" s="95"/>
      <c r="C798" s="95"/>
      <c r="D798" s="94"/>
      <c r="E798" s="94"/>
      <c r="F798" s="96"/>
      <c r="G798" s="94"/>
      <c r="H798" s="96"/>
      <c r="I798" s="96"/>
      <c r="J798" s="92"/>
      <c r="K798" s="97"/>
      <c r="L798" s="99" t="str">
        <f ca="1">_xlfn.LET(
    _xlpm.res_no, J798,
    _xlpm.record_sheet, 'MatRes Record'!J:M,
    _xlpm.AllCellsFilled, COUNTA(A798:K798) = 11,
    _xlpm.QtyIsInt, AND(ISNUMBER(G798), G798=INT(G798)),
    _xlpm.ReqDateIsValid, AND(ISNUMBER(H798), H798&gt;=TODAY()),
    _xlpm.EmailIsValid, RIGHT(I798,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IF(A798="", "", IF(_xlpm.error_messages = "", "Yes", _xlpm.error_messages))
)</f>
        <v/>
      </c>
    </row>
    <row r="799" spans="1:12">
      <c r="A799" s="94"/>
      <c r="B799" s="95"/>
      <c r="C799" s="95"/>
      <c r="D799" s="94"/>
      <c r="E799" s="94"/>
      <c r="F799" s="96"/>
      <c r="G799" s="94"/>
      <c r="H799" s="96"/>
      <c r="I799" s="96"/>
      <c r="J799" s="92"/>
      <c r="K799" s="97"/>
      <c r="L799" s="99" t="str">
        <f ca="1">_xlfn.LET(
    _xlpm.res_no, J799,
    _xlpm.record_sheet, 'MatRes Record'!J:M,
    _xlpm.AllCellsFilled, COUNTA(A799:K799) = 11,
    _xlpm.QtyIsInt, AND(ISNUMBER(G799), G799=INT(G799)),
    _xlpm.ReqDateIsValid, AND(ISNUMBER(H799), H799&gt;=TODAY()),
    _xlpm.EmailIsValid, RIGHT(I799,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IF(A799="", "", IF(_xlpm.error_messages = "", "Yes", _xlpm.error_messages))
)</f>
        <v/>
      </c>
    </row>
    <row r="800" spans="1:12">
      <c r="A800" s="94"/>
      <c r="B800" s="95"/>
      <c r="C800" s="95"/>
      <c r="D800" s="94"/>
      <c r="E800" s="94"/>
      <c r="F800" s="96"/>
      <c r="G800" s="94"/>
      <c r="H800" s="96"/>
      <c r="I800" s="96"/>
      <c r="J800" s="92"/>
      <c r="K800" s="97"/>
      <c r="L800" s="99" t="str">
        <f ca="1">_xlfn.LET(
    _xlpm.res_no, J800,
    _xlpm.record_sheet, 'MatRes Record'!J:M,
    _xlpm.AllCellsFilled, COUNTA(A800:K800) = 11,
    _xlpm.QtyIsInt, AND(ISNUMBER(G800), G800=INT(G800)),
    _xlpm.ReqDateIsValid, AND(ISNUMBER(H800), H800&gt;=TODAY()),
    _xlpm.EmailIsValid, RIGHT(I800,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IF(A800="", "", IF(_xlpm.error_messages = "", "Yes", _xlpm.error_messages))
)</f>
        <v/>
      </c>
    </row>
    <row r="801" spans="1:12">
      <c r="A801" s="94"/>
      <c r="B801" s="95"/>
      <c r="C801" s="95"/>
      <c r="D801" s="94"/>
      <c r="E801" s="94"/>
      <c r="F801" s="96"/>
      <c r="G801" s="94"/>
      <c r="H801" s="96"/>
      <c r="I801" s="96"/>
      <c r="J801" s="92"/>
      <c r="K801" s="97"/>
      <c r="L801" s="99" t="str">
        <f ca="1">_xlfn.LET(
    _xlpm.res_no, J801,
    _xlpm.record_sheet, 'MatRes Record'!J:M,
    _xlpm.AllCellsFilled, COUNTA(A801:K801) = 11,
    _xlpm.QtyIsInt, AND(ISNUMBER(G801), G801=INT(G801)),
    _xlpm.ReqDateIsValid, AND(ISNUMBER(H801), H801&gt;=TODAY()),
    _xlpm.EmailIsValid, RIGHT(I801,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IF(A801="", "", IF(_xlpm.error_messages = "", "Yes", _xlpm.error_messages))
)</f>
        <v/>
      </c>
    </row>
    <row r="802" spans="1:12">
      <c r="A802" s="94"/>
      <c r="B802" s="95"/>
      <c r="C802" s="95"/>
      <c r="D802" s="94"/>
      <c r="E802" s="94"/>
      <c r="F802" s="96"/>
      <c r="G802" s="94"/>
      <c r="H802" s="96"/>
      <c r="I802" s="96"/>
      <c r="J802" s="92"/>
      <c r="K802" s="97"/>
      <c r="L802" s="99" t="str">
        <f ca="1">_xlfn.LET(
    _xlpm.res_no, J802,
    _xlpm.record_sheet, 'MatRes Record'!J:M,
    _xlpm.AllCellsFilled, COUNTA(A802:K802) = 11,
    _xlpm.QtyIsInt, AND(ISNUMBER(G802), G802=INT(G802)),
    _xlpm.ReqDateIsValid, AND(ISNUMBER(H802), H802&gt;=TODAY()),
    _xlpm.EmailIsValid, RIGHT(I802,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IF(A802="", "", IF(_xlpm.error_messages = "", "Yes", _xlpm.error_messages))
)</f>
        <v/>
      </c>
    </row>
    <row r="803" spans="1:12">
      <c r="A803" s="94"/>
      <c r="B803" s="95"/>
      <c r="C803" s="95"/>
      <c r="D803" s="94"/>
      <c r="E803" s="94"/>
      <c r="F803" s="96"/>
      <c r="G803" s="94"/>
      <c r="H803" s="96"/>
      <c r="I803" s="96"/>
      <c r="J803" s="92"/>
      <c r="K803" s="97"/>
      <c r="L803" s="99" t="str">
        <f ca="1">_xlfn.LET(
    _xlpm.res_no, J803,
    _xlpm.record_sheet, 'MatRes Record'!J:M,
    _xlpm.AllCellsFilled, COUNTA(A803:K803) = 11,
    _xlpm.QtyIsInt, AND(ISNUMBER(G803), G803=INT(G803)),
    _xlpm.ReqDateIsValid, AND(ISNUMBER(H803), H803&gt;=TODAY()),
    _xlpm.EmailIsValid, RIGHT(I803,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IF(A803="", "", IF(_xlpm.error_messages = "", "Yes", _xlpm.error_messages))
)</f>
        <v/>
      </c>
    </row>
    <row r="804" spans="1:12">
      <c r="A804" s="94"/>
      <c r="B804" s="95"/>
      <c r="C804" s="95"/>
      <c r="D804" s="94"/>
      <c r="E804" s="94"/>
      <c r="F804" s="96"/>
      <c r="G804" s="94"/>
      <c r="H804" s="96"/>
      <c r="I804" s="96"/>
      <c r="J804" s="92"/>
      <c r="K804" s="97"/>
      <c r="L804" s="99" t="str">
        <f ca="1">_xlfn.LET(
    _xlpm.res_no, J804,
    _xlpm.record_sheet, 'MatRes Record'!J:M,
    _xlpm.AllCellsFilled, COUNTA(A804:K804) = 11,
    _xlpm.QtyIsInt, AND(ISNUMBER(G804), G804=INT(G804)),
    _xlpm.ReqDateIsValid, AND(ISNUMBER(H804), H804&gt;=TODAY()),
    _xlpm.EmailIsValid, RIGHT(I804,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IF(A804="", "", IF(_xlpm.error_messages = "", "Yes", _xlpm.error_messages))
)</f>
        <v/>
      </c>
    </row>
    <row r="805" spans="1:12">
      <c r="A805" s="94"/>
      <c r="B805" s="95"/>
      <c r="C805" s="95"/>
      <c r="D805" s="94"/>
      <c r="E805" s="94"/>
      <c r="F805" s="96"/>
      <c r="G805" s="94"/>
      <c r="H805" s="96"/>
      <c r="I805" s="96"/>
      <c r="J805" s="92"/>
      <c r="K805" s="97"/>
      <c r="L805" s="99" t="str">
        <f ca="1">_xlfn.LET(
    _xlpm.res_no, J805,
    _xlpm.record_sheet, 'MatRes Record'!J:M,
    _xlpm.AllCellsFilled, COUNTA(A805:K805) = 11,
    _xlpm.QtyIsInt, AND(ISNUMBER(G805), G805=INT(G805)),
    _xlpm.ReqDateIsValid, AND(ISNUMBER(H805), H805&gt;=TODAY()),
    _xlpm.EmailIsValid, RIGHT(I805,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IF(A805="", "", IF(_xlpm.error_messages = "", "Yes", _xlpm.error_messages))
)</f>
        <v/>
      </c>
    </row>
    <row r="806" spans="1:12">
      <c r="A806" s="94"/>
      <c r="B806" s="95"/>
      <c r="C806" s="95"/>
      <c r="D806" s="94"/>
      <c r="E806" s="94"/>
      <c r="F806" s="96"/>
      <c r="G806" s="94"/>
      <c r="H806" s="96"/>
      <c r="I806" s="96"/>
      <c r="J806" s="92"/>
      <c r="K806" s="97"/>
      <c r="L806" s="99" t="str">
        <f ca="1">_xlfn.LET(
    _xlpm.res_no, J806,
    _xlpm.record_sheet, 'MatRes Record'!J:M,
    _xlpm.AllCellsFilled, COUNTA(A806:K806) = 11,
    _xlpm.QtyIsInt, AND(ISNUMBER(G806), G806=INT(G806)),
    _xlpm.ReqDateIsValid, AND(ISNUMBER(H806), H806&gt;=TODAY()),
    _xlpm.EmailIsValid, RIGHT(I806,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IF(A806="", "", IF(_xlpm.error_messages = "", "Yes", _xlpm.error_messages))
)</f>
        <v/>
      </c>
    </row>
    <row r="807" spans="1:12">
      <c r="A807" s="94"/>
      <c r="B807" s="95"/>
      <c r="C807" s="95"/>
      <c r="D807" s="94"/>
      <c r="E807" s="94"/>
      <c r="F807" s="96"/>
      <c r="G807" s="94"/>
      <c r="H807" s="96"/>
      <c r="I807" s="96"/>
      <c r="J807" s="92"/>
      <c r="K807" s="97"/>
      <c r="L807" s="99" t="str">
        <f ca="1">_xlfn.LET(
    _xlpm.res_no, J807,
    _xlpm.record_sheet, 'MatRes Record'!J:M,
    _xlpm.AllCellsFilled, COUNTA(A807:K807) = 11,
    _xlpm.QtyIsInt, AND(ISNUMBER(G807), G807=INT(G807)),
    _xlpm.ReqDateIsValid, AND(ISNUMBER(H807), H807&gt;=TODAY()),
    _xlpm.EmailIsValid, RIGHT(I807,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IF(A807="", "", IF(_xlpm.error_messages = "", "Yes", _xlpm.error_messages))
)</f>
        <v/>
      </c>
    </row>
    <row r="808" spans="1:12">
      <c r="A808" s="94"/>
      <c r="B808" s="95"/>
      <c r="C808" s="95"/>
      <c r="D808" s="94"/>
      <c r="E808" s="94"/>
      <c r="F808" s="96"/>
      <c r="G808" s="94"/>
      <c r="H808" s="96"/>
      <c r="I808" s="96"/>
      <c r="J808" s="92"/>
      <c r="K808" s="97"/>
      <c r="L808" s="99" t="str">
        <f ca="1">_xlfn.LET(
    _xlpm.res_no, J808,
    _xlpm.record_sheet, 'MatRes Record'!J:M,
    _xlpm.AllCellsFilled, COUNTA(A808:K808) = 11,
    _xlpm.QtyIsInt, AND(ISNUMBER(G808), G808=INT(G808)),
    _xlpm.ReqDateIsValid, AND(ISNUMBER(H808), H808&gt;=TODAY()),
    _xlpm.EmailIsValid, RIGHT(I808,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IF(A808="", "", IF(_xlpm.error_messages = "", "Yes", _xlpm.error_messages))
)</f>
        <v/>
      </c>
    </row>
    <row r="809" spans="1:12">
      <c r="A809" s="94"/>
      <c r="B809" s="95"/>
      <c r="C809" s="95"/>
      <c r="D809" s="94"/>
      <c r="E809" s="94"/>
      <c r="F809" s="96"/>
      <c r="G809" s="94"/>
      <c r="H809" s="96"/>
      <c r="I809" s="96"/>
      <c r="J809" s="92"/>
      <c r="K809" s="97"/>
      <c r="L809" s="99" t="str">
        <f ca="1">_xlfn.LET(
    _xlpm.res_no, J809,
    _xlpm.record_sheet, 'MatRes Record'!J:M,
    _xlpm.AllCellsFilled, COUNTA(A809:K809) = 11,
    _xlpm.QtyIsInt, AND(ISNUMBER(G809), G809=INT(G809)),
    _xlpm.ReqDateIsValid, AND(ISNUMBER(H809), H809&gt;=TODAY()),
    _xlpm.EmailIsValid, RIGHT(I809,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IF(A809="", "", IF(_xlpm.error_messages = "", "Yes", _xlpm.error_messages))
)</f>
        <v/>
      </c>
    </row>
    <row r="810" spans="1:12">
      <c r="A810" s="94"/>
      <c r="B810" s="95"/>
      <c r="C810" s="95"/>
      <c r="D810" s="94"/>
      <c r="E810" s="94"/>
      <c r="F810" s="96"/>
      <c r="G810" s="94"/>
      <c r="H810" s="96"/>
      <c r="I810" s="96"/>
      <c r="J810" s="92"/>
      <c r="K810" s="97"/>
      <c r="L810" s="99" t="str">
        <f ca="1">_xlfn.LET(
    _xlpm.res_no, J810,
    _xlpm.record_sheet, 'MatRes Record'!J:M,
    _xlpm.AllCellsFilled, COUNTA(A810:K810) = 11,
    _xlpm.QtyIsInt, AND(ISNUMBER(G810), G810=INT(G810)),
    _xlpm.ReqDateIsValid, AND(ISNUMBER(H810), H810&gt;=TODAY()),
    _xlpm.EmailIsValid, RIGHT(I810,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IF(A810="", "", IF(_xlpm.error_messages = "", "Yes", _xlpm.error_messages))
)</f>
        <v/>
      </c>
    </row>
    <row r="811" spans="1:12">
      <c r="A811" s="94"/>
      <c r="B811" s="95"/>
      <c r="C811" s="95"/>
      <c r="D811" s="94"/>
      <c r="E811" s="94"/>
      <c r="F811" s="96"/>
      <c r="G811" s="94"/>
      <c r="H811" s="96"/>
      <c r="I811" s="96"/>
      <c r="J811" s="92"/>
      <c r="K811" s="97"/>
      <c r="L811" s="99" t="str">
        <f ca="1">_xlfn.LET(
    _xlpm.res_no, J811,
    _xlpm.record_sheet, 'MatRes Record'!J:M,
    _xlpm.AllCellsFilled, COUNTA(A811:K811) = 11,
    _xlpm.QtyIsInt, AND(ISNUMBER(G811), G811=INT(G811)),
    _xlpm.ReqDateIsValid, AND(ISNUMBER(H811), H811&gt;=TODAY()),
    _xlpm.EmailIsValid, RIGHT(I811,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IF(A811="", "", IF(_xlpm.error_messages = "", "Yes", _xlpm.error_messages))
)</f>
        <v/>
      </c>
    </row>
    <row r="812" spans="1:12">
      <c r="A812" s="94"/>
      <c r="B812" s="95"/>
      <c r="C812" s="95"/>
      <c r="D812" s="94"/>
      <c r="E812" s="94"/>
      <c r="F812" s="96"/>
      <c r="G812" s="94"/>
      <c r="H812" s="96"/>
      <c r="I812" s="96"/>
      <c r="J812" s="92"/>
      <c r="K812" s="97"/>
      <c r="L812" s="99" t="str">
        <f ca="1">_xlfn.LET(
    _xlpm.res_no, J812,
    _xlpm.record_sheet, 'MatRes Record'!J:M,
    _xlpm.AllCellsFilled, COUNTA(A812:K812) = 11,
    _xlpm.QtyIsInt, AND(ISNUMBER(G812), G812=INT(G812)),
    _xlpm.ReqDateIsValid, AND(ISNUMBER(H812), H812&gt;=TODAY()),
    _xlpm.EmailIsValid, RIGHT(I812,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IF(A812="", "", IF(_xlpm.error_messages = "", "Yes", _xlpm.error_messages))
)</f>
        <v/>
      </c>
    </row>
    <row r="813" spans="1:12">
      <c r="A813" s="94"/>
      <c r="B813" s="95"/>
      <c r="C813" s="95"/>
      <c r="D813" s="94"/>
      <c r="E813" s="94"/>
      <c r="F813" s="96"/>
      <c r="G813" s="94"/>
      <c r="H813" s="96"/>
      <c r="I813" s="96"/>
      <c r="J813" s="92"/>
      <c r="K813" s="97"/>
      <c r="L813" s="99" t="str">
        <f ca="1">_xlfn.LET(
    _xlpm.res_no, J813,
    _xlpm.record_sheet, 'MatRes Record'!J:M,
    _xlpm.AllCellsFilled, COUNTA(A813:K813) = 11,
    _xlpm.QtyIsInt, AND(ISNUMBER(G813), G813=INT(G813)),
    _xlpm.ReqDateIsValid, AND(ISNUMBER(H813), H813&gt;=TODAY()),
    _xlpm.EmailIsValid, RIGHT(I813,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IF(A813="", "", IF(_xlpm.error_messages = "", "Yes", _xlpm.error_messages))
)</f>
        <v/>
      </c>
    </row>
    <row r="814" spans="1:12">
      <c r="A814" s="94"/>
      <c r="B814" s="95"/>
      <c r="C814" s="95"/>
      <c r="D814" s="94"/>
      <c r="E814" s="94"/>
      <c r="F814" s="96"/>
      <c r="G814" s="94"/>
      <c r="H814" s="96"/>
      <c r="I814" s="96"/>
      <c r="J814" s="92"/>
      <c r="K814" s="97"/>
      <c r="L814" s="99" t="str">
        <f ca="1">_xlfn.LET(
    _xlpm.res_no, J814,
    _xlpm.record_sheet, 'MatRes Record'!J:M,
    _xlpm.AllCellsFilled, COUNTA(A814:K814) = 11,
    _xlpm.QtyIsInt, AND(ISNUMBER(G814), G814=INT(G814)),
    _xlpm.ReqDateIsValid, AND(ISNUMBER(H814), H814&gt;=TODAY()),
    _xlpm.EmailIsValid, RIGHT(I814,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IF(A814="", "", IF(_xlpm.error_messages = "", "Yes", _xlpm.error_messages))
)</f>
        <v/>
      </c>
    </row>
    <row r="815" spans="1:12">
      <c r="A815" s="94"/>
      <c r="B815" s="95"/>
      <c r="C815" s="95"/>
      <c r="D815" s="94"/>
      <c r="E815" s="94"/>
      <c r="F815" s="96"/>
      <c r="G815" s="94"/>
      <c r="H815" s="96"/>
      <c r="I815" s="96"/>
      <c r="J815" s="92"/>
      <c r="K815" s="97"/>
      <c r="L815" s="99" t="str">
        <f ca="1">_xlfn.LET(
    _xlpm.res_no, J815,
    _xlpm.record_sheet, 'MatRes Record'!J:M,
    _xlpm.AllCellsFilled, COUNTA(A815:K815) = 11,
    _xlpm.QtyIsInt, AND(ISNUMBER(G815), G815=INT(G815)),
    _xlpm.ReqDateIsValid, AND(ISNUMBER(H815), H815&gt;=TODAY()),
    _xlpm.EmailIsValid, RIGHT(I815,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IF(A815="", "", IF(_xlpm.error_messages = "", "Yes", _xlpm.error_messages))
)</f>
        <v/>
      </c>
    </row>
    <row r="816" spans="1:12">
      <c r="A816" s="94"/>
      <c r="B816" s="95"/>
      <c r="C816" s="95"/>
      <c r="D816" s="94"/>
      <c r="E816" s="94"/>
      <c r="F816" s="96"/>
      <c r="G816" s="94"/>
      <c r="H816" s="96"/>
      <c r="I816" s="96"/>
      <c r="J816" s="92"/>
      <c r="K816" s="97"/>
      <c r="L816" s="99" t="str">
        <f ca="1">_xlfn.LET(
    _xlpm.res_no, J816,
    _xlpm.record_sheet, 'MatRes Record'!J:M,
    _xlpm.AllCellsFilled, COUNTA(A816:K816) = 11,
    _xlpm.QtyIsInt, AND(ISNUMBER(G816), G816=INT(G816)),
    _xlpm.ReqDateIsValid, AND(ISNUMBER(H816), H816&gt;=TODAY()),
    _xlpm.EmailIsValid, RIGHT(I816,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IF(A816="", "", IF(_xlpm.error_messages = "", "Yes", _xlpm.error_messages))
)</f>
        <v/>
      </c>
    </row>
    <row r="817" spans="1:12">
      <c r="A817" s="94"/>
      <c r="B817" s="95"/>
      <c r="C817" s="95"/>
      <c r="D817" s="94"/>
      <c r="E817" s="94"/>
      <c r="F817" s="96"/>
      <c r="G817" s="94"/>
      <c r="H817" s="96"/>
      <c r="I817" s="96"/>
      <c r="J817" s="92"/>
      <c r="K817" s="97"/>
      <c r="L817" s="99" t="str">
        <f ca="1">_xlfn.LET(
    _xlpm.res_no, J817,
    _xlpm.record_sheet, 'MatRes Record'!J:M,
    _xlpm.AllCellsFilled, COUNTA(A817:K817) = 11,
    _xlpm.QtyIsInt, AND(ISNUMBER(G817), G817=INT(G817)),
    _xlpm.ReqDateIsValid, AND(ISNUMBER(H817), H817&gt;=TODAY()),
    _xlpm.EmailIsValid, RIGHT(I817,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IF(A817="", "", IF(_xlpm.error_messages = "", "Yes", _xlpm.error_messages))
)</f>
        <v/>
      </c>
    </row>
    <row r="818" spans="1:12">
      <c r="A818" s="94"/>
      <c r="B818" s="95"/>
      <c r="C818" s="95"/>
      <c r="D818" s="94"/>
      <c r="E818" s="94"/>
      <c r="F818" s="96"/>
      <c r="G818" s="94"/>
      <c r="H818" s="96"/>
      <c r="I818" s="96"/>
      <c r="J818" s="92"/>
      <c r="K818" s="97"/>
      <c r="L818" s="99" t="str">
        <f ca="1">_xlfn.LET(
    _xlpm.res_no, J818,
    _xlpm.record_sheet, 'MatRes Record'!J:M,
    _xlpm.AllCellsFilled, COUNTA(A818:K818) = 11,
    _xlpm.QtyIsInt, AND(ISNUMBER(G818), G818=INT(G818)),
    _xlpm.ReqDateIsValid, AND(ISNUMBER(H818), H818&gt;=TODAY()),
    _xlpm.EmailIsValid, RIGHT(I818,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IF(A818="", "", IF(_xlpm.error_messages = "", "Yes", _xlpm.error_messages))
)</f>
        <v/>
      </c>
    </row>
    <row r="819" spans="1:12">
      <c r="A819" s="94"/>
      <c r="B819" s="95"/>
      <c r="C819" s="95"/>
      <c r="D819" s="94"/>
      <c r="E819" s="94"/>
      <c r="F819" s="96"/>
      <c r="G819" s="94"/>
      <c r="H819" s="96"/>
      <c r="I819" s="96"/>
      <c r="J819" s="92"/>
      <c r="K819" s="97"/>
      <c r="L819" s="99" t="str">
        <f ca="1">_xlfn.LET(
    _xlpm.res_no, J819,
    _xlpm.record_sheet, 'MatRes Record'!J:M,
    _xlpm.AllCellsFilled, COUNTA(A819:K819) = 11,
    _xlpm.QtyIsInt, AND(ISNUMBER(G819), G819=INT(G819)),
    _xlpm.ReqDateIsValid, AND(ISNUMBER(H819), H819&gt;=TODAY()),
    _xlpm.EmailIsValid, RIGHT(I819,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IF(A819="", "", IF(_xlpm.error_messages = "", "Yes", _xlpm.error_messages))
)</f>
        <v/>
      </c>
    </row>
    <row r="820" spans="1:12">
      <c r="A820" s="94"/>
      <c r="B820" s="95"/>
      <c r="C820" s="95"/>
      <c r="D820" s="94"/>
      <c r="E820" s="94"/>
      <c r="F820" s="96"/>
      <c r="G820" s="94"/>
      <c r="H820" s="96"/>
      <c r="I820" s="96"/>
      <c r="J820" s="92"/>
      <c r="K820" s="97"/>
      <c r="L820" s="99" t="str">
        <f ca="1">_xlfn.LET(
    _xlpm.res_no, J820,
    _xlpm.record_sheet, 'MatRes Record'!J:M,
    _xlpm.AllCellsFilled, COUNTA(A820:K820) = 11,
    _xlpm.QtyIsInt, AND(ISNUMBER(G820), G820=INT(G820)),
    _xlpm.ReqDateIsValid, AND(ISNUMBER(H820), H820&gt;=TODAY()),
    _xlpm.EmailIsValid, RIGHT(I820,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IF(A820="", "", IF(_xlpm.error_messages = "", "Yes", _xlpm.error_messages))
)</f>
        <v/>
      </c>
    </row>
    <row r="821" spans="1:12">
      <c r="A821" s="94"/>
      <c r="B821" s="95"/>
      <c r="C821" s="95"/>
      <c r="D821" s="94"/>
      <c r="E821" s="94"/>
      <c r="F821" s="96"/>
      <c r="G821" s="94"/>
      <c r="H821" s="96"/>
      <c r="I821" s="96"/>
      <c r="J821" s="92"/>
      <c r="K821" s="97"/>
      <c r="L821" s="99" t="str">
        <f ca="1">_xlfn.LET(
    _xlpm.res_no, J821,
    _xlpm.record_sheet, 'MatRes Record'!J:M,
    _xlpm.AllCellsFilled, COUNTA(A821:K821) = 11,
    _xlpm.QtyIsInt, AND(ISNUMBER(G821), G821=INT(G821)),
    _xlpm.ReqDateIsValid, AND(ISNUMBER(H821), H821&gt;=TODAY()),
    _xlpm.EmailIsValid, RIGHT(I821,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IF(A821="", "", IF(_xlpm.error_messages = "", "Yes", _xlpm.error_messages))
)</f>
        <v/>
      </c>
    </row>
    <row r="822" spans="1:12">
      <c r="A822" s="94"/>
      <c r="B822" s="95"/>
      <c r="C822" s="95"/>
      <c r="D822" s="94"/>
      <c r="E822" s="94"/>
      <c r="F822" s="96"/>
      <c r="G822" s="94"/>
      <c r="H822" s="96"/>
      <c r="I822" s="96"/>
      <c r="J822" s="92"/>
      <c r="K822" s="97"/>
      <c r="L822" s="99" t="str">
        <f ca="1">_xlfn.LET(
    _xlpm.res_no, J822,
    _xlpm.record_sheet, 'MatRes Record'!J:M,
    _xlpm.AllCellsFilled, COUNTA(A822:K822) = 11,
    _xlpm.QtyIsInt, AND(ISNUMBER(G822), G822=INT(G822)),
    _xlpm.ReqDateIsValid, AND(ISNUMBER(H822), H822&gt;=TODAY()),
    _xlpm.EmailIsValid, RIGHT(I822,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IF(A822="", "", IF(_xlpm.error_messages = "", "Yes", _xlpm.error_messages))
)</f>
        <v/>
      </c>
    </row>
    <row r="823" spans="1:12">
      <c r="A823" s="94"/>
      <c r="B823" s="95"/>
      <c r="C823" s="95"/>
      <c r="D823" s="94"/>
      <c r="E823" s="94"/>
      <c r="F823" s="96"/>
      <c r="G823" s="94"/>
      <c r="H823" s="96"/>
      <c r="I823" s="96"/>
      <c r="J823" s="92"/>
      <c r="K823" s="97"/>
      <c r="L823" s="99" t="str">
        <f ca="1">_xlfn.LET(
    _xlpm.res_no, J823,
    _xlpm.record_sheet, 'MatRes Record'!J:M,
    _xlpm.AllCellsFilled, COUNTA(A823:K823) = 11,
    _xlpm.QtyIsInt, AND(ISNUMBER(G823), G823=INT(G823)),
    _xlpm.ReqDateIsValid, AND(ISNUMBER(H823), H823&gt;=TODAY()),
    _xlpm.EmailIsValid, RIGHT(I823,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IF(A823="", "", IF(_xlpm.error_messages = "", "Yes", _xlpm.error_messages))
)</f>
        <v/>
      </c>
    </row>
    <row r="824" spans="1:12">
      <c r="A824" s="94"/>
      <c r="B824" s="95"/>
      <c r="C824" s="95"/>
      <c r="D824" s="94"/>
      <c r="E824" s="94"/>
      <c r="F824" s="96"/>
      <c r="G824" s="94"/>
      <c r="H824" s="96"/>
      <c r="I824" s="96"/>
      <c r="J824" s="92"/>
      <c r="K824" s="97"/>
      <c r="L824" s="99" t="str">
        <f ca="1">_xlfn.LET(
    _xlpm.res_no, J824,
    _xlpm.record_sheet, 'MatRes Record'!J:M,
    _xlpm.AllCellsFilled, COUNTA(A824:K824) = 11,
    _xlpm.QtyIsInt, AND(ISNUMBER(G824), G824=INT(G824)),
    _xlpm.ReqDateIsValid, AND(ISNUMBER(H824), H824&gt;=TODAY()),
    _xlpm.EmailIsValid, RIGHT(I824,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IF(A824="", "", IF(_xlpm.error_messages = "", "Yes", _xlpm.error_messages))
)</f>
        <v/>
      </c>
    </row>
    <row r="825" spans="1:12">
      <c r="A825" s="94"/>
      <c r="B825" s="95"/>
      <c r="C825" s="95"/>
      <c r="D825" s="94"/>
      <c r="E825" s="94"/>
      <c r="F825" s="96"/>
      <c r="G825" s="94"/>
      <c r="H825" s="96"/>
      <c r="I825" s="96"/>
      <c r="J825" s="92"/>
      <c r="K825" s="97"/>
      <c r="L825" s="99" t="str">
        <f ca="1">_xlfn.LET(
    _xlpm.res_no, J825,
    _xlpm.record_sheet, 'MatRes Record'!J:M,
    _xlpm.AllCellsFilled, COUNTA(A825:K825) = 11,
    _xlpm.QtyIsInt, AND(ISNUMBER(G825), G825=INT(G825)),
    _xlpm.ReqDateIsValid, AND(ISNUMBER(H825), H825&gt;=TODAY()),
    _xlpm.EmailIsValid, RIGHT(I825,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IF(A825="", "", IF(_xlpm.error_messages = "", "Yes", _xlpm.error_messages))
)</f>
        <v/>
      </c>
    </row>
    <row r="826" spans="1:12">
      <c r="A826" s="94"/>
      <c r="B826" s="95"/>
      <c r="C826" s="95"/>
      <c r="D826" s="94"/>
      <c r="E826" s="94"/>
      <c r="F826" s="96"/>
      <c r="G826" s="94"/>
      <c r="H826" s="96"/>
      <c r="I826" s="96"/>
      <c r="J826" s="92"/>
      <c r="K826" s="97"/>
      <c r="L826" s="99" t="str">
        <f ca="1">_xlfn.LET(
    _xlpm.res_no, J826,
    _xlpm.record_sheet, 'MatRes Record'!J:M,
    _xlpm.AllCellsFilled, COUNTA(A826:K826) = 11,
    _xlpm.QtyIsInt, AND(ISNUMBER(G826), G826=INT(G826)),
    _xlpm.ReqDateIsValid, AND(ISNUMBER(H826), H826&gt;=TODAY()),
    _xlpm.EmailIsValid, RIGHT(I826,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IF(A826="", "", IF(_xlpm.error_messages = "", "Yes", _xlpm.error_messages))
)</f>
        <v/>
      </c>
    </row>
    <row r="827" spans="1:12">
      <c r="A827" s="94"/>
      <c r="B827" s="95"/>
      <c r="C827" s="95"/>
      <c r="D827" s="94"/>
      <c r="E827" s="94"/>
      <c r="F827" s="96"/>
      <c r="G827" s="94"/>
      <c r="H827" s="96"/>
      <c r="I827" s="96"/>
      <c r="J827" s="92"/>
      <c r="K827" s="97"/>
      <c r="L827" s="99" t="str">
        <f ca="1">_xlfn.LET(
    _xlpm.res_no, J827,
    _xlpm.record_sheet, 'MatRes Record'!J:M,
    _xlpm.AllCellsFilled, COUNTA(A827:K827) = 11,
    _xlpm.QtyIsInt, AND(ISNUMBER(G827), G827=INT(G827)),
    _xlpm.ReqDateIsValid, AND(ISNUMBER(H827), H827&gt;=TODAY()),
    _xlpm.EmailIsValid, RIGHT(I827,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IF(A827="", "", IF(_xlpm.error_messages = "", "Yes", _xlpm.error_messages))
)</f>
        <v/>
      </c>
    </row>
    <row r="828" spans="1:12">
      <c r="A828" s="94"/>
      <c r="B828" s="95"/>
      <c r="C828" s="95"/>
      <c r="D828" s="94"/>
      <c r="E828" s="94"/>
      <c r="F828" s="96"/>
      <c r="G828" s="94"/>
      <c r="H828" s="96"/>
      <c r="I828" s="96"/>
      <c r="J828" s="92"/>
      <c r="K828" s="97"/>
      <c r="L828" s="99" t="str">
        <f ca="1">_xlfn.LET(
    _xlpm.res_no, J828,
    _xlpm.record_sheet, 'MatRes Record'!J:M,
    _xlpm.AllCellsFilled, COUNTA(A828:K828) = 11,
    _xlpm.QtyIsInt, AND(ISNUMBER(G828), G828=INT(G828)),
    _xlpm.ReqDateIsValid, AND(ISNUMBER(H828), H828&gt;=TODAY()),
    _xlpm.EmailIsValid, RIGHT(I828,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IF(A828="", "", IF(_xlpm.error_messages = "", "Yes", _xlpm.error_messages))
)</f>
        <v/>
      </c>
    </row>
    <row r="829" spans="1:12">
      <c r="A829" s="94"/>
      <c r="B829" s="95"/>
      <c r="C829" s="95"/>
      <c r="D829" s="94"/>
      <c r="E829" s="94"/>
      <c r="F829" s="96"/>
      <c r="G829" s="94"/>
      <c r="H829" s="96"/>
      <c r="I829" s="96"/>
      <c r="J829" s="92"/>
      <c r="K829" s="97"/>
      <c r="L829" s="99" t="str">
        <f ca="1">_xlfn.LET(
    _xlpm.res_no, J829,
    _xlpm.record_sheet, 'MatRes Record'!J:M,
    _xlpm.AllCellsFilled, COUNTA(A829:K829) = 11,
    _xlpm.QtyIsInt, AND(ISNUMBER(G829), G829=INT(G829)),
    _xlpm.ReqDateIsValid, AND(ISNUMBER(H829), H829&gt;=TODAY()),
    _xlpm.EmailIsValid, RIGHT(I829,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IF(A829="", "", IF(_xlpm.error_messages = "", "Yes", _xlpm.error_messages))
)</f>
        <v/>
      </c>
    </row>
    <row r="830" spans="1:12">
      <c r="A830" s="94"/>
      <c r="B830" s="95"/>
      <c r="C830" s="95"/>
      <c r="D830" s="94"/>
      <c r="E830" s="94"/>
      <c r="F830" s="96"/>
      <c r="G830" s="94"/>
      <c r="H830" s="96"/>
      <c r="I830" s="96"/>
      <c r="J830" s="92"/>
      <c r="K830" s="97"/>
      <c r="L830" s="99" t="str">
        <f ca="1">_xlfn.LET(
    _xlpm.res_no, J830,
    _xlpm.record_sheet, 'MatRes Record'!J:M,
    _xlpm.AllCellsFilled, COUNTA(A830:K830) = 11,
    _xlpm.QtyIsInt, AND(ISNUMBER(G830), G830=INT(G830)),
    _xlpm.ReqDateIsValid, AND(ISNUMBER(H830), H830&gt;=TODAY()),
    _xlpm.EmailIsValid, RIGHT(I830,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IF(A830="", "", IF(_xlpm.error_messages = "", "Yes", _xlpm.error_messages))
)</f>
        <v/>
      </c>
    </row>
    <row r="831" spans="1:12">
      <c r="A831" s="94"/>
      <c r="B831" s="95"/>
      <c r="C831" s="95"/>
      <c r="D831" s="94"/>
      <c r="E831" s="94"/>
      <c r="F831" s="96"/>
      <c r="G831" s="94"/>
      <c r="H831" s="96"/>
      <c r="I831" s="96"/>
      <c r="J831" s="92"/>
      <c r="K831" s="97"/>
      <c r="L831" s="99" t="str">
        <f ca="1">_xlfn.LET(
    _xlpm.res_no, J831,
    _xlpm.record_sheet, 'MatRes Record'!J:M,
    _xlpm.AllCellsFilled, COUNTA(A831:K831) = 11,
    _xlpm.QtyIsInt, AND(ISNUMBER(G831), G831=INT(G831)),
    _xlpm.ReqDateIsValid, AND(ISNUMBER(H831), H831&gt;=TODAY()),
    _xlpm.EmailIsValid, RIGHT(I831,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IF(A831="", "", IF(_xlpm.error_messages = "", "Yes", _xlpm.error_messages))
)</f>
        <v/>
      </c>
    </row>
    <row r="832" spans="1:12">
      <c r="A832" s="94"/>
      <c r="B832" s="95"/>
      <c r="C832" s="95"/>
      <c r="D832" s="94"/>
      <c r="E832" s="94"/>
      <c r="F832" s="96"/>
      <c r="G832" s="94"/>
      <c r="H832" s="96"/>
      <c r="I832" s="96"/>
      <c r="J832" s="92"/>
      <c r="K832" s="97"/>
      <c r="L832" s="99" t="str">
        <f ca="1">_xlfn.LET(
    _xlpm.res_no, J832,
    _xlpm.record_sheet, 'MatRes Record'!J:M,
    _xlpm.AllCellsFilled, COUNTA(A832:K832) = 11,
    _xlpm.QtyIsInt, AND(ISNUMBER(G832), G832=INT(G832)),
    _xlpm.ReqDateIsValid, AND(ISNUMBER(H832), H832&gt;=TODAY()),
    _xlpm.EmailIsValid, RIGHT(I832,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IF(A832="", "", IF(_xlpm.error_messages = "", "Yes", _xlpm.error_messages))
)</f>
        <v/>
      </c>
    </row>
    <row r="833" spans="1:12">
      <c r="A833" s="94"/>
      <c r="B833" s="95"/>
      <c r="C833" s="95"/>
      <c r="D833" s="94"/>
      <c r="E833" s="94"/>
      <c r="F833" s="96"/>
      <c r="G833" s="94"/>
      <c r="H833" s="96"/>
      <c r="I833" s="96"/>
      <c r="J833" s="92"/>
      <c r="K833" s="97"/>
      <c r="L833" s="99" t="str">
        <f ca="1">_xlfn.LET(
    _xlpm.res_no, J833,
    _xlpm.record_sheet, 'MatRes Record'!J:M,
    _xlpm.AllCellsFilled, COUNTA(A833:K833) = 11,
    _xlpm.QtyIsInt, AND(ISNUMBER(G833), G833=INT(G833)),
    _xlpm.ReqDateIsValid, AND(ISNUMBER(H833), H833&gt;=TODAY()),
    _xlpm.EmailIsValid, RIGHT(I833,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IF(A833="", "", IF(_xlpm.error_messages = "", "Yes", _xlpm.error_messages))
)</f>
        <v/>
      </c>
    </row>
    <row r="834" spans="1:12">
      <c r="A834" s="94"/>
      <c r="B834" s="95"/>
      <c r="C834" s="95"/>
      <c r="D834" s="94"/>
      <c r="E834" s="94"/>
      <c r="F834" s="96"/>
      <c r="G834" s="94"/>
      <c r="H834" s="96"/>
      <c r="I834" s="96"/>
      <c r="J834" s="92"/>
      <c r="K834" s="97"/>
      <c r="L834" s="99" t="str">
        <f ca="1">_xlfn.LET(
    _xlpm.res_no, J834,
    _xlpm.record_sheet, 'MatRes Record'!J:M,
    _xlpm.AllCellsFilled, COUNTA(A834:K834) = 11,
    _xlpm.QtyIsInt, AND(ISNUMBER(G834), G834=INT(G834)),
    _xlpm.ReqDateIsValid, AND(ISNUMBER(H834), H834&gt;=TODAY()),
    _xlpm.EmailIsValid, RIGHT(I834,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IF(A834="", "", IF(_xlpm.error_messages = "", "Yes", _xlpm.error_messages))
)</f>
        <v/>
      </c>
    </row>
    <row r="835" spans="1:12">
      <c r="A835" s="94"/>
      <c r="B835" s="95"/>
      <c r="C835" s="95"/>
      <c r="D835" s="94"/>
      <c r="E835" s="94"/>
      <c r="F835" s="96"/>
      <c r="G835" s="94"/>
      <c r="H835" s="96"/>
      <c r="I835" s="96"/>
      <c r="J835" s="92"/>
      <c r="K835" s="97"/>
      <c r="L835" s="99" t="str">
        <f ca="1">_xlfn.LET(
    _xlpm.res_no, J835,
    _xlpm.record_sheet, 'MatRes Record'!J:M,
    _xlpm.AllCellsFilled, COUNTA(A835:K835) = 11,
    _xlpm.QtyIsInt, AND(ISNUMBER(G835), G835=INT(G835)),
    _xlpm.ReqDateIsValid, AND(ISNUMBER(H835), H835&gt;=TODAY()),
    _xlpm.EmailIsValid, RIGHT(I835,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IF(A835="", "", IF(_xlpm.error_messages = "", "Yes", _xlpm.error_messages))
)</f>
        <v/>
      </c>
    </row>
    <row r="836" spans="1:12">
      <c r="A836" s="94"/>
      <c r="B836" s="95"/>
      <c r="C836" s="95"/>
      <c r="D836" s="94"/>
      <c r="E836" s="94"/>
      <c r="F836" s="96"/>
      <c r="G836" s="94"/>
      <c r="H836" s="96"/>
      <c r="I836" s="96"/>
      <c r="J836" s="92"/>
      <c r="K836" s="97"/>
      <c r="L836" s="99" t="str">
        <f ca="1">_xlfn.LET(
    _xlpm.res_no, J836,
    _xlpm.record_sheet, 'MatRes Record'!J:M,
    _xlpm.AllCellsFilled, COUNTA(A836:K836) = 11,
    _xlpm.QtyIsInt, AND(ISNUMBER(G836), G836=INT(G836)),
    _xlpm.ReqDateIsValid, AND(ISNUMBER(H836), H836&gt;=TODAY()),
    _xlpm.EmailIsValid, RIGHT(I836,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IF(A836="", "", IF(_xlpm.error_messages = "", "Yes", _xlpm.error_messages))
)</f>
        <v/>
      </c>
    </row>
    <row r="837" spans="1:12">
      <c r="A837" s="94"/>
      <c r="B837" s="95"/>
      <c r="C837" s="95"/>
      <c r="D837" s="94"/>
      <c r="E837" s="94"/>
      <c r="F837" s="96"/>
      <c r="G837" s="94"/>
      <c r="H837" s="96"/>
      <c r="I837" s="96"/>
      <c r="J837" s="92"/>
      <c r="K837" s="97"/>
      <c r="L837" s="99" t="str">
        <f ca="1">_xlfn.LET(
    _xlpm.res_no, J837,
    _xlpm.record_sheet, 'MatRes Record'!J:M,
    _xlpm.AllCellsFilled, COUNTA(A837:K837) = 11,
    _xlpm.QtyIsInt, AND(ISNUMBER(G837), G837=INT(G837)),
    _xlpm.ReqDateIsValid, AND(ISNUMBER(H837), H837&gt;=TODAY()),
    _xlpm.EmailIsValid, RIGHT(I837,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IF(A837="", "", IF(_xlpm.error_messages = "", "Yes", _xlpm.error_messages))
)</f>
        <v/>
      </c>
    </row>
    <row r="838" spans="1:12">
      <c r="A838" s="94"/>
      <c r="B838" s="95"/>
      <c r="C838" s="95"/>
      <c r="D838" s="94"/>
      <c r="E838" s="94"/>
      <c r="F838" s="96"/>
      <c r="G838" s="94"/>
      <c r="H838" s="96"/>
      <c r="I838" s="96"/>
      <c r="J838" s="92"/>
      <c r="K838" s="97"/>
      <c r="L838" s="99" t="str">
        <f ca="1">_xlfn.LET(
    _xlpm.res_no, J838,
    _xlpm.record_sheet, 'MatRes Record'!J:M,
    _xlpm.AllCellsFilled, COUNTA(A838:K838) = 11,
    _xlpm.QtyIsInt, AND(ISNUMBER(G838), G838=INT(G838)),
    _xlpm.ReqDateIsValid, AND(ISNUMBER(H838), H838&gt;=TODAY()),
    _xlpm.EmailIsValid, RIGHT(I838,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IF(A838="", "", IF(_xlpm.error_messages = "", "Yes", _xlpm.error_messages))
)</f>
        <v/>
      </c>
    </row>
    <row r="839" spans="1:12">
      <c r="A839" s="94"/>
      <c r="B839" s="95"/>
      <c r="C839" s="95"/>
      <c r="D839" s="94"/>
      <c r="E839" s="94"/>
      <c r="F839" s="96"/>
      <c r="G839" s="94"/>
      <c r="H839" s="96"/>
      <c r="I839" s="96"/>
      <c r="J839" s="92"/>
      <c r="K839" s="97"/>
      <c r="L839" s="99" t="str">
        <f ca="1">_xlfn.LET(
    _xlpm.res_no, J839,
    _xlpm.record_sheet, 'MatRes Record'!J:M,
    _xlpm.AllCellsFilled, COUNTA(A839:K839) = 11,
    _xlpm.QtyIsInt, AND(ISNUMBER(G839), G839=INT(G839)),
    _xlpm.ReqDateIsValid, AND(ISNUMBER(H839), H839&gt;=TODAY()),
    _xlpm.EmailIsValid, RIGHT(I839,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IF(A839="", "", IF(_xlpm.error_messages = "", "Yes", _xlpm.error_messages))
)</f>
        <v/>
      </c>
    </row>
    <row r="840" spans="1:12">
      <c r="A840" s="94"/>
      <c r="B840" s="95"/>
      <c r="C840" s="95"/>
      <c r="D840" s="94"/>
      <c r="E840" s="94"/>
      <c r="F840" s="96"/>
      <c r="G840" s="94"/>
      <c r="H840" s="96"/>
      <c r="I840" s="96"/>
      <c r="J840" s="92"/>
      <c r="K840" s="97"/>
      <c r="L840" s="99" t="str">
        <f ca="1">_xlfn.LET(
    _xlpm.res_no, J840,
    _xlpm.record_sheet, 'MatRes Record'!J:M,
    _xlpm.AllCellsFilled, COUNTA(A840:K840) = 11,
    _xlpm.QtyIsInt, AND(ISNUMBER(G840), G840=INT(G840)),
    _xlpm.ReqDateIsValid, AND(ISNUMBER(H840), H840&gt;=TODAY()),
    _xlpm.EmailIsValid, RIGHT(I840,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IF(A840="", "", IF(_xlpm.error_messages = "", "Yes", _xlpm.error_messages))
)</f>
        <v/>
      </c>
    </row>
    <row r="841" spans="1:12">
      <c r="A841" s="94"/>
      <c r="B841" s="95"/>
      <c r="C841" s="95"/>
      <c r="D841" s="94"/>
      <c r="E841" s="94"/>
      <c r="F841" s="96"/>
      <c r="G841" s="94"/>
      <c r="H841" s="96"/>
      <c r="I841" s="96"/>
      <c r="J841" s="92"/>
      <c r="K841" s="97"/>
      <c r="L841" s="99" t="str">
        <f ca="1">_xlfn.LET(
    _xlpm.res_no, J841,
    _xlpm.record_sheet, 'MatRes Record'!J:M,
    _xlpm.AllCellsFilled, COUNTA(A841:K841) = 11,
    _xlpm.QtyIsInt, AND(ISNUMBER(G841), G841=INT(G841)),
    _xlpm.ReqDateIsValid, AND(ISNUMBER(H841), H841&gt;=TODAY()),
    _xlpm.EmailIsValid, RIGHT(I841,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IF(A841="", "", IF(_xlpm.error_messages = "", "Yes", _xlpm.error_messages))
)</f>
        <v/>
      </c>
    </row>
    <row r="842" spans="1:12">
      <c r="A842" s="94"/>
      <c r="B842" s="95"/>
      <c r="C842" s="95"/>
      <c r="D842" s="94"/>
      <c r="E842" s="94"/>
      <c r="F842" s="96"/>
      <c r="G842" s="94"/>
      <c r="H842" s="96"/>
      <c r="I842" s="96"/>
      <c r="J842" s="92"/>
      <c r="K842" s="97"/>
      <c r="L842" s="99" t="str">
        <f ca="1">_xlfn.LET(
    _xlpm.res_no, J842,
    _xlpm.record_sheet, 'MatRes Record'!J:M,
    _xlpm.AllCellsFilled, COUNTA(A842:K842) = 11,
    _xlpm.QtyIsInt, AND(ISNUMBER(G842), G842=INT(G842)),
    _xlpm.ReqDateIsValid, AND(ISNUMBER(H842), H842&gt;=TODAY()),
    _xlpm.EmailIsValid, RIGHT(I842,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IF(A842="", "", IF(_xlpm.error_messages = "", "Yes", _xlpm.error_messages))
)</f>
        <v/>
      </c>
    </row>
    <row r="843" spans="1:12">
      <c r="A843" s="94"/>
      <c r="B843" s="95"/>
      <c r="C843" s="95"/>
      <c r="D843" s="94"/>
      <c r="E843" s="94"/>
      <c r="F843" s="96"/>
      <c r="G843" s="94"/>
      <c r="H843" s="96"/>
      <c r="I843" s="96"/>
      <c r="J843" s="92"/>
      <c r="K843" s="97"/>
      <c r="L843" s="99" t="str">
        <f ca="1">_xlfn.LET(
    _xlpm.res_no, J843,
    _xlpm.record_sheet, 'MatRes Record'!J:M,
    _xlpm.AllCellsFilled, COUNTA(A843:K843) = 11,
    _xlpm.QtyIsInt, AND(ISNUMBER(G843), G843=INT(G843)),
    _xlpm.ReqDateIsValid, AND(ISNUMBER(H843), H843&gt;=TODAY()),
    _xlpm.EmailIsValid, RIGHT(I843,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IF(A843="", "", IF(_xlpm.error_messages = "", "Yes", _xlpm.error_messages))
)</f>
        <v/>
      </c>
    </row>
    <row r="844" spans="1:12">
      <c r="A844" s="94"/>
      <c r="B844" s="95"/>
      <c r="C844" s="95"/>
      <c r="D844" s="94"/>
      <c r="E844" s="94"/>
      <c r="F844" s="96"/>
      <c r="G844" s="94"/>
      <c r="H844" s="96"/>
      <c r="I844" s="96"/>
      <c r="J844" s="92"/>
      <c r="K844" s="97"/>
      <c r="L844" s="99" t="str">
        <f ca="1">_xlfn.LET(
    _xlpm.res_no, J844,
    _xlpm.record_sheet, 'MatRes Record'!J:M,
    _xlpm.AllCellsFilled, COUNTA(A844:K844) = 11,
    _xlpm.QtyIsInt, AND(ISNUMBER(G844), G844=INT(G844)),
    _xlpm.ReqDateIsValid, AND(ISNUMBER(H844), H844&gt;=TODAY()),
    _xlpm.EmailIsValid, RIGHT(I844,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IF(A844="", "", IF(_xlpm.error_messages = "", "Yes", _xlpm.error_messages))
)</f>
        <v/>
      </c>
    </row>
    <row r="845" spans="1:12">
      <c r="A845" s="94"/>
      <c r="B845" s="95"/>
      <c r="C845" s="95"/>
      <c r="D845" s="94"/>
      <c r="E845" s="94"/>
      <c r="F845" s="96"/>
      <c r="G845" s="94"/>
      <c r="H845" s="96"/>
      <c r="I845" s="96"/>
      <c r="J845" s="92"/>
      <c r="K845" s="97"/>
      <c r="L845" s="99" t="str">
        <f ca="1">_xlfn.LET(
    _xlpm.res_no, J845,
    _xlpm.record_sheet, 'MatRes Record'!J:M,
    _xlpm.AllCellsFilled, COUNTA(A845:K845) = 11,
    _xlpm.QtyIsInt, AND(ISNUMBER(G845), G845=INT(G845)),
    _xlpm.ReqDateIsValid, AND(ISNUMBER(H845), H845&gt;=TODAY()),
    _xlpm.EmailIsValid, RIGHT(I845,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IF(A845="", "", IF(_xlpm.error_messages = "", "Yes", _xlpm.error_messages))
)</f>
        <v/>
      </c>
    </row>
    <row r="846" spans="1:12">
      <c r="A846" s="94"/>
      <c r="B846" s="95"/>
      <c r="C846" s="95"/>
      <c r="D846" s="94"/>
      <c r="E846" s="94"/>
      <c r="F846" s="96"/>
      <c r="G846" s="94"/>
      <c r="H846" s="96"/>
      <c r="I846" s="96"/>
      <c r="J846" s="92"/>
      <c r="K846" s="97"/>
      <c r="L846" s="99" t="str">
        <f ca="1">_xlfn.LET(
    _xlpm.res_no, J846,
    _xlpm.record_sheet, 'MatRes Record'!J:M,
    _xlpm.AllCellsFilled, COUNTA(A846:K846) = 11,
    _xlpm.QtyIsInt, AND(ISNUMBER(G846), G846=INT(G846)),
    _xlpm.ReqDateIsValid, AND(ISNUMBER(H846), H846&gt;=TODAY()),
    _xlpm.EmailIsValid, RIGHT(I846,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IF(A846="", "", IF(_xlpm.error_messages = "", "Yes", _xlpm.error_messages))
)</f>
        <v/>
      </c>
    </row>
    <row r="847" spans="1:12">
      <c r="A847" s="94"/>
      <c r="B847" s="95"/>
      <c r="C847" s="95"/>
      <c r="D847" s="94"/>
      <c r="E847" s="94"/>
      <c r="F847" s="96"/>
      <c r="G847" s="94"/>
      <c r="H847" s="96"/>
      <c r="I847" s="96"/>
      <c r="J847" s="92"/>
      <c r="K847" s="97"/>
      <c r="L847" s="99" t="str">
        <f ca="1">_xlfn.LET(
    _xlpm.res_no, J847,
    _xlpm.record_sheet, 'MatRes Record'!J:M,
    _xlpm.AllCellsFilled, COUNTA(A847:K847) = 11,
    _xlpm.QtyIsInt, AND(ISNUMBER(G847), G847=INT(G847)),
    _xlpm.ReqDateIsValid, AND(ISNUMBER(H847), H847&gt;=TODAY()),
    _xlpm.EmailIsValid, RIGHT(I847,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IF(A847="", "", IF(_xlpm.error_messages = "", "Yes", _xlpm.error_messages))
)</f>
        <v/>
      </c>
    </row>
    <row r="848" spans="1:12">
      <c r="A848" s="94"/>
      <c r="B848" s="95"/>
      <c r="C848" s="95"/>
      <c r="D848" s="94"/>
      <c r="E848" s="94"/>
      <c r="F848" s="96"/>
      <c r="G848" s="94"/>
      <c r="H848" s="96"/>
      <c r="I848" s="96"/>
      <c r="J848" s="92"/>
      <c r="K848" s="97"/>
      <c r="L848" s="99" t="str">
        <f ca="1">_xlfn.LET(
    _xlpm.res_no, J848,
    _xlpm.record_sheet, 'MatRes Record'!J:M,
    _xlpm.AllCellsFilled, COUNTA(A848:K848) = 11,
    _xlpm.QtyIsInt, AND(ISNUMBER(G848), G848=INT(G848)),
    _xlpm.ReqDateIsValid, AND(ISNUMBER(H848), H848&gt;=TODAY()),
    _xlpm.EmailIsValid, RIGHT(I848,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IF(A848="", "", IF(_xlpm.error_messages = "", "Yes", _xlpm.error_messages))
)</f>
        <v/>
      </c>
    </row>
    <row r="849" spans="1:12">
      <c r="A849" s="94"/>
      <c r="B849" s="95"/>
      <c r="C849" s="95"/>
      <c r="D849" s="94"/>
      <c r="E849" s="94"/>
      <c r="F849" s="96"/>
      <c r="G849" s="94"/>
      <c r="H849" s="96"/>
      <c r="I849" s="96"/>
      <c r="J849" s="92"/>
      <c r="K849" s="97"/>
      <c r="L849" s="99" t="str">
        <f ca="1">_xlfn.LET(
    _xlpm.res_no, J849,
    _xlpm.record_sheet, 'MatRes Record'!J:M,
    _xlpm.AllCellsFilled, COUNTA(A849:K849) = 11,
    _xlpm.QtyIsInt, AND(ISNUMBER(G849), G849=INT(G849)),
    _xlpm.ReqDateIsValid, AND(ISNUMBER(H849), H849&gt;=TODAY()),
    _xlpm.EmailIsValid, RIGHT(I849,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IF(A849="", "", IF(_xlpm.error_messages = "", "Yes", _xlpm.error_messages))
)</f>
        <v/>
      </c>
    </row>
    <row r="850" spans="1:12">
      <c r="A850" s="94"/>
      <c r="B850" s="95"/>
      <c r="C850" s="95"/>
      <c r="D850" s="94"/>
      <c r="E850" s="94"/>
      <c r="F850" s="96"/>
      <c r="G850" s="94"/>
      <c r="H850" s="96"/>
      <c r="I850" s="96"/>
      <c r="J850" s="92"/>
      <c r="K850" s="97"/>
      <c r="L850" s="99" t="str">
        <f ca="1">_xlfn.LET(
    _xlpm.res_no, J850,
    _xlpm.record_sheet, 'MatRes Record'!J:M,
    _xlpm.AllCellsFilled, COUNTA(A850:K850) = 11,
    _xlpm.QtyIsInt, AND(ISNUMBER(G850), G850=INT(G850)),
    _xlpm.ReqDateIsValid, AND(ISNUMBER(H850), H850&gt;=TODAY()),
    _xlpm.EmailIsValid, RIGHT(I850,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IF(A850="", "", IF(_xlpm.error_messages = "", "Yes", _xlpm.error_messages))
)</f>
        <v/>
      </c>
    </row>
    <row r="851" spans="1:12">
      <c r="A851" s="94"/>
      <c r="B851" s="95"/>
      <c r="C851" s="95"/>
      <c r="D851" s="94"/>
      <c r="E851" s="94"/>
      <c r="F851" s="96"/>
      <c r="G851" s="94"/>
      <c r="H851" s="96"/>
      <c r="I851" s="96"/>
      <c r="J851" s="92"/>
      <c r="K851" s="97"/>
      <c r="L851" s="99" t="str">
        <f ca="1">_xlfn.LET(
    _xlpm.res_no, J851,
    _xlpm.record_sheet, 'MatRes Record'!J:M,
    _xlpm.AllCellsFilled, COUNTA(A851:K851) = 11,
    _xlpm.QtyIsInt, AND(ISNUMBER(G851), G851=INT(G851)),
    _xlpm.ReqDateIsValid, AND(ISNUMBER(H851), H851&gt;=TODAY()),
    _xlpm.EmailIsValid, RIGHT(I851,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IF(A851="", "", IF(_xlpm.error_messages = "", "Yes", _xlpm.error_messages))
)</f>
        <v/>
      </c>
    </row>
    <row r="852" spans="1:12">
      <c r="A852" s="94"/>
      <c r="B852" s="95"/>
      <c r="C852" s="95"/>
      <c r="D852" s="94"/>
      <c r="E852" s="94"/>
      <c r="F852" s="96"/>
      <c r="G852" s="94"/>
      <c r="H852" s="96"/>
      <c r="I852" s="96"/>
      <c r="J852" s="92"/>
      <c r="K852" s="97"/>
      <c r="L852" s="99" t="str">
        <f ca="1">_xlfn.LET(
    _xlpm.res_no, J852,
    _xlpm.record_sheet, 'MatRes Record'!J:M,
    _xlpm.AllCellsFilled, COUNTA(A852:K852) = 11,
    _xlpm.QtyIsInt, AND(ISNUMBER(G852), G852=INT(G852)),
    _xlpm.ReqDateIsValid, AND(ISNUMBER(H852), H852&gt;=TODAY()),
    _xlpm.EmailIsValid, RIGHT(I852,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IF(A852="", "", IF(_xlpm.error_messages = "", "Yes", _xlpm.error_messages))
)</f>
        <v/>
      </c>
    </row>
    <row r="853" spans="1:12">
      <c r="A853" s="94"/>
      <c r="B853" s="95"/>
      <c r="C853" s="95"/>
      <c r="D853" s="94"/>
      <c r="E853" s="94"/>
      <c r="F853" s="96"/>
      <c r="G853" s="94"/>
      <c r="H853" s="96"/>
      <c r="I853" s="96"/>
      <c r="J853" s="92"/>
      <c r="K853" s="97"/>
      <c r="L853" s="99" t="str">
        <f ca="1">_xlfn.LET(
    _xlpm.res_no, J853,
    _xlpm.record_sheet, 'MatRes Record'!J:M,
    _xlpm.AllCellsFilled, COUNTA(A853:K853) = 11,
    _xlpm.QtyIsInt, AND(ISNUMBER(G853), G853=INT(G853)),
    _xlpm.ReqDateIsValid, AND(ISNUMBER(H853), H853&gt;=TODAY()),
    _xlpm.EmailIsValid, RIGHT(I853,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IF(A853="", "", IF(_xlpm.error_messages = "", "Yes", _xlpm.error_messages))
)</f>
        <v/>
      </c>
    </row>
    <row r="854" spans="1:12">
      <c r="A854" s="94"/>
      <c r="B854" s="95"/>
      <c r="C854" s="95"/>
      <c r="D854" s="94"/>
      <c r="E854" s="94"/>
      <c r="F854" s="96"/>
      <c r="G854" s="94"/>
      <c r="H854" s="96"/>
      <c r="I854" s="96"/>
      <c r="J854" s="92"/>
      <c r="K854" s="97"/>
      <c r="L854" s="99" t="str">
        <f ca="1">_xlfn.LET(
    _xlpm.res_no, J854,
    _xlpm.record_sheet, 'MatRes Record'!J:M,
    _xlpm.AllCellsFilled, COUNTA(A854:K854) = 11,
    _xlpm.QtyIsInt, AND(ISNUMBER(G854), G854=INT(G854)),
    _xlpm.ReqDateIsValid, AND(ISNUMBER(H854), H854&gt;=TODAY()),
    _xlpm.EmailIsValid, RIGHT(I854,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IF(A854="", "", IF(_xlpm.error_messages = "", "Yes", _xlpm.error_messages))
)</f>
        <v/>
      </c>
    </row>
    <row r="855" spans="1:12">
      <c r="A855" s="94"/>
      <c r="B855" s="95"/>
      <c r="C855" s="95"/>
      <c r="D855" s="94"/>
      <c r="E855" s="94"/>
      <c r="F855" s="96"/>
      <c r="G855" s="94"/>
      <c r="H855" s="96"/>
      <c r="I855" s="96"/>
      <c r="J855" s="92"/>
      <c r="K855" s="97"/>
      <c r="L855" s="99" t="str">
        <f ca="1">_xlfn.LET(
    _xlpm.res_no, J855,
    _xlpm.record_sheet, 'MatRes Record'!J:M,
    _xlpm.AllCellsFilled, COUNTA(A855:K855) = 11,
    _xlpm.QtyIsInt, AND(ISNUMBER(G855), G855=INT(G855)),
    _xlpm.ReqDateIsValid, AND(ISNUMBER(H855), H855&gt;=TODAY()),
    _xlpm.EmailIsValid, RIGHT(I855,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IF(A855="", "", IF(_xlpm.error_messages = "", "Yes", _xlpm.error_messages))
)</f>
        <v/>
      </c>
    </row>
    <row r="856" spans="1:12">
      <c r="A856" s="94"/>
      <c r="B856" s="95"/>
      <c r="C856" s="95"/>
      <c r="D856" s="94"/>
      <c r="E856" s="94"/>
      <c r="F856" s="96"/>
      <c r="G856" s="94"/>
      <c r="H856" s="96"/>
      <c r="I856" s="96"/>
      <c r="J856" s="92"/>
      <c r="K856" s="97"/>
      <c r="L856" s="99" t="str">
        <f ca="1">_xlfn.LET(
    _xlpm.res_no, J856,
    _xlpm.record_sheet, 'MatRes Record'!J:M,
    _xlpm.AllCellsFilled, COUNTA(A856:K856) = 11,
    _xlpm.QtyIsInt, AND(ISNUMBER(G856), G856=INT(G856)),
    _xlpm.ReqDateIsValid, AND(ISNUMBER(H856), H856&gt;=TODAY()),
    _xlpm.EmailIsValid, RIGHT(I856,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IF(A856="", "", IF(_xlpm.error_messages = "", "Yes", _xlpm.error_messages))
)</f>
        <v/>
      </c>
    </row>
    <row r="857" spans="1:12">
      <c r="A857" s="94"/>
      <c r="B857" s="95"/>
      <c r="C857" s="95"/>
      <c r="D857" s="94"/>
      <c r="E857" s="94"/>
      <c r="F857" s="96"/>
      <c r="G857" s="94"/>
      <c r="H857" s="96"/>
      <c r="I857" s="96"/>
      <c r="J857" s="92"/>
      <c r="K857" s="97"/>
      <c r="L857" s="99" t="str">
        <f ca="1">_xlfn.LET(
    _xlpm.res_no, J857,
    _xlpm.record_sheet, 'MatRes Record'!J:M,
    _xlpm.AllCellsFilled, COUNTA(A857:K857) = 11,
    _xlpm.QtyIsInt, AND(ISNUMBER(G857), G857=INT(G857)),
    _xlpm.ReqDateIsValid, AND(ISNUMBER(H857), H857&gt;=TODAY()),
    _xlpm.EmailIsValid, RIGHT(I857,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IF(A857="", "", IF(_xlpm.error_messages = "", "Yes", _xlpm.error_messages))
)</f>
        <v/>
      </c>
    </row>
    <row r="858" spans="1:12">
      <c r="A858" s="94"/>
      <c r="B858" s="95"/>
      <c r="C858" s="95"/>
      <c r="D858" s="94"/>
      <c r="E858" s="94"/>
      <c r="F858" s="96"/>
      <c r="G858" s="94"/>
      <c r="H858" s="96"/>
      <c r="I858" s="96"/>
      <c r="J858" s="92"/>
      <c r="K858" s="97"/>
      <c r="L858" s="99" t="str">
        <f ca="1">_xlfn.LET(
    _xlpm.res_no, J858,
    _xlpm.record_sheet, 'MatRes Record'!J:M,
    _xlpm.AllCellsFilled, COUNTA(A858:K858) = 11,
    _xlpm.QtyIsInt, AND(ISNUMBER(G858), G858=INT(G858)),
    _xlpm.ReqDateIsValid, AND(ISNUMBER(H858), H858&gt;=TODAY()),
    _xlpm.EmailIsValid, RIGHT(I858,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IF(A858="", "", IF(_xlpm.error_messages = "", "Yes", _xlpm.error_messages))
)</f>
        <v/>
      </c>
    </row>
    <row r="859" spans="1:12">
      <c r="A859" s="94"/>
      <c r="B859" s="95"/>
      <c r="C859" s="95"/>
      <c r="D859" s="94"/>
      <c r="E859" s="94"/>
      <c r="F859" s="96"/>
      <c r="G859" s="94"/>
      <c r="H859" s="96"/>
      <c r="I859" s="96"/>
      <c r="J859" s="92"/>
      <c r="K859" s="97"/>
      <c r="L859" s="99" t="str">
        <f ca="1">_xlfn.LET(
    _xlpm.res_no, J859,
    _xlpm.record_sheet, 'MatRes Record'!J:M,
    _xlpm.AllCellsFilled, COUNTA(A859:K859) = 11,
    _xlpm.QtyIsInt, AND(ISNUMBER(G859), G859=INT(G859)),
    _xlpm.ReqDateIsValid, AND(ISNUMBER(H859), H859&gt;=TODAY()),
    _xlpm.EmailIsValid, RIGHT(I859,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IF(A859="", "", IF(_xlpm.error_messages = "", "Yes", _xlpm.error_messages))
)</f>
        <v/>
      </c>
    </row>
    <row r="860" spans="1:12">
      <c r="A860" s="94"/>
      <c r="B860" s="95"/>
      <c r="C860" s="95"/>
      <c r="D860" s="94"/>
      <c r="E860" s="94"/>
      <c r="F860" s="96"/>
      <c r="G860" s="94"/>
      <c r="H860" s="96"/>
      <c r="I860" s="96"/>
      <c r="J860" s="92"/>
      <c r="K860" s="97"/>
      <c r="L860" s="99" t="str">
        <f ca="1">_xlfn.LET(
    _xlpm.res_no, J860,
    _xlpm.record_sheet, 'MatRes Record'!J:M,
    _xlpm.AllCellsFilled, COUNTA(A860:K860) = 11,
    _xlpm.QtyIsInt, AND(ISNUMBER(G860), G860=INT(G860)),
    _xlpm.ReqDateIsValid, AND(ISNUMBER(H860), H860&gt;=TODAY()),
    _xlpm.EmailIsValid, RIGHT(I860,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IF(A860="", "", IF(_xlpm.error_messages = "", "Yes", _xlpm.error_messages))
)</f>
        <v/>
      </c>
    </row>
    <row r="861" spans="1:12">
      <c r="A861" s="94"/>
      <c r="B861" s="95"/>
      <c r="C861" s="95"/>
      <c r="D861" s="94"/>
      <c r="E861" s="94"/>
      <c r="F861" s="96"/>
      <c r="G861" s="94"/>
      <c r="H861" s="96"/>
      <c r="I861" s="96"/>
      <c r="J861" s="92"/>
      <c r="K861" s="97"/>
      <c r="L861" s="99" t="str">
        <f ca="1">_xlfn.LET(
    _xlpm.res_no, J861,
    _xlpm.record_sheet, 'MatRes Record'!J:M,
    _xlpm.AllCellsFilled, COUNTA(A861:K861) = 11,
    _xlpm.QtyIsInt, AND(ISNUMBER(G861), G861=INT(G861)),
    _xlpm.ReqDateIsValid, AND(ISNUMBER(H861), H861&gt;=TODAY()),
    _xlpm.EmailIsValid, RIGHT(I861,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IF(A861="", "", IF(_xlpm.error_messages = "", "Yes", _xlpm.error_messages))
)</f>
        <v/>
      </c>
    </row>
    <row r="862" spans="1:12">
      <c r="A862" s="94"/>
      <c r="B862" s="95"/>
      <c r="C862" s="95"/>
      <c r="D862" s="94"/>
      <c r="E862" s="94"/>
      <c r="F862" s="96"/>
      <c r="G862" s="94"/>
      <c r="H862" s="96"/>
      <c r="I862" s="96"/>
      <c r="J862" s="92"/>
      <c r="K862" s="97"/>
      <c r="L862" s="99" t="str">
        <f ca="1">_xlfn.LET(
    _xlpm.res_no, J862,
    _xlpm.record_sheet, 'MatRes Record'!J:M,
    _xlpm.AllCellsFilled, COUNTA(A862:K862) = 11,
    _xlpm.QtyIsInt, AND(ISNUMBER(G862), G862=INT(G862)),
    _xlpm.ReqDateIsValid, AND(ISNUMBER(H862), H862&gt;=TODAY()),
    _xlpm.EmailIsValid, RIGHT(I862,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IF(A862="", "", IF(_xlpm.error_messages = "", "Yes", _xlpm.error_messages))
)</f>
        <v/>
      </c>
    </row>
    <row r="863" spans="1:12">
      <c r="A863" s="94"/>
      <c r="B863" s="95"/>
      <c r="C863" s="95"/>
      <c r="D863" s="94"/>
      <c r="E863" s="94"/>
      <c r="F863" s="96"/>
      <c r="G863" s="94"/>
      <c r="H863" s="96"/>
      <c r="I863" s="96"/>
      <c r="J863" s="92"/>
      <c r="K863" s="97"/>
      <c r="L863" s="99" t="str">
        <f ca="1">_xlfn.LET(
    _xlpm.res_no, J863,
    _xlpm.record_sheet, 'MatRes Record'!J:M,
    _xlpm.AllCellsFilled, COUNTA(A863:K863) = 11,
    _xlpm.QtyIsInt, AND(ISNUMBER(G863), G863=INT(G863)),
    _xlpm.ReqDateIsValid, AND(ISNUMBER(H863), H863&gt;=TODAY()),
    _xlpm.EmailIsValid, RIGHT(I863,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IF(A863="", "", IF(_xlpm.error_messages = "", "Yes", _xlpm.error_messages))
)</f>
        <v/>
      </c>
    </row>
    <row r="864" spans="1:12">
      <c r="A864" s="94"/>
      <c r="B864" s="95"/>
      <c r="C864" s="95"/>
      <c r="D864" s="94"/>
      <c r="E864" s="94"/>
      <c r="F864" s="96"/>
      <c r="G864" s="94"/>
      <c r="H864" s="96"/>
      <c r="I864" s="96"/>
      <c r="J864" s="92"/>
      <c r="K864" s="97"/>
      <c r="L864" s="99" t="str">
        <f ca="1">_xlfn.LET(
    _xlpm.res_no, J864,
    _xlpm.record_sheet, 'MatRes Record'!J:M,
    _xlpm.AllCellsFilled, COUNTA(A864:K864) = 11,
    _xlpm.QtyIsInt, AND(ISNUMBER(G864), G864=INT(G864)),
    _xlpm.ReqDateIsValid, AND(ISNUMBER(H864), H864&gt;=TODAY()),
    _xlpm.EmailIsValid, RIGHT(I864,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IF(A864="", "", IF(_xlpm.error_messages = "", "Yes", _xlpm.error_messages))
)</f>
        <v/>
      </c>
    </row>
    <row r="865" spans="1:12">
      <c r="A865" s="94"/>
      <c r="B865" s="95"/>
      <c r="C865" s="95"/>
      <c r="D865" s="94"/>
      <c r="E865" s="94"/>
      <c r="F865" s="96"/>
      <c r="G865" s="94"/>
      <c r="H865" s="96"/>
      <c r="I865" s="96"/>
      <c r="J865" s="92"/>
      <c r="K865" s="97"/>
      <c r="L865" s="99" t="str">
        <f ca="1">_xlfn.LET(
    _xlpm.res_no, J865,
    _xlpm.record_sheet, 'MatRes Record'!J:M,
    _xlpm.AllCellsFilled, COUNTA(A865:K865) = 11,
    _xlpm.QtyIsInt, AND(ISNUMBER(G865), G865=INT(G865)),
    _xlpm.ReqDateIsValid, AND(ISNUMBER(H865), H865&gt;=TODAY()),
    _xlpm.EmailIsValid, RIGHT(I865,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IF(A865="", "", IF(_xlpm.error_messages = "", "Yes", _xlpm.error_messages))
)</f>
        <v/>
      </c>
    </row>
    <row r="866" spans="1:12">
      <c r="A866" s="94"/>
      <c r="B866" s="95"/>
      <c r="C866" s="95"/>
      <c r="D866" s="94"/>
      <c r="E866" s="94"/>
      <c r="F866" s="96"/>
      <c r="G866" s="94"/>
      <c r="H866" s="96"/>
      <c r="I866" s="96"/>
      <c r="J866" s="92"/>
      <c r="K866" s="97"/>
      <c r="L866" s="99" t="str">
        <f ca="1">_xlfn.LET(
    _xlpm.res_no, J866,
    _xlpm.record_sheet, 'MatRes Record'!J:M,
    _xlpm.AllCellsFilled, COUNTA(A866:K866) = 11,
    _xlpm.QtyIsInt, AND(ISNUMBER(G866), G866=INT(G866)),
    _xlpm.ReqDateIsValid, AND(ISNUMBER(H866), H866&gt;=TODAY()),
    _xlpm.EmailIsValid, RIGHT(I866,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IF(A866="", "", IF(_xlpm.error_messages = "", "Yes", _xlpm.error_messages))
)</f>
        <v/>
      </c>
    </row>
    <row r="867" spans="1:12">
      <c r="A867" s="94"/>
      <c r="B867" s="95"/>
      <c r="C867" s="95"/>
      <c r="D867" s="94"/>
      <c r="E867" s="94"/>
      <c r="F867" s="96"/>
      <c r="G867" s="94"/>
      <c r="H867" s="96"/>
      <c r="I867" s="96"/>
      <c r="J867" s="92"/>
      <c r="K867" s="97"/>
      <c r="L867" s="99" t="str">
        <f ca="1">_xlfn.LET(
    _xlpm.res_no, J867,
    _xlpm.record_sheet, 'MatRes Record'!J:M,
    _xlpm.AllCellsFilled, COUNTA(A867:K867) = 11,
    _xlpm.QtyIsInt, AND(ISNUMBER(G867), G867=INT(G867)),
    _xlpm.ReqDateIsValid, AND(ISNUMBER(H867), H867&gt;=TODAY()),
    _xlpm.EmailIsValid, RIGHT(I867,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IF(A867="", "", IF(_xlpm.error_messages = "", "Yes", _xlpm.error_messages))
)</f>
        <v/>
      </c>
    </row>
    <row r="868" spans="1:12">
      <c r="A868" s="94"/>
      <c r="B868" s="95"/>
      <c r="C868" s="95"/>
      <c r="D868" s="94"/>
      <c r="E868" s="94"/>
      <c r="F868" s="96"/>
      <c r="G868" s="94"/>
      <c r="H868" s="96"/>
      <c r="I868" s="96"/>
      <c r="J868" s="92"/>
      <c r="K868" s="97"/>
      <c r="L868" s="99" t="str">
        <f ca="1">_xlfn.LET(
    _xlpm.res_no, J868,
    _xlpm.record_sheet, 'MatRes Record'!J:M,
    _xlpm.AllCellsFilled, COUNTA(A868:K868) = 11,
    _xlpm.QtyIsInt, AND(ISNUMBER(G868), G868=INT(G868)),
    _xlpm.ReqDateIsValid, AND(ISNUMBER(H868), H868&gt;=TODAY()),
    _xlpm.EmailIsValid, RIGHT(I868,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IF(A868="", "", IF(_xlpm.error_messages = "", "Yes", _xlpm.error_messages))
)</f>
        <v/>
      </c>
    </row>
    <row r="869" spans="1:12">
      <c r="A869" s="94"/>
      <c r="B869" s="95"/>
      <c r="C869" s="95"/>
      <c r="D869" s="94"/>
      <c r="E869" s="94"/>
      <c r="F869" s="96"/>
      <c r="G869" s="94"/>
      <c r="H869" s="96"/>
      <c r="I869" s="96"/>
      <c r="J869" s="92"/>
      <c r="K869" s="97"/>
      <c r="L869" s="99" t="str">
        <f ca="1">_xlfn.LET(
    _xlpm.res_no, J869,
    _xlpm.record_sheet, 'MatRes Record'!J:M,
    _xlpm.AllCellsFilled, COUNTA(A869:K869) = 11,
    _xlpm.QtyIsInt, AND(ISNUMBER(G869), G869=INT(G869)),
    _xlpm.ReqDateIsValid, AND(ISNUMBER(H869), H869&gt;=TODAY()),
    _xlpm.EmailIsValid, RIGHT(I869,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IF(A869="", "", IF(_xlpm.error_messages = "", "Yes", _xlpm.error_messages))
)</f>
        <v/>
      </c>
    </row>
    <row r="870" spans="1:12">
      <c r="A870" s="94"/>
      <c r="B870" s="95"/>
      <c r="C870" s="95"/>
      <c r="D870" s="94"/>
      <c r="E870" s="94"/>
      <c r="F870" s="96"/>
      <c r="G870" s="94"/>
      <c r="H870" s="96"/>
      <c r="I870" s="96"/>
      <c r="J870" s="92"/>
      <c r="K870" s="97"/>
      <c r="L870" s="99" t="str">
        <f ca="1">_xlfn.LET(
    _xlpm.res_no, J870,
    _xlpm.record_sheet, 'MatRes Record'!J:M,
    _xlpm.AllCellsFilled, COUNTA(A870:K870) = 11,
    _xlpm.QtyIsInt, AND(ISNUMBER(G870), G870=INT(G870)),
    _xlpm.ReqDateIsValid, AND(ISNUMBER(H870), H870&gt;=TODAY()),
    _xlpm.EmailIsValid, RIGHT(I870,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IF(A870="", "", IF(_xlpm.error_messages = "", "Yes", _xlpm.error_messages))
)</f>
        <v/>
      </c>
    </row>
    <row r="871" spans="1:12">
      <c r="A871" s="94"/>
      <c r="B871" s="95"/>
      <c r="C871" s="95"/>
      <c r="D871" s="94"/>
      <c r="E871" s="94"/>
      <c r="F871" s="96"/>
      <c r="G871" s="94"/>
      <c r="H871" s="96"/>
      <c r="I871" s="96"/>
      <c r="J871" s="92"/>
      <c r="K871" s="97"/>
      <c r="L871" s="99" t="str">
        <f ca="1">_xlfn.LET(
    _xlpm.res_no, J871,
    _xlpm.record_sheet, 'MatRes Record'!J:M,
    _xlpm.AllCellsFilled, COUNTA(A871:K871) = 11,
    _xlpm.QtyIsInt, AND(ISNUMBER(G871), G871=INT(G871)),
    _xlpm.ReqDateIsValid, AND(ISNUMBER(H871), H871&gt;=TODAY()),
    _xlpm.EmailIsValid, RIGHT(I871,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IF(A871="", "", IF(_xlpm.error_messages = "", "Yes", _xlpm.error_messages))
)</f>
        <v/>
      </c>
    </row>
    <row r="872" spans="1:12">
      <c r="A872" s="94"/>
      <c r="B872" s="95"/>
      <c r="C872" s="95"/>
      <c r="D872" s="94"/>
      <c r="E872" s="94"/>
      <c r="F872" s="96"/>
      <c r="G872" s="94"/>
      <c r="H872" s="96"/>
      <c r="I872" s="96"/>
      <c r="J872" s="92"/>
      <c r="K872" s="97"/>
      <c r="L872" s="99" t="str">
        <f ca="1">_xlfn.LET(
    _xlpm.res_no, J872,
    _xlpm.record_sheet, 'MatRes Record'!J:M,
    _xlpm.AllCellsFilled, COUNTA(A872:K872) = 11,
    _xlpm.QtyIsInt, AND(ISNUMBER(G872), G872=INT(G872)),
    _xlpm.ReqDateIsValid, AND(ISNUMBER(H872), H872&gt;=TODAY()),
    _xlpm.EmailIsValid, RIGHT(I872,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IF(A872="", "", IF(_xlpm.error_messages = "", "Yes", _xlpm.error_messages))
)</f>
        <v/>
      </c>
    </row>
    <row r="873" spans="1:12">
      <c r="A873" s="94"/>
      <c r="B873" s="95"/>
      <c r="C873" s="95"/>
      <c r="D873" s="94"/>
      <c r="E873" s="94"/>
      <c r="F873" s="96"/>
      <c r="G873" s="94"/>
      <c r="H873" s="96"/>
      <c r="I873" s="96"/>
      <c r="J873" s="92"/>
      <c r="K873" s="97"/>
      <c r="L873" s="99" t="str">
        <f ca="1">_xlfn.LET(
    _xlpm.res_no, J873,
    _xlpm.record_sheet, 'MatRes Record'!J:M,
    _xlpm.AllCellsFilled, COUNTA(A873:K873) = 11,
    _xlpm.QtyIsInt, AND(ISNUMBER(G873), G873=INT(G873)),
    _xlpm.ReqDateIsValid, AND(ISNUMBER(H873), H873&gt;=TODAY()),
    _xlpm.EmailIsValid, RIGHT(I873,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IF(A873="", "", IF(_xlpm.error_messages = "", "Yes", _xlpm.error_messages))
)</f>
        <v/>
      </c>
    </row>
    <row r="874" spans="1:12">
      <c r="A874" s="94"/>
      <c r="B874" s="95"/>
      <c r="C874" s="95"/>
      <c r="D874" s="94"/>
      <c r="E874" s="94"/>
      <c r="F874" s="96"/>
      <c r="G874" s="94"/>
      <c r="H874" s="96"/>
      <c r="I874" s="96"/>
      <c r="J874" s="92"/>
      <c r="K874" s="97"/>
      <c r="L874" s="99" t="str">
        <f ca="1">_xlfn.LET(
    _xlpm.res_no, J874,
    _xlpm.record_sheet, 'MatRes Record'!J:M,
    _xlpm.AllCellsFilled, COUNTA(A874:K874) = 11,
    _xlpm.QtyIsInt, AND(ISNUMBER(G874), G874=INT(G874)),
    _xlpm.ReqDateIsValid, AND(ISNUMBER(H874), H874&gt;=TODAY()),
    _xlpm.EmailIsValid, RIGHT(I874,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IF(A874="", "", IF(_xlpm.error_messages = "", "Yes", _xlpm.error_messages))
)</f>
        <v/>
      </c>
    </row>
    <row r="875" spans="1:12">
      <c r="A875" s="94"/>
      <c r="B875" s="95"/>
      <c r="C875" s="95"/>
      <c r="D875" s="94"/>
      <c r="E875" s="94"/>
      <c r="F875" s="96"/>
      <c r="G875" s="94"/>
      <c r="H875" s="96"/>
      <c r="I875" s="96"/>
      <c r="J875" s="92"/>
      <c r="K875" s="97"/>
      <c r="L875" s="99" t="str">
        <f ca="1">_xlfn.LET(
    _xlpm.res_no, J875,
    _xlpm.record_sheet, 'MatRes Record'!J:M,
    _xlpm.AllCellsFilled, COUNTA(A875:K875) = 11,
    _xlpm.QtyIsInt, AND(ISNUMBER(G875), G875=INT(G875)),
    _xlpm.ReqDateIsValid, AND(ISNUMBER(H875), H875&gt;=TODAY()),
    _xlpm.EmailIsValid, RIGHT(I875,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IF(A875="", "", IF(_xlpm.error_messages = "", "Yes", _xlpm.error_messages))
)</f>
        <v/>
      </c>
    </row>
    <row r="876" spans="1:12">
      <c r="A876" s="94"/>
      <c r="B876" s="95"/>
      <c r="C876" s="95"/>
      <c r="D876" s="94"/>
      <c r="E876" s="94"/>
      <c r="F876" s="96"/>
      <c r="G876" s="94"/>
      <c r="H876" s="96"/>
      <c r="I876" s="96"/>
      <c r="J876" s="92"/>
      <c r="K876" s="97"/>
      <c r="L876" s="99" t="str">
        <f ca="1">_xlfn.LET(
    _xlpm.res_no, J876,
    _xlpm.record_sheet, 'MatRes Record'!J:M,
    _xlpm.AllCellsFilled, COUNTA(A876:K876) = 11,
    _xlpm.QtyIsInt, AND(ISNUMBER(G876), G876=INT(G876)),
    _xlpm.ReqDateIsValid, AND(ISNUMBER(H876), H876&gt;=TODAY()),
    _xlpm.EmailIsValid, RIGHT(I876,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IF(A876="", "", IF(_xlpm.error_messages = "", "Yes", _xlpm.error_messages))
)</f>
        <v/>
      </c>
    </row>
    <row r="877" spans="1:12">
      <c r="A877" s="94"/>
      <c r="B877" s="95"/>
      <c r="C877" s="95"/>
      <c r="D877" s="94"/>
      <c r="E877" s="94"/>
      <c r="F877" s="96"/>
      <c r="G877" s="94"/>
      <c r="H877" s="96"/>
      <c r="I877" s="96"/>
      <c r="J877" s="92"/>
      <c r="K877" s="97"/>
      <c r="L877" s="99" t="str">
        <f ca="1">_xlfn.LET(
    _xlpm.res_no, J877,
    _xlpm.record_sheet, 'MatRes Record'!J:M,
    _xlpm.AllCellsFilled, COUNTA(A877:K877) = 11,
    _xlpm.QtyIsInt, AND(ISNUMBER(G877), G877=INT(G877)),
    _xlpm.ReqDateIsValid, AND(ISNUMBER(H877), H877&gt;=TODAY()),
    _xlpm.EmailIsValid, RIGHT(I877,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IF(A877="", "", IF(_xlpm.error_messages = "", "Yes", _xlpm.error_messages))
)</f>
        <v/>
      </c>
    </row>
    <row r="878" spans="1:12">
      <c r="A878" s="94"/>
      <c r="B878" s="95"/>
      <c r="C878" s="95"/>
      <c r="D878" s="94"/>
      <c r="E878" s="94"/>
      <c r="F878" s="96"/>
      <c r="G878" s="94"/>
      <c r="H878" s="96"/>
      <c r="I878" s="96"/>
      <c r="J878" s="92"/>
      <c r="K878" s="97"/>
      <c r="L878" s="99" t="str">
        <f ca="1">_xlfn.LET(
    _xlpm.res_no, J878,
    _xlpm.record_sheet, 'MatRes Record'!J:M,
    _xlpm.AllCellsFilled, COUNTA(A878:K878) = 11,
    _xlpm.QtyIsInt, AND(ISNUMBER(G878), G878=INT(G878)),
    _xlpm.ReqDateIsValid, AND(ISNUMBER(H878), H878&gt;=TODAY()),
    _xlpm.EmailIsValid, RIGHT(I878,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IF(A878="", "", IF(_xlpm.error_messages = "", "Yes", _xlpm.error_messages))
)</f>
        <v/>
      </c>
    </row>
    <row r="879" spans="1:12">
      <c r="A879" s="94"/>
      <c r="B879" s="95"/>
      <c r="C879" s="95"/>
      <c r="D879" s="94"/>
      <c r="E879" s="94"/>
      <c r="F879" s="96"/>
      <c r="G879" s="94"/>
      <c r="H879" s="96"/>
      <c r="I879" s="96"/>
      <c r="J879" s="92"/>
      <c r="K879" s="97"/>
      <c r="L879" s="99" t="str">
        <f ca="1">_xlfn.LET(
    _xlpm.res_no, J879,
    _xlpm.record_sheet, 'MatRes Record'!J:M,
    _xlpm.AllCellsFilled, COUNTA(A879:K879) = 11,
    _xlpm.QtyIsInt, AND(ISNUMBER(G879), G879=INT(G879)),
    _xlpm.ReqDateIsValid, AND(ISNUMBER(H879), H879&gt;=TODAY()),
    _xlpm.EmailIsValid, RIGHT(I879,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IF(A879="", "", IF(_xlpm.error_messages = "", "Yes", _xlpm.error_messages))
)</f>
        <v/>
      </c>
    </row>
    <row r="880" spans="1:12">
      <c r="A880" s="94"/>
      <c r="B880" s="95"/>
      <c r="C880" s="95"/>
      <c r="D880" s="94"/>
      <c r="E880" s="94"/>
      <c r="F880" s="96"/>
      <c r="G880" s="94"/>
      <c r="H880" s="96"/>
      <c r="I880" s="96"/>
      <c r="J880" s="92"/>
      <c r="K880" s="97"/>
      <c r="L880" s="99" t="str">
        <f ca="1">_xlfn.LET(
    _xlpm.res_no, J880,
    _xlpm.record_sheet, 'MatRes Record'!J:M,
    _xlpm.AllCellsFilled, COUNTA(A880:K880) = 11,
    _xlpm.QtyIsInt, AND(ISNUMBER(G880), G880=INT(G880)),
    _xlpm.ReqDateIsValid, AND(ISNUMBER(H880), H880&gt;=TODAY()),
    _xlpm.EmailIsValid, RIGHT(I880,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IF(A880="", "", IF(_xlpm.error_messages = "", "Yes", _xlpm.error_messages))
)</f>
        <v/>
      </c>
    </row>
    <row r="881" spans="1:12">
      <c r="A881" s="94"/>
      <c r="B881" s="95"/>
      <c r="C881" s="95"/>
      <c r="D881" s="94"/>
      <c r="E881" s="94"/>
      <c r="F881" s="96"/>
      <c r="G881" s="94"/>
      <c r="H881" s="96"/>
      <c r="I881" s="96"/>
      <c r="J881" s="92"/>
      <c r="K881" s="97"/>
      <c r="L881" s="99" t="str">
        <f ca="1">_xlfn.LET(
    _xlpm.res_no, J881,
    _xlpm.record_sheet, 'MatRes Record'!J:M,
    _xlpm.AllCellsFilled, COUNTA(A881:K881) = 11,
    _xlpm.QtyIsInt, AND(ISNUMBER(G881), G881=INT(G881)),
    _xlpm.ReqDateIsValid, AND(ISNUMBER(H881), H881&gt;=TODAY()),
    _xlpm.EmailIsValid, RIGHT(I881,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IF(A881="", "", IF(_xlpm.error_messages = "", "Yes", _xlpm.error_messages))
)</f>
        <v/>
      </c>
    </row>
    <row r="882" spans="1:12">
      <c r="A882" s="94"/>
      <c r="B882" s="95"/>
      <c r="C882" s="95"/>
      <c r="D882" s="94"/>
      <c r="E882" s="94"/>
      <c r="F882" s="96"/>
      <c r="G882" s="94"/>
      <c r="H882" s="96"/>
      <c r="I882" s="96"/>
      <c r="J882" s="92"/>
      <c r="K882" s="97"/>
      <c r="L882" s="99" t="str">
        <f ca="1">_xlfn.LET(
    _xlpm.res_no, J882,
    _xlpm.record_sheet, 'MatRes Record'!J:M,
    _xlpm.AllCellsFilled, COUNTA(A882:K882) = 11,
    _xlpm.QtyIsInt, AND(ISNUMBER(G882), G882=INT(G882)),
    _xlpm.ReqDateIsValid, AND(ISNUMBER(H882), H882&gt;=TODAY()),
    _xlpm.EmailIsValid, RIGHT(I882,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IF(A882="", "", IF(_xlpm.error_messages = "", "Yes", _xlpm.error_messages))
)</f>
        <v/>
      </c>
    </row>
    <row r="883" spans="1:12">
      <c r="A883" s="94"/>
      <c r="B883" s="95"/>
      <c r="C883" s="95"/>
      <c r="D883" s="94"/>
      <c r="E883" s="94"/>
      <c r="F883" s="96"/>
      <c r="G883" s="94"/>
      <c r="H883" s="96"/>
      <c r="I883" s="96"/>
      <c r="J883" s="92"/>
      <c r="K883" s="97"/>
      <c r="L883" s="99" t="str">
        <f ca="1">_xlfn.LET(
    _xlpm.res_no, J883,
    _xlpm.record_sheet, 'MatRes Record'!J:M,
    _xlpm.AllCellsFilled, COUNTA(A883:K883) = 11,
    _xlpm.QtyIsInt, AND(ISNUMBER(G883), G883=INT(G883)),
    _xlpm.ReqDateIsValid, AND(ISNUMBER(H883), H883&gt;=TODAY()),
    _xlpm.EmailIsValid, RIGHT(I883,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IF(A883="", "", IF(_xlpm.error_messages = "", "Yes", _xlpm.error_messages))
)</f>
        <v/>
      </c>
    </row>
    <row r="884" spans="1:12">
      <c r="A884" s="94"/>
      <c r="B884" s="95"/>
      <c r="C884" s="95"/>
      <c r="D884" s="94"/>
      <c r="E884" s="94"/>
      <c r="F884" s="96"/>
      <c r="G884" s="94"/>
      <c r="H884" s="96"/>
      <c r="I884" s="96"/>
      <c r="J884" s="92"/>
      <c r="K884" s="97"/>
      <c r="L884" s="99" t="str">
        <f ca="1">_xlfn.LET(
    _xlpm.res_no, J884,
    _xlpm.record_sheet, 'MatRes Record'!J:M,
    _xlpm.AllCellsFilled, COUNTA(A884:K884) = 11,
    _xlpm.QtyIsInt, AND(ISNUMBER(G884), G884=INT(G884)),
    _xlpm.ReqDateIsValid, AND(ISNUMBER(H884), H884&gt;=TODAY()),
    _xlpm.EmailIsValid, RIGHT(I884,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IF(A884="", "", IF(_xlpm.error_messages = "", "Yes", _xlpm.error_messages))
)</f>
        <v/>
      </c>
    </row>
    <row r="885" spans="1:12">
      <c r="A885" s="94"/>
      <c r="B885" s="95"/>
      <c r="C885" s="95"/>
      <c r="D885" s="94"/>
      <c r="E885" s="94"/>
      <c r="F885" s="96"/>
      <c r="G885" s="94"/>
      <c r="H885" s="96"/>
      <c r="I885" s="96"/>
      <c r="J885" s="92"/>
      <c r="K885" s="97"/>
      <c r="L885" s="99" t="str">
        <f ca="1">_xlfn.LET(
    _xlpm.res_no, J885,
    _xlpm.record_sheet, 'MatRes Record'!J:M,
    _xlpm.AllCellsFilled, COUNTA(A885:K885) = 11,
    _xlpm.QtyIsInt, AND(ISNUMBER(G885), G885=INT(G885)),
    _xlpm.ReqDateIsValid, AND(ISNUMBER(H885), H885&gt;=TODAY()),
    _xlpm.EmailIsValid, RIGHT(I885,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IF(A885="", "", IF(_xlpm.error_messages = "", "Yes", _xlpm.error_messages))
)</f>
        <v/>
      </c>
    </row>
    <row r="886" spans="1:12">
      <c r="A886" s="94"/>
      <c r="B886" s="95"/>
      <c r="C886" s="95"/>
      <c r="D886" s="94"/>
      <c r="E886" s="94"/>
      <c r="F886" s="96"/>
      <c r="G886" s="94"/>
      <c r="H886" s="96"/>
      <c r="I886" s="96"/>
      <c r="J886" s="92"/>
      <c r="K886" s="97"/>
      <c r="L886" s="99" t="str">
        <f ca="1">_xlfn.LET(
    _xlpm.res_no, J886,
    _xlpm.record_sheet, 'MatRes Record'!J:M,
    _xlpm.AllCellsFilled, COUNTA(A886:K886) = 11,
    _xlpm.QtyIsInt, AND(ISNUMBER(G886), G886=INT(G886)),
    _xlpm.ReqDateIsValid, AND(ISNUMBER(H886), H886&gt;=TODAY()),
    _xlpm.EmailIsValid, RIGHT(I886,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IF(A886="", "", IF(_xlpm.error_messages = "", "Yes", _xlpm.error_messages))
)</f>
        <v/>
      </c>
    </row>
    <row r="887" spans="1:12">
      <c r="A887" s="94"/>
      <c r="B887" s="95"/>
      <c r="C887" s="95"/>
      <c r="D887" s="94"/>
      <c r="E887" s="94"/>
      <c r="F887" s="96"/>
      <c r="G887" s="94"/>
      <c r="H887" s="96"/>
      <c r="I887" s="96"/>
      <c r="J887" s="92"/>
      <c r="K887" s="97"/>
      <c r="L887" s="99" t="str">
        <f ca="1">_xlfn.LET(
    _xlpm.res_no, J887,
    _xlpm.record_sheet, 'MatRes Record'!J:M,
    _xlpm.AllCellsFilled, COUNTA(A887:K887) = 11,
    _xlpm.QtyIsInt, AND(ISNUMBER(G887), G887=INT(G887)),
    _xlpm.ReqDateIsValid, AND(ISNUMBER(H887), H887&gt;=TODAY()),
    _xlpm.EmailIsValid, RIGHT(I887,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IF(A887="", "", IF(_xlpm.error_messages = "", "Yes", _xlpm.error_messages))
)</f>
        <v/>
      </c>
    </row>
    <row r="888" spans="1:12">
      <c r="A888" s="94"/>
      <c r="B888" s="95"/>
      <c r="C888" s="95"/>
      <c r="D888" s="94"/>
      <c r="E888" s="94"/>
      <c r="F888" s="96"/>
      <c r="G888" s="94"/>
      <c r="H888" s="96"/>
      <c r="I888" s="96"/>
      <c r="J888" s="92"/>
      <c r="K888" s="97"/>
      <c r="L888" s="99" t="str">
        <f ca="1">_xlfn.LET(
    _xlpm.res_no, J888,
    _xlpm.record_sheet, 'MatRes Record'!J:M,
    _xlpm.AllCellsFilled, COUNTA(A888:K888) = 11,
    _xlpm.QtyIsInt, AND(ISNUMBER(G888), G888=INT(G888)),
    _xlpm.ReqDateIsValid, AND(ISNUMBER(H888), H888&gt;=TODAY()),
    _xlpm.EmailIsValid, RIGHT(I888,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IF(A888="", "", IF(_xlpm.error_messages = "", "Yes", _xlpm.error_messages))
)</f>
        <v/>
      </c>
    </row>
    <row r="889" spans="1:12">
      <c r="A889" s="94"/>
      <c r="B889" s="95"/>
      <c r="C889" s="95"/>
      <c r="D889" s="94"/>
      <c r="E889" s="94"/>
      <c r="F889" s="96"/>
      <c r="G889" s="94"/>
      <c r="H889" s="96"/>
      <c r="I889" s="96"/>
      <c r="J889" s="92"/>
      <c r="K889" s="97"/>
      <c r="L889" s="99" t="str">
        <f ca="1">_xlfn.LET(
    _xlpm.res_no, J889,
    _xlpm.record_sheet, 'MatRes Record'!J:M,
    _xlpm.AllCellsFilled, COUNTA(A889:K889) = 11,
    _xlpm.QtyIsInt, AND(ISNUMBER(G889), G889=INT(G889)),
    _xlpm.ReqDateIsValid, AND(ISNUMBER(H889), H889&gt;=TODAY()),
    _xlpm.EmailIsValid, RIGHT(I889,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IF(A889="", "", IF(_xlpm.error_messages = "", "Yes", _xlpm.error_messages))
)</f>
        <v/>
      </c>
    </row>
    <row r="890" spans="1:12">
      <c r="A890" s="94"/>
      <c r="B890" s="95"/>
      <c r="C890" s="95"/>
      <c r="D890" s="94"/>
      <c r="E890" s="94"/>
      <c r="F890" s="96"/>
      <c r="G890" s="94"/>
      <c r="H890" s="96"/>
      <c r="I890" s="96"/>
      <c r="J890" s="92"/>
      <c r="K890" s="97"/>
      <c r="L890" s="99" t="str">
        <f ca="1">_xlfn.LET(
    _xlpm.res_no, J890,
    _xlpm.record_sheet, 'MatRes Record'!J:M,
    _xlpm.AllCellsFilled, COUNTA(A890:K890) = 11,
    _xlpm.QtyIsInt, AND(ISNUMBER(G890), G890=INT(G890)),
    _xlpm.ReqDateIsValid, AND(ISNUMBER(H890), H890&gt;=TODAY()),
    _xlpm.EmailIsValid, RIGHT(I890,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IF(A890="", "", IF(_xlpm.error_messages = "", "Yes", _xlpm.error_messages))
)</f>
        <v/>
      </c>
    </row>
    <row r="891" spans="1:12">
      <c r="A891" s="94"/>
      <c r="B891" s="95"/>
      <c r="C891" s="95"/>
      <c r="D891" s="94"/>
      <c r="E891" s="94"/>
      <c r="F891" s="96"/>
      <c r="G891" s="94"/>
      <c r="H891" s="96"/>
      <c r="I891" s="96"/>
      <c r="J891" s="92"/>
      <c r="K891" s="97"/>
      <c r="L891" s="99" t="str">
        <f ca="1">_xlfn.LET(
    _xlpm.res_no, J891,
    _xlpm.record_sheet, 'MatRes Record'!J:M,
    _xlpm.AllCellsFilled, COUNTA(A891:K891) = 11,
    _xlpm.QtyIsInt, AND(ISNUMBER(G891), G891=INT(G891)),
    _xlpm.ReqDateIsValid, AND(ISNUMBER(H891), H891&gt;=TODAY()),
    _xlpm.EmailIsValid, RIGHT(I891,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IF(A891="", "", IF(_xlpm.error_messages = "", "Yes", _xlpm.error_messages))
)</f>
        <v/>
      </c>
    </row>
    <row r="892" spans="1:12">
      <c r="A892" s="94"/>
      <c r="B892" s="95"/>
      <c r="C892" s="95"/>
      <c r="D892" s="94"/>
      <c r="E892" s="94"/>
      <c r="F892" s="96"/>
      <c r="G892" s="94"/>
      <c r="H892" s="96"/>
      <c r="I892" s="96"/>
      <c r="J892" s="92"/>
      <c r="K892" s="97"/>
      <c r="L892" s="99" t="str">
        <f ca="1">_xlfn.LET(
    _xlpm.res_no, J892,
    _xlpm.record_sheet, 'MatRes Record'!J:M,
    _xlpm.AllCellsFilled, COUNTA(A892:K892) = 11,
    _xlpm.QtyIsInt, AND(ISNUMBER(G892), G892=INT(G892)),
    _xlpm.ReqDateIsValid, AND(ISNUMBER(H892), H892&gt;=TODAY()),
    _xlpm.EmailIsValid, RIGHT(I892,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IF(A892="", "", IF(_xlpm.error_messages = "", "Yes", _xlpm.error_messages))
)</f>
        <v/>
      </c>
    </row>
    <row r="893" spans="1:12">
      <c r="A893" s="94"/>
      <c r="B893" s="95"/>
      <c r="C893" s="95"/>
      <c r="D893" s="94"/>
      <c r="E893" s="94"/>
      <c r="F893" s="96"/>
      <c r="G893" s="94"/>
      <c r="H893" s="96"/>
      <c r="I893" s="96"/>
      <c r="J893" s="92"/>
      <c r="K893" s="97"/>
      <c r="L893" s="99" t="str">
        <f ca="1">_xlfn.LET(
    _xlpm.res_no, J893,
    _xlpm.record_sheet, 'MatRes Record'!J:M,
    _xlpm.AllCellsFilled, COUNTA(A893:K893) = 11,
    _xlpm.QtyIsInt, AND(ISNUMBER(G893), G893=INT(G893)),
    _xlpm.ReqDateIsValid, AND(ISNUMBER(H893), H893&gt;=TODAY()),
    _xlpm.EmailIsValid, RIGHT(I893,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IF(A893="", "", IF(_xlpm.error_messages = "", "Yes", _xlpm.error_messages))
)</f>
        <v/>
      </c>
    </row>
    <row r="894" spans="1:12">
      <c r="A894" s="94"/>
      <c r="B894" s="95"/>
      <c r="C894" s="95"/>
      <c r="D894" s="94"/>
      <c r="E894" s="94"/>
      <c r="F894" s="96"/>
      <c r="G894" s="94"/>
      <c r="H894" s="96"/>
      <c r="I894" s="96"/>
      <c r="J894" s="92"/>
      <c r="K894" s="97"/>
      <c r="L894" s="99" t="str">
        <f ca="1">_xlfn.LET(
    _xlpm.res_no, J894,
    _xlpm.record_sheet, 'MatRes Record'!J:M,
    _xlpm.AllCellsFilled, COUNTA(A894:K894) = 11,
    _xlpm.QtyIsInt, AND(ISNUMBER(G894), G894=INT(G894)),
    _xlpm.ReqDateIsValid, AND(ISNUMBER(H894), H894&gt;=TODAY()),
    _xlpm.EmailIsValid, RIGHT(I894,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IF(A894="", "", IF(_xlpm.error_messages = "", "Yes", _xlpm.error_messages))
)</f>
        <v/>
      </c>
    </row>
    <row r="895" spans="1:12">
      <c r="A895" s="94"/>
      <c r="B895" s="95"/>
      <c r="C895" s="95"/>
      <c r="D895" s="94"/>
      <c r="E895" s="94"/>
      <c r="F895" s="96"/>
      <c r="G895" s="94"/>
      <c r="H895" s="96"/>
      <c r="I895" s="96"/>
      <c r="J895" s="92"/>
      <c r="K895" s="97"/>
      <c r="L895" s="99" t="str">
        <f ca="1">_xlfn.LET(
    _xlpm.res_no, J895,
    _xlpm.record_sheet, 'MatRes Record'!J:M,
    _xlpm.AllCellsFilled, COUNTA(A895:K895) = 11,
    _xlpm.QtyIsInt, AND(ISNUMBER(G895), G895=INT(G895)),
    _xlpm.ReqDateIsValid, AND(ISNUMBER(H895), H895&gt;=TODAY()),
    _xlpm.EmailIsValid, RIGHT(I895,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IF(A895="", "", IF(_xlpm.error_messages = "", "Yes", _xlpm.error_messages))
)</f>
        <v/>
      </c>
    </row>
    <row r="896" spans="1:12">
      <c r="A896" s="94"/>
      <c r="B896" s="95"/>
      <c r="C896" s="95"/>
      <c r="D896" s="94"/>
      <c r="E896" s="94"/>
      <c r="F896" s="96"/>
      <c r="G896" s="94"/>
      <c r="H896" s="96"/>
      <c r="I896" s="96"/>
      <c r="J896" s="92"/>
      <c r="K896" s="97"/>
      <c r="L896" s="99" t="str">
        <f ca="1">_xlfn.LET(
    _xlpm.res_no, J896,
    _xlpm.record_sheet, 'MatRes Record'!J:M,
    _xlpm.AllCellsFilled, COUNTA(A896:K896) = 11,
    _xlpm.QtyIsInt, AND(ISNUMBER(G896), G896=INT(G896)),
    _xlpm.ReqDateIsValid, AND(ISNUMBER(H896), H896&gt;=TODAY()),
    _xlpm.EmailIsValid, RIGHT(I896,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IF(A896="", "", IF(_xlpm.error_messages = "", "Yes", _xlpm.error_messages))
)</f>
        <v/>
      </c>
    </row>
    <row r="897" spans="1:12">
      <c r="A897" s="94"/>
      <c r="B897" s="95"/>
      <c r="C897" s="95"/>
      <c r="D897" s="94"/>
      <c r="E897" s="94"/>
      <c r="F897" s="96"/>
      <c r="G897" s="94"/>
      <c r="H897" s="96"/>
      <c r="I897" s="96"/>
      <c r="J897" s="92"/>
      <c r="K897" s="97"/>
      <c r="L897" s="99" t="str">
        <f ca="1">_xlfn.LET(
    _xlpm.res_no, J897,
    _xlpm.record_sheet, 'MatRes Record'!J:M,
    _xlpm.AllCellsFilled, COUNTA(A897:K897) = 11,
    _xlpm.QtyIsInt, AND(ISNUMBER(G897), G897=INT(G897)),
    _xlpm.ReqDateIsValid, AND(ISNUMBER(H897), H897&gt;=TODAY()),
    _xlpm.EmailIsValid, RIGHT(I897,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IF(A897="", "", IF(_xlpm.error_messages = "", "Yes", _xlpm.error_messages))
)</f>
        <v/>
      </c>
    </row>
    <row r="898" spans="1:12">
      <c r="A898" s="94"/>
      <c r="B898" s="95"/>
      <c r="C898" s="95"/>
      <c r="D898" s="94"/>
      <c r="E898" s="94"/>
      <c r="F898" s="96"/>
      <c r="G898" s="94"/>
      <c r="H898" s="96"/>
      <c r="I898" s="96"/>
      <c r="J898" s="92"/>
      <c r="K898" s="97"/>
      <c r="L898" s="99" t="str">
        <f ca="1">_xlfn.LET(
    _xlpm.res_no, J898,
    _xlpm.record_sheet, 'MatRes Record'!J:M,
    _xlpm.AllCellsFilled, COUNTA(A898:K898) = 11,
    _xlpm.QtyIsInt, AND(ISNUMBER(G898), G898=INT(G898)),
    _xlpm.ReqDateIsValid, AND(ISNUMBER(H898), H898&gt;=TODAY()),
    _xlpm.EmailIsValid, RIGHT(I898,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IF(A898="", "", IF(_xlpm.error_messages = "", "Yes", _xlpm.error_messages))
)</f>
        <v/>
      </c>
    </row>
    <row r="899" spans="1:12">
      <c r="A899" s="94"/>
      <c r="B899" s="95"/>
      <c r="C899" s="95"/>
      <c r="D899" s="94"/>
      <c r="E899" s="94"/>
      <c r="F899" s="96"/>
      <c r="G899" s="94"/>
      <c r="H899" s="96"/>
      <c r="I899" s="96"/>
      <c r="J899" s="92"/>
      <c r="K899" s="97"/>
      <c r="L899" s="99" t="str">
        <f ca="1">_xlfn.LET(
    _xlpm.res_no, J899,
    _xlpm.record_sheet, 'MatRes Record'!J:M,
    _xlpm.AllCellsFilled, COUNTA(A899:K899) = 11,
    _xlpm.QtyIsInt, AND(ISNUMBER(G899), G899=INT(G899)),
    _xlpm.ReqDateIsValid, AND(ISNUMBER(H899), H899&gt;=TODAY()),
    _xlpm.EmailIsValid, RIGHT(I899,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IF(A899="", "", IF(_xlpm.error_messages = "", "Yes", _xlpm.error_messages))
)</f>
        <v/>
      </c>
    </row>
    <row r="900" spans="1:12">
      <c r="A900" s="94"/>
      <c r="B900" s="95"/>
      <c r="C900" s="95"/>
      <c r="D900" s="94"/>
      <c r="E900" s="94"/>
      <c r="F900" s="96"/>
      <c r="G900" s="94"/>
      <c r="H900" s="96"/>
      <c r="I900" s="96"/>
      <c r="J900" s="92"/>
      <c r="K900" s="97"/>
      <c r="L900" s="99" t="str">
        <f ca="1">_xlfn.LET(
    _xlpm.res_no, J900,
    _xlpm.record_sheet, 'MatRes Record'!J:M,
    _xlpm.AllCellsFilled, COUNTA(A900:K900) = 11,
    _xlpm.QtyIsInt, AND(ISNUMBER(G900), G900=INT(G900)),
    _xlpm.ReqDateIsValid, AND(ISNUMBER(H900), H900&gt;=TODAY()),
    _xlpm.EmailIsValid, RIGHT(I900,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IF(A900="", "", IF(_xlpm.error_messages = "", "Yes", _xlpm.error_messages))
)</f>
        <v/>
      </c>
    </row>
    <row r="901" spans="1:12">
      <c r="A901" s="94"/>
      <c r="B901" s="95"/>
      <c r="C901" s="95"/>
      <c r="D901" s="94"/>
      <c r="E901" s="94"/>
      <c r="F901" s="96"/>
      <c r="G901" s="94"/>
      <c r="H901" s="96"/>
      <c r="I901" s="96"/>
      <c r="J901" s="92"/>
      <c r="K901" s="97"/>
      <c r="L901" s="99" t="str">
        <f ca="1">_xlfn.LET(
    _xlpm.res_no, J901,
    _xlpm.record_sheet, 'MatRes Record'!J:M,
    _xlpm.AllCellsFilled, COUNTA(A901:K901) = 11,
    _xlpm.QtyIsInt, AND(ISNUMBER(G901), G901=INT(G901)),
    _xlpm.ReqDateIsValid, AND(ISNUMBER(H901), H901&gt;=TODAY()),
    _xlpm.EmailIsValid, RIGHT(I901,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IF(A901="", "", IF(_xlpm.error_messages = "", "Yes", _xlpm.error_messages))
)</f>
        <v/>
      </c>
    </row>
    <row r="902" spans="1:12">
      <c r="A902" s="94"/>
      <c r="B902" s="95"/>
      <c r="C902" s="95"/>
      <c r="D902" s="94"/>
      <c r="E902" s="94"/>
      <c r="F902" s="96"/>
      <c r="G902" s="94"/>
      <c r="H902" s="96"/>
      <c r="I902" s="96"/>
      <c r="J902" s="92"/>
      <c r="K902" s="97"/>
      <c r="L902" s="99" t="str">
        <f ca="1">_xlfn.LET(
    _xlpm.res_no, J902,
    _xlpm.record_sheet, 'MatRes Record'!J:M,
    _xlpm.AllCellsFilled, COUNTA(A902:K902) = 11,
    _xlpm.QtyIsInt, AND(ISNUMBER(G902), G902=INT(G902)),
    _xlpm.ReqDateIsValid, AND(ISNUMBER(H902), H902&gt;=TODAY()),
    _xlpm.EmailIsValid, RIGHT(I902,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IF(A902="", "", IF(_xlpm.error_messages = "", "Yes", _xlpm.error_messages))
)</f>
        <v/>
      </c>
    </row>
    <row r="903" spans="1:12">
      <c r="A903" s="94"/>
      <c r="B903" s="95"/>
      <c r="C903" s="95"/>
      <c r="D903" s="94"/>
      <c r="E903" s="94"/>
      <c r="F903" s="96"/>
      <c r="G903" s="94"/>
      <c r="H903" s="96"/>
      <c r="I903" s="96"/>
      <c r="J903" s="92"/>
      <c r="K903" s="97"/>
      <c r="L903" s="99" t="str">
        <f ca="1">_xlfn.LET(
    _xlpm.res_no, J903,
    _xlpm.record_sheet, 'MatRes Record'!J:M,
    _xlpm.AllCellsFilled, COUNTA(A903:K903) = 11,
    _xlpm.QtyIsInt, AND(ISNUMBER(G903), G903=INT(G903)),
    _xlpm.ReqDateIsValid, AND(ISNUMBER(H903), H903&gt;=TODAY()),
    _xlpm.EmailIsValid, RIGHT(I903,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IF(A903="", "", IF(_xlpm.error_messages = "", "Yes", _xlpm.error_messages))
)</f>
        <v/>
      </c>
    </row>
    <row r="904" spans="1:12">
      <c r="A904" s="94"/>
      <c r="B904" s="95"/>
      <c r="C904" s="95"/>
      <c r="D904" s="94"/>
      <c r="E904" s="94"/>
      <c r="F904" s="96"/>
      <c r="G904" s="94"/>
      <c r="H904" s="96"/>
      <c r="I904" s="96"/>
      <c r="J904" s="92"/>
      <c r="K904" s="97"/>
      <c r="L904" s="99" t="str">
        <f ca="1">_xlfn.LET(
    _xlpm.res_no, J904,
    _xlpm.record_sheet, 'MatRes Record'!J:M,
    _xlpm.AllCellsFilled, COUNTA(A904:K904) = 11,
    _xlpm.QtyIsInt, AND(ISNUMBER(G904), G904=INT(G904)),
    _xlpm.ReqDateIsValid, AND(ISNUMBER(H904), H904&gt;=TODAY()),
    _xlpm.EmailIsValid, RIGHT(I904,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IF(A904="", "", IF(_xlpm.error_messages = "", "Yes", _xlpm.error_messages))
)</f>
        <v/>
      </c>
    </row>
    <row r="905" spans="1:12">
      <c r="A905" s="94"/>
      <c r="B905" s="95"/>
      <c r="C905" s="95"/>
      <c r="D905" s="94"/>
      <c r="E905" s="94"/>
      <c r="F905" s="96"/>
      <c r="G905" s="94"/>
      <c r="H905" s="96"/>
      <c r="I905" s="96"/>
      <c r="J905" s="92"/>
      <c r="K905" s="97"/>
      <c r="L905" s="99" t="str">
        <f ca="1">_xlfn.LET(
    _xlpm.res_no, J905,
    _xlpm.record_sheet, 'MatRes Record'!J:M,
    _xlpm.AllCellsFilled, COUNTA(A905:K905) = 11,
    _xlpm.QtyIsInt, AND(ISNUMBER(G905), G905=INT(G905)),
    _xlpm.ReqDateIsValid, AND(ISNUMBER(H905), H905&gt;=TODAY()),
    _xlpm.EmailIsValid, RIGHT(I905,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IF(A905="", "", IF(_xlpm.error_messages = "", "Yes", _xlpm.error_messages))
)</f>
        <v/>
      </c>
    </row>
    <row r="906" spans="1:12">
      <c r="A906" s="94"/>
      <c r="B906" s="95"/>
      <c r="C906" s="95"/>
      <c r="D906" s="94"/>
      <c r="E906" s="94"/>
      <c r="F906" s="96"/>
      <c r="G906" s="94"/>
      <c r="H906" s="96"/>
      <c r="I906" s="96"/>
      <c r="J906" s="92"/>
      <c r="K906" s="97"/>
      <c r="L906" s="99" t="str">
        <f ca="1">_xlfn.LET(
    _xlpm.res_no, J906,
    _xlpm.record_sheet, 'MatRes Record'!J:M,
    _xlpm.AllCellsFilled, COUNTA(A906:K906) = 11,
    _xlpm.QtyIsInt, AND(ISNUMBER(G906), G906=INT(G906)),
    _xlpm.ReqDateIsValid, AND(ISNUMBER(H906), H906&gt;=TODAY()),
    _xlpm.EmailIsValid, RIGHT(I906,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IF(A906="", "", IF(_xlpm.error_messages = "", "Yes", _xlpm.error_messages))
)</f>
        <v/>
      </c>
    </row>
    <row r="907" spans="1:12">
      <c r="A907" s="94"/>
      <c r="B907" s="95"/>
      <c r="C907" s="95"/>
      <c r="D907" s="94"/>
      <c r="E907" s="94"/>
      <c r="F907" s="96"/>
      <c r="G907" s="94"/>
      <c r="H907" s="96"/>
      <c r="I907" s="96"/>
      <c r="J907" s="92"/>
      <c r="K907" s="97"/>
      <c r="L907" s="99" t="str">
        <f ca="1">_xlfn.LET(
    _xlpm.res_no, J907,
    _xlpm.record_sheet, 'MatRes Record'!J:M,
    _xlpm.AllCellsFilled, COUNTA(A907:K907) = 11,
    _xlpm.QtyIsInt, AND(ISNUMBER(G907), G907=INT(G907)),
    _xlpm.ReqDateIsValid, AND(ISNUMBER(H907), H907&gt;=TODAY()),
    _xlpm.EmailIsValid, RIGHT(I907,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IF(A907="", "", IF(_xlpm.error_messages = "", "Yes", _xlpm.error_messages))
)</f>
        <v/>
      </c>
    </row>
    <row r="908" spans="1:12">
      <c r="A908" s="94"/>
      <c r="B908" s="95"/>
      <c r="C908" s="95"/>
      <c r="D908" s="94"/>
      <c r="E908" s="94"/>
      <c r="F908" s="96"/>
      <c r="G908" s="94"/>
      <c r="H908" s="96"/>
      <c r="I908" s="96"/>
      <c r="J908" s="92"/>
      <c r="K908" s="97"/>
      <c r="L908" s="99" t="str">
        <f ca="1">_xlfn.LET(
    _xlpm.res_no, J908,
    _xlpm.record_sheet, 'MatRes Record'!J:M,
    _xlpm.AllCellsFilled, COUNTA(A908:K908) = 11,
    _xlpm.QtyIsInt, AND(ISNUMBER(G908), G908=INT(G908)),
    _xlpm.ReqDateIsValid, AND(ISNUMBER(H908), H908&gt;=TODAY()),
    _xlpm.EmailIsValid, RIGHT(I908,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IF(A908="", "", IF(_xlpm.error_messages = "", "Yes", _xlpm.error_messages))
)</f>
        <v/>
      </c>
    </row>
    <row r="909" spans="1:12">
      <c r="A909" s="94"/>
      <c r="B909" s="95"/>
      <c r="C909" s="95"/>
      <c r="D909" s="94"/>
      <c r="E909" s="94"/>
      <c r="F909" s="96"/>
      <c r="G909" s="94"/>
      <c r="H909" s="96"/>
      <c r="I909" s="96"/>
      <c r="J909" s="92"/>
      <c r="K909" s="97"/>
      <c r="L909" s="99" t="str">
        <f ca="1">_xlfn.LET(
    _xlpm.res_no, J909,
    _xlpm.record_sheet, 'MatRes Record'!J:M,
    _xlpm.AllCellsFilled, COUNTA(A909:K909) = 11,
    _xlpm.QtyIsInt, AND(ISNUMBER(G909), G909=INT(G909)),
    _xlpm.ReqDateIsValid, AND(ISNUMBER(H909), H909&gt;=TODAY()),
    _xlpm.EmailIsValid, RIGHT(I909,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IF(A909="", "", IF(_xlpm.error_messages = "", "Yes", _xlpm.error_messages))
)</f>
        <v/>
      </c>
    </row>
    <row r="910" spans="1:12">
      <c r="A910" s="94"/>
      <c r="B910" s="95"/>
      <c r="C910" s="95"/>
      <c r="D910" s="94"/>
      <c r="E910" s="94"/>
      <c r="F910" s="96"/>
      <c r="G910" s="94"/>
      <c r="H910" s="96"/>
      <c r="I910" s="96"/>
      <c r="J910" s="92"/>
      <c r="K910" s="97"/>
      <c r="L910" s="99" t="str">
        <f ca="1">_xlfn.LET(
    _xlpm.res_no, J910,
    _xlpm.record_sheet, 'MatRes Record'!J:M,
    _xlpm.AllCellsFilled, COUNTA(A910:K910) = 11,
    _xlpm.QtyIsInt, AND(ISNUMBER(G910), G910=INT(G910)),
    _xlpm.ReqDateIsValid, AND(ISNUMBER(H910), H910&gt;=TODAY()),
    _xlpm.EmailIsValid, RIGHT(I910,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IF(A910="", "", IF(_xlpm.error_messages = "", "Yes", _xlpm.error_messages))
)</f>
        <v/>
      </c>
    </row>
    <row r="911" spans="1:12">
      <c r="A911" s="94"/>
      <c r="B911" s="95"/>
      <c r="C911" s="95"/>
      <c r="D911" s="94"/>
      <c r="E911" s="94"/>
      <c r="F911" s="96"/>
      <c r="G911" s="94"/>
      <c r="H911" s="96"/>
      <c r="I911" s="96"/>
      <c r="J911" s="92"/>
      <c r="K911" s="97"/>
      <c r="L911" s="99" t="str">
        <f ca="1">_xlfn.LET(
    _xlpm.res_no, J911,
    _xlpm.record_sheet, 'MatRes Record'!J:M,
    _xlpm.AllCellsFilled, COUNTA(A911:K911) = 11,
    _xlpm.QtyIsInt, AND(ISNUMBER(G911), G911=INT(G911)),
    _xlpm.ReqDateIsValid, AND(ISNUMBER(H911), H911&gt;=TODAY()),
    _xlpm.EmailIsValid, RIGHT(I911,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IF(A911="", "", IF(_xlpm.error_messages = "", "Yes", _xlpm.error_messages))
)</f>
        <v/>
      </c>
    </row>
    <row r="912" spans="1:12">
      <c r="A912" s="94"/>
      <c r="B912" s="95"/>
      <c r="C912" s="95"/>
      <c r="D912" s="94"/>
      <c r="E912" s="94"/>
      <c r="F912" s="96"/>
      <c r="G912" s="94"/>
      <c r="H912" s="96"/>
      <c r="I912" s="96"/>
      <c r="J912" s="92"/>
      <c r="K912" s="97"/>
      <c r="L912" s="99" t="str">
        <f ca="1">_xlfn.LET(
    _xlpm.res_no, J912,
    _xlpm.record_sheet, 'MatRes Record'!J:M,
    _xlpm.AllCellsFilled, COUNTA(A912:K912) = 11,
    _xlpm.QtyIsInt, AND(ISNUMBER(G912), G912=INT(G912)),
    _xlpm.ReqDateIsValid, AND(ISNUMBER(H912), H912&gt;=TODAY()),
    _xlpm.EmailIsValid, RIGHT(I912,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IF(A912="", "", IF(_xlpm.error_messages = "", "Yes", _xlpm.error_messages))
)</f>
        <v/>
      </c>
    </row>
    <row r="913" spans="1:12">
      <c r="A913" s="94"/>
      <c r="B913" s="95"/>
      <c r="C913" s="95"/>
      <c r="D913" s="94"/>
      <c r="E913" s="94"/>
      <c r="F913" s="96"/>
      <c r="G913" s="94"/>
      <c r="H913" s="96"/>
      <c r="I913" s="96"/>
      <c r="J913" s="92"/>
      <c r="K913" s="97"/>
      <c r="L913" s="99" t="str">
        <f ca="1">_xlfn.LET(
    _xlpm.res_no, J913,
    _xlpm.record_sheet, 'MatRes Record'!J:M,
    _xlpm.AllCellsFilled, COUNTA(A913:K913) = 11,
    _xlpm.QtyIsInt, AND(ISNUMBER(G913), G913=INT(G913)),
    _xlpm.ReqDateIsValid, AND(ISNUMBER(H913), H913&gt;=TODAY()),
    _xlpm.EmailIsValid, RIGHT(I913,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IF(A913="", "", IF(_xlpm.error_messages = "", "Yes", _xlpm.error_messages))
)</f>
        <v/>
      </c>
    </row>
    <row r="914" spans="1:12">
      <c r="A914" s="94"/>
      <c r="B914" s="95"/>
      <c r="C914" s="95"/>
      <c r="D914" s="94"/>
      <c r="E914" s="94"/>
      <c r="F914" s="96"/>
      <c r="G914" s="94"/>
      <c r="H914" s="96"/>
      <c r="I914" s="96"/>
      <c r="J914" s="92"/>
      <c r="K914" s="97"/>
      <c r="L914" s="99" t="str">
        <f ca="1">_xlfn.LET(
    _xlpm.res_no, J914,
    _xlpm.record_sheet, 'MatRes Record'!J:M,
    _xlpm.AllCellsFilled, COUNTA(A914:K914) = 11,
    _xlpm.QtyIsInt, AND(ISNUMBER(G914), G914=INT(G914)),
    _xlpm.ReqDateIsValid, AND(ISNUMBER(H914), H914&gt;=TODAY()),
    _xlpm.EmailIsValid, RIGHT(I914,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IF(A914="", "", IF(_xlpm.error_messages = "", "Yes", _xlpm.error_messages))
)</f>
        <v/>
      </c>
    </row>
    <row r="915" spans="1:12">
      <c r="A915" s="94"/>
      <c r="B915" s="95"/>
      <c r="C915" s="95"/>
      <c r="D915" s="94"/>
      <c r="E915" s="94"/>
      <c r="F915" s="96"/>
      <c r="G915" s="94"/>
      <c r="H915" s="96"/>
      <c r="I915" s="96"/>
      <c r="J915" s="92"/>
      <c r="K915" s="97"/>
      <c r="L915" s="99" t="str">
        <f ca="1">_xlfn.LET(
    _xlpm.res_no, J915,
    _xlpm.record_sheet, 'MatRes Record'!J:M,
    _xlpm.AllCellsFilled, COUNTA(A915:K915) = 11,
    _xlpm.QtyIsInt, AND(ISNUMBER(G915), G915=INT(G915)),
    _xlpm.ReqDateIsValid, AND(ISNUMBER(H915), H915&gt;=TODAY()),
    _xlpm.EmailIsValid, RIGHT(I915,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IF(A915="", "", IF(_xlpm.error_messages = "", "Yes", _xlpm.error_messages))
)</f>
        <v/>
      </c>
    </row>
    <row r="916" spans="1:12">
      <c r="A916" s="94"/>
      <c r="B916" s="95"/>
      <c r="C916" s="95"/>
      <c r="D916" s="94"/>
      <c r="E916" s="94"/>
      <c r="F916" s="96"/>
      <c r="G916" s="94"/>
      <c r="H916" s="96"/>
      <c r="I916" s="96"/>
      <c r="J916" s="92"/>
      <c r="K916" s="97"/>
      <c r="L916" s="99" t="str">
        <f ca="1">_xlfn.LET(
    _xlpm.res_no, J916,
    _xlpm.record_sheet, 'MatRes Record'!J:M,
    _xlpm.AllCellsFilled, COUNTA(A916:K916) = 11,
    _xlpm.QtyIsInt, AND(ISNUMBER(G916), G916=INT(G916)),
    _xlpm.ReqDateIsValid, AND(ISNUMBER(H916), H916&gt;=TODAY()),
    _xlpm.EmailIsValid, RIGHT(I916,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IF(A916="", "", IF(_xlpm.error_messages = "", "Yes", _xlpm.error_messages))
)</f>
        <v/>
      </c>
    </row>
    <row r="917" spans="1:12">
      <c r="A917" s="94"/>
      <c r="B917" s="95"/>
      <c r="C917" s="95"/>
      <c r="D917" s="94"/>
      <c r="E917" s="94"/>
      <c r="F917" s="96"/>
      <c r="G917" s="94"/>
      <c r="H917" s="96"/>
      <c r="I917" s="96"/>
      <c r="J917" s="92"/>
      <c r="K917" s="97"/>
      <c r="L917" s="99" t="str">
        <f ca="1">_xlfn.LET(
    _xlpm.res_no, J917,
    _xlpm.record_sheet, 'MatRes Record'!J:M,
    _xlpm.AllCellsFilled, COUNTA(A917:K917) = 11,
    _xlpm.QtyIsInt, AND(ISNUMBER(G917), G917=INT(G917)),
    _xlpm.ReqDateIsValid, AND(ISNUMBER(H917), H917&gt;=TODAY()),
    _xlpm.EmailIsValid, RIGHT(I917,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IF(A917="", "", IF(_xlpm.error_messages = "", "Yes", _xlpm.error_messages))
)</f>
        <v/>
      </c>
    </row>
    <row r="918" spans="1:12">
      <c r="A918" s="94"/>
      <c r="B918" s="95"/>
      <c r="C918" s="95"/>
      <c r="D918" s="94"/>
      <c r="E918" s="94"/>
      <c r="F918" s="96"/>
      <c r="G918" s="94"/>
      <c r="H918" s="96"/>
      <c r="I918" s="96"/>
      <c r="J918" s="92"/>
      <c r="K918" s="97"/>
      <c r="L918" s="99" t="str">
        <f ca="1">_xlfn.LET(
    _xlpm.res_no, J918,
    _xlpm.record_sheet, 'MatRes Record'!J:M,
    _xlpm.AllCellsFilled, COUNTA(A918:K918) = 11,
    _xlpm.QtyIsInt, AND(ISNUMBER(G918), G918=INT(G918)),
    _xlpm.ReqDateIsValid, AND(ISNUMBER(H918), H918&gt;=TODAY()),
    _xlpm.EmailIsValid, RIGHT(I918,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IF(A918="", "", IF(_xlpm.error_messages = "", "Yes", _xlpm.error_messages))
)</f>
        <v/>
      </c>
    </row>
    <row r="919" spans="1:12">
      <c r="A919" s="94"/>
      <c r="B919" s="95"/>
      <c r="C919" s="95"/>
      <c r="D919" s="94"/>
      <c r="E919" s="94"/>
      <c r="F919" s="96"/>
      <c r="G919" s="94"/>
      <c r="H919" s="96"/>
      <c r="I919" s="96"/>
      <c r="J919" s="92"/>
      <c r="K919" s="97"/>
      <c r="L919" s="99" t="str">
        <f ca="1">_xlfn.LET(
    _xlpm.res_no, J919,
    _xlpm.record_sheet, 'MatRes Record'!J:M,
    _xlpm.AllCellsFilled, COUNTA(A919:K919) = 11,
    _xlpm.QtyIsInt, AND(ISNUMBER(G919), G919=INT(G919)),
    _xlpm.ReqDateIsValid, AND(ISNUMBER(H919), H919&gt;=TODAY()),
    _xlpm.EmailIsValid, RIGHT(I919,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IF(A919="", "", IF(_xlpm.error_messages = "", "Yes", _xlpm.error_messages))
)</f>
        <v/>
      </c>
    </row>
    <row r="920" spans="1:12">
      <c r="A920" s="94"/>
      <c r="B920" s="95"/>
      <c r="C920" s="95"/>
      <c r="D920" s="94"/>
      <c r="E920" s="94"/>
      <c r="F920" s="96"/>
      <c r="G920" s="94"/>
      <c r="H920" s="96"/>
      <c r="I920" s="96"/>
      <c r="J920" s="92"/>
      <c r="K920" s="97"/>
      <c r="L920" s="99" t="str">
        <f ca="1">_xlfn.LET(
    _xlpm.res_no, J920,
    _xlpm.record_sheet, 'MatRes Record'!J:M,
    _xlpm.AllCellsFilled, COUNTA(A920:K920) = 11,
    _xlpm.QtyIsInt, AND(ISNUMBER(G920), G920=INT(G920)),
    _xlpm.ReqDateIsValid, AND(ISNUMBER(H920), H920&gt;=TODAY()),
    _xlpm.EmailIsValid, RIGHT(I920,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IF(A920="", "", IF(_xlpm.error_messages = "", "Yes", _xlpm.error_messages))
)</f>
        <v/>
      </c>
    </row>
    <row r="921" spans="1:12">
      <c r="A921" s="94"/>
      <c r="B921" s="95"/>
      <c r="C921" s="95"/>
      <c r="D921" s="94"/>
      <c r="E921" s="94"/>
      <c r="F921" s="96"/>
      <c r="G921" s="94"/>
      <c r="H921" s="96"/>
      <c r="I921" s="96"/>
      <c r="J921" s="92"/>
      <c r="K921" s="97"/>
      <c r="L921" s="99" t="str">
        <f ca="1">_xlfn.LET(
    _xlpm.res_no, J921,
    _xlpm.record_sheet, 'MatRes Record'!J:M,
    _xlpm.AllCellsFilled, COUNTA(A921:K921) = 11,
    _xlpm.QtyIsInt, AND(ISNUMBER(G921), G921=INT(G921)),
    _xlpm.ReqDateIsValid, AND(ISNUMBER(H921), H921&gt;=TODAY()),
    _xlpm.EmailIsValid, RIGHT(I921,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IF(A921="", "", IF(_xlpm.error_messages = "", "Yes", _xlpm.error_messages))
)</f>
        <v/>
      </c>
    </row>
    <row r="922" spans="1:12">
      <c r="A922" s="94"/>
      <c r="B922" s="95"/>
      <c r="C922" s="95"/>
      <c r="D922" s="94"/>
      <c r="E922" s="94"/>
      <c r="F922" s="96"/>
      <c r="G922" s="94"/>
      <c r="H922" s="96"/>
      <c r="I922" s="96"/>
      <c r="J922" s="92"/>
      <c r="K922" s="97"/>
      <c r="L922" s="99" t="str">
        <f ca="1">_xlfn.LET(
    _xlpm.res_no, J922,
    _xlpm.record_sheet, 'MatRes Record'!J:M,
    _xlpm.AllCellsFilled, COUNTA(A922:K922) = 11,
    _xlpm.QtyIsInt, AND(ISNUMBER(G922), G922=INT(G922)),
    _xlpm.ReqDateIsValid, AND(ISNUMBER(H922), H922&gt;=TODAY()),
    _xlpm.EmailIsValid, RIGHT(I922,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IF(A922="", "", IF(_xlpm.error_messages = "", "Yes", _xlpm.error_messages))
)</f>
        <v/>
      </c>
    </row>
    <row r="923" spans="1:12">
      <c r="A923" s="94"/>
      <c r="B923" s="95"/>
      <c r="C923" s="95"/>
      <c r="D923" s="94"/>
      <c r="E923" s="94"/>
      <c r="F923" s="96"/>
      <c r="G923" s="94"/>
      <c r="H923" s="96"/>
      <c r="I923" s="96"/>
      <c r="J923" s="92"/>
      <c r="K923" s="97"/>
      <c r="L923" s="99" t="str">
        <f ca="1">_xlfn.LET(
    _xlpm.res_no, J923,
    _xlpm.record_sheet, 'MatRes Record'!J:M,
    _xlpm.AllCellsFilled, COUNTA(A923:K923) = 11,
    _xlpm.QtyIsInt, AND(ISNUMBER(G923), G923=INT(G923)),
    _xlpm.ReqDateIsValid, AND(ISNUMBER(H923), H923&gt;=TODAY()),
    _xlpm.EmailIsValid, RIGHT(I923,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IF(A923="", "", IF(_xlpm.error_messages = "", "Yes", _xlpm.error_messages))
)</f>
        <v/>
      </c>
    </row>
    <row r="924" spans="1:12">
      <c r="A924" s="94"/>
      <c r="B924" s="95"/>
      <c r="C924" s="95"/>
      <c r="D924" s="94"/>
      <c r="E924" s="94"/>
      <c r="F924" s="96"/>
      <c r="G924" s="94"/>
      <c r="H924" s="96"/>
      <c r="I924" s="96"/>
      <c r="J924" s="92"/>
      <c r="K924" s="97"/>
      <c r="L924" s="99" t="str">
        <f ca="1">_xlfn.LET(
    _xlpm.res_no, J924,
    _xlpm.record_sheet, 'MatRes Record'!J:M,
    _xlpm.AllCellsFilled, COUNTA(A924:K924) = 11,
    _xlpm.QtyIsInt, AND(ISNUMBER(G924), G924=INT(G924)),
    _xlpm.ReqDateIsValid, AND(ISNUMBER(H924), H924&gt;=TODAY()),
    _xlpm.EmailIsValid, RIGHT(I924,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IF(A924="", "", IF(_xlpm.error_messages = "", "Yes", _xlpm.error_messages))
)</f>
        <v/>
      </c>
    </row>
    <row r="925" spans="1:12">
      <c r="A925" s="94"/>
      <c r="B925" s="95"/>
      <c r="C925" s="95"/>
      <c r="D925" s="94"/>
      <c r="E925" s="94"/>
      <c r="F925" s="96"/>
      <c r="G925" s="94"/>
      <c r="H925" s="96"/>
      <c r="I925" s="96"/>
      <c r="J925" s="92"/>
      <c r="K925" s="97"/>
      <c r="L925" s="99" t="str">
        <f ca="1">_xlfn.LET(
    _xlpm.res_no, J925,
    _xlpm.record_sheet, 'MatRes Record'!J:M,
    _xlpm.AllCellsFilled, COUNTA(A925:K925) = 11,
    _xlpm.QtyIsInt, AND(ISNUMBER(G925), G925=INT(G925)),
    _xlpm.ReqDateIsValid, AND(ISNUMBER(H925), H925&gt;=TODAY()),
    _xlpm.EmailIsValid, RIGHT(I925,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IF(A925="", "", IF(_xlpm.error_messages = "", "Yes", _xlpm.error_messages))
)</f>
        <v/>
      </c>
    </row>
    <row r="926" spans="1:12">
      <c r="A926" s="94"/>
      <c r="B926" s="95"/>
      <c r="C926" s="95"/>
      <c r="D926" s="94"/>
      <c r="E926" s="94"/>
      <c r="F926" s="96"/>
      <c r="G926" s="94"/>
      <c r="H926" s="96"/>
      <c r="I926" s="96"/>
      <c r="J926" s="92"/>
      <c r="K926" s="97"/>
      <c r="L926" s="99" t="str">
        <f ca="1">_xlfn.LET(
    _xlpm.res_no, J926,
    _xlpm.record_sheet, 'MatRes Record'!J:M,
    _xlpm.AllCellsFilled, COUNTA(A926:K926) = 11,
    _xlpm.QtyIsInt, AND(ISNUMBER(G926), G926=INT(G926)),
    _xlpm.ReqDateIsValid, AND(ISNUMBER(H926), H926&gt;=TODAY()),
    _xlpm.EmailIsValid, RIGHT(I926,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IF(A926="", "", IF(_xlpm.error_messages = "", "Yes", _xlpm.error_messages))
)</f>
        <v/>
      </c>
    </row>
    <row r="927" spans="1:12">
      <c r="A927" s="94"/>
      <c r="B927" s="95"/>
      <c r="C927" s="95"/>
      <c r="D927" s="94"/>
      <c r="E927" s="94"/>
      <c r="F927" s="96"/>
      <c r="G927" s="94"/>
      <c r="H927" s="96"/>
      <c r="I927" s="96"/>
      <c r="J927" s="92"/>
      <c r="K927" s="97"/>
      <c r="L927" s="99" t="str">
        <f ca="1">_xlfn.LET(
    _xlpm.res_no, J927,
    _xlpm.record_sheet, 'MatRes Record'!J:M,
    _xlpm.AllCellsFilled, COUNTA(A927:K927) = 11,
    _xlpm.QtyIsInt, AND(ISNUMBER(G927), G927=INT(G927)),
    _xlpm.ReqDateIsValid, AND(ISNUMBER(H927), H927&gt;=TODAY()),
    _xlpm.EmailIsValid, RIGHT(I927,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IF(A927="", "", IF(_xlpm.error_messages = "", "Yes", _xlpm.error_messages))
)</f>
        <v/>
      </c>
    </row>
    <row r="928" spans="1:12">
      <c r="A928" s="94"/>
      <c r="B928" s="95"/>
      <c r="C928" s="95"/>
      <c r="D928" s="94"/>
      <c r="E928" s="94"/>
      <c r="F928" s="96"/>
      <c r="G928" s="94"/>
      <c r="H928" s="96"/>
      <c r="I928" s="96"/>
      <c r="J928" s="92"/>
      <c r="K928" s="97"/>
      <c r="L928" s="99" t="str">
        <f ca="1">_xlfn.LET(
    _xlpm.res_no, J928,
    _xlpm.record_sheet, 'MatRes Record'!J:M,
    _xlpm.AllCellsFilled, COUNTA(A928:K928) = 11,
    _xlpm.QtyIsInt, AND(ISNUMBER(G928), G928=INT(G928)),
    _xlpm.ReqDateIsValid, AND(ISNUMBER(H928), H928&gt;=TODAY()),
    _xlpm.EmailIsValid, RIGHT(I928,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IF(A928="", "", IF(_xlpm.error_messages = "", "Yes", _xlpm.error_messages))
)</f>
        <v/>
      </c>
    </row>
    <row r="929" spans="1:12">
      <c r="A929" s="94"/>
      <c r="B929" s="95"/>
      <c r="C929" s="95"/>
      <c r="D929" s="94"/>
      <c r="E929" s="94"/>
      <c r="F929" s="96"/>
      <c r="G929" s="94"/>
      <c r="H929" s="96"/>
      <c r="I929" s="96"/>
      <c r="J929" s="92"/>
      <c r="K929" s="97"/>
      <c r="L929" s="99" t="str">
        <f ca="1">_xlfn.LET(
    _xlpm.res_no, J929,
    _xlpm.record_sheet, 'MatRes Record'!J:M,
    _xlpm.AllCellsFilled, COUNTA(A929:K929) = 11,
    _xlpm.QtyIsInt, AND(ISNUMBER(G929), G929=INT(G929)),
    _xlpm.ReqDateIsValid, AND(ISNUMBER(H929), H929&gt;=TODAY()),
    _xlpm.EmailIsValid, RIGHT(I929,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IF(A929="", "", IF(_xlpm.error_messages = "", "Yes", _xlpm.error_messages))
)</f>
        <v/>
      </c>
    </row>
    <row r="930" spans="1:12">
      <c r="A930" s="94"/>
      <c r="B930" s="95"/>
      <c r="C930" s="95"/>
      <c r="D930" s="94"/>
      <c r="E930" s="94"/>
      <c r="F930" s="96"/>
      <c r="G930" s="94"/>
      <c r="H930" s="96"/>
      <c r="I930" s="96"/>
      <c r="J930" s="92"/>
      <c r="K930" s="97"/>
      <c r="L930" s="99" t="str">
        <f ca="1">_xlfn.LET(
    _xlpm.res_no, J930,
    _xlpm.record_sheet, 'MatRes Record'!J:M,
    _xlpm.AllCellsFilled, COUNTA(A930:K930) = 11,
    _xlpm.QtyIsInt, AND(ISNUMBER(G930), G930=INT(G930)),
    _xlpm.ReqDateIsValid, AND(ISNUMBER(H930), H930&gt;=TODAY()),
    _xlpm.EmailIsValid, RIGHT(I930,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IF(A930="", "", IF(_xlpm.error_messages = "", "Yes", _xlpm.error_messages))
)</f>
        <v/>
      </c>
    </row>
    <row r="931" spans="1:12">
      <c r="A931" s="94"/>
      <c r="B931" s="95"/>
      <c r="C931" s="95"/>
      <c r="D931" s="94"/>
      <c r="E931" s="94"/>
      <c r="F931" s="96"/>
      <c r="G931" s="94"/>
      <c r="H931" s="96"/>
      <c r="I931" s="96"/>
      <c r="J931" s="92"/>
      <c r="K931" s="97"/>
      <c r="L931" s="99" t="str">
        <f ca="1">_xlfn.LET(
    _xlpm.res_no, J931,
    _xlpm.record_sheet, 'MatRes Record'!J:M,
    _xlpm.AllCellsFilled, COUNTA(A931:K931) = 11,
    _xlpm.QtyIsInt, AND(ISNUMBER(G931), G931=INT(G931)),
    _xlpm.ReqDateIsValid, AND(ISNUMBER(H931), H931&gt;=TODAY()),
    _xlpm.EmailIsValid, RIGHT(I931,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IF(A931="", "", IF(_xlpm.error_messages = "", "Yes", _xlpm.error_messages))
)</f>
        <v/>
      </c>
    </row>
    <row r="932" spans="1:12">
      <c r="A932" s="94"/>
      <c r="B932" s="95"/>
      <c r="C932" s="95"/>
      <c r="D932" s="94"/>
      <c r="E932" s="94"/>
      <c r="F932" s="96"/>
      <c r="G932" s="94"/>
      <c r="H932" s="96"/>
      <c r="I932" s="96"/>
      <c r="J932" s="92"/>
      <c r="K932" s="97"/>
      <c r="L932" s="99" t="str">
        <f ca="1">_xlfn.LET(
    _xlpm.res_no, J932,
    _xlpm.record_sheet, 'MatRes Record'!J:M,
    _xlpm.AllCellsFilled, COUNTA(A932:K932) = 11,
    _xlpm.QtyIsInt, AND(ISNUMBER(G932), G932=INT(G932)),
    _xlpm.ReqDateIsValid, AND(ISNUMBER(H932), H932&gt;=TODAY()),
    _xlpm.EmailIsValid, RIGHT(I932,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IF(A932="", "", IF(_xlpm.error_messages = "", "Yes", _xlpm.error_messages))
)</f>
        <v/>
      </c>
    </row>
    <row r="933" spans="1:12">
      <c r="A933" s="94"/>
      <c r="B933" s="95"/>
      <c r="C933" s="95"/>
      <c r="D933" s="94"/>
      <c r="E933" s="94"/>
      <c r="F933" s="96"/>
      <c r="G933" s="94"/>
      <c r="H933" s="96"/>
      <c r="I933" s="96"/>
      <c r="J933" s="92"/>
      <c r="K933" s="97"/>
      <c r="L933" s="99" t="str">
        <f ca="1">_xlfn.LET(
    _xlpm.res_no, J933,
    _xlpm.record_sheet, 'MatRes Record'!J:M,
    _xlpm.AllCellsFilled, COUNTA(A933:K933) = 11,
    _xlpm.QtyIsInt, AND(ISNUMBER(G933), G933=INT(G933)),
    _xlpm.ReqDateIsValid, AND(ISNUMBER(H933), H933&gt;=TODAY()),
    _xlpm.EmailIsValid, RIGHT(I933,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IF(A933="", "", IF(_xlpm.error_messages = "", "Yes", _xlpm.error_messages))
)</f>
        <v/>
      </c>
    </row>
    <row r="934" spans="1:12">
      <c r="A934" s="94"/>
      <c r="B934" s="95"/>
      <c r="C934" s="95"/>
      <c r="D934" s="94"/>
      <c r="E934" s="94"/>
      <c r="F934" s="96"/>
      <c r="G934" s="94"/>
      <c r="H934" s="96"/>
      <c r="I934" s="96"/>
      <c r="J934" s="92"/>
      <c r="K934" s="97"/>
      <c r="L934" s="99" t="str">
        <f ca="1">_xlfn.LET(
    _xlpm.res_no, J934,
    _xlpm.record_sheet, 'MatRes Record'!J:M,
    _xlpm.AllCellsFilled, COUNTA(A934:K934) = 11,
    _xlpm.QtyIsInt, AND(ISNUMBER(G934), G934=INT(G934)),
    _xlpm.ReqDateIsValid, AND(ISNUMBER(H934), H934&gt;=TODAY()),
    _xlpm.EmailIsValid, RIGHT(I934,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IF(A934="", "", IF(_xlpm.error_messages = "", "Yes", _xlpm.error_messages))
)</f>
        <v/>
      </c>
    </row>
    <row r="935" spans="1:12">
      <c r="A935" s="94"/>
      <c r="B935" s="95"/>
      <c r="C935" s="95"/>
      <c r="D935" s="94"/>
      <c r="E935" s="94"/>
      <c r="F935" s="96"/>
      <c r="G935" s="94"/>
      <c r="H935" s="96"/>
      <c r="I935" s="96"/>
      <c r="J935" s="92"/>
      <c r="K935" s="97"/>
      <c r="L935" s="99" t="str">
        <f ca="1">_xlfn.LET(
    _xlpm.res_no, J935,
    _xlpm.record_sheet, 'MatRes Record'!J:M,
    _xlpm.AllCellsFilled, COUNTA(A935:K935) = 11,
    _xlpm.QtyIsInt, AND(ISNUMBER(G935), G935=INT(G935)),
    _xlpm.ReqDateIsValid, AND(ISNUMBER(H935), H935&gt;=TODAY()),
    _xlpm.EmailIsValid, RIGHT(I935,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IF(A935="", "", IF(_xlpm.error_messages = "", "Yes", _xlpm.error_messages))
)</f>
        <v/>
      </c>
    </row>
    <row r="936" spans="1:12">
      <c r="A936" s="94"/>
      <c r="B936" s="95"/>
      <c r="C936" s="95"/>
      <c r="D936" s="94"/>
      <c r="E936" s="94"/>
      <c r="F936" s="96"/>
      <c r="G936" s="94"/>
      <c r="H936" s="96"/>
      <c r="I936" s="96"/>
      <c r="J936" s="92"/>
      <c r="K936" s="97"/>
      <c r="L936" s="99" t="str">
        <f ca="1">_xlfn.LET(
    _xlpm.res_no, J936,
    _xlpm.record_sheet, 'MatRes Record'!J:M,
    _xlpm.AllCellsFilled, COUNTA(A936:K936) = 11,
    _xlpm.QtyIsInt, AND(ISNUMBER(G936), G936=INT(G936)),
    _xlpm.ReqDateIsValid, AND(ISNUMBER(H936), H936&gt;=TODAY()),
    _xlpm.EmailIsValid, RIGHT(I936,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IF(A936="", "", IF(_xlpm.error_messages = "", "Yes", _xlpm.error_messages))
)</f>
        <v/>
      </c>
    </row>
    <row r="937" spans="1:12">
      <c r="A937" s="94"/>
      <c r="B937" s="95"/>
      <c r="C937" s="95"/>
      <c r="D937" s="94"/>
      <c r="E937" s="94"/>
      <c r="F937" s="96"/>
      <c r="G937" s="94"/>
      <c r="H937" s="96"/>
      <c r="I937" s="96"/>
      <c r="J937" s="92"/>
      <c r="K937" s="97"/>
      <c r="L937" s="99" t="str">
        <f ca="1">_xlfn.LET(
    _xlpm.res_no, J937,
    _xlpm.record_sheet, 'MatRes Record'!J:M,
    _xlpm.AllCellsFilled, COUNTA(A937:K937) = 11,
    _xlpm.QtyIsInt, AND(ISNUMBER(G937), G937=INT(G937)),
    _xlpm.ReqDateIsValid, AND(ISNUMBER(H937), H937&gt;=TODAY()),
    _xlpm.EmailIsValid, RIGHT(I937,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IF(A937="", "", IF(_xlpm.error_messages = "", "Yes", _xlpm.error_messages))
)</f>
        <v/>
      </c>
    </row>
    <row r="938" spans="1:12">
      <c r="A938" s="94"/>
      <c r="B938" s="95"/>
      <c r="C938" s="95"/>
      <c r="D938" s="94"/>
      <c r="E938" s="94"/>
      <c r="F938" s="96"/>
      <c r="G938" s="94"/>
      <c r="H938" s="96"/>
      <c r="I938" s="96"/>
      <c r="J938" s="92"/>
      <c r="K938" s="97"/>
      <c r="L938" s="99" t="str">
        <f ca="1">_xlfn.LET(
    _xlpm.res_no, J938,
    _xlpm.record_sheet, 'MatRes Record'!J:M,
    _xlpm.AllCellsFilled, COUNTA(A938:K938) = 11,
    _xlpm.QtyIsInt, AND(ISNUMBER(G938), G938=INT(G938)),
    _xlpm.ReqDateIsValid, AND(ISNUMBER(H938), H938&gt;=TODAY()),
    _xlpm.EmailIsValid, RIGHT(I938,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IF(A938="", "", IF(_xlpm.error_messages = "", "Yes", _xlpm.error_messages))
)</f>
        <v/>
      </c>
    </row>
    <row r="939" spans="1:12">
      <c r="A939" s="94"/>
      <c r="B939" s="95"/>
      <c r="C939" s="95"/>
      <c r="D939" s="94"/>
      <c r="E939" s="94"/>
      <c r="F939" s="96"/>
      <c r="G939" s="94"/>
      <c r="H939" s="96"/>
      <c r="I939" s="96"/>
      <c r="J939" s="92"/>
      <c r="K939" s="97"/>
      <c r="L939" s="99" t="str">
        <f ca="1">_xlfn.LET(
    _xlpm.res_no, J939,
    _xlpm.record_sheet, 'MatRes Record'!J:M,
    _xlpm.AllCellsFilled, COUNTA(A939:K939) = 11,
    _xlpm.QtyIsInt, AND(ISNUMBER(G939), G939=INT(G939)),
    _xlpm.ReqDateIsValid, AND(ISNUMBER(H939), H939&gt;=TODAY()),
    _xlpm.EmailIsValid, RIGHT(I939,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IF(A939="", "", IF(_xlpm.error_messages = "", "Yes", _xlpm.error_messages))
)</f>
        <v/>
      </c>
    </row>
    <row r="940" spans="1:12">
      <c r="A940" s="94"/>
      <c r="B940" s="95"/>
      <c r="C940" s="95"/>
      <c r="D940" s="94"/>
      <c r="E940" s="94"/>
      <c r="F940" s="96"/>
      <c r="G940" s="94"/>
      <c r="H940" s="96"/>
      <c r="I940" s="96"/>
      <c r="J940" s="92"/>
      <c r="K940" s="97"/>
      <c r="L940" s="99" t="str">
        <f ca="1">_xlfn.LET(
    _xlpm.res_no, J940,
    _xlpm.record_sheet, 'MatRes Record'!J:M,
    _xlpm.AllCellsFilled, COUNTA(A940:K940) = 11,
    _xlpm.QtyIsInt, AND(ISNUMBER(G940), G940=INT(G940)),
    _xlpm.ReqDateIsValid, AND(ISNUMBER(H940), H940&gt;=TODAY()),
    _xlpm.EmailIsValid, RIGHT(I940,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IF(A940="", "", IF(_xlpm.error_messages = "", "Yes", _xlpm.error_messages))
)</f>
        <v/>
      </c>
    </row>
    <row r="941" spans="1:12">
      <c r="A941" s="94"/>
      <c r="B941" s="95"/>
      <c r="C941" s="95"/>
      <c r="D941" s="94"/>
      <c r="E941" s="94"/>
      <c r="F941" s="96"/>
      <c r="G941" s="94"/>
      <c r="H941" s="96"/>
      <c r="I941" s="96"/>
      <c r="J941" s="92"/>
      <c r="K941" s="97"/>
      <c r="L941" s="99" t="str">
        <f ca="1">_xlfn.LET(
    _xlpm.res_no, J941,
    _xlpm.record_sheet, 'MatRes Record'!J:M,
    _xlpm.AllCellsFilled, COUNTA(A941:K941) = 11,
    _xlpm.QtyIsInt, AND(ISNUMBER(G941), G941=INT(G941)),
    _xlpm.ReqDateIsValid, AND(ISNUMBER(H941), H941&gt;=TODAY()),
    _xlpm.EmailIsValid, RIGHT(I941,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IF(A941="", "", IF(_xlpm.error_messages = "", "Yes", _xlpm.error_messages))
)</f>
        <v/>
      </c>
    </row>
    <row r="942" spans="1:12">
      <c r="A942" s="94"/>
      <c r="B942" s="95"/>
      <c r="C942" s="95"/>
      <c r="D942" s="94"/>
      <c r="E942" s="94"/>
      <c r="F942" s="96"/>
      <c r="G942" s="94"/>
      <c r="H942" s="96"/>
      <c r="I942" s="96"/>
      <c r="J942" s="92"/>
      <c r="K942" s="97"/>
      <c r="L942" s="99" t="str">
        <f ca="1">_xlfn.LET(
    _xlpm.res_no, J942,
    _xlpm.record_sheet, 'MatRes Record'!J:M,
    _xlpm.AllCellsFilled, COUNTA(A942:K942) = 11,
    _xlpm.QtyIsInt, AND(ISNUMBER(G942), G942=INT(G942)),
    _xlpm.ReqDateIsValid, AND(ISNUMBER(H942), H942&gt;=TODAY()),
    _xlpm.EmailIsValid, RIGHT(I942,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IF(A942="", "", IF(_xlpm.error_messages = "", "Yes", _xlpm.error_messages))
)</f>
        <v/>
      </c>
    </row>
    <row r="943" spans="1:12">
      <c r="A943" s="94"/>
      <c r="B943" s="95"/>
      <c r="C943" s="95"/>
      <c r="D943" s="94"/>
      <c r="E943" s="94"/>
      <c r="F943" s="96"/>
      <c r="G943" s="94"/>
      <c r="H943" s="96"/>
      <c r="I943" s="96"/>
      <c r="J943" s="92"/>
      <c r="K943" s="97"/>
      <c r="L943" s="99" t="str">
        <f ca="1">_xlfn.LET(
    _xlpm.res_no, J943,
    _xlpm.record_sheet, 'MatRes Record'!J:M,
    _xlpm.AllCellsFilled, COUNTA(A943:K943) = 11,
    _xlpm.QtyIsInt, AND(ISNUMBER(G943), G943=INT(G943)),
    _xlpm.ReqDateIsValid, AND(ISNUMBER(H943), H943&gt;=TODAY()),
    _xlpm.EmailIsValid, RIGHT(I943,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IF(A943="", "", IF(_xlpm.error_messages = "", "Yes", _xlpm.error_messages))
)</f>
        <v/>
      </c>
    </row>
    <row r="944" spans="1:12">
      <c r="A944" s="94"/>
      <c r="B944" s="95"/>
      <c r="C944" s="95"/>
      <c r="D944" s="94"/>
      <c r="E944" s="94"/>
      <c r="F944" s="96"/>
      <c r="G944" s="94"/>
      <c r="H944" s="96"/>
      <c r="I944" s="96"/>
      <c r="J944" s="92"/>
      <c r="K944" s="97"/>
      <c r="L944" s="99" t="str">
        <f ca="1">_xlfn.LET(
    _xlpm.res_no, J944,
    _xlpm.record_sheet, 'MatRes Record'!J:M,
    _xlpm.AllCellsFilled, COUNTA(A944:K944) = 11,
    _xlpm.QtyIsInt, AND(ISNUMBER(G944), G944=INT(G944)),
    _xlpm.ReqDateIsValid, AND(ISNUMBER(H944), H944&gt;=TODAY()),
    _xlpm.EmailIsValid, RIGHT(I944,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IF(A944="", "", IF(_xlpm.error_messages = "", "Yes", _xlpm.error_messages))
)</f>
        <v/>
      </c>
    </row>
    <row r="945" spans="1:12">
      <c r="A945" s="94"/>
      <c r="B945" s="95"/>
      <c r="C945" s="95"/>
      <c r="D945" s="94"/>
      <c r="E945" s="94"/>
      <c r="F945" s="96"/>
      <c r="G945" s="94"/>
      <c r="H945" s="96"/>
      <c r="I945" s="96"/>
      <c r="J945" s="92"/>
      <c r="K945" s="97"/>
      <c r="L945" s="99" t="str">
        <f ca="1">_xlfn.LET(
    _xlpm.res_no, J945,
    _xlpm.record_sheet, 'MatRes Record'!J:M,
    _xlpm.AllCellsFilled, COUNTA(A945:K945) = 11,
    _xlpm.QtyIsInt, AND(ISNUMBER(G945), G945=INT(G945)),
    _xlpm.ReqDateIsValid, AND(ISNUMBER(H945), H945&gt;=TODAY()),
    _xlpm.EmailIsValid, RIGHT(I945,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IF(A945="", "", IF(_xlpm.error_messages = "", "Yes", _xlpm.error_messages))
)</f>
        <v/>
      </c>
    </row>
    <row r="946" spans="1:12">
      <c r="A946" s="94"/>
      <c r="B946" s="95"/>
      <c r="C946" s="95"/>
      <c r="D946" s="94"/>
      <c r="E946" s="94"/>
      <c r="F946" s="96"/>
      <c r="G946" s="94"/>
      <c r="H946" s="96"/>
      <c r="I946" s="96"/>
      <c r="J946" s="92"/>
      <c r="K946" s="97"/>
      <c r="L946" s="99" t="str">
        <f ca="1">_xlfn.LET(
    _xlpm.res_no, J946,
    _xlpm.record_sheet, 'MatRes Record'!J:M,
    _xlpm.AllCellsFilled, COUNTA(A946:K946) = 11,
    _xlpm.QtyIsInt, AND(ISNUMBER(G946), G946=INT(G946)),
    _xlpm.ReqDateIsValid, AND(ISNUMBER(H946), H946&gt;=TODAY()),
    _xlpm.EmailIsValid, RIGHT(I946,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IF(A946="", "", IF(_xlpm.error_messages = "", "Yes", _xlpm.error_messages))
)</f>
        <v/>
      </c>
    </row>
    <row r="947" spans="1:12">
      <c r="A947" s="94"/>
      <c r="B947" s="95"/>
      <c r="C947" s="95"/>
      <c r="D947" s="94"/>
      <c r="E947" s="94"/>
      <c r="F947" s="96"/>
      <c r="G947" s="94"/>
      <c r="H947" s="96"/>
      <c r="I947" s="96"/>
      <c r="J947" s="92"/>
      <c r="K947" s="97"/>
      <c r="L947" s="99" t="str">
        <f ca="1">_xlfn.LET(
    _xlpm.res_no, J947,
    _xlpm.record_sheet, 'MatRes Record'!J:M,
    _xlpm.AllCellsFilled, COUNTA(A947:K947) = 11,
    _xlpm.QtyIsInt, AND(ISNUMBER(G947), G947=INT(G947)),
    _xlpm.ReqDateIsValid, AND(ISNUMBER(H947), H947&gt;=TODAY()),
    _xlpm.EmailIsValid, RIGHT(I947,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IF(A947="", "", IF(_xlpm.error_messages = "", "Yes", _xlpm.error_messages))
)</f>
        <v/>
      </c>
    </row>
    <row r="948" spans="1:12">
      <c r="A948" s="94"/>
      <c r="B948" s="95"/>
      <c r="C948" s="95"/>
      <c r="D948" s="94"/>
      <c r="E948" s="94"/>
      <c r="F948" s="96"/>
      <c r="G948" s="94"/>
      <c r="H948" s="96"/>
      <c r="I948" s="96"/>
      <c r="J948" s="92"/>
      <c r="K948" s="97"/>
      <c r="L948" s="99" t="str">
        <f ca="1">_xlfn.LET(
    _xlpm.res_no, J948,
    _xlpm.record_sheet, 'MatRes Record'!J:M,
    _xlpm.AllCellsFilled, COUNTA(A948:K948) = 11,
    _xlpm.QtyIsInt, AND(ISNUMBER(G948), G948=INT(G948)),
    _xlpm.ReqDateIsValid, AND(ISNUMBER(H948), H948&gt;=TODAY()),
    _xlpm.EmailIsValid, RIGHT(I948,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IF(A948="", "", IF(_xlpm.error_messages = "", "Yes", _xlpm.error_messages))
)</f>
        <v/>
      </c>
    </row>
    <row r="949" spans="1:12">
      <c r="A949" s="94"/>
      <c r="B949" s="95"/>
      <c r="C949" s="95"/>
      <c r="D949" s="94"/>
      <c r="E949" s="94"/>
      <c r="F949" s="96"/>
      <c r="G949" s="94"/>
      <c r="H949" s="96"/>
      <c r="I949" s="96"/>
      <c r="J949" s="92"/>
      <c r="K949" s="97"/>
      <c r="L949" s="99" t="str">
        <f ca="1">_xlfn.LET(
    _xlpm.res_no, J949,
    _xlpm.record_sheet, 'MatRes Record'!J:M,
    _xlpm.AllCellsFilled, COUNTA(A949:K949) = 11,
    _xlpm.QtyIsInt, AND(ISNUMBER(G949), G949=INT(G949)),
    _xlpm.ReqDateIsValid, AND(ISNUMBER(H949), H949&gt;=TODAY()),
    _xlpm.EmailIsValid, RIGHT(I949,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IF(A949="", "", IF(_xlpm.error_messages = "", "Yes", _xlpm.error_messages))
)</f>
        <v/>
      </c>
    </row>
    <row r="950" spans="1:12">
      <c r="A950" s="94"/>
      <c r="B950" s="95"/>
      <c r="C950" s="95"/>
      <c r="D950" s="94"/>
      <c r="E950" s="94"/>
      <c r="F950" s="96"/>
      <c r="G950" s="94"/>
      <c r="H950" s="96"/>
      <c r="I950" s="96"/>
      <c r="J950" s="92"/>
      <c r="K950" s="97"/>
      <c r="L950" s="99" t="str">
        <f ca="1">_xlfn.LET(
    _xlpm.res_no, J950,
    _xlpm.record_sheet, 'MatRes Record'!J:M,
    _xlpm.AllCellsFilled, COUNTA(A950:K950) = 11,
    _xlpm.QtyIsInt, AND(ISNUMBER(G950), G950=INT(G950)),
    _xlpm.ReqDateIsValid, AND(ISNUMBER(H950), H950&gt;=TODAY()),
    _xlpm.EmailIsValid, RIGHT(I950,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IF(A950="", "", IF(_xlpm.error_messages = "", "Yes", _xlpm.error_messages))
)</f>
        <v/>
      </c>
    </row>
    <row r="951" spans="1:12">
      <c r="A951" s="94"/>
      <c r="B951" s="95"/>
      <c r="C951" s="95"/>
      <c r="D951" s="94"/>
      <c r="E951" s="94"/>
      <c r="F951" s="96"/>
      <c r="G951" s="94"/>
      <c r="H951" s="96"/>
      <c r="I951" s="96"/>
      <c r="J951" s="92"/>
      <c r="K951" s="97"/>
      <c r="L951" s="99" t="str">
        <f ca="1">_xlfn.LET(
    _xlpm.res_no, J951,
    _xlpm.record_sheet, 'MatRes Record'!J:M,
    _xlpm.AllCellsFilled, COUNTA(A951:K951) = 11,
    _xlpm.QtyIsInt, AND(ISNUMBER(G951), G951=INT(G951)),
    _xlpm.ReqDateIsValid, AND(ISNUMBER(H951), H951&gt;=TODAY()),
    _xlpm.EmailIsValid, RIGHT(I951,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IF(A951="", "", IF(_xlpm.error_messages = "", "Yes", _xlpm.error_messages))
)</f>
        <v/>
      </c>
    </row>
    <row r="952" spans="1:12">
      <c r="A952" s="94"/>
      <c r="B952" s="95"/>
      <c r="C952" s="95"/>
      <c r="D952" s="94"/>
      <c r="E952" s="94"/>
      <c r="F952" s="96"/>
      <c r="G952" s="94"/>
      <c r="H952" s="96"/>
      <c r="I952" s="96"/>
      <c r="J952" s="92"/>
      <c r="K952" s="97"/>
      <c r="L952" s="99" t="str">
        <f ca="1">_xlfn.LET(
    _xlpm.res_no, J952,
    _xlpm.record_sheet, 'MatRes Record'!J:M,
    _xlpm.AllCellsFilled, COUNTA(A952:K952) = 11,
    _xlpm.QtyIsInt, AND(ISNUMBER(G952), G952=INT(G952)),
    _xlpm.ReqDateIsValid, AND(ISNUMBER(H952), H952&gt;=TODAY()),
    _xlpm.EmailIsValid, RIGHT(I952,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IF(A952="", "", IF(_xlpm.error_messages = "", "Yes", _xlpm.error_messages))
)</f>
        <v/>
      </c>
    </row>
    <row r="953" spans="1:12">
      <c r="A953" s="94"/>
      <c r="B953" s="95"/>
      <c r="C953" s="95"/>
      <c r="D953" s="94"/>
      <c r="E953" s="94"/>
      <c r="F953" s="96"/>
      <c r="G953" s="94"/>
      <c r="H953" s="96"/>
      <c r="I953" s="96"/>
      <c r="J953" s="92"/>
      <c r="K953" s="97"/>
      <c r="L953" s="99" t="str">
        <f ca="1">_xlfn.LET(
    _xlpm.res_no, J953,
    _xlpm.record_sheet, 'MatRes Record'!J:M,
    _xlpm.AllCellsFilled, COUNTA(A953:K953) = 11,
    _xlpm.QtyIsInt, AND(ISNUMBER(G953), G953=INT(G953)),
    _xlpm.ReqDateIsValid, AND(ISNUMBER(H953), H953&gt;=TODAY()),
    _xlpm.EmailIsValid, RIGHT(I953,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IF(A953="", "", IF(_xlpm.error_messages = "", "Yes", _xlpm.error_messages))
)</f>
        <v/>
      </c>
    </row>
    <row r="954" spans="1:12">
      <c r="A954" s="94"/>
      <c r="B954" s="95"/>
      <c r="C954" s="95"/>
      <c r="D954" s="94"/>
      <c r="E954" s="94"/>
      <c r="F954" s="96"/>
      <c r="G954" s="94"/>
      <c r="H954" s="96"/>
      <c r="I954" s="96"/>
      <c r="J954" s="92"/>
      <c r="K954" s="97"/>
      <c r="L954" s="99" t="str">
        <f ca="1">_xlfn.LET(
    _xlpm.res_no, J954,
    _xlpm.record_sheet, 'MatRes Record'!J:M,
    _xlpm.AllCellsFilled, COUNTA(A954:K954) = 11,
    _xlpm.QtyIsInt, AND(ISNUMBER(G954), G954=INT(G954)),
    _xlpm.ReqDateIsValid, AND(ISNUMBER(H954), H954&gt;=TODAY()),
    _xlpm.EmailIsValid, RIGHT(I954,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IF(A954="", "", IF(_xlpm.error_messages = "", "Yes", _xlpm.error_messages))
)</f>
        <v/>
      </c>
    </row>
    <row r="955" spans="1:12">
      <c r="A955" s="94"/>
      <c r="B955" s="95"/>
      <c r="C955" s="95"/>
      <c r="D955" s="94"/>
      <c r="E955" s="94"/>
      <c r="F955" s="96"/>
      <c r="G955" s="94"/>
      <c r="H955" s="96"/>
      <c r="I955" s="96"/>
      <c r="J955" s="92"/>
      <c r="K955" s="97"/>
      <c r="L955" s="99" t="str">
        <f ca="1">_xlfn.LET(
    _xlpm.res_no, J955,
    _xlpm.record_sheet, 'MatRes Record'!J:M,
    _xlpm.AllCellsFilled, COUNTA(A955:K955) = 11,
    _xlpm.QtyIsInt, AND(ISNUMBER(G955), G955=INT(G955)),
    _xlpm.ReqDateIsValid, AND(ISNUMBER(H955), H955&gt;=TODAY()),
    _xlpm.EmailIsValid, RIGHT(I955,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IF(A955="", "", IF(_xlpm.error_messages = "", "Yes", _xlpm.error_messages))
)</f>
        <v/>
      </c>
    </row>
    <row r="956" spans="1:12">
      <c r="A956" s="94"/>
      <c r="B956" s="95"/>
      <c r="C956" s="95"/>
      <c r="D956" s="94"/>
      <c r="E956" s="94"/>
      <c r="F956" s="96"/>
      <c r="G956" s="94"/>
      <c r="H956" s="96"/>
      <c r="I956" s="96"/>
      <c r="J956" s="92"/>
      <c r="K956" s="97"/>
      <c r="L956" s="99" t="str">
        <f ca="1">_xlfn.LET(
    _xlpm.res_no, J956,
    _xlpm.record_sheet, 'MatRes Record'!J:M,
    _xlpm.AllCellsFilled, COUNTA(A956:K956) = 11,
    _xlpm.QtyIsInt, AND(ISNUMBER(G956), G956=INT(G956)),
    _xlpm.ReqDateIsValid, AND(ISNUMBER(H956), H956&gt;=TODAY()),
    _xlpm.EmailIsValid, RIGHT(I956,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IF(A956="", "", IF(_xlpm.error_messages = "", "Yes", _xlpm.error_messages))
)</f>
        <v/>
      </c>
    </row>
    <row r="957" spans="1:12">
      <c r="A957" s="94"/>
      <c r="B957" s="95"/>
      <c r="C957" s="95"/>
      <c r="D957" s="94"/>
      <c r="E957" s="94"/>
      <c r="F957" s="96"/>
      <c r="G957" s="94"/>
      <c r="H957" s="96"/>
      <c r="I957" s="96"/>
      <c r="J957" s="92"/>
      <c r="K957" s="97"/>
      <c r="L957" s="99" t="str">
        <f ca="1">_xlfn.LET(
    _xlpm.res_no, J957,
    _xlpm.record_sheet, 'MatRes Record'!J:M,
    _xlpm.AllCellsFilled, COUNTA(A957:K957) = 11,
    _xlpm.QtyIsInt, AND(ISNUMBER(G957), G957=INT(G957)),
    _xlpm.ReqDateIsValid, AND(ISNUMBER(H957), H957&gt;=TODAY()),
    _xlpm.EmailIsValid, RIGHT(I957,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IF(A957="", "", IF(_xlpm.error_messages = "", "Yes", _xlpm.error_messages))
)</f>
        <v/>
      </c>
    </row>
    <row r="958" spans="1:12">
      <c r="A958" s="94"/>
      <c r="B958" s="95"/>
      <c r="C958" s="95"/>
      <c r="D958" s="94"/>
      <c r="E958" s="94"/>
      <c r="F958" s="96"/>
      <c r="G958" s="94"/>
      <c r="H958" s="96"/>
      <c r="I958" s="96"/>
      <c r="J958" s="92"/>
      <c r="K958" s="97"/>
      <c r="L958" s="99" t="str">
        <f ca="1">_xlfn.LET(
    _xlpm.res_no, J958,
    _xlpm.record_sheet, 'MatRes Record'!J:M,
    _xlpm.AllCellsFilled, COUNTA(A958:K958) = 11,
    _xlpm.QtyIsInt, AND(ISNUMBER(G958), G958=INT(G958)),
    _xlpm.ReqDateIsValid, AND(ISNUMBER(H958), H958&gt;=TODAY()),
    _xlpm.EmailIsValid, RIGHT(I958,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IF(A958="", "", IF(_xlpm.error_messages = "", "Yes", _xlpm.error_messages))
)</f>
        <v/>
      </c>
    </row>
    <row r="959" spans="1:12">
      <c r="A959" s="94"/>
      <c r="B959" s="95"/>
      <c r="C959" s="95"/>
      <c r="D959" s="94"/>
      <c r="E959" s="94"/>
      <c r="F959" s="96"/>
      <c r="G959" s="94"/>
      <c r="H959" s="96"/>
      <c r="I959" s="96"/>
      <c r="J959" s="92"/>
      <c r="K959" s="97"/>
      <c r="L959" s="99" t="str">
        <f ca="1">_xlfn.LET(
    _xlpm.res_no, J959,
    _xlpm.record_sheet, 'MatRes Record'!J:M,
    _xlpm.AllCellsFilled, COUNTA(A959:K959) = 11,
    _xlpm.QtyIsInt, AND(ISNUMBER(G959), G959=INT(G959)),
    _xlpm.ReqDateIsValid, AND(ISNUMBER(H959), H959&gt;=TODAY()),
    _xlpm.EmailIsValid, RIGHT(I959,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IF(A959="", "", IF(_xlpm.error_messages = "", "Yes", _xlpm.error_messages))
)</f>
        <v/>
      </c>
    </row>
    <row r="960" spans="1:12">
      <c r="A960" s="94"/>
      <c r="B960" s="95"/>
      <c r="C960" s="95"/>
      <c r="D960" s="94"/>
      <c r="E960" s="94"/>
      <c r="F960" s="96"/>
      <c r="G960" s="94"/>
      <c r="H960" s="96"/>
      <c r="I960" s="96"/>
      <c r="J960" s="92"/>
      <c r="K960" s="97"/>
      <c r="L960" s="99" t="str">
        <f ca="1">_xlfn.LET(
    _xlpm.res_no, J960,
    _xlpm.record_sheet, 'MatRes Record'!J:M,
    _xlpm.AllCellsFilled, COUNTA(A960:K960) = 11,
    _xlpm.QtyIsInt, AND(ISNUMBER(G960), G960=INT(G960)),
    _xlpm.ReqDateIsValid, AND(ISNUMBER(H960), H960&gt;=TODAY()),
    _xlpm.EmailIsValid, RIGHT(I960,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IF(A960="", "", IF(_xlpm.error_messages = "", "Yes", _xlpm.error_messages))
)</f>
        <v/>
      </c>
    </row>
    <row r="961" spans="1:12">
      <c r="A961" s="94"/>
      <c r="B961" s="95"/>
      <c r="C961" s="95"/>
      <c r="D961" s="94"/>
      <c r="E961" s="94"/>
      <c r="F961" s="96"/>
      <c r="G961" s="94"/>
      <c r="H961" s="96"/>
      <c r="I961" s="96"/>
      <c r="J961" s="92"/>
      <c r="K961" s="97"/>
      <c r="L961" s="99" t="str">
        <f ca="1">_xlfn.LET(
    _xlpm.res_no, J961,
    _xlpm.record_sheet, 'MatRes Record'!J:M,
    _xlpm.AllCellsFilled, COUNTA(A961:K961) = 11,
    _xlpm.QtyIsInt, AND(ISNUMBER(G961), G961=INT(G961)),
    _xlpm.ReqDateIsValid, AND(ISNUMBER(H961), H961&gt;=TODAY()),
    _xlpm.EmailIsValid, RIGHT(I961,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IF(A961="", "", IF(_xlpm.error_messages = "", "Yes", _xlpm.error_messages))
)</f>
        <v/>
      </c>
    </row>
    <row r="962" spans="1:12">
      <c r="A962" s="94"/>
      <c r="B962" s="95"/>
      <c r="C962" s="95"/>
      <c r="D962" s="94"/>
      <c r="E962" s="94"/>
      <c r="F962" s="96"/>
      <c r="G962" s="94"/>
      <c r="H962" s="96"/>
      <c r="I962" s="96"/>
      <c r="J962" s="92"/>
      <c r="K962" s="97"/>
      <c r="L962" s="99" t="str">
        <f ca="1">_xlfn.LET(
    _xlpm.res_no, J962,
    _xlpm.record_sheet, 'MatRes Record'!J:M,
    _xlpm.AllCellsFilled, COUNTA(A962:K962) = 11,
    _xlpm.QtyIsInt, AND(ISNUMBER(G962), G962=INT(G962)),
    _xlpm.ReqDateIsValid, AND(ISNUMBER(H962), H962&gt;=TODAY()),
    _xlpm.EmailIsValid, RIGHT(I962,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IF(A962="", "", IF(_xlpm.error_messages = "", "Yes", _xlpm.error_messages))
)</f>
        <v/>
      </c>
    </row>
    <row r="963" spans="1:12">
      <c r="A963" s="94"/>
      <c r="B963" s="95"/>
      <c r="C963" s="95"/>
      <c r="D963" s="94"/>
      <c r="E963" s="94"/>
      <c r="F963" s="96"/>
      <c r="G963" s="94"/>
      <c r="H963" s="96"/>
      <c r="I963" s="96"/>
      <c r="J963" s="92"/>
      <c r="K963" s="97"/>
      <c r="L963" s="99" t="str">
        <f ca="1">_xlfn.LET(
    _xlpm.res_no, J963,
    _xlpm.record_sheet, 'MatRes Record'!J:M,
    _xlpm.AllCellsFilled, COUNTA(A963:K963) = 11,
    _xlpm.QtyIsInt, AND(ISNUMBER(G963), G963=INT(G963)),
    _xlpm.ReqDateIsValid, AND(ISNUMBER(H963), H963&gt;=TODAY()),
    _xlpm.EmailIsValid, RIGHT(I963,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IF(A963="", "", IF(_xlpm.error_messages = "", "Yes", _xlpm.error_messages))
)</f>
        <v/>
      </c>
    </row>
    <row r="964" spans="1:12">
      <c r="A964" s="94"/>
      <c r="B964" s="95"/>
      <c r="C964" s="95"/>
      <c r="D964" s="94"/>
      <c r="E964" s="94"/>
      <c r="F964" s="96"/>
      <c r="G964" s="94"/>
      <c r="H964" s="96"/>
      <c r="I964" s="96"/>
      <c r="J964" s="92"/>
      <c r="K964" s="97"/>
      <c r="L964" s="99" t="str">
        <f ca="1">_xlfn.LET(
    _xlpm.res_no, J964,
    _xlpm.record_sheet, 'MatRes Record'!J:M,
    _xlpm.AllCellsFilled, COUNTA(A964:K964) = 11,
    _xlpm.QtyIsInt, AND(ISNUMBER(G964), G964=INT(G964)),
    _xlpm.ReqDateIsValid, AND(ISNUMBER(H964), H964&gt;=TODAY()),
    _xlpm.EmailIsValid, RIGHT(I964,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IF(A964="", "", IF(_xlpm.error_messages = "", "Yes", _xlpm.error_messages))
)</f>
        <v/>
      </c>
    </row>
    <row r="965" spans="1:12">
      <c r="A965" s="94"/>
      <c r="B965" s="95"/>
      <c r="C965" s="95"/>
      <c r="D965" s="94"/>
      <c r="E965" s="94"/>
      <c r="F965" s="96"/>
      <c r="G965" s="94"/>
      <c r="H965" s="96"/>
      <c r="I965" s="96"/>
      <c r="J965" s="92"/>
      <c r="K965" s="97"/>
      <c r="L965" s="99" t="str">
        <f ca="1">_xlfn.LET(
    _xlpm.res_no, J965,
    _xlpm.record_sheet, 'MatRes Record'!J:M,
    _xlpm.AllCellsFilled, COUNTA(A965:K965) = 11,
    _xlpm.QtyIsInt, AND(ISNUMBER(G965), G965=INT(G965)),
    _xlpm.ReqDateIsValid, AND(ISNUMBER(H965), H965&gt;=TODAY()),
    _xlpm.EmailIsValid, RIGHT(I965,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IF(A965="", "", IF(_xlpm.error_messages = "", "Yes", _xlpm.error_messages))
)</f>
        <v/>
      </c>
    </row>
    <row r="966" spans="1:12">
      <c r="A966" s="94"/>
      <c r="B966" s="95"/>
      <c r="C966" s="95"/>
      <c r="D966" s="94"/>
      <c r="E966" s="94"/>
      <c r="F966" s="96"/>
      <c r="G966" s="94"/>
      <c r="H966" s="96"/>
      <c r="I966" s="96"/>
      <c r="J966" s="92"/>
      <c r="K966" s="97"/>
      <c r="L966" s="99" t="str">
        <f ca="1">_xlfn.LET(
    _xlpm.res_no, J966,
    _xlpm.record_sheet, 'MatRes Record'!J:M,
    _xlpm.AllCellsFilled, COUNTA(A966:K966) = 11,
    _xlpm.QtyIsInt, AND(ISNUMBER(G966), G966=INT(G966)),
    _xlpm.ReqDateIsValid, AND(ISNUMBER(H966), H966&gt;=TODAY()),
    _xlpm.EmailIsValid, RIGHT(I966,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IF(A966="", "", IF(_xlpm.error_messages = "", "Yes", _xlpm.error_messages))
)</f>
        <v/>
      </c>
    </row>
    <row r="967" spans="1:12">
      <c r="A967" s="94"/>
      <c r="B967" s="95"/>
      <c r="C967" s="95"/>
      <c r="D967" s="94"/>
      <c r="E967" s="94"/>
      <c r="F967" s="96"/>
      <c r="G967" s="94"/>
      <c r="H967" s="96"/>
      <c r="I967" s="96"/>
      <c r="J967" s="92"/>
      <c r="K967" s="97"/>
      <c r="L967" s="99" t="str">
        <f ca="1">_xlfn.LET(
    _xlpm.res_no, J967,
    _xlpm.record_sheet, 'MatRes Record'!J:M,
    _xlpm.AllCellsFilled, COUNTA(A967:K967) = 11,
    _xlpm.QtyIsInt, AND(ISNUMBER(G967), G967=INT(G967)),
    _xlpm.ReqDateIsValid, AND(ISNUMBER(H967), H967&gt;=TODAY()),
    _xlpm.EmailIsValid, RIGHT(I967,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IF(A967="", "", IF(_xlpm.error_messages = "", "Yes", _xlpm.error_messages))
)</f>
        <v/>
      </c>
    </row>
    <row r="968" spans="1:12">
      <c r="A968" s="94"/>
      <c r="B968" s="95"/>
      <c r="C968" s="95"/>
      <c r="D968" s="94"/>
      <c r="E968" s="94"/>
      <c r="F968" s="96"/>
      <c r="G968" s="94"/>
      <c r="H968" s="96"/>
      <c r="I968" s="96"/>
      <c r="J968" s="92"/>
      <c r="K968" s="97"/>
      <c r="L968" s="99" t="str">
        <f ca="1">_xlfn.LET(
    _xlpm.res_no, J968,
    _xlpm.record_sheet, 'MatRes Record'!J:M,
    _xlpm.AllCellsFilled, COUNTA(A968:K968) = 11,
    _xlpm.QtyIsInt, AND(ISNUMBER(G968), G968=INT(G968)),
    _xlpm.ReqDateIsValid, AND(ISNUMBER(H968), H968&gt;=TODAY()),
    _xlpm.EmailIsValid, RIGHT(I968,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IF(A968="", "", IF(_xlpm.error_messages = "", "Yes", _xlpm.error_messages))
)</f>
        <v/>
      </c>
    </row>
    <row r="969" spans="1:12">
      <c r="A969" s="94"/>
      <c r="B969" s="95"/>
      <c r="C969" s="95"/>
      <c r="D969" s="94"/>
      <c r="E969" s="94"/>
      <c r="F969" s="96"/>
      <c r="G969" s="94"/>
      <c r="H969" s="96"/>
      <c r="I969" s="96"/>
      <c r="J969" s="92"/>
      <c r="K969" s="97"/>
      <c r="L969" s="99" t="str">
        <f ca="1">_xlfn.LET(
    _xlpm.res_no, J969,
    _xlpm.record_sheet, 'MatRes Record'!J:M,
    _xlpm.AllCellsFilled, COUNTA(A969:K969) = 11,
    _xlpm.QtyIsInt, AND(ISNUMBER(G969), G969=INT(G969)),
    _xlpm.ReqDateIsValid, AND(ISNUMBER(H969), H969&gt;=TODAY()),
    _xlpm.EmailIsValid, RIGHT(I969,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IF(A969="", "", IF(_xlpm.error_messages = "", "Yes", _xlpm.error_messages))
)</f>
        <v/>
      </c>
    </row>
    <row r="970" spans="1:12">
      <c r="A970" s="94"/>
      <c r="B970" s="95"/>
      <c r="C970" s="95"/>
      <c r="D970" s="94"/>
      <c r="E970" s="94"/>
      <c r="F970" s="96"/>
      <c r="G970" s="94"/>
      <c r="H970" s="96"/>
      <c r="I970" s="96"/>
      <c r="J970" s="92"/>
      <c r="K970" s="97"/>
      <c r="L970" s="99" t="str">
        <f ca="1">_xlfn.LET(
    _xlpm.res_no, J970,
    _xlpm.record_sheet, 'MatRes Record'!J:M,
    _xlpm.AllCellsFilled, COUNTA(A970:K970) = 11,
    _xlpm.QtyIsInt, AND(ISNUMBER(G970), G970=INT(G970)),
    _xlpm.ReqDateIsValid, AND(ISNUMBER(H970), H970&gt;=TODAY()),
    _xlpm.EmailIsValid, RIGHT(I970,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IF(A970="", "", IF(_xlpm.error_messages = "", "Yes", _xlpm.error_messages))
)</f>
        <v/>
      </c>
    </row>
    <row r="971" spans="1:12">
      <c r="A971" s="94"/>
      <c r="B971" s="95"/>
      <c r="C971" s="95"/>
      <c r="D971" s="94"/>
      <c r="E971" s="94"/>
      <c r="F971" s="96"/>
      <c r="G971" s="94"/>
      <c r="H971" s="96"/>
      <c r="I971" s="96"/>
      <c r="J971" s="92"/>
      <c r="K971" s="97"/>
      <c r="L971" s="99" t="str">
        <f ca="1">_xlfn.LET(
    _xlpm.res_no, J971,
    _xlpm.record_sheet, 'MatRes Record'!J:M,
    _xlpm.AllCellsFilled, COUNTA(A971:K971) = 11,
    _xlpm.QtyIsInt, AND(ISNUMBER(G971), G971=INT(G971)),
    _xlpm.ReqDateIsValid, AND(ISNUMBER(H971), H971&gt;=TODAY()),
    _xlpm.EmailIsValid, RIGHT(I971,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IF(A971="", "", IF(_xlpm.error_messages = "", "Yes", _xlpm.error_messages))
)</f>
        <v/>
      </c>
    </row>
    <row r="972" spans="1:12">
      <c r="A972" s="94"/>
      <c r="B972" s="95"/>
      <c r="C972" s="95"/>
      <c r="D972" s="94"/>
      <c r="E972" s="94"/>
      <c r="F972" s="96"/>
      <c r="G972" s="94"/>
      <c r="H972" s="96"/>
      <c r="I972" s="96"/>
      <c r="J972" s="92"/>
      <c r="K972" s="97"/>
      <c r="L972" s="99" t="str">
        <f ca="1">_xlfn.LET(
    _xlpm.res_no, J972,
    _xlpm.record_sheet, 'MatRes Record'!J:M,
    _xlpm.AllCellsFilled, COUNTA(A972:K972) = 11,
    _xlpm.QtyIsInt, AND(ISNUMBER(G972), G972=INT(G972)),
    _xlpm.ReqDateIsValid, AND(ISNUMBER(H972), H972&gt;=TODAY()),
    _xlpm.EmailIsValid, RIGHT(I972,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IF(A972="", "", IF(_xlpm.error_messages = "", "Yes", _xlpm.error_messages))
)</f>
        <v/>
      </c>
    </row>
    <row r="973" spans="1:12">
      <c r="A973" s="94"/>
      <c r="B973" s="95"/>
      <c r="C973" s="95"/>
      <c r="D973" s="94"/>
      <c r="E973" s="94"/>
      <c r="F973" s="96"/>
      <c r="G973" s="94"/>
      <c r="H973" s="96"/>
      <c r="I973" s="96"/>
      <c r="J973" s="92"/>
      <c r="K973" s="97"/>
      <c r="L973" s="99" t="str">
        <f ca="1">_xlfn.LET(
    _xlpm.res_no, J973,
    _xlpm.record_sheet, 'MatRes Record'!J:M,
    _xlpm.AllCellsFilled, COUNTA(A973:K973) = 11,
    _xlpm.QtyIsInt, AND(ISNUMBER(G973), G973=INT(G973)),
    _xlpm.ReqDateIsValid, AND(ISNUMBER(H973), H973&gt;=TODAY()),
    _xlpm.EmailIsValid, RIGHT(I973,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IF(A973="", "", IF(_xlpm.error_messages = "", "Yes", _xlpm.error_messages))
)</f>
        <v/>
      </c>
    </row>
    <row r="974" spans="1:12">
      <c r="A974" s="94"/>
      <c r="B974" s="95"/>
      <c r="C974" s="95"/>
      <c r="D974" s="94"/>
      <c r="E974" s="94"/>
      <c r="F974" s="96"/>
      <c r="G974" s="94"/>
      <c r="H974" s="96"/>
      <c r="I974" s="96"/>
      <c r="J974" s="92"/>
      <c r="K974" s="97"/>
      <c r="L974" s="99" t="str">
        <f ca="1">_xlfn.LET(
    _xlpm.res_no, J974,
    _xlpm.record_sheet, 'MatRes Record'!J:M,
    _xlpm.AllCellsFilled, COUNTA(A974:K974) = 11,
    _xlpm.QtyIsInt, AND(ISNUMBER(G974), G974=INT(G974)),
    _xlpm.ReqDateIsValid, AND(ISNUMBER(H974), H974&gt;=TODAY()),
    _xlpm.EmailIsValid, RIGHT(I974,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IF(A974="", "", IF(_xlpm.error_messages = "", "Yes", _xlpm.error_messages))
)</f>
        <v/>
      </c>
    </row>
    <row r="975" spans="1:12">
      <c r="A975" s="94"/>
      <c r="B975" s="95"/>
      <c r="C975" s="95"/>
      <c r="D975" s="94"/>
      <c r="E975" s="94"/>
      <c r="F975" s="96"/>
      <c r="G975" s="94"/>
      <c r="H975" s="96"/>
      <c r="I975" s="96"/>
      <c r="J975" s="92"/>
      <c r="K975" s="97"/>
      <c r="L975" s="99" t="str">
        <f ca="1">_xlfn.LET(
    _xlpm.res_no, J975,
    _xlpm.record_sheet, 'MatRes Record'!J:M,
    _xlpm.AllCellsFilled, COUNTA(A975:K975) = 11,
    _xlpm.QtyIsInt, AND(ISNUMBER(G975), G975=INT(G975)),
    _xlpm.ReqDateIsValid, AND(ISNUMBER(H975), H975&gt;=TODAY()),
    _xlpm.EmailIsValid, RIGHT(I975,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IF(A975="", "", IF(_xlpm.error_messages = "", "Yes", _xlpm.error_messages))
)</f>
        <v/>
      </c>
    </row>
    <row r="976" spans="1:12">
      <c r="A976" s="94"/>
      <c r="B976" s="95"/>
      <c r="C976" s="95"/>
      <c r="D976" s="94"/>
      <c r="E976" s="94"/>
      <c r="F976" s="96"/>
      <c r="G976" s="94"/>
      <c r="H976" s="96"/>
      <c r="I976" s="96"/>
      <c r="J976" s="92"/>
      <c r="K976" s="97"/>
      <c r="L976" s="99" t="str">
        <f ca="1">_xlfn.LET(
    _xlpm.res_no, J976,
    _xlpm.record_sheet, 'MatRes Record'!J:M,
    _xlpm.AllCellsFilled, COUNTA(A976:K976) = 11,
    _xlpm.QtyIsInt, AND(ISNUMBER(G976), G976=INT(G976)),
    _xlpm.ReqDateIsValid, AND(ISNUMBER(H976), H976&gt;=TODAY()),
    _xlpm.EmailIsValid, RIGHT(I976,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IF(A976="", "", IF(_xlpm.error_messages = "", "Yes", _xlpm.error_messages))
)</f>
        <v/>
      </c>
    </row>
    <row r="977" spans="1:12">
      <c r="A977" s="94"/>
      <c r="B977" s="95"/>
      <c r="C977" s="95"/>
      <c r="D977" s="94"/>
      <c r="E977" s="94"/>
      <c r="F977" s="96"/>
      <c r="G977" s="94"/>
      <c r="H977" s="96"/>
      <c r="I977" s="96"/>
      <c r="J977" s="92"/>
      <c r="K977" s="97"/>
      <c r="L977" s="99" t="str">
        <f ca="1">_xlfn.LET(
    _xlpm.res_no, J977,
    _xlpm.record_sheet, 'MatRes Record'!J:M,
    _xlpm.AllCellsFilled, COUNTA(A977:K977) = 11,
    _xlpm.QtyIsInt, AND(ISNUMBER(G977), G977=INT(G977)),
    _xlpm.ReqDateIsValid, AND(ISNUMBER(H977), H977&gt;=TODAY()),
    _xlpm.EmailIsValid, RIGHT(I977,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IF(A977="", "", IF(_xlpm.error_messages = "", "Yes", _xlpm.error_messages))
)</f>
        <v/>
      </c>
    </row>
    <row r="978" spans="1:12">
      <c r="A978" s="94"/>
      <c r="B978" s="95"/>
      <c r="C978" s="95"/>
      <c r="D978" s="94"/>
      <c r="E978" s="94"/>
      <c r="F978" s="96"/>
      <c r="G978" s="94"/>
      <c r="H978" s="96"/>
      <c r="I978" s="96"/>
      <c r="J978" s="92"/>
      <c r="K978" s="97"/>
      <c r="L978" s="99" t="str">
        <f ca="1">_xlfn.LET(
    _xlpm.res_no, J978,
    _xlpm.record_sheet, 'MatRes Record'!J:M,
    _xlpm.AllCellsFilled, COUNTA(A978:K978) = 11,
    _xlpm.QtyIsInt, AND(ISNUMBER(G978), G978=INT(G978)),
    _xlpm.ReqDateIsValid, AND(ISNUMBER(H978), H978&gt;=TODAY()),
    _xlpm.EmailIsValid, RIGHT(I978,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IF(A978="", "", IF(_xlpm.error_messages = "", "Yes", _xlpm.error_messages))
)</f>
        <v/>
      </c>
    </row>
    <row r="979" spans="1:12">
      <c r="A979" s="94"/>
      <c r="B979" s="95"/>
      <c r="C979" s="95"/>
      <c r="D979" s="94"/>
      <c r="E979" s="94"/>
      <c r="F979" s="96"/>
      <c r="G979" s="94"/>
      <c r="H979" s="96"/>
      <c r="I979" s="96"/>
      <c r="J979" s="92"/>
      <c r="K979" s="97"/>
      <c r="L979" s="99" t="str">
        <f ca="1">_xlfn.LET(
    _xlpm.res_no, J979,
    _xlpm.record_sheet, 'MatRes Record'!J:M,
    _xlpm.AllCellsFilled, COUNTA(A979:K979) = 11,
    _xlpm.QtyIsInt, AND(ISNUMBER(G979), G979=INT(G979)),
    _xlpm.ReqDateIsValid, AND(ISNUMBER(H979), H979&gt;=TODAY()),
    _xlpm.EmailIsValid, RIGHT(I979,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IF(A979="", "", IF(_xlpm.error_messages = "", "Yes", _xlpm.error_messages))
)</f>
        <v/>
      </c>
    </row>
    <row r="980" spans="1:12">
      <c r="A980" s="94"/>
      <c r="B980" s="95"/>
      <c r="C980" s="95"/>
      <c r="D980" s="94"/>
      <c r="E980" s="94"/>
      <c r="F980" s="96"/>
      <c r="G980" s="94"/>
      <c r="H980" s="96"/>
      <c r="I980" s="96"/>
      <c r="J980" s="92"/>
      <c r="K980" s="97"/>
      <c r="L980" s="99" t="str">
        <f ca="1">_xlfn.LET(
    _xlpm.res_no, J980,
    _xlpm.record_sheet, 'MatRes Record'!J:M,
    _xlpm.AllCellsFilled, COUNTA(A980:K980) = 11,
    _xlpm.QtyIsInt, AND(ISNUMBER(G980), G980=INT(G980)),
    _xlpm.ReqDateIsValid, AND(ISNUMBER(H980), H980&gt;=TODAY()),
    _xlpm.EmailIsValid, RIGHT(I980,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IF(A980="", "", IF(_xlpm.error_messages = "", "Yes", _xlpm.error_messages))
)</f>
        <v/>
      </c>
    </row>
    <row r="981" spans="1:12">
      <c r="A981" s="94"/>
      <c r="B981" s="95"/>
      <c r="C981" s="95"/>
      <c r="D981" s="94"/>
      <c r="E981" s="94"/>
      <c r="F981" s="96"/>
      <c r="G981" s="94"/>
      <c r="H981" s="96"/>
      <c r="I981" s="96"/>
      <c r="J981" s="92"/>
      <c r="K981" s="97"/>
      <c r="L981" s="99" t="str">
        <f ca="1">_xlfn.LET(
    _xlpm.res_no, J981,
    _xlpm.record_sheet, 'MatRes Record'!J:M,
    _xlpm.AllCellsFilled, COUNTA(A981:K981) = 11,
    _xlpm.QtyIsInt, AND(ISNUMBER(G981), G981=INT(G981)),
    _xlpm.ReqDateIsValid, AND(ISNUMBER(H981), H981&gt;=TODAY()),
    _xlpm.EmailIsValid, RIGHT(I981,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IF(A981="", "", IF(_xlpm.error_messages = "", "Yes", _xlpm.error_messages))
)</f>
        <v/>
      </c>
    </row>
    <row r="982" spans="1:12">
      <c r="A982" s="94"/>
      <c r="B982" s="95"/>
      <c r="C982" s="95"/>
      <c r="D982" s="94"/>
      <c r="E982" s="94"/>
      <c r="F982" s="96"/>
      <c r="G982" s="94"/>
      <c r="H982" s="96"/>
      <c r="I982" s="96"/>
      <c r="J982" s="92"/>
      <c r="K982" s="97"/>
      <c r="L982" s="99" t="str">
        <f ca="1">_xlfn.LET(
    _xlpm.res_no, J982,
    _xlpm.record_sheet, 'MatRes Record'!J:M,
    _xlpm.AllCellsFilled, COUNTA(A982:K982) = 11,
    _xlpm.QtyIsInt, AND(ISNUMBER(G982), G982=INT(G982)),
    _xlpm.ReqDateIsValid, AND(ISNUMBER(H982), H982&gt;=TODAY()),
    _xlpm.EmailIsValid, RIGHT(I982,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IF(A982="", "", IF(_xlpm.error_messages = "", "Yes", _xlpm.error_messages))
)</f>
        <v/>
      </c>
    </row>
    <row r="983" spans="1:12">
      <c r="A983" s="94"/>
      <c r="B983" s="95"/>
      <c r="C983" s="95"/>
      <c r="D983" s="94"/>
      <c r="E983" s="94"/>
      <c r="F983" s="96"/>
      <c r="G983" s="94"/>
      <c r="H983" s="96"/>
      <c r="I983" s="96"/>
      <c r="J983" s="92"/>
      <c r="K983" s="97"/>
      <c r="L983" s="99" t="str">
        <f ca="1">_xlfn.LET(
    _xlpm.res_no, J983,
    _xlpm.record_sheet, 'MatRes Record'!J:M,
    _xlpm.AllCellsFilled, COUNTA(A983:K983) = 11,
    _xlpm.QtyIsInt, AND(ISNUMBER(G983), G983=INT(G983)),
    _xlpm.ReqDateIsValid, AND(ISNUMBER(H983), H983&gt;=TODAY()),
    _xlpm.EmailIsValid, RIGHT(I983,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IF(A983="", "", IF(_xlpm.error_messages = "", "Yes", _xlpm.error_messages))
)</f>
        <v/>
      </c>
    </row>
    <row r="984" spans="1:12">
      <c r="A984" s="94"/>
      <c r="B984" s="95"/>
      <c r="C984" s="95"/>
      <c r="D984" s="94"/>
      <c r="E984" s="94"/>
      <c r="F984" s="96"/>
      <c r="G984" s="94"/>
      <c r="H984" s="96"/>
      <c r="I984" s="96"/>
      <c r="J984" s="92"/>
      <c r="K984" s="97"/>
      <c r="L984" s="99" t="str">
        <f ca="1">_xlfn.LET(
    _xlpm.res_no, J984,
    _xlpm.record_sheet, 'MatRes Record'!J:M,
    _xlpm.AllCellsFilled, COUNTA(A984:K984) = 11,
    _xlpm.QtyIsInt, AND(ISNUMBER(G984), G984=INT(G984)),
    _xlpm.ReqDateIsValid, AND(ISNUMBER(H984), H984&gt;=TODAY()),
    _xlpm.EmailIsValid, RIGHT(I984,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IF(A984="", "", IF(_xlpm.error_messages = "", "Yes", _xlpm.error_messages))
)</f>
        <v/>
      </c>
    </row>
    <row r="985" spans="1:12">
      <c r="A985" s="94"/>
      <c r="B985" s="95"/>
      <c r="C985" s="95"/>
      <c r="D985" s="94"/>
      <c r="E985" s="94"/>
      <c r="F985" s="96"/>
      <c r="G985" s="94"/>
      <c r="H985" s="96"/>
      <c r="I985" s="96"/>
      <c r="J985" s="92"/>
      <c r="K985" s="97"/>
      <c r="L985" s="99" t="str">
        <f ca="1">_xlfn.LET(
    _xlpm.res_no, J985,
    _xlpm.record_sheet, 'MatRes Record'!J:M,
    _xlpm.AllCellsFilled, COUNTA(A985:K985) = 11,
    _xlpm.QtyIsInt, AND(ISNUMBER(G985), G985=INT(G985)),
    _xlpm.ReqDateIsValid, AND(ISNUMBER(H985), H985&gt;=TODAY()),
    _xlpm.EmailIsValid, RIGHT(I985,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IF(A985="", "", IF(_xlpm.error_messages = "", "Yes", _xlpm.error_messages))
)</f>
        <v/>
      </c>
    </row>
    <row r="986" spans="1:12">
      <c r="A986" s="94"/>
      <c r="B986" s="95"/>
      <c r="C986" s="95"/>
      <c r="D986" s="94"/>
      <c r="E986" s="94"/>
      <c r="F986" s="96"/>
      <c r="G986" s="94"/>
      <c r="H986" s="96"/>
      <c r="I986" s="96"/>
      <c r="J986" s="92"/>
      <c r="K986" s="97"/>
      <c r="L986" s="99" t="str">
        <f ca="1">_xlfn.LET(
    _xlpm.res_no, J986,
    _xlpm.record_sheet, 'MatRes Record'!J:M,
    _xlpm.AllCellsFilled, COUNTA(A986:K986) = 11,
    _xlpm.QtyIsInt, AND(ISNUMBER(G986), G986=INT(G986)),
    _xlpm.ReqDateIsValid, AND(ISNUMBER(H986), H986&gt;=TODAY()),
    _xlpm.EmailIsValid, RIGHT(I986,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IF(A986="", "", IF(_xlpm.error_messages = "", "Yes", _xlpm.error_messages))
)</f>
        <v/>
      </c>
    </row>
    <row r="987" spans="1:12">
      <c r="A987" s="94"/>
      <c r="B987" s="95"/>
      <c r="C987" s="95"/>
      <c r="D987" s="94"/>
      <c r="E987" s="94"/>
      <c r="F987" s="96"/>
      <c r="G987" s="94"/>
      <c r="H987" s="96"/>
      <c r="I987" s="96"/>
      <c r="J987" s="92"/>
      <c r="K987" s="97"/>
      <c r="L987" s="99" t="str">
        <f ca="1">_xlfn.LET(
    _xlpm.res_no, J987,
    _xlpm.record_sheet, 'MatRes Record'!J:M,
    _xlpm.AllCellsFilled, COUNTA(A987:K987) = 11,
    _xlpm.QtyIsInt, AND(ISNUMBER(G987), G987=INT(G987)),
    _xlpm.ReqDateIsValid, AND(ISNUMBER(H987), H987&gt;=TODAY()),
    _xlpm.EmailIsValid, RIGHT(I987,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IF(A987="", "", IF(_xlpm.error_messages = "", "Yes", _xlpm.error_messages))
)</f>
        <v/>
      </c>
    </row>
    <row r="988" spans="1:12">
      <c r="A988" s="94"/>
      <c r="B988" s="95"/>
      <c r="C988" s="95"/>
      <c r="D988" s="94"/>
      <c r="E988" s="94"/>
      <c r="F988" s="96"/>
      <c r="G988" s="94"/>
      <c r="H988" s="96"/>
      <c r="I988" s="96"/>
      <c r="J988" s="92"/>
      <c r="K988" s="97"/>
      <c r="L988" s="99" t="str">
        <f ca="1">_xlfn.LET(
    _xlpm.res_no, J988,
    _xlpm.record_sheet, 'MatRes Record'!J:M,
    _xlpm.AllCellsFilled, COUNTA(A988:K988) = 11,
    _xlpm.QtyIsInt, AND(ISNUMBER(G988), G988=INT(G988)),
    _xlpm.ReqDateIsValid, AND(ISNUMBER(H988), H988&gt;=TODAY()),
    _xlpm.EmailIsValid, RIGHT(I988,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IF(A988="", "", IF(_xlpm.error_messages = "", "Yes", _xlpm.error_messages))
)</f>
        <v/>
      </c>
    </row>
    <row r="989" spans="1:12">
      <c r="A989" s="94"/>
      <c r="B989" s="95"/>
      <c r="C989" s="95"/>
      <c r="D989" s="94"/>
      <c r="E989" s="94"/>
      <c r="F989" s="96"/>
      <c r="G989" s="94"/>
      <c r="H989" s="96"/>
      <c r="I989" s="96"/>
      <c r="J989" s="92"/>
      <c r="K989" s="97"/>
      <c r="L989" s="99" t="str">
        <f ca="1">_xlfn.LET(
    _xlpm.res_no, J989,
    _xlpm.record_sheet, 'MatRes Record'!J:M,
    _xlpm.AllCellsFilled, COUNTA(A989:K989) = 11,
    _xlpm.QtyIsInt, AND(ISNUMBER(G989), G989=INT(G989)),
    _xlpm.ReqDateIsValid, AND(ISNUMBER(H989), H989&gt;=TODAY()),
    _xlpm.EmailIsValid, RIGHT(I989,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IF(A989="", "", IF(_xlpm.error_messages = "", "Yes", _xlpm.error_messages))
)</f>
        <v/>
      </c>
    </row>
    <row r="990" spans="1:12">
      <c r="A990" s="94"/>
      <c r="B990" s="95"/>
      <c r="C990" s="95"/>
      <c r="D990" s="94"/>
      <c r="E990" s="94"/>
      <c r="F990" s="96"/>
      <c r="G990" s="94"/>
      <c r="H990" s="96"/>
      <c r="I990" s="96"/>
      <c r="J990" s="92"/>
      <c r="K990" s="97"/>
      <c r="L990" s="99" t="str">
        <f ca="1">_xlfn.LET(
    _xlpm.res_no, J990,
    _xlpm.record_sheet, 'MatRes Record'!J:M,
    _xlpm.AllCellsFilled, COUNTA(A990:K990) = 11,
    _xlpm.QtyIsInt, AND(ISNUMBER(G990), G990=INT(G990)),
    _xlpm.ReqDateIsValid, AND(ISNUMBER(H990), H990&gt;=TODAY()),
    _xlpm.EmailIsValid, RIGHT(I990,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IF(A990="", "", IF(_xlpm.error_messages = "", "Yes", _xlpm.error_messages))
)</f>
        <v/>
      </c>
    </row>
    <row r="991" spans="1:12">
      <c r="A991" s="94"/>
      <c r="B991" s="95"/>
      <c r="C991" s="95"/>
      <c r="D991" s="94"/>
      <c r="E991" s="94"/>
      <c r="F991" s="96"/>
      <c r="G991" s="94"/>
      <c r="H991" s="96"/>
      <c r="I991" s="96"/>
      <c r="J991" s="92"/>
      <c r="K991" s="97"/>
      <c r="L991" s="99" t="str">
        <f ca="1">_xlfn.LET(
    _xlpm.res_no, J991,
    _xlpm.record_sheet, 'MatRes Record'!J:M,
    _xlpm.AllCellsFilled, COUNTA(A991:K991) = 11,
    _xlpm.QtyIsInt, AND(ISNUMBER(G991), G991=INT(G991)),
    _xlpm.ReqDateIsValid, AND(ISNUMBER(H991), H991&gt;=TODAY()),
    _xlpm.EmailIsValid, RIGHT(I991,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IF(A991="", "", IF(_xlpm.error_messages = "", "Yes", _xlpm.error_messages))
)</f>
        <v/>
      </c>
    </row>
    <row r="992" spans="1:12">
      <c r="A992" s="94"/>
      <c r="B992" s="95"/>
      <c r="C992" s="95"/>
      <c r="D992" s="94"/>
      <c r="E992" s="94"/>
      <c r="F992" s="96"/>
      <c r="G992" s="94"/>
      <c r="H992" s="96"/>
      <c r="I992" s="96"/>
      <c r="J992" s="92"/>
      <c r="K992" s="97"/>
      <c r="L992" s="99" t="str">
        <f ca="1">_xlfn.LET(
    _xlpm.res_no, J992,
    _xlpm.record_sheet, 'MatRes Record'!J:M,
    _xlpm.AllCellsFilled, COUNTA(A992:K992) = 11,
    _xlpm.QtyIsInt, AND(ISNUMBER(G992), G992=INT(G992)),
    _xlpm.ReqDateIsValid, AND(ISNUMBER(H992), H992&gt;=TODAY()),
    _xlpm.EmailIsValid, RIGHT(I992,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IF(A992="", "", IF(_xlpm.error_messages = "", "Yes", _xlpm.error_messages))
)</f>
        <v/>
      </c>
    </row>
    <row r="993" spans="1:12">
      <c r="A993" s="94"/>
      <c r="B993" s="95"/>
      <c r="C993" s="95"/>
      <c r="D993" s="94"/>
      <c r="E993" s="94"/>
      <c r="F993" s="96"/>
      <c r="G993" s="94"/>
      <c r="H993" s="96"/>
      <c r="I993" s="96"/>
      <c r="J993" s="92"/>
      <c r="K993" s="97"/>
      <c r="L993" s="99" t="str">
        <f ca="1">_xlfn.LET(
    _xlpm.res_no, J993,
    _xlpm.record_sheet, 'MatRes Record'!J:M,
    _xlpm.AllCellsFilled, COUNTA(A993:K993) = 11,
    _xlpm.QtyIsInt, AND(ISNUMBER(G993), G993=INT(G993)),
    _xlpm.ReqDateIsValid, AND(ISNUMBER(H993), H993&gt;=TODAY()),
    _xlpm.EmailIsValid, RIGHT(I993,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IF(A993="", "", IF(_xlpm.error_messages = "", "Yes", _xlpm.error_messages))
)</f>
        <v/>
      </c>
    </row>
    <row r="994" spans="1:12">
      <c r="A994" s="94"/>
      <c r="B994" s="95"/>
      <c r="C994" s="95"/>
      <c r="D994" s="94"/>
      <c r="E994" s="94"/>
      <c r="F994" s="96"/>
      <c r="G994" s="94"/>
      <c r="H994" s="96"/>
      <c r="I994" s="96"/>
      <c r="J994" s="92"/>
      <c r="K994" s="97"/>
      <c r="L994" s="99" t="str">
        <f ca="1">_xlfn.LET(
    _xlpm.res_no, J994,
    _xlpm.record_sheet, 'MatRes Record'!J:M,
    _xlpm.AllCellsFilled, COUNTA(A994:K994) = 11,
    _xlpm.QtyIsInt, AND(ISNUMBER(G994), G994=INT(G994)),
    _xlpm.ReqDateIsValid, AND(ISNUMBER(H994), H994&gt;=TODAY()),
    _xlpm.EmailIsValid, RIGHT(I994,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IF(A994="", "", IF(_xlpm.error_messages = "", "Yes", _xlpm.error_messages))
)</f>
        <v/>
      </c>
    </row>
    <row r="995" spans="1:12">
      <c r="A995" s="94"/>
      <c r="B995" s="95"/>
      <c r="C995" s="95"/>
      <c r="D995" s="94"/>
      <c r="E995" s="94"/>
      <c r="F995" s="96"/>
      <c r="G995" s="94"/>
      <c r="H995" s="96"/>
      <c r="I995" s="96"/>
      <c r="J995" s="92"/>
      <c r="K995" s="97"/>
      <c r="L995" s="99" t="str">
        <f ca="1">_xlfn.LET(
    _xlpm.res_no, J995,
    _xlpm.record_sheet, 'MatRes Record'!J:M,
    _xlpm.AllCellsFilled, COUNTA(A995:K995) = 11,
    _xlpm.QtyIsInt, AND(ISNUMBER(G995), G995=INT(G995)),
    _xlpm.ReqDateIsValid, AND(ISNUMBER(H995), H995&gt;=TODAY()),
    _xlpm.EmailIsValid, RIGHT(I995,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IF(A995="", "", IF(_xlpm.error_messages = "", "Yes", _xlpm.error_messages))
)</f>
        <v/>
      </c>
    </row>
    <row r="996" spans="1:12">
      <c r="A996" s="94"/>
      <c r="B996" s="95"/>
      <c r="C996" s="95"/>
      <c r="D996" s="94"/>
      <c r="E996" s="94"/>
      <c r="F996" s="96"/>
      <c r="G996" s="94"/>
      <c r="H996" s="96"/>
      <c r="I996" s="96"/>
      <c r="J996" s="92"/>
      <c r="K996" s="97"/>
      <c r="L996" s="99" t="str">
        <f ca="1">_xlfn.LET(
    _xlpm.res_no, J996,
    _xlpm.record_sheet, 'MatRes Record'!J:M,
    _xlpm.AllCellsFilled, COUNTA(A996:K996) = 11,
    _xlpm.QtyIsInt, AND(ISNUMBER(G996), G996=INT(G996)),
    _xlpm.ReqDateIsValid, AND(ISNUMBER(H996), H996&gt;=TODAY()),
    _xlpm.EmailIsValid, RIGHT(I996,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IF(A996="", "", IF(_xlpm.error_messages = "", "Yes", _xlpm.error_messages))
)</f>
        <v/>
      </c>
    </row>
    <row r="997" spans="1:12">
      <c r="A997" s="94"/>
      <c r="B997" s="95"/>
      <c r="C997" s="95"/>
      <c r="D997" s="94"/>
      <c r="E997" s="94"/>
      <c r="F997" s="96"/>
      <c r="G997" s="94"/>
      <c r="H997" s="96"/>
      <c r="I997" s="96"/>
      <c r="J997" s="92"/>
      <c r="K997" s="97"/>
      <c r="L997" s="99" t="str">
        <f ca="1">_xlfn.LET(
    _xlpm.res_no, J997,
    _xlpm.record_sheet, 'MatRes Record'!J:M,
    _xlpm.AllCellsFilled, COUNTA(A997:K997) = 11,
    _xlpm.QtyIsInt, AND(ISNUMBER(G997), G997=INT(G997)),
    _xlpm.ReqDateIsValid, AND(ISNUMBER(H997), H997&gt;=TODAY()),
    _xlpm.EmailIsValid, RIGHT(I997,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IF(A997="", "", IF(_xlpm.error_messages = "", "Yes", _xlpm.error_messages))
)</f>
        <v/>
      </c>
    </row>
    <row r="998" spans="1:12">
      <c r="A998" s="94"/>
      <c r="B998" s="95"/>
      <c r="C998" s="95"/>
      <c r="D998" s="94"/>
      <c r="E998" s="94"/>
      <c r="F998" s="96"/>
      <c r="G998" s="94"/>
      <c r="H998" s="96"/>
      <c r="I998" s="96"/>
      <c r="J998" s="92"/>
      <c r="K998" s="97"/>
      <c r="L998" s="99" t="str">
        <f ca="1">_xlfn.LET(
    _xlpm.res_no, J998,
    _xlpm.record_sheet, 'MatRes Record'!J:M,
    _xlpm.AllCellsFilled, COUNTA(A998:K998) = 11,
    _xlpm.QtyIsInt, AND(ISNUMBER(G998), G998=INT(G998)),
    _xlpm.ReqDateIsValid, AND(ISNUMBER(H998), H998&gt;=TODAY()),
    _xlpm.EmailIsValid, RIGHT(I998,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IF(A998="", "", IF(_xlpm.error_messages = "", "Yes", _xlpm.error_messages))
)</f>
        <v/>
      </c>
    </row>
    <row r="999" spans="1:12">
      <c r="A999" s="94"/>
      <c r="B999" s="95"/>
      <c r="C999" s="95"/>
      <c r="D999" s="94"/>
      <c r="E999" s="94"/>
      <c r="F999" s="96"/>
      <c r="G999" s="94"/>
      <c r="H999" s="96"/>
      <c r="I999" s="96"/>
      <c r="J999" s="92"/>
      <c r="K999" s="97"/>
      <c r="L999" s="99" t="str">
        <f ca="1">_xlfn.LET(
    _xlpm.res_no, J999,
    _xlpm.record_sheet, 'MatRes Record'!J:M,
    _xlpm.AllCellsFilled, COUNTA(A999:K999) = 11,
    _xlpm.QtyIsInt, AND(ISNUMBER(G999), G999=INT(G999)),
    _xlpm.ReqDateIsValid, AND(ISNUMBER(H999), H999&gt;=TODAY()),
    _xlpm.EmailIsValid, RIGHT(I999,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IF(A999="", "", IF(_xlpm.error_messages = "", "Yes", _xlpm.error_messages))
)</f>
        <v/>
      </c>
    </row>
    <row r="1000" spans="1:12">
      <c r="A1000" s="94"/>
      <c r="B1000" s="95"/>
      <c r="C1000" s="95"/>
      <c r="D1000" s="94"/>
      <c r="E1000" s="94"/>
      <c r="F1000" s="96"/>
      <c r="G1000" s="94"/>
      <c r="H1000" s="96"/>
      <c r="I1000" s="96"/>
      <c r="J1000" s="92"/>
      <c r="K1000" s="97"/>
      <c r="L1000" s="99" t="str">
        <f ca="1">_xlfn.LET(
    _xlpm.res_no, J1000,
    _xlpm.record_sheet, 'MatRes Record'!J:M,
    _xlpm.AllCellsFilled, COUNTA(A1000:K1000) = 11,
    _xlpm.QtyIsInt, AND(ISNUMBER(G1000), G1000=INT(G1000)),
    _xlpm.ReqDateIsValid, AND(ISNUMBER(H1000), H1000&gt;=TODAY()),
    _xlpm.EmailIsValid, RIGHT(I1000,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IF(A1000="", "", IF(_xlpm.error_messages = "", "Yes", _xlpm.error_messages))
)</f>
        <v/>
      </c>
    </row>
    <row r="1001" spans="1:12">
      <c r="A1001" s="94"/>
      <c r="B1001" s="95"/>
      <c r="C1001" s="95"/>
      <c r="D1001" s="94"/>
      <c r="E1001" s="94"/>
      <c r="F1001" s="96"/>
      <c r="G1001" s="94"/>
      <c r="H1001" s="96"/>
      <c r="I1001" s="96"/>
      <c r="J1001" s="92"/>
      <c r="K1001" s="97"/>
      <c r="L1001" s="99" t="str">
        <f ca="1">_xlfn.LET(
    _xlpm.res_no, J1001,
    _xlpm.record_sheet, 'MatRes Record'!J:M,
    _xlpm.AllCellsFilled, COUNTA(A1001:K1001) = 11,
    _xlpm.QtyIsInt, AND(ISNUMBER(G1001), G1001=INT(G1001)),
    _xlpm.ReqDateIsValid, AND(ISNUMBER(H1001), H1001&gt;=TODAY()),
    _xlpm.EmailIsValid, RIGHT(I1001,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IF(A1001="", "", IF(_xlpm.error_messages = "", "Yes", _xlpm.error_messages))
)</f>
        <v/>
      </c>
    </row>
    <row r="1002" spans="1:12">
      <c r="A1002" s="94"/>
      <c r="B1002" s="95"/>
      <c r="C1002" s="95"/>
      <c r="D1002" s="94"/>
      <c r="E1002" s="94"/>
      <c r="F1002" s="96"/>
      <c r="G1002" s="94"/>
      <c r="H1002" s="96"/>
      <c r="I1002" s="96"/>
      <c r="J1002" s="92"/>
      <c r="K1002" s="97"/>
      <c r="L1002" s="99" t="str">
        <f ca="1">_xlfn.LET(
    _xlpm.res_no, J1002,
    _xlpm.record_sheet, 'MatRes Record'!J:M,
    _xlpm.AllCellsFilled, COUNTA(A1002:K1002) = 11,
    _xlpm.QtyIsInt, AND(ISNUMBER(G1002), G1002=INT(G1002)),
    _xlpm.ReqDateIsValid, AND(ISNUMBER(H1002), H1002&gt;=TODAY()),
    _xlpm.EmailIsValid, RIGHT(I1002,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IF(A1002="", "", IF(_xlpm.error_messages = "", "Yes", _xlpm.error_messages))
)</f>
        <v/>
      </c>
    </row>
    <row r="1003" spans="1:12">
      <c r="A1003" s="94"/>
      <c r="B1003" s="95"/>
      <c r="C1003" s="95"/>
      <c r="D1003" s="94"/>
      <c r="E1003" s="94"/>
      <c r="F1003" s="96"/>
      <c r="G1003" s="94"/>
      <c r="H1003" s="96"/>
      <c r="I1003" s="96"/>
      <c r="J1003" s="92"/>
      <c r="K1003" s="97"/>
      <c r="L1003" s="99" t="str">
        <f ca="1">_xlfn.LET(
    _xlpm.res_no, J1003,
    _xlpm.record_sheet, 'MatRes Record'!J:M,
    _xlpm.AllCellsFilled, COUNTA(A1003:K1003) = 11,
    _xlpm.QtyIsInt, AND(ISNUMBER(G1003), G1003=INT(G1003)),
    _xlpm.ReqDateIsValid, AND(ISNUMBER(H1003), H1003&gt;=TODAY()),
    _xlpm.EmailIsValid, RIGHT(I1003,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IF(A1003="", "", IF(_xlpm.error_messages = "", "Yes", _xlpm.error_messages))
)</f>
        <v/>
      </c>
    </row>
    <row r="1004" spans="1:12">
      <c r="A1004" s="94"/>
      <c r="B1004" s="95"/>
      <c r="C1004" s="95"/>
      <c r="D1004" s="94"/>
      <c r="E1004" s="94"/>
      <c r="F1004" s="96"/>
      <c r="G1004" s="94"/>
      <c r="H1004" s="96"/>
      <c r="I1004" s="96"/>
      <c r="J1004" s="92"/>
      <c r="K1004" s="97"/>
      <c r="L1004" s="99" t="str">
        <f ca="1">_xlfn.LET(
    _xlpm.res_no, J1004,
    _xlpm.record_sheet, 'MatRes Record'!J:M,
    _xlpm.AllCellsFilled, COUNTA(A1004:K1004) = 11,
    _xlpm.QtyIsInt, AND(ISNUMBER(G1004), G1004=INT(G1004)),
    _xlpm.ReqDateIsValid, AND(ISNUMBER(H1004), H1004&gt;=TODAY()),
    _xlpm.EmailIsValid, RIGHT(I1004,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IF(A1004="", "", IF(_xlpm.error_messages = "", "Yes", _xlpm.error_messages))
)</f>
        <v/>
      </c>
    </row>
    <row r="1005" spans="1:12">
      <c r="A1005" s="94"/>
      <c r="B1005" s="95"/>
      <c r="C1005" s="95"/>
      <c r="D1005" s="94"/>
      <c r="E1005" s="94"/>
      <c r="F1005" s="96"/>
      <c r="G1005" s="94"/>
      <c r="H1005" s="96"/>
      <c r="I1005" s="96"/>
      <c r="J1005" s="92"/>
      <c r="K1005" s="97"/>
      <c r="L1005" s="99" t="str">
        <f ca="1">_xlfn.LET(
    _xlpm.res_no, J1005,
    _xlpm.record_sheet, 'MatRes Record'!J:M,
    _xlpm.AllCellsFilled, COUNTA(A1005:K1005) = 11,
    _xlpm.QtyIsInt, AND(ISNUMBER(G1005), G1005=INT(G1005)),
    _xlpm.ReqDateIsValid, AND(ISNUMBER(H1005), H1005&gt;=TODAY()),
    _xlpm.EmailIsValid, RIGHT(I1005,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IF(A1005="", "", IF(_xlpm.error_messages = "", "Yes", _xlpm.error_messages))
)</f>
        <v/>
      </c>
    </row>
    <row r="1006" spans="1:12">
      <c r="A1006" s="94"/>
      <c r="B1006" s="95"/>
      <c r="C1006" s="95"/>
      <c r="D1006" s="94"/>
      <c r="E1006" s="94"/>
      <c r="F1006" s="96"/>
      <c r="G1006" s="94"/>
      <c r="H1006" s="96"/>
      <c r="I1006" s="96"/>
      <c r="J1006" s="92"/>
      <c r="K1006" s="97"/>
      <c r="L1006" s="99" t="str">
        <f ca="1">_xlfn.LET(
    _xlpm.res_no, J1006,
    _xlpm.record_sheet, 'MatRes Record'!J:M,
    _xlpm.AllCellsFilled, COUNTA(A1006:K1006) = 11,
    _xlpm.QtyIsInt, AND(ISNUMBER(G1006), G1006=INT(G1006)),
    _xlpm.ReqDateIsValid, AND(ISNUMBER(H1006), H1006&gt;=TODAY()),
    _xlpm.EmailIsValid, RIGHT(I1006,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IF(A1006="", "", IF(_xlpm.error_messages = "", "Yes", _xlpm.error_messages))
)</f>
        <v/>
      </c>
    </row>
    <row r="1007" spans="1:12">
      <c r="A1007" s="94"/>
      <c r="B1007" s="95"/>
      <c r="C1007" s="95"/>
      <c r="D1007" s="94"/>
      <c r="E1007" s="94"/>
      <c r="F1007" s="96"/>
      <c r="G1007" s="94"/>
      <c r="H1007" s="96"/>
      <c r="I1007" s="96"/>
      <c r="J1007" s="92"/>
      <c r="K1007" s="97"/>
      <c r="L1007" s="99" t="str">
        <f ca="1">_xlfn.LET(
    _xlpm.res_no, J1007,
    _xlpm.record_sheet, 'MatRes Record'!J:M,
    _xlpm.AllCellsFilled, COUNTA(A1007:K1007) = 11,
    _xlpm.QtyIsInt, AND(ISNUMBER(G1007), G1007=INT(G1007)),
    _xlpm.ReqDateIsValid, AND(ISNUMBER(H1007), H1007&gt;=TODAY()),
    _xlpm.EmailIsValid, RIGHT(I1007,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IF(A1007="", "", IF(_xlpm.error_messages = "", "Yes", _xlpm.error_messages))
)</f>
        <v/>
      </c>
    </row>
    <row r="1008" spans="1:12">
      <c r="A1008" s="94"/>
      <c r="B1008" s="95"/>
      <c r="C1008" s="95"/>
      <c r="D1008" s="94"/>
      <c r="E1008" s="94"/>
      <c r="F1008" s="96"/>
      <c r="G1008" s="94"/>
      <c r="H1008" s="96"/>
      <c r="I1008" s="96"/>
      <c r="J1008" s="92"/>
      <c r="K1008" s="97"/>
      <c r="L1008" s="99" t="str">
        <f ca="1">_xlfn.LET(
    _xlpm.res_no, J1008,
    _xlpm.record_sheet, 'MatRes Record'!J:M,
    _xlpm.AllCellsFilled, COUNTA(A1008:K1008) = 11,
    _xlpm.QtyIsInt, AND(ISNUMBER(G1008), G1008=INT(G1008)),
    _xlpm.ReqDateIsValid, AND(ISNUMBER(H1008), H1008&gt;=TODAY()),
    _xlpm.EmailIsValid, RIGHT(I1008,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IF(A1008="", "", IF(_xlpm.error_messages = "", "Yes", _xlpm.error_messages))
)</f>
        <v/>
      </c>
    </row>
    <row r="1009" spans="1:12">
      <c r="A1009" s="94"/>
      <c r="B1009" s="95"/>
      <c r="C1009" s="95"/>
      <c r="D1009" s="94"/>
      <c r="E1009" s="94"/>
      <c r="F1009" s="96"/>
      <c r="G1009" s="94"/>
      <c r="H1009" s="96"/>
      <c r="I1009" s="96"/>
      <c r="J1009" s="92"/>
      <c r="K1009" s="97"/>
      <c r="L1009" s="99" t="str">
        <f ca="1">_xlfn.LET(
    _xlpm.res_no, J1009,
    _xlpm.record_sheet, 'MatRes Record'!J:M,
    _xlpm.AllCellsFilled, COUNTA(A1009:K1009) = 11,
    _xlpm.QtyIsInt, AND(ISNUMBER(G1009), G1009=INT(G1009)),
    _xlpm.ReqDateIsValid, AND(ISNUMBER(H1009), H1009&gt;=TODAY()),
    _xlpm.EmailIsValid, RIGHT(I1009,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IF(A1009="", "", IF(_xlpm.error_messages = "", "Yes", _xlpm.error_messages))
)</f>
        <v/>
      </c>
    </row>
    <row r="1010" spans="1:12">
      <c r="A1010" s="94"/>
      <c r="B1010" s="95"/>
      <c r="C1010" s="95"/>
      <c r="D1010" s="94"/>
      <c r="E1010" s="94"/>
      <c r="F1010" s="96"/>
      <c r="G1010" s="94"/>
      <c r="H1010" s="96"/>
      <c r="I1010" s="96"/>
      <c r="J1010" s="92"/>
      <c r="K1010" s="97"/>
      <c r="L1010" s="99" t="str">
        <f ca="1">_xlfn.LET(
    _xlpm.res_no, J1010,
    _xlpm.record_sheet, 'MatRes Record'!J:M,
    _xlpm.AllCellsFilled, COUNTA(A1010:K1010) = 11,
    _xlpm.QtyIsInt, AND(ISNUMBER(G1010), G1010=INT(G1010)),
    _xlpm.ReqDateIsValid, AND(ISNUMBER(H1010), H1010&gt;=TODAY()),
    _xlpm.EmailIsValid, RIGHT(I1010,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IF(A1010="", "", IF(_xlpm.error_messages = "", "Yes", _xlpm.error_messages))
)</f>
        <v/>
      </c>
    </row>
    <row r="1011" spans="1:12">
      <c r="A1011" s="94"/>
      <c r="B1011" s="95"/>
      <c r="C1011" s="95"/>
      <c r="D1011" s="94"/>
      <c r="E1011" s="94"/>
      <c r="F1011" s="96"/>
      <c r="G1011" s="94"/>
      <c r="H1011" s="96"/>
      <c r="I1011" s="96"/>
      <c r="J1011" s="92"/>
      <c r="K1011" s="97"/>
      <c r="L1011" s="99" t="str">
        <f ca="1">_xlfn.LET(
    _xlpm.res_no, J1011,
    _xlpm.record_sheet, 'MatRes Record'!J:M,
    _xlpm.AllCellsFilled, COUNTA(A1011:K1011) = 11,
    _xlpm.QtyIsInt, AND(ISNUMBER(G1011), G1011=INT(G1011)),
    _xlpm.ReqDateIsValid, AND(ISNUMBER(H1011), H1011&gt;=TODAY()),
    _xlpm.EmailIsValid, RIGHT(I1011,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IF(A1011="", "", IF(_xlpm.error_messages = "", "Yes", _xlpm.error_messages))
)</f>
        <v/>
      </c>
    </row>
    <row r="1012" spans="1:12">
      <c r="A1012" s="94"/>
      <c r="B1012" s="95"/>
      <c r="C1012" s="95"/>
      <c r="D1012" s="94"/>
      <c r="E1012" s="94"/>
      <c r="F1012" s="96"/>
      <c r="G1012" s="94"/>
      <c r="H1012" s="96"/>
      <c r="I1012" s="96"/>
      <c r="J1012" s="92"/>
      <c r="K1012" s="97"/>
      <c r="L1012" s="99" t="str">
        <f ca="1">_xlfn.LET(
    _xlpm.res_no, J1012,
    _xlpm.record_sheet, 'MatRes Record'!J:M,
    _xlpm.AllCellsFilled, COUNTA(A1012:K1012) = 11,
    _xlpm.QtyIsInt, AND(ISNUMBER(G1012), G1012=INT(G1012)),
    _xlpm.ReqDateIsValid, AND(ISNUMBER(H1012), H1012&gt;=TODAY()),
    _xlpm.EmailIsValid, RIGHT(I1012,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IF(A1012="", "", IF(_xlpm.error_messages = "", "Yes", _xlpm.error_messages))
)</f>
        <v/>
      </c>
    </row>
    <row r="1013" spans="1:12">
      <c r="A1013" s="94"/>
      <c r="B1013" s="95"/>
      <c r="C1013" s="95"/>
      <c r="D1013" s="94"/>
      <c r="E1013" s="94"/>
      <c r="F1013" s="96"/>
      <c r="G1013" s="94"/>
      <c r="H1013" s="96"/>
      <c r="I1013" s="96"/>
      <c r="J1013" s="92"/>
      <c r="K1013" s="97"/>
      <c r="L1013" s="99" t="str">
        <f ca="1">_xlfn.LET(
    _xlpm.res_no, J1013,
    _xlpm.record_sheet, 'MatRes Record'!J:M,
    _xlpm.AllCellsFilled, COUNTA(A1013:K1013) = 11,
    _xlpm.QtyIsInt, AND(ISNUMBER(G1013), G1013=INT(G1013)),
    _xlpm.ReqDateIsValid, AND(ISNUMBER(H1013), H1013&gt;=TODAY()),
    _xlpm.EmailIsValid, RIGHT(I1013,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IF(A1013="", "", IF(_xlpm.error_messages = "", "Yes", _xlpm.error_messages))
)</f>
        <v/>
      </c>
    </row>
    <row r="1014" spans="1:12">
      <c r="A1014" s="94"/>
      <c r="B1014" s="95"/>
      <c r="C1014" s="95"/>
      <c r="D1014" s="94"/>
      <c r="E1014" s="94"/>
      <c r="F1014" s="96"/>
      <c r="G1014" s="94"/>
      <c r="H1014" s="96"/>
      <c r="I1014" s="96"/>
      <c r="J1014" s="92"/>
      <c r="K1014" s="97"/>
      <c r="L1014" s="99" t="str">
        <f ca="1">_xlfn.LET(
    _xlpm.res_no, J1014,
    _xlpm.record_sheet, 'MatRes Record'!J:M,
    _xlpm.AllCellsFilled, COUNTA(A1014:K1014) = 11,
    _xlpm.QtyIsInt, AND(ISNUMBER(G1014), G1014=INT(G1014)),
    _xlpm.ReqDateIsValid, AND(ISNUMBER(H1014), H1014&gt;=TODAY()),
    _xlpm.EmailIsValid, RIGHT(I1014,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IF(A1014="", "", IF(_xlpm.error_messages = "", "Yes", _xlpm.error_messages))
)</f>
        <v/>
      </c>
    </row>
    <row r="1015" spans="1:12">
      <c r="A1015" s="94"/>
      <c r="B1015" s="95"/>
      <c r="C1015" s="95"/>
      <c r="D1015" s="94"/>
      <c r="E1015" s="94"/>
      <c r="F1015" s="96"/>
      <c r="G1015" s="94"/>
      <c r="H1015" s="96"/>
      <c r="I1015" s="96"/>
      <c r="J1015" s="92"/>
      <c r="K1015" s="97"/>
      <c r="L1015" s="99" t="str">
        <f ca="1">_xlfn.LET(
    _xlpm.res_no, J1015,
    _xlpm.record_sheet, 'MatRes Record'!J:M,
    _xlpm.AllCellsFilled, COUNTA(A1015:K1015) = 11,
    _xlpm.QtyIsInt, AND(ISNUMBER(G1015), G1015=INT(G1015)),
    _xlpm.ReqDateIsValid, AND(ISNUMBER(H1015), H1015&gt;=TODAY()),
    _xlpm.EmailIsValid, RIGHT(I1015,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IF(A1015="", "", IF(_xlpm.error_messages = "", "Yes", _xlpm.error_messages))
)</f>
        <v/>
      </c>
    </row>
    <row r="1016" spans="1:12">
      <c r="A1016" s="94"/>
      <c r="B1016" s="95"/>
      <c r="C1016" s="95"/>
      <c r="D1016" s="94"/>
      <c r="E1016" s="94"/>
      <c r="F1016" s="96"/>
      <c r="G1016" s="94"/>
      <c r="H1016" s="96"/>
      <c r="I1016" s="96"/>
      <c r="J1016" s="92"/>
      <c r="K1016" s="97"/>
      <c r="L1016" s="99" t="str">
        <f ca="1">_xlfn.LET(
    _xlpm.res_no, J1016,
    _xlpm.record_sheet, 'MatRes Record'!J:M,
    _xlpm.AllCellsFilled, COUNTA(A1016:K1016) = 11,
    _xlpm.QtyIsInt, AND(ISNUMBER(G1016), G1016=INT(G1016)),
    _xlpm.ReqDateIsValid, AND(ISNUMBER(H1016), H1016&gt;=TODAY()),
    _xlpm.EmailIsValid, RIGHT(I1016,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IF(A1016="", "", IF(_xlpm.error_messages = "", "Yes", _xlpm.error_messages))
)</f>
        <v/>
      </c>
    </row>
    <row r="1017" spans="1:12">
      <c r="A1017" s="94"/>
      <c r="B1017" s="95"/>
      <c r="C1017" s="95"/>
      <c r="D1017" s="94"/>
      <c r="E1017" s="94"/>
      <c r="F1017" s="96"/>
      <c r="G1017" s="94"/>
      <c r="H1017" s="96"/>
      <c r="I1017" s="96"/>
      <c r="J1017" s="92"/>
      <c r="K1017" s="97"/>
      <c r="L1017" s="99" t="str">
        <f ca="1">_xlfn.LET(
    _xlpm.res_no, J1017,
    _xlpm.record_sheet, 'MatRes Record'!J:M,
    _xlpm.AllCellsFilled, COUNTA(A1017:K1017) = 11,
    _xlpm.QtyIsInt, AND(ISNUMBER(G1017), G1017=INT(G1017)),
    _xlpm.ReqDateIsValid, AND(ISNUMBER(H1017), H1017&gt;=TODAY()),
    _xlpm.EmailIsValid, RIGHT(I1017,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IF(A1017="", "", IF(_xlpm.error_messages = "", "Yes", _xlpm.error_messages))
)</f>
        <v/>
      </c>
    </row>
    <row r="1018" spans="1:12">
      <c r="A1018" s="94"/>
      <c r="B1018" s="95"/>
      <c r="C1018" s="95"/>
      <c r="D1018" s="94"/>
      <c r="E1018" s="94"/>
      <c r="F1018" s="96"/>
      <c r="G1018" s="94"/>
      <c r="H1018" s="96"/>
      <c r="I1018" s="96"/>
      <c r="J1018" s="92"/>
      <c r="K1018" s="97"/>
      <c r="L1018" s="99" t="str">
        <f ca="1">_xlfn.LET(
    _xlpm.res_no, J1018,
    _xlpm.record_sheet, 'MatRes Record'!J:M,
    _xlpm.AllCellsFilled, COUNTA(A1018:K1018) = 11,
    _xlpm.QtyIsInt, AND(ISNUMBER(G1018), G1018=INT(G1018)),
    _xlpm.ReqDateIsValid, AND(ISNUMBER(H1018), H1018&gt;=TODAY()),
    _xlpm.EmailIsValid, RIGHT(I1018,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IF(A1018="", "", IF(_xlpm.error_messages = "", "Yes", _xlpm.error_messages))
)</f>
        <v/>
      </c>
    </row>
    <row r="1019" spans="1:12">
      <c r="A1019" s="94"/>
      <c r="B1019" s="95"/>
      <c r="C1019" s="95"/>
      <c r="D1019" s="94"/>
      <c r="E1019" s="94"/>
      <c r="F1019" s="96"/>
      <c r="G1019" s="94"/>
      <c r="H1019" s="96"/>
      <c r="I1019" s="96"/>
      <c r="J1019" s="92"/>
      <c r="K1019" s="97"/>
      <c r="L1019" s="99" t="str">
        <f ca="1">_xlfn.LET(
    _xlpm.res_no, J1019,
    _xlpm.record_sheet, 'MatRes Record'!J:M,
    _xlpm.AllCellsFilled, COUNTA(A1019:K1019) = 11,
    _xlpm.QtyIsInt, AND(ISNUMBER(G1019), G1019=INT(G1019)),
    _xlpm.ReqDateIsValid, AND(ISNUMBER(H1019), H1019&gt;=TODAY()),
    _xlpm.EmailIsValid, RIGHT(I1019,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IF(A1019="", "", IF(_xlpm.error_messages = "", "Yes", _xlpm.error_messages))
)</f>
        <v/>
      </c>
    </row>
    <row r="1020" spans="1:12">
      <c r="A1020" s="94"/>
      <c r="B1020" s="95"/>
      <c r="C1020" s="95"/>
      <c r="D1020" s="94"/>
      <c r="E1020" s="94"/>
      <c r="F1020" s="96"/>
      <c r="G1020" s="94"/>
      <c r="H1020" s="96"/>
      <c r="I1020" s="96"/>
      <c r="J1020" s="92"/>
      <c r="K1020" s="97"/>
      <c r="L1020" s="99" t="str">
        <f ca="1">_xlfn.LET(
    _xlpm.res_no, J1020,
    _xlpm.record_sheet, 'MatRes Record'!J:M,
    _xlpm.AllCellsFilled, COUNTA(A1020:K1020) = 11,
    _xlpm.QtyIsInt, AND(ISNUMBER(G1020), G1020=INT(G1020)),
    _xlpm.ReqDateIsValid, AND(ISNUMBER(H1020), H1020&gt;=TODAY()),
    _xlpm.EmailIsValid, RIGHT(I1020,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IF(A1020="", "", IF(_xlpm.error_messages = "", "Yes", _xlpm.error_messages))
)</f>
        <v/>
      </c>
    </row>
    <row r="1021" spans="1:12">
      <c r="A1021" s="94"/>
      <c r="B1021" s="95"/>
      <c r="C1021" s="95"/>
      <c r="D1021" s="94"/>
      <c r="E1021" s="94"/>
      <c r="F1021" s="96"/>
      <c r="G1021" s="94"/>
      <c r="H1021" s="96"/>
      <c r="I1021" s="96"/>
      <c r="J1021" s="92"/>
      <c r="K1021" s="97"/>
      <c r="L1021" s="99" t="str">
        <f ca="1">_xlfn.LET(
    _xlpm.res_no, J1021,
    _xlpm.record_sheet, 'MatRes Record'!J:M,
    _xlpm.AllCellsFilled, COUNTA(A1021:K1021) = 11,
    _xlpm.QtyIsInt, AND(ISNUMBER(G1021), G1021=INT(G1021)),
    _xlpm.ReqDateIsValid, AND(ISNUMBER(H1021), H1021&gt;=TODAY()),
    _xlpm.EmailIsValid, RIGHT(I1021,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IF(A1021="", "", IF(_xlpm.error_messages = "", "Yes", _xlpm.error_messages))
)</f>
        <v/>
      </c>
    </row>
    <row r="1022" spans="1:12">
      <c r="A1022" s="94"/>
      <c r="B1022" s="95"/>
      <c r="C1022" s="95"/>
      <c r="D1022" s="94"/>
      <c r="E1022" s="94"/>
      <c r="F1022" s="96"/>
      <c r="G1022" s="94"/>
      <c r="H1022" s="96"/>
      <c r="I1022" s="96"/>
      <c r="J1022" s="92"/>
      <c r="K1022" s="97"/>
      <c r="L1022" s="99" t="str">
        <f ca="1">_xlfn.LET(
    _xlpm.res_no, J1022,
    _xlpm.record_sheet, 'MatRes Record'!J:M,
    _xlpm.AllCellsFilled, COUNTA(A1022:K1022) = 11,
    _xlpm.QtyIsInt, AND(ISNUMBER(G1022), G1022=INT(G1022)),
    _xlpm.ReqDateIsValid, AND(ISNUMBER(H1022), H1022&gt;=TODAY()),
    _xlpm.EmailIsValid, RIGHT(I1022,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IF(A1022="", "", IF(_xlpm.error_messages = "", "Yes", _xlpm.error_messages))
)</f>
        <v/>
      </c>
    </row>
    <row r="1023" spans="1:12">
      <c r="A1023" s="94"/>
      <c r="B1023" s="95"/>
      <c r="C1023" s="95"/>
      <c r="D1023" s="94"/>
      <c r="E1023" s="94"/>
      <c r="F1023" s="96"/>
      <c r="G1023" s="94"/>
      <c r="H1023" s="96"/>
      <c r="I1023" s="96"/>
      <c r="J1023" s="92"/>
      <c r="K1023" s="97"/>
      <c r="L1023" s="99" t="str">
        <f ca="1">_xlfn.LET(
    _xlpm.res_no, J1023,
    _xlpm.record_sheet, 'MatRes Record'!J:M,
    _xlpm.AllCellsFilled, COUNTA(A1023:K1023) = 11,
    _xlpm.QtyIsInt, AND(ISNUMBER(G1023), G1023=INT(G1023)),
    _xlpm.ReqDateIsValid, AND(ISNUMBER(H1023), H1023&gt;=TODAY()),
    _xlpm.EmailIsValid, RIGHT(I1023,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IF(A1023="", "", IF(_xlpm.error_messages = "", "Yes", _xlpm.error_messages))
)</f>
        <v/>
      </c>
    </row>
    <row r="1024" spans="1:12">
      <c r="A1024" s="94"/>
      <c r="B1024" s="95"/>
      <c r="C1024" s="95"/>
      <c r="D1024" s="94"/>
      <c r="E1024" s="94"/>
      <c r="F1024" s="96"/>
      <c r="G1024" s="94"/>
      <c r="H1024" s="96"/>
      <c r="I1024" s="96"/>
      <c r="J1024" s="92"/>
      <c r="K1024" s="97"/>
      <c r="L1024" s="99" t="str">
        <f ca="1">_xlfn.LET(
    _xlpm.res_no, J1024,
    _xlpm.record_sheet, 'MatRes Record'!J:M,
    _xlpm.AllCellsFilled, COUNTA(A1024:K1024) = 11,
    _xlpm.QtyIsInt, AND(ISNUMBER(G1024), G1024=INT(G1024)),
    _xlpm.ReqDateIsValid, AND(ISNUMBER(H1024), H1024&gt;=TODAY()),
    _xlpm.EmailIsValid, RIGHT(I1024,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IF(A1024="", "", IF(_xlpm.error_messages = "", "Yes", _xlpm.error_messages))
)</f>
        <v/>
      </c>
    </row>
    <row r="1025" spans="1:12">
      <c r="A1025" s="94"/>
      <c r="B1025" s="95"/>
      <c r="C1025" s="95"/>
      <c r="D1025" s="94"/>
      <c r="E1025" s="94"/>
      <c r="F1025" s="96"/>
      <c r="G1025" s="94"/>
      <c r="H1025" s="96"/>
      <c r="I1025" s="96"/>
      <c r="J1025" s="92"/>
      <c r="K1025" s="97"/>
      <c r="L1025" s="99" t="str">
        <f ca="1">_xlfn.LET(
    _xlpm.res_no, J1025,
    _xlpm.record_sheet, 'MatRes Record'!J:M,
    _xlpm.AllCellsFilled, COUNTA(A1025:K1025) = 11,
    _xlpm.QtyIsInt, AND(ISNUMBER(G1025), G1025=INT(G1025)),
    _xlpm.ReqDateIsValid, AND(ISNUMBER(H1025), H1025&gt;=TODAY()),
    _xlpm.EmailIsValid, RIGHT(I1025,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IF(A1025="", "", IF(_xlpm.error_messages = "", "Yes", _xlpm.error_messages))
)</f>
        <v/>
      </c>
    </row>
    <row r="1026" spans="1:12">
      <c r="A1026" s="94"/>
      <c r="B1026" s="95"/>
      <c r="C1026" s="95"/>
      <c r="D1026" s="94"/>
      <c r="E1026" s="94"/>
      <c r="F1026" s="96"/>
      <c r="G1026" s="94"/>
      <c r="H1026" s="96"/>
      <c r="I1026" s="96"/>
      <c r="J1026" s="92"/>
      <c r="K1026" s="97"/>
      <c r="L1026" s="99" t="str">
        <f ca="1">_xlfn.LET(
    _xlpm.res_no, J1026,
    _xlpm.record_sheet, 'MatRes Record'!J:M,
    _xlpm.AllCellsFilled, COUNTA(A1026:K1026) = 11,
    _xlpm.QtyIsInt, AND(ISNUMBER(G1026), G1026=INT(G1026)),
    _xlpm.ReqDateIsValid, AND(ISNUMBER(H1026), H1026&gt;=TODAY()),
    _xlpm.EmailIsValid, RIGHT(I1026,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IF(A1026="", "", IF(_xlpm.error_messages = "", "Yes", _xlpm.error_messages))
)</f>
        <v/>
      </c>
    </row>
    <row r="1027" spans="1:12">
      <c r="A1027" s="94"/>
      <c r="B1027" s="95"/>
      <c r="C1027" s="95"/>
      <c r="D1027" s="94"/>
      <c r="E1027" s="94"/>
      <c r="F1027" s="96"/>
      <c r="G1027" s="94"/>
      <c r="H1027" s="96"/>
      <c r="I1027" s="96"/>
      <c r="J1027" s="92"/>
      <c r="K1027" s="97"/>
      <c r="L1027" s="99" t="str">
        <f ca="1">_xlfn.LET(
    _xlpm.res_no, J1027,
    _xlpm.record_sheet, 'MatRes Record'!J:M,
    _xlpm.AllCellsFilled, COUNTA(A1027:K1027) = 11,
    _xlpm.QtyIsInt, AND(ISNUMBER(G1027), G1027=INT(G1027)),
    _xlpm.ReqDateIsValid, AND(ISNUMBER(H1027), H1027&gt;=TODAY()),
    _xlpm.EmailIsValid, RIGHT(I1027,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IF(A1027="", "", IF(_xlpm.error_messages = "", "Yes", _xlpm.error_messages))
)</f>
        <v/>
      </c>
    </row>
    <row r="1028" spans="1:12">
      <c r="A1028" s="94"/>
      <c r="B1028" s="95"/>
      <c r="C1028" s="95"/>
      <c r="D1028" s="94"/>
      <c r="E1028" s="94"/>
      <c r="F1028" s="96"/>
      <c r="G1028" s="94"/>
      <c r="H1028" s="96"/>
      <c r="I1028" s="96"/>
      <c r="J1028" s="92"/>
      <c r="K1028" s="97"/>
      <c r="L1028" s="99" t="str">
        <f ca="1">_xlfn.LET(
    _xlpm.res_no, J1028,
    _xlpm.record_sheet, 'MatRes Record'!J:M,
    _xlpm.AllCellsFilled, COUNTA(A1028:K1028) = 11,
    _xlpm.QtyIsInt, AND(ISNUMBER(G1028), G1028=INT(G1028)),
    _xlpm.ReqDateIsValid, AND(ISNUMBER(H1028), H1028&gt;=TODAY()),
    _xlpm.EmailIsValid, RIGHT(I1028,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IF(A1028="", "", IF(_xlpm.error_messages = "", "Yes", _xlpm.error_messages))
)</f>
        <v/>
      </c>
    </row>
    <row r="1029" spans="1:12">
      <c r="A1029" s="94"/>
      <c r="B1029" s="95"/>
      <c r="C1029" s="95"/>
      <c r="D1029" s="94"/>
      <c r="E1029" s="94"/>
      <c r="F1029" s="96"/>
      <c r="G1029" s="94"/>
      <c r="H1029" s="96"/>
      <c r="I1029" s="96"/>
      <c r="J1029" s="92"/>
      <c r="K1029" s="97"/>
      <c r="L1029" s="99" t="str">
        <f ca="1">_xlfn.LET(
    _xlpm.res_no, J1029,
    _xlpm.record_sheet, 'MatRes Record'!J:M,
    _xlpm.AllCellsFilled, COUNTA(A1029:K1029) = 11,
    _xlpm.QtyIsInt, AND(ISNUMBER(G1029), G1029=INT(G1029)),
    _xlpm.ReqDateIsValid, AND(ISNUMBER(H1029), H1029&gt;=TODAY()),
    _xlpm.EmailIsValid, RIGHT(I1029,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IF(A1029="", "", IF(_xlpm.error_messages = "", "Yes", _xlpm.error_messages))
)</f>
        <v/>
      </c>
    </row>
    <row r="1030" spans="1:12">
      <c r="A1030" s="94"/>
      <c r="B1030" s="95"/>
      <c r="C1030" s="95"/>
      <c r="D1030" s="94"/>
      <c r="E1030" s="94"/>
      <c r="F1030" s="96"/>
      <c r="G1030" s="94"/>
      <c r="H1030" s="96"/>
      <c r="I1030" s="96"/>
      <c r="J1030" s="92"/>
      <c r="K1030" s="97"/>
      <c r="L1030" s="99" t="str">
        <f ca="1">_xlfn.LET(
    _xlpm.res_no, J1030,
    _xlpm.record_sheet, 'MatRes Record'!J:M,
    _xlpm.AllCellsFilled, COUNTA(A1030:K1030) = 11,
    _xlpm.QtyIsInt, AND(ISNUMBER(G1030), G1030=INT(G1030)),
    _xlpm.ReqDateIsValid, AND(ISNUMBER(H1030), H1030&gt;=TODAY()),
    _xlpm.EmailIsValid, RIGHT(I1030,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IF(A1030="", "", IF(_xlpm.error_messages = "", "Yes", _xlpm.error_messages))
)</f>
        <v/>
      </c>
    </row>
    <row r="1031" spans="1:12">
      <c r="A1031" s="94"/>
      <c r="B1031" s="95"/>
      <c r="C1031" s="95"/>
      <c r="D1031" s="94"/>
      <c r="E1031" s="94"/>
      <c r="F1031" s="96"/>
      <c r="G1031" s="94"/>
      <c r="H1031" s="96"/>
      <c r="I1031" s="96"/>
      <c r="J1031" s="92"/>
      <c r="K1031" s="97"/>
      <c r="L1031" s="99" t="str">
        <f ca="1">_xlfn.LET(
    _xlpm.res_no, J1031,
    _xlpm.record_sheet, 'MatRes Record'!J:M,
    _xlpm.AllCellsFilled, COUNTA(A1031:K1031) = 11,
    _xlpm.QtyIsInt, AND(ISNUMBER(G1031), G1031=INT(G1031)),
    _xlpm.ReqDateIsValid, AND(ISNUMBER(H1031), H1031&gt;=TODAY()),
    _xlpm.EmailIsValid, RIGHT(I1031,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IF(A1031="", "", IF(_xlpm.error_messages = "", "Yes", _xlpm.error_messages))
)</f>
        <v/>
      </c>
    </row>
    <row r="1032" spans="1:12">
      <c r="A1032" s="94"/>
      <c r="B1032" s="95"/>
      <c r="C1032" s="95"/>
      <c r="D1032" s="94"/>
      <c r="E1032" s="94"/>
      <c r="F1032" s="96"/>
      <c r="G1032" s="94"/>
      <c r="H1032" s="96"/>
      <c r="I1032" s="96"/>
      <c r="J1032" s="92"/>
      <c r="K1032" s="97"/>
      <c r="L1032" s="99" t="str">
        <f ca="1">_xlfn.LET(
    _xlpm.res_no, J1032,
    _xlpm.record_sheet, 'MatRes Record'!J:M,
    _xlpm.AllCellsFilled, COUNTA(A1032:K1032) = 11,
    _xlpm.QtyIsInt, AND(ISNUMBER(G1032), G1032=INT(G1032)),
    _xlpm.ReqDateIsValid, AND(ISNUMBER(H1032), H1032&gt;=TODAY()),
    _xlpm.EmailIsValid, RIGHT(I1032,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IF(A1032="", "", IF(_xlpm.error_messages = "", "Yes", _xlpm.error_messages))
)</f>
        <v/>
      </c>
    </row>
    <row r="1033" spans="1:12">
      <c r="A1033" s="94"/>
      <c r="B1033" s="95"/>
      <c r="C1033" s="95"/>
      <c r="D1033" s="94"/>
      <c r="E1033" s="94"/>
      <c r="F1033" s="96"/>
      <c r="G1033" s="94"/>
      <c r="H1033" s="96"/>
      <c r="I1033" s="96"/>
      <c r="J1033" s="92"/>
      <c r="K1033" s="97"/>
      <c r="L1033" s="99" t="str">
        <f ca="1">_xlfn.LET(
    _xlpm.res_no, J1033,
    _xlpm.record_sheet, 'MatRes Record'!J:M,
    _xlpm.AllCellsFilled, COUNTA(A1033:K1033) = 11,
    _xlpm.QtyIsInt, AND(ISNUMBER(G1033), G1033=INT(G1033)),
    _xlpm.ReqDateIsValid, AND(ISNUMBER(H1033), H1033&gt;=TODAY()),
    _xlpm.EmailIsValid, RIGHT(I1033,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IF(A1033="", "", IF(_xlpm.error_messages = "", "Yes", _xlpm.error_messages))
)</f>
        <v/>
      </c>
    </row>
    <row r="1034" spans="1:12">
      <c r="A1034" s="94"/>
      <c r="B1034" s="95"/>
      <c r="C1034" s="95"/>
      <c r="D1034" s="94"/>
      <c r="E1034" s="94"/>
      <c r="F1034" s="96"/>
      <c r="G1034" s="94"/>
      <c r="H1034" s="96"/>
      <c r="I1034" s="96"/>
      <c r="J1034" s="92"/>
      <c r="K1034" s="97"/>
      <c r="L1034" s="99" t="str">
        <f ca="1">_xlfn.LET(
    _xlpm.res_no, J1034,
    _xlpm.record_sheet, 'MatRes Record'!J:M,
    _xlpm.AllCellsFilled, COUNTA(A1034:K1034) = 11,
    _xlpm.QtyIsInt, AND(ISNUMBER(G1034), G1034=INT(G1034)),
    _xlpm.ReqDateIsValid, AND(ISNUMBER(H1034), H1034&gt;=TODAY()),
    _xlpm.EmailIsValid, RIGHT(I1034,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IF(A1034="", "", IF(_xlpm.error_messages = "", "Yes", _xlpm.error_messages))
)</f>
        <v/>
      </c>
    </row>
    <row r="1035" spans="1:12">
      <c r="A1035" s="94"/>
      <c r="B1035" s="95"/>
      <c r="C1035" s="95"/>
      <c r="D1035" s="94"/>
      <c r="E1035" s="94"/>
      <c r="F1035" s="96"/>
      <c r="G1035" s="94"/>
      <c r="H1035" s="96"/>
      <c r="I1035" s="96"/>
      <c r="J1035" s="92"/>
      <c r="K1035" s="97"/>
      <c r="L1035" s="99" t="str">
        <f ca="1">_xlfn.LET(
    _xlpm.res_no, J1035,
    _xlpm.record_sheet, 'MatRes Record'!J:M,
    _xlpm.AllCellsFilled, COUNTA(A1035:K1035) = 11,
    _xlpm.QtyIsInt, AND(ISNUMBER(G1035), G1035=INT(G1035)),
    _xlpm.ReqDateIsValid, AND(ISNUMBER(H1035), H1035&gt;=TODAY()),
    _xlpm.EmailIsValid, RIGHT(I1035,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IF(A1035="", "", IF(_xlpm.error_messages = "", "Yes", _xlpm.error_messages))
)</f>
        <v/>
      </c>
    </row>
    <row r="1036" spans="1:12">
      <c r="A1036" s="94"/>
      <c r="B1036" s="95"/>
      <c r="C1036" s="95"/>
      <c r="D1036" s="94"/>
      <c r="E1036" s="94"/>
      <c r="F1036" s="96"/>
      <c r="G1036" s="94"/>
      <c r="H1036" s="96"/>
      <c r="I1036" s="96"/>
      <c r="J1036" s="92"/>
      <c r="K1036" s="97"/>
      <c r="L1036" s="99" t="str">
        <f ca="1">_xlfn.LET(
    _xlpm.res_no, J1036,
    _xlpm.record_sheet, 'MatRes Record'!J:M,
    _xlpm.AllCellsFilled, COUNTA(A1036:K1036) = 11,
    _xlpm.QtyIsInt, AND(ISNUMBER(G1036), G1036=INT(G1036)),
    _xlpm.ReqDateIsValid, AND(ISNUMBER(H1036), H1036&gt;=TODAY()),
    _xlpm.EmailIsValid, RIGHT(I1036,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IF(A1036="", "", IF(_xlpm.error_messages = "", "Yes", _xlpm.error_messages))
)</f>
        <v/>
      </c>
    </row>
    <row r="1037" spans="1:12">
      <c r="A1037" s="94"/>
      <c r="B1037" s="95"/>
      <c r="C1037" s="95"/>
      <c r="D1037" s="94"/>
      <c r="E1037" s="94"/>
      <c r="F1037" s="96"/>
      <c r="G1037" s="94"/>
      <c r="H1037" s="96"/>
      <c r="I1037" s="96"/>
      <c r="J1037" s="92"/>
      <c r="K1037" s="97"/>
      <c r="L1037" s="99" t="str">
        <f ca="1">_xlfn.LET(
    _xlpm.res_no, J1037,
    _xlpm.record_sheet, 'MatRes Record'!J:M,
    _xlpm.AllCellsFilled, COUNTA(A1037:K1037) = 11,
    _xlpm.QtyIsInt, AND(ISNUMBER(G1037), G1037=INT(G1037)),
    _xlpm.ReqDateIsValid, AND(ISNUMBER(H1037), H1037&gt;=TODAY()),
    _xlpm.EmailIsValid, RIGHT(I1037,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IF(A1037="", "", IF(_xlpm.error_messages = "", "Yes", _xlpm.error_messages))
)</f>
        <v/>
      </c>
    </row>
    <row r="1038" spans="1:12">
      <c r="A1038" s="94"/>
      <c r="B1038" s="95"/>
      <c r="C1038" s="95"/>
      <c r="D1038" s="94"/>
      <c r="E1038" s="94"/>
      <c r="F1038" s="96"/>
      <c r="G1038" s="94"/>
      <c r="H1038" s="96"/>
      <c r="I1038" s="96"/>
      <c r="J1038" s="92"/>
      <c r="K1038" s="97"/>
      <c r="L1038" s="99" t="str">
        <f ca="1">_xlfn.LET(
    _xlpm.res_no, J1038,
    _xlpm.record_sheet, 'MatRes Record'!J:M,
    _xlpm.AllCellsFilled, COUNTA(A1038:K1038) = 11,
    _xlpm.QtyIsInt, AND(ISNUMBER(G1038), G1038=INT(G1038)),
    _xlpm.ReqDateIsValid, AND(ISNUMBER(H1038), H1038&gt;=TODAY()),
    _xlpm.EmailIsValid, RIGHT(I1038,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IF(A1038="", "", IF(_xlpm.error_messages = "", "Yes", _xlpm.error_messages))
)</f>
        <v/>
      </c>
    </row>
    <row r="1039" spans="1:12">
      <c r="A1039" s="94"/>
      <c r="B1039" s="95"/>
      <c r="C1039" s="95"/>
      <c r="D1039" s="94"/>
      <c r="E1039" s="94"/>
      <c r="F1039" s="96"/>
      <c r="G1039" s="94"/>
      <c r="H1039" s="96"/>
      <c r="I1039" s="96"/>
      <c r="J1039" s="92"/>
      <c r="K1039" s="97"/>
      <c r="L1039" s="99" t="str">
        <f ca="1">_xlfn.LET(
    _xlpm.res_no, J1039,
    _xlpm.record_sheet, 'MatRes Record'!J:M,
    _xlpm.AllCellsFilled, COUNTA(A1039:K1039) = 11,
    _xlpm.QtyIsInt, AND(ISNUMBER(G1039), G1039=INT(G1039)),
    _xlpm.ReqDateIsValid, AND(ISNUMBER(H1039), H1039&gt;=TODAY()),
    _xlpm.EmailIsValid, RIGHT(I1039,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IF(A1039="", "", IF(_xlpm.error_messages = "", "Yes", _xlpm.error_messages))
)</f>
        <v/>
      </c>
    </row>
    <row r="1040" spans="1:12">
      <c r="A1040" s="109"/>
      <c r="B1040" s="110"/>
      <c r="C1040" s="111"/>
      <c r="D1040" s="110"/>
      <c r="E1040" s="110"/>
      <c r="F1040" s="112"/>
      <c r="G1040" s="110"/>
      <c r="H1040" s="112"/>
      <c r="I1040" s="112"/>
      <c r="J1040" s="113"/>
      <c r="K1040" s="110"/>
      <c r="L1040" s="99" t="str">
        <f ca="1">_xlfn.LET(
    _xlpm.res_no, J1040,
    _xlpm.record_sheet, 'MatRes Record'!J:M,
    _xlpm.AllCellsFilled, COUNTA(A1040:K1040) = 11,
    _xlpm.QtyIsInt, AND(ISNUMBER(G1040), G1040=INT(G1040)),
    _xlpm.ReqDateIsValid, AND(ISNUMBER(H1040), H1040&gt;=TODAY()),
    _xlpm.EmailIsValid, RIGHT(I1040,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IF(A1040="", "", IF(_xlpm.error_messages = "", "Yes", _xlpm.error_messages))
)</f>
        <v/>
      </c>
    </row>
    <row r="1041" spans="1:12">
      <c r="A1041" s="114"/>
      <c r="B1041" s="115"/>
      <c r="C1041" s="116"/>
      <c r="D1041" s="115"/>
      <c r="E1041" s="115"/>
      <c r="F1041" s="117"/>
      <c r="G1041" s="115"/>
      <c r="H1041" s="117"/>
      <c r="I1041" s="117"/>
      <c r="J1041" s="118"/>
      <c r="K1041" s="115"/>
      <c r="L1041" s="99" t="str">
        <f ca="1">_xlfn.LET(
    _xlpm.res_no, J1041,
    _xlpm.record_sheet, 'MatRes Record'!J:M,
    _xlpm.AllCellsFilled, COUNTA(A1041:K1041) = 11,
    _xlpm.QtyIsInt, AND(ISNUMBER(G1041), G1041=INT(G1041)),
    _xlpm.ReqDateIsValid, AND(ISNUMBER(H1041), H1041&gt;=TODAY()),
    _xlpm.EmailIsValid, RIGHT(I1041,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IF(A1041="", "", IF(_xlpm.error_messages = "", "Yes", _xlpm.error_messages))
)</f>
        <v/>
      </c>
    </row>
    <row r="1042" spans="1:12">
      <c r="A1042" s="109"/>
      <c r="B1042" s="110"/>
      <c r="C1042" s="111"/>
      <c r="D1042" s="110"/>
      <c r="E1042" s="110"/>
      <c r="F1042" s="112"/>
      <c r="G1042" s="110"/>
      <c r="H1042" s="112"/>
      <c r="I1042" s="112"/>
      <c r="J1042" s="113"/>
      <c r="K1042" s="110"/>
      <c r="L1042" s="99" t="str">
        <f ca="1">_xlfn.LET(
    _xlpm.res_no, J1042,
    _xlpm.record_sheet, 'MatRes Record'!J:M,
    _xlpm.AllCellsFilled, COUNTA(A1042:K1042) = 11,
    _xlpm.QtyIsInt, AND(ISNUMBER(G1042), G1042=INT(G1042)),
    _xlpm.ReqDateIsValid, AND(ISNUMBER(H1042), H1042&gt;=TODAY()),
    _xlpm.EmailIsValid, RIGHT(I1042,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IF(A1042="", "", IF(_xlpm.error_messages = "", "Yes", _xlpm.error_messages))
)</f>
        <v/>
      </c>
    </row>
    <row r="1043" spans="1:12">
      <c r="A1043" s="114"/>
      <c r="B1043" s="115"/>
      <c r="C1043" s="116"/>
      <c r="D1043" s="115"/>
      <c r="E1043" s="115"/>
      <c r="F1043" s="117"/>
      <c r="G1043" s="115"/>
      <c r="H1043" s="117"/>
      <c r="I1043" s="117"/>
      <c r="J1043" s="118"/>
      <c r="K1043" s="115"/>
      <c r="L1043" s="99" t="str">
        <f ca="1">_xlfn.LET(
    _xlpm.res_no, J1043,
    _xlpm.record_sheet, 'MatRes Record'!J:M,
    _xlpm.AllCellsFilled, COUNTA(A1043:K1043) = 11,
    _xlpm.QtyIsInt, AND(ISNUMBER(G1043), G1043=INT(G1043)),
    _xlpm.ReqDateIsValid, AND(ISNUMBER(H1043), H1043&gt;=TODAY()),
    _xlpm.EmailIsValid, RIGHT(I1043,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IF(A1043="", "", IF(_xlpm.error_messages = "", "Yes", _xlpm.error_messages))
)</f>
        <v/>
      </c>
    </row>
    <row r="1044" spans="1:12">
      <c r="A1044" s="109"/>
      <c r="B1044" s="110"/>
      <c r="C1044" s="111"/>
      <c r="D1044" s="110"/>
      <c r="E1044" s="110"/>
      <c r="F1044" s="112"/>
      <c r="G1044" s="110"/>
      <c r="H1044" s="112"/>
      <c r="I1044" s="112"/>
      <c r="J1044" s="113"/>
      <c r="K1044" s="110"/>
      <c r="L1044" s="99" t="str">
        <f ca="1">_xlfn.LET(
    _xlpm.res_no, J1044,
    _xlpm.record_sheet, 'MatRes Record'!J:M,
    _xlpm.AllCellsFilled, COUNTA(A1044:K1044) = 11,
    _xlpm.QtyIsInt, AND(ISNUMBER(G1044), G1044=INT(G1044)),
    _xlpm.ReqDateIsValid, AND(ISNUMBER(H1044), H1044&gt;=TODAY()),
    _xlpm.EmailIsValid, RIGHT(I1044,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IF(A1044="", "", IF(_xlpm.error_messages = "", "Yes", _xlpm.error_messages))
)</f>
        <v/>
      </c>
    </row>
    <row r="1045" spans="1:12">
      <c r="A1045" s="114"/>
      <c r="B1045" s="115"/>
      <c r="C1045" s="116"/>
      <c r="D1045" s="115"/>
      <c r="E1045" s="115"/>
      <c r="F1045" s="117"/>
      <c r="G1045" s="115"/>
      <c r="H1045" s="117"/>
      <c r="I1045" s="117"/>
      <c r="J1045" s="118"/>
      <c r="K1045" s="115"/>
      <c r="L1045" s="99" t="str">
        <f ca="1">_xlfn.LET(
    _xlpm.res_no, J1045,
    _xlpm.record_sheet, 'MatRes Record'!J:M,
    _xlpm.AllCellsFilled, COUNTA(A1045:K1045) = 11,
    _xlpm.QtyIsInt, AND(ISNUMBER(G1045), G1045=INT(G1045)),
    _xlpm.ReqDateIsValid, AND(ISNUMBER(H1045), H1045&gt;=TODAY()),
    _xlpm.EmailIsValid, RIGHT(I1045,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IF(A1045="", "", IF(_xlpm.error_messages = "", "Yes", _xlpm.error_messages))
)</f>
        <v/>
      </c>
    </row>
    <row r="1046" spans="1:12">
      <c r="A1046" s="109"/>
      <c r="B1046" s="110"/>
      <c r="C1046" s="111"/>
      <c r="D1046" s="110"/>
      <c r="E1046" s="110"/>
      <c r="F1046" s="112"/>
      <c r="G1046" s="110"/>
      <c r="H1046" s="112"/>
      <c r="I1046" s="112"/>
      <c r="J1046" s="113"/>
      <c r="K1046" s="110"/>
      <c r="L1046" s="99" t="str">
        <f ca="1">_xlfn.LET(
    _xlpm.res_no, J1046,
    _xlpm.record_sheet, 'MatRes Record'!J:M,
    _xlpm.AllCellsFilled, COUNTA(A1046:K1046) = 11,
    _xlpm.QtyIsInt, AND(ISNUMBER(G1046), G1046=INT(G1046)),
    _xlpm.ReqDateIsValid, AND(ISNUMBER(H1046), H1046&gt;=TODAY()),
    _xlpm.EmailIsValid, RIGHT(I1046,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IF(A1046="", "", IF(_xlpm.error_messages = "", "Yes", _xlpm.error_messages))
)</f>
        <v/>
      </c>
    </row>
    <row r="1047" spans="1:12">
      <c r="A1047" s="119"/>
      <c r="B1047" s="118"/>
      <c r="C1047" s="120"/>
      <c r="D1047" s="121"/>
      <c r="E1047" s="121"/>
      <c r="F1047" s="122"/>
      <c r="G1047" s="118"/>
      <c r="H1047" s="117"/>
      <c r="I1047" s="122"/>
      <c r="J1047" s="118"/>
      <c r="K1047" s="115"/>
      <c r="L1047" s="99" t="str">
        <f ca="1">_xlfn.LET(
    _xlpm.res_no, J1047,
    _xlpm.record_sheet, 'MatRes Record'!J:M,
    _xlpm.AllCellsFilled, COUNTA(A1047:K1047) = 11,
    _xlpm.QtyIsInt, AND(ISNUMBER(G1047), G1047=INT(G1047)),
    _xlpm.ReqDateIsValid, AND(ISNUMBER(H1047), H1047&gt;=TODAY()),
    _xlpm.EmailIsValid, RIGHT(I1047,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IF(A1047="", "", IF(_xlpm.error_messages = "", "Yes", _xlpm.error_messages))
)</f>
        <v/>
      </c>
    </row>
    <row r="1048" spans="1:12">
      <c r="A1048" s="123"/>
      <c r="B1048" s="113"/>
      <c r="C1048" s="124"/>
      <c r="D1048" s="125"/>
      <c r="E1048" s="125"/>
      <c r="F1048" s="126"/>
      <c r="G1048" s="113"/>
      <c r="H1048" s="112"/>
      <c r="I1048" s="126"/>
      <c r="J1048" s="113"/>
      <c r="K1048" s="110"/>
      <c r="L1048" s="99" t="str">
        <f ca="1">_xlfn.LET(
    _xlpm.res_no, J1048,
    _xlpm.record_sheet, 'MatRes Record'!J:M,
    _xlpm.AllCellsFilled, COUNTA(A1048:K1048) = 11,
    _xlpm.QtyIsInt, AND(ISNUMBER(G1048), G1048=INT(G1048)),
    _xlpm.ReqDateIsValid, AND(ISNUMBER(H1048), H1048&gt;=TODAY()),
    _xlpm.EmailIsValid, RIGHT(I1048,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IF(A1048="", "", IF(_xlpm.error_messages = "", "Yes", _xlpm.error_messages))
)</f>
        <v/>
      </c>
    </row>
    <row r="1049" spans="1:12">
      <c r="A1049" s="119"/>
      <c r="B1049" s="120"/>
      <c r="C1049" s="120"/>
      <c r="D1049" s="121"/>
      <c r="E1049" s="121"/>
      <c r="F1049" s="122"/>
      <c r="G1049" s="118"/>
      <c r="H1049" s="117"/>
      <c r="I1049" s="122"/>
      <c r="J1049" s="120"/>
      <c r="K1049" s="115"/>
      <c r="L1049" s="99" t="str">
        <f ca="1">_xlfn.LET(
    _xlpm.res_no, J1049,
    _xlpm.record_sheet, 'MatRes Record'!J:M,
    _xlpm.AllCellsFilled, COUNTA(A1049:K1049) = 11,
    _xlpm.QtyIsInt, AND(ISNUMBER(G1049), G1049=INT(G1049)),
    _xlpm.ReqDateIsValid, AND(ISNUMBER(H1049), H1049&gt;=TODAY()),
    _xlpm.EmailIsValid, RIGHT(I1049,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IF(A1049="", "", IF(_xlpm.error_messages = "", "Yes", _xlpm.error_messages))
)</f>
        <v/>
      </c>
    </row>
    <row r="1050" spans="1:12">
      <c r="A1050" s="123"/>
      <c r="B1050" s="124"/>
      <c r="C1050" s="124"/>
      <c r="D1050" s="125"/>
      <c r="E1050" s="125"/>
      <c r="F1050" s="126"/>
      <c r="G1050" s="113"/>
      <c r="H1050" s="112"/>
      <c r="I1050" s="126"/>
      <c r="J1050" s="124"/>
      <c r="K1050" s="110"/>
      <c r="L1050" s="99" t="str">
        <f ca="1">_xlfn.LET(
    _xlpm.res_no, J1050,
    _xlpm.record_sheet, 'MatRes Record'!J:M,
    _xlpm.AllCellsFilled, COUNTA(A1050:K1050) = 11,
    _xlpm.QtyIsInt, AND(ISNUMBER(G1050), G1050=INT(G1050)),
    _xlpm.ReqDateIsValid, AND(ISNUMBER(H1050), H1050&gt;=TODAY()),
    _xlpm.EmailIsValid, RIGHT(I1050,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IF(A1050="", "", IF(_xlpm.error_messages = "", "Yes", _xlpm.error_messages))
)</f>
        <v/>
      </c>
    </row>
    <row r="1051" spans="1:12">
      <c r="A1051" s="119"/>
      <c r="B1051" s="120"/>
      <c r="C1051" s="120"/>
      <c r="D1051" s="121"/>
      <c r="E1051" s="121"/>
      <c r="F1051" s="122"/>
      <c r="G1051" s="118"/>
      <c r="H1051" s="117"/>
      <c r="I1051" s="122"/>
      <c r="J1051" s="120"/>
      <c r="K1051" s="115"/>
      <c r="L1051" s="99" t="str">
        <f ca="1">_xlfn.LET(
    _xlpm.res_no, J1051,
    _xlpm.record_sheet, 'MatRes Record'!J:M,
    _xlpm.AllCellsFilled, COUNTA(A1051:K1051) = 11,
    _xlpm.QtyIsInt, AND(ISNUMBER(G1051), G1051=INT(G1051)),
    _xlpm.ReqDateIsValid, AND(ISNUMBER(H1051), H1051&gt;=TODAY()),
    _xlpm.EmailIsValid, RIGHT(I1051,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IF(A1051="", "", IF(_xlpm.error_messages = "", "Yes", _xlpm.error_messages))
)</f>
        <v/>
      </c>
    </row>
    <row r="1052" spans="1:12">
      <c r="A1052" s="123"/>
      <c r="B1052" s="124"/>
      <c r="C1052" s="124"/>
      <c r="D1052" s="125"/>
      <c r="E1052" s="125"/>
      <c r="F1052" s="126"/>
      <c r="G1052" s="113"/>
      <c r="H1052" s="112"/>
      <c r="I1052" s="126"/>
      <c r="J1052" s="124"/>
      <c r="K1052" s="110"/>
      <c r="L1052" s="99" t="str">
        <f ca="1">_xlfn.LET(
    _xlpm.res_no, J1052,
    _xlpm.record_sheet, 'MatRes Record'!J:M,
    _xlpm.AllCellsFilled, COUNTA(A1052:K1052) = 11,
    _xlpm.QtyIsInt, AND(ISNUMBER(G1052), G1052=INT(G1052)),
    _xlpm.ReqDateIsValid, AND(ISNUMBER(H1052), H1052&gt;=TODAY()),
    _xlpm.EmailIsValid, RIGHT(I1052,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IF(A1052="", "", IF(_xlpm.error_messages = "", "Yes", _xlpm.error_messages))
)</f>
        <v/>
      </c>
    </row>
    <row r="1053" spans="1:12">
      <c r="A1053" s="119"/>
      <c r="B1053" s="120"/>
      <c r="C1053" s="120"/>
      <c r="D1053" s="121"/>
      <c r="E1053" s="121"/>
      <c r="F1053" s="122"/>
      <c r="G1053" s="118"/>
      <c r="H1053" s="117"/>
      <c r="I1053" s="122"/>
      <c r="J1053" s="120"/>
      <c r="K1053" s="115"/>
      <c r="L1053" s="99" t="str">
        <f ca="1">_xlfn.LET(
    _xlpm.res_no, J1053,
    _xlpm.record_sheet, 'MatRes Record'!J:M,
    _xlpm.AllCellsFilled, COUNTA(A1053:K1053) = 11,
    _xlpm.QtyIsInt, AND(ISNUMBER(G1053), G1053=INT(G1053)),
    _xlpm.ReqDateIsValid, AND(ISNUMBER(H1053), H1053&gt;=TODAY()),
    _xlpm.EmailIsValid, RIGHT(I1053,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IF(A1053="", "", IF(_xlpm.error_messages = "", "Yes", _xlpm.error_messages))
)</f>
        <v/>
      </c>
    </row>
    <row r="1054" spans="1:12">
      <c r="A1054" s="123"/>
      <c r="B1054" s="124"/>
      <c r="C1054" s="124"/>
      <c r="D1054" s="125"/>
      <c r="E1054" s="125"/>
      <c r="F1054" s="126"/>
      <c r="G1054" s="113"/>
      <c r="H1054" s="112"/>
      <c r="I1054" s="126"/>
      <c r="J1054" s="124"/>
      <c r="K1054" s="110"/>
      <c r="L1054" s="99" t="str">
        <f ca="1">_xlfn.LET(
    _xlpm.res_no, J1054,
    _xlpm.record_sheet, 'MatRes Record'!J:M,
    _xlpm.AllCellsFilled, COUNTA(A1054:K1054) = 11,
    _xlpm.QtyIsInt, AND(ISNUMBER(G1054), G1054=INT(G1054)),
    _xlpm.ReqDateIsValid, AND(ISNUMBER(H1054), H1054&gt;=TODAY()),
    _xlpm.EmailIsValid, RIGHT(I1054,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IF(A1054="", "", IF(_xlpm.error_messages = "", "Yes", _xlpm.error_messages))
)</f>
        <v/>
      </c>
    </row>
    <row r="1055" spans="1:12">
      <c r="A1055" s="119"/>
      <c r="B1055" s="120"/>
      <c r="C1055" s="120"/>
      <c r="D1055" s="121"/>
      <c r="E1055" s="121"/>
      <c r="F1055" s="122"/>
      <c r="G1055" s="118"/>
      <c r="H1055" s="117"/>
      <c r="I1055" s="122"/>
      <c r="J1055" s="120"/>
      <c r="K1055" s="115"/>
      <c r="L1055" s="99" t="str">
        <f ca="1">_xlfn.LET(
    _xlpm.res_no, J1055,
    _xlpm.record_sheet, 'MatRes Record'!J:M,
    _xlpm.AllCellsFilled, COUNTA(A1055:K1055) = 11,
    _xlpm.QtyIsInt, AND(ISNUMBER(G1055), G1055=INT(G1055)),
    _xlpm.ReqDateIsValid, AND(ISNUMBER(H1055), H1055&gt;=TODAY()),
    _xlpm.EmailIsValid, RIGHT(I1055,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IF(A1055="", "", IF(_xlpm.error_messages = "", "Yes", _xlpm.error_messages))
)</f>
        <v/>
      </c>
    </row>
    <row r="1056" spans="1:12">
      <c r="A1056" s="123"/>
      <c r="B1056" s="124"/>
      <c r="C1056" s="124"/>
      <c r="D1056" s="125"/>
      <c r="E1056" s="125"/>
      <c r="F1056" s="126"/>
      <c r="G1056" s="113"/>
      <c r="H1056" s="112"/>
      <c r="I1056" s="126"/>
      <c r="J1056" s="124"/>
      <c r="K1056" s="110"/>
      <c r="L1056" s="99" t="str">
        <f ca="1">_xlfn.LET(
    _xlpm.res_no, J1056,
    _xlpm.record_sheet, 'MatRes Record'!J:M,
    _xlpm.AllCellsFilled, COUNTA(A1056:K1056) = 11,
    _xlpm.QtyIsInt, AND(ISNUMBER(G1056), G1056=INT(G1056)),
    _xlpm.ReqDateIsValid, AND(ISNUMBER(H1056), H1056&gt;=TODAY()),
    _xlpm.EmailIsValid, RIGHT(I1056,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IF(A1056="", "", IF(_xlpm.error_messages = "", "Yes", _xlpm.error_messages))
)</f>
        <v/>
      </c>
    </row>
    <row r="1057" spans="1:12">
      <c r="A1057" s="119"/>
      <c r="B1057" s="120"/>
      <c r="C1057" s="120"/>
      <c r="D1057" s="121"/>
      <c r="E1057" s="121"/>
      <c r="F1057" s="122"/>
      <c r="G1057" s="118"/>
      <c r="H1057" s="117"/>
      <c r="I1057" s="122"/>
      <c r="J1057" s="120"/>
      <c r="K1057" s="115"/>
      <c r="L1057" s="99" t="str">
        <f ca="1">_xlfn.LET(
    _xlpm.res_no, J1057,
    _xlpm.record_sheet, 'MatRes Record'!J:M,
    _xlpm.AllCellsFilled, COUNTA(A1057:K1057) = 11,
    _xlpm.QtyIsInt, AND(ISNUMBER(G1057), G1057=INT(G1057)),
    _xlpm.ReqDateIsValid, AND(ISNUMBER(H1057), H1057&gt;=TODAY()),
    _xlpm.EmailIsValid, RIGHT(I1057,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IF(A1057="", "", IF(_xlpm.error_messages = "", "Yes", _xlpm.error_messages))
)</f>
        <v/>
      </c>
    </row>
    <row r="1058" spans="1:12">
      <c r="A1058" s="123"/>
      <c r="B1058" s="124"/>
      <c r="C1058" s="124"/>
      <c r="D1058" s="125"/>
      <c r="E1058" s="125"/>
      <c r="F1058" s="126"/>
      <c r="G1058" s="113"/>
      <c r="H1058" s="112"/>
      <c r="I1058" s="126"/>
      <c r="J1058" s="124"/>
      <c r="K1058" s="110"/>
      <c r="L1058" s="99" t="str">
        <f ca="1">_xlfn.LET(
    _xlpm.res_no, J1058,
    _xlpm.record_sheet, 'MatRes Record'!J:M,
    _xlpm.AllCellsFilled, COUNTA(A1058:K1058) = 11,
    _xlpm.QtyIsInt, AND(ISNUMBER(G1058), G1058=INT(G1058)),
    _xlpm.ReqDateIsValid, AND(ISNUMBER(H1058), H1058&gt;=TODAY()),
    _xlpm.EmailIsValid, RIGHT(I1058,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IF(A1058="", "", IF(_xlpm.error_messages = "", "Yes", _xlpm.error_messages))
)</f>
        <v/>
      </c>
    </row>
    <row r="1059" spans="1:12">
      <c r="A1059" s="119"/>
      <c r="B1059" s="120"/>
      <c r="C1059" s="120"/>
      <c r="D1059" s="121"/>
      <c r="E1059" s="121"/>
      <c r="F1059" s="122"/>
      <c r="G1059" s="118"/>
      <c r="H1059" s="117"/>
      <c r="I1059" s="122"/>
      <c r="J1059" s="120"/>
      <c r="K1059" s="115"/>
      <c r="L1059" s="99" t="str">
        <f ca="1">_xlfn.LET(
    _xlpm.res_no, J1059,
    _xlpm.record_sheet, 'MatRes Record'!J:M,
    _xlpm.AllCellsFilled, COUNTA(A1059:K1059) = 11,
    _xlpm.QtyIsInt, AND(ISNUMBER(G1059), G1059=INT(G1059)),
    _xlpm.ReqDateIsValid, AND(ISNUMBER(H1059), H1059&gt;=TODAY()),
    _xlpm.EmailIsValid, RIGHT(I1059,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IF(A1059="", "", IF(_xlpm.error_messages = "", "Yes", _xlpm.error_messages))
)</f>
        <v/>
      </c>
    </row>
    <row r="1060" spans="1:12">
      <c r="A1060" s="123"/>
      <c r="B1060" s="124"/>
      <c r="C1060" s="124"/>
      <c r="D1060" s="125"/>
      <c r="E1060" s="125"/>
      <c r="F1060" s="126"/>
      <c r="G1060" s="113"/>
      <c r="H1060" s="112"/>
      <c r="I1060" s="126"/>
      <c r="J1060" s="124"/>
      <c r="K1060" s="110"/>
      <c r="L1060" s="99" t="str">
        <f ca="1">_xlfn.LET(
    _xlpm.res_no, J1060,
    _xlpm.record_sheet, 'MatRes Record'!J:M,
    _xlpm.AllCellsFilled, COUNTA(A1060:K1060) = 11,
    _xlpm.QtyIsInt, AND(ISNUMBER(G1060), G1060=INT(G1060)),
    _xlpm.ReqDateIsValid, AND(ISNUMBER(H1060), H1060&gt;=TODAY()),
    _xlpm.EmailIsValid, RIGHT(I1060,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IF(A1060="", "", IF(_xlpm.error_messages = "", "Yes", _xlpm.error_messages))
)</f>
        <v/>
      </c>
    </row>
    <row r="1061" spans="1:12">
      <c r="A1061" s="119"/>
      <c r="B1061" s="120"/>
      <c r="C1061" s="120"/>
      <c r="D1061" s="121"/>
      <c r="E1061" s="121"/>
      <c r="F1061" s="122"/>
      <c r="G1061" s="118"/>
      <c r="H1061" s="117"/>
      <c r="I1061" s="122"/>
      <c r="J1061" s="120"/>
      <c r="K1061" s="115"/>
      <c r="L1061" s="99" t="str">
        <f ca="1">_xlfn.LET(
    _xlpm.res_no, J1061,
    _xlpm.record_sheet, 'MatRes Record'!J:M,
    _xlpm.AllCellsFilled, COUNTA(A1061:K1061) = 11,
    _xlpm.QtyIsInt, AND(ISNUMBER(G1061), G1061=INT(G1061)),
    _xlpm.ReqDateIsValid, AND(ISNUMBER(H1061), H1061&gt;=TODAY()),
    _xlpm.EmailIsValid, RIGHT(I1061,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IF(A1061="", "", IF(_xlpm.error_messages = "", "Yes", _xlpm.error_messages))
)</f>
        <v/>
      </c>
    </row>
    <row r="1062" spans="1:12">
      <c r="A1062" s="123"/>
      <c r="B1062" s="124"/>
      <c r="C1062" s="124"/>
      <c r="D1062" s="125"/>
      <c r="E1062" s="125"/>
      <c r="F1062" s="126"/>
      <c r="G1062" s="113"/>
      <c r="H1062" s="112"/>
      <c r="I1062" s="126"/>
      <c r="J1062" s="124"/>
      <c r="K1062" s="110"/>
      <c r="L1062" s="99" t="str">
        <f ca="1">_xlfn.LET(
    _xlpm.res_no, J1062,
    _xlpm.record_sheet, 'MatRes Record'!J:M,
    _xlpm.AllCellsFilled, COUNTA(A1062:K1062) = 11,
    _xlpm.QtyIsInt, AND(ISNUMBER(G1062), G1062=INT(G1062)),
    _xlpm.ReqDateIsValid, AND(ISNUMBER(H1062), H1062&gt;=TODAY()),
    _xlpm.EmailIsValid, RIGHT(I1062,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IF(A1062="", "", IF(_xlpm.error_messages = "", "Yes", _xlpm.error_messages))
)</f>
        <v/>
      </c>
    </row>
    <row r="1063" spans="1:12">
      <c r="A1063" s="119"/>
      <c r="B1063" s="120"/>
      <c r="C1063" s="120"/>
      <c r="D1063" s="121"/>
      <c r="E1063" s="121"/>
      <c r="F1063" s="122"/>
      <c r="G1063" s="118"/>
      <c r="H1063" s="117"/>
      <c r="I1063" s="122"/>
      <c r="J1063" s="120"/>
      <c r="K1063" s="115"/>
      <c r="L1063" s="99" t="str">
        <f ca="1">_xlfn.LET(
    _xlpm.res_no, J1063,
    _xlpm.record_sheet, 'MatRes Record'!J:M,
    _xlpm.AllCellsFilled, COUNTA(A1063:K1063) = 11,
    _xlpm.QtyIsInt, AND(ISNUMBER(G1063), G1063=INT(G1063)),
    _xlpm.ReqDateIsValid, AND(ISNUMBER(H1063), H1063&gt;=TODAY()),
    _xlpm.EmailIsValid, RIGHT(I1063,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IF(A1063="", "", IF(_xlpm.error_messages = "", "Yes", _xlpm.error_messages))
)</f>
        <v/>
      </c>
    </row>
    <row r="1064" spans="1:12">
      <c r="A1064" s="123"/>
      <c r="B1064" s="124"/>
      <c r="C1064" s="124"/>
      <c r="D1064" s="125"/>
      <c r="E1064" s="125"/>
      <c r="F1064" s="126"/>
      <c r="G1064" s="113"/>
      <c r="H1064" s="112"/>
      <c r="I1064" s="126"/>
      <c r="J1064" s="124"/>
      <c r="K1064" s="110"/>
      <c r="L1064" s="99" t="str">
        <f ca="1">_xlfn.LET(
    _xlpm.res_no, J1064,
    _xlpm.record_sheet, 'MatRes Record'!J:M,
    _xlpm.AllCellsFilled, COUNTA(A1064:K1064) = 11,
    _xlpm.QtyIsInt, AND(ISNUMBER(G1064), G1064=INT(G1064)),
    _xlpm.ReqDateIsValid, AND(ISNUMBER(H1064), H1064&gt;=TODAY()),
    _xlpm.EmailIsValid, RIGHT(I1064,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IF(A1064="", "", IF(_xlpm.error_messages = "", "Yes", _xlpm.error_messages))
)</f>
        <v/>
      </c>
    </row>
    <row r="1065" spans="1:12">
      <c r="A1065" s="119"/>
      <c r="B1065" s="120"/>
      <c r="C1065" s="120"/>
      <c r="D1065" s="121"/>
      <c r="E1065" s="121"/>
      <c r="F1065" s="122"/>
      <c r="G1065" s="118"/>
      <c r="H1065" s="117"/>
      <c r="I1065" s="122"/>
      <c r="J1065" s="120"/>
      <c r="K1065" s="115"/>
      <c r="L1065" s="99" t="str">
        <f ca="1">_xlfn.LET(
    _xlpm.res_no, J1065,
    _xlpm.record_sheet, 'MatRes Record'!J:M,
    _xlpm.AllCellsFilled, COUNTA(A1065:K1065) = 11,
    _xlpm.QtyIsInt, AND(ISNUMBER(G1065), G1065=INT(G1065)),
    _xlpm.ReqDateIsValid, AND(ISNUMBER(H1065), H1065&gt;=TODAY()),
    _xlpm.EmailIsValid, RIGHT(I1065,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IF(A1065="", "", IF(_xlpm.error_messages = "", "Yes", _xlpm.error_messages))
)</f>
        <v/>
      </c>
    </row>
    <row r="1066" spans="1:12">
      <c r="A1066" s="123"/>
      <c r="B1066" s="124"/>
      <c r="C1066" s="124"/>
      <c r="D1066" s="125"/>
      <c r="E1066" s="125"/>
      <c r="F1066" s="126"/>
      <c r="G1066" s="113"/>
      <c r="H1066" s="112"/>
      <c r="I1066" s="126"/>
      <c r="J1066" s="124"/>
      <c r="K1066" s="110"/>
      <c r="L1066" s="99" t="str">
        <f ca="1">_xlfn.LET(
    _xlpm.res_no, J1066,
    _xlpm.record_sheet, 'MatRes Record'!J:M,
    _xlpm.AllCellsFilled, COUNTA(A1066:K1066) = 11,
    _xlpm.QtyIsInt, AND(ISNUMBER(G1066), G1066=INT(G1066)),
    _xlpm.ReqDateIsValid, AND(ISNUMBER(H1066), H1066&gt;=TODAY()),
    _xlpm.EmailIsValid, RIGHT(I1066,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IF(A1066="", "", IF(_xlpm.error_messages = "", "Yes", _xlpm.error_messages))
)</f>
        <v/>
      </c>
    </row>
    <row r="1067" spans="1:12">
      <c r="A1067" s="119"/>
      <c r="B1067" s="120"/>
      <c r="C1067" s="120"/>
      <c r="D1067" s="121"/>
      <c r="E1067" s="121"/>
      <c r="F1067" s="122"/>
      <c r="G1067" s="118"/>
      <c r="H1067" s="117"/>
      <c r="I1067" s="122"/>
      <c r="J1067" s="120"/>
      <c r="K1067" s="115"/>
      <c r="L1067" s="99" t="str">
        <f ca="1">_xlfn.LET(
    _xlpm.res_no, J1067,
    _xlpm.record_sheet, 'MatRes Record'!J:M,
    _xlpm.AllCellsFilled, COUNTA(A1067:K1067) = 11,
    _xlpm.QtyIsInt, AND(ISNUMBER(G1067), G1067=INT(G1067)),
    _xlpm.ReqDateIsValid, AND(ISNUMBER(H1067), H1067&gt;=TODAY()),
    _xlpm.EmailIsValid, RIGHT(I1067,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IF(A1067="", "", IF(_xlpm.error_messages = "", "Yes", _xlpm.error_messages))
)</f>
        <v/>
      </c>
    </row>
    <row r="1068" spans="1:12">
      <c r="A1068" s="123"/>
      <c r="B1068" s="124"/>
      <c r="C1068" s="124"/>
      <c r="D1068" s="125"/>
      <c r="E1068" s="125"/>
      <c r="F1068" s="126"/>
      <c r="G1068" s="113"/>
      <c r="H1068" s="112"/>
      <c r="I1068" s="126"/>
      <c r="J1068" s="124"/>
      <c r="K1068" s="110"/>
      <c r="L1068" s="99" t="str">
        <f ca="1">_xlfn.LET(
    _xlpm.res_no, J1068,
    _xlpm.record_sheet, 'MatRes Record'!J:M,
    _xlpm.AllCellsFilled, COUNTA(A1068:K1068) = 11,
    _xlpm.QtyIsInt, AND(ISNUMBER(G1068), G1068=INT(G1068)),
    _xlpm.ReqDateIsValid, AND(ISNUMBER(H1068), H1068&gt;=TODAY()),
    _xlpm.EmailIsValid, RIGHT(I1068,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IF(A1068="", "", IF(_xlpm.error_messages = "", "Yes", _xlpm.error_messages))
)</f>
        <v/>
      </c>
    </row>
    <row r="1069" spans="1:12">
      <c r="A1069" s="119"/>
      <c r="B1069" s="120"/>
      <c r="C1069" s="120"/>
      <c r="D1069" s="121"/>
      <c r="E1069" s="121"/>
      <c r="F1069" s="122"/>
      <c r="G1069" s="118"/>
      <c r="H1069" s="117"/>
      <c r="I1069" s="122"/>
      <c r="J1069" s="120"/>
      <c r="K1069" s="115"/>
      <c r="L1069" s="99" t="str">
        <f ca="1">_xlfn.LET(
    _xlpm.res_no, J1069,
    _xlpm.record_sheet, 'MatRes Record'!J:M,
    _xlpm.AllCellsFilled, COUNTA(A1069:K1069) = 11,
    _xlpm.QtyIsInt, AND(ISNUMBER(G1069), G1069=INT(G1069)),
    _xlpm.ReqDateIsValid, AND(ISNUMBER(H1069), H1069&gt;=TODAY()),
    _xlpm.EmailIsValid, RIGHT(I1069,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IF(A1069="", "", IF(_xlpm.error_messages = "", "Yes", _xlpm.error_messages))
)</f>
        <v/>
      </c>
    </row>
    <row r="1070" spans="1:12">
      <c r="A1070" s="123"/>
      <c r="B1070" s="124"/>
      <c r="C1070" s="124"/>
      <c r="D1070" s="125"/>
      <c r="E1070" s="125"/>
      <c r="F1070" s="126"/>
      <c r="G1070" s="113"/>
      <c r="H1070" s="112"/>
      <c r="I1070" s="126"/>
      <c r="J1070" s="124"/>
      <c r="K1070" s="110"/>
      <c r="L1070" s="99" t="str">
        <f ca="1">_xlfn.LET(
    _xlpm.res_no, J1070,
    _xlpm.record_sheet, 'MatRes Record'!J:M,
    _xlpm.AllCellsFilled, COUNTA(A1070:K1070) = 11,
    _xlpm.QtyIsInt, AND(ISNUMBER(G1070), G1070=INT(G1070)),
    _xlpm.ReqDateIsValid, AND(ISNUMBER(H1070), H1070&gt;=TODAY()),
    _xlpm.EmailIsValid, RIGHT(I1070,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IF(A1070="", "", IF(_xlpm.error_messages = "", "Yes", _xlpm.error_messages))
)</f>
        <v/>
      </c>
    </row>
    <row r="1071" spans="1:12">
      <c r="A1071" s="119"/>
      <c r="B1071" s="120"/>
      <c r="C1071" s="120"/>
      <c r="D1071" s="121"/>
      <c r="E1071" s="121"/>
      <c r="F1071" s="122"/>
      <c r="G1071" s="118"/>
      <c r="H1071" s="117"/>
      <c r="I1071" s="122"/>
      <c r="J1071" s="120"/>
      <c r="K1071" s="115"/>
      <c r="L1071" s="99" t="str">
        <f ca="1">_xlfn.LET(
    _xlpm.res_no, J1071,
    _xlpm.record_sheet, 'MatRes Record'!J:M,
    _xlpm.AllCellsFilled, COUNTA(A1071:K1071) = 11,
    _xlpm.QtyIsInt, AND(ISNUMBER(G1071), G1071=INT(G1071)),
    _xlpm.ReqDateIsValid, AND(ISNUMBER(H1071), H1071&gt;=TODAY()),
    _xlpm.EmailIsValid, RIGHT(I1071,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IF(A1071="", "", IF(_xlpm.error_messages = "", "Yes", _xlpm.error_messages))
)</f>
        <v/>
      </c>
    </row>
    <row r="1072" spans="1:12">
      <c r="A1072" s="123"/>
      <c r="B1072" s="124"/>
      <c r="C1072" s="124"/>
      <c r="D1072" s="125"/>
      <c r="E1072" s="125"/>
      <c r="F1072" s="126"/>
      <c r="G1072" s="113"/>
      <c r="H1072" s="112"/>
      <c r="I1072" s="126"/>
      <c r="J1072" s="124"/>
      <c r="K1072" s="110"/>
      <c r="L1072" s="99" t="str">
        <f ca="1">_xlfn.LET(
    _xlpm.res_no, J1072,
    _xlpm.record_sheet, 'MatRes Record'!J:M,
    _xlpm.AllCellsFilled, COUNTA(A1072:K1072) = 11,
    _xlpm.QtyIsInt, AND(ISNUMBER(G1072), G1072=INT(G1072)),
    _xlpm.ReqDateIsValid, AND(ISNUMBER(H1072), H1072&gt;=TODAY()),
    _xlpm.EmailIsValid, RIGHT(I1072,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IF(A1072="", "", IF(_xlpm.error_messages = "", "Yes", _xlpm.error_messages))
)</f>
        <v/>
      </c>
    </row>
    <row r="1073" spans="1:12">
      <c r="A1073" s="119"/>
      <c r="B1073" s="120"/>
      <c r="C1073" s="120"/>
      <c r="D1073" s="121"/>
      <c r="E1073" s="121"/>
      <c r="F1073" s="122"/>
      <c r="G1073" s="118"/>
      <c r="H1073" s="117"/>
      <c r="I1073" s="122"/>
      <c r="J1073" s="120"/>
      <c r="K1073" s="115"/>
      <c r="L1073" s="99" t="str">
        <f ca="1">_xlfn.LET(
    _xlpm.res_no, J1073,
    _xlpm.record_sheet, 'MatRes Record'!J:M,
    _xlpm.AllCellsFilled, COUNTA(A1073:K1073) = 11,
    _xlpm.QtyIsInt, AND(ISNUMBER(G1073), G1073=INT(G1073)),
    _xlpm.ReqDateIsValid, AND(ISNUMBER(H1073), H1073&gt;=TODAY()),
    _xlpm.EmailIsValid, RIGHT(I1073,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IF(A1073="", "", IF(_xlpm.error_messages = "", "Yes", _xlpm.error_messages))
)</f>
        <v/>
      </c>
    </row>
    <row r="1074" spans="1:12">
      <c r="A1074" s="123"/>
      <c r="B1074" s="124"/>
      <c r="C1074" s="124"/>
      <c r="D1074" s="125"/>
      <c r="E1074" s="125"/>
      <c r="F1074" s="126"/>
      <c r="G1074" s="113"/>
      <c r="H1074" s="112"/>
      <c r="I1074" s="126"/>
      <c r="J1074" s="124"/>
      <c r="K1074" s="110"/>
      <c r="L1074" s="99" t="str">
        <f ca="1">_xlfn.LET(
    _xlpm.res_no, J1074,
    _xlpm.record_sheet, 'MatRes Record'!J:M,
    _xlpm.AllCellsFilled, COUNTA(A1074:K1074) = 11,
    _xlpm.QtyIsInt, AND(ISNUMBER(G1074), G1074=INT(G1074)),
    _xlpm.ReqDateIsValid, AND(ISNUMBER(H1074), H1074&gt;=TODAY()),
    _xlpm.EmailIsValid, RIGHT(I1074,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IF(A1074="", "", IF(_xlpm.error_messages = "", "Yes", _xlpm.error_messages))
)</f>
        <v/>
      </c>
    </row>
    <row r="1075" spans="1:12">
      <c r="A1075" s="119"/>
      <c r="B1075" s="120"/>
      <c r="C1075" s="120"/>
      <c r="D1075" s="121"/>
      <c r="E1075" s="121"/>
      <c r="F1075" s="122"/>
      <c r="G1075" s="118"/>
      <c r="H1075" s="117"/>
      <c r="I1075" s="122"/>
      <c r="J1075" s="120"/>
      <c r="K1075" s="115"/>
      <c r="L1075" s="99" t="str">
        <f ca="1">_xlfn.LET(
    _xlpm.res_no, J1075,
    _xlpm.record_sheet, 'MatRes Record'!J:M,
    _xlpm.AllCellsFilled, COUNTA(A1075:K1075) = 11,
    _xlpm.QtyIsInt, AND(ISNUMBER(G1075), G1075=INT(G1075)),
    _xlpm.ReqDateIsValid, AND(ISNUMBER(H1075), H1075&gt;=TODAY()),
    _xlpm.EmailIsValid, RIGHT(I1075,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IF(A1075="", "", IF(_xlpm.error_messages = "", "Yes", _xlpm.error_messages))
)</f>
        <v/>
      </c>
    </row>
    <row r="1076" spans="1:12">
      <c r="A1076" s="123"/>
      <c r="B1076" s="124"/>
      <c r="C1076" s="124"/>
      <c r="D1076" s="125"/>
      <c r="E1076" s="125"/>
      <c r="F1076" s="126"/>
      <c r="G1076" s="113"/>
      <c r="H1076" s="112"/>
      <c r="I1076" s="126"/>
      <c r="J1076" s="124"/>
      <c r="K1076" s="110"/>
      <c r="L1076" s="99" t="str">
        <f ca="1">_xlfn.LET(
    _xlpm.res_no, J1076,
    _xlpm.record_sheet, 'MatRes Record'!J:M,
    _xlpm.AllCellsFilled, COUNTA(A1076:K1076) = 11,
    _xlpm.QtyIsInt, AND(ISNUMBER(G1076), G1076=INT(G1076)),
    _xlpm.ReqDateIsValid, AND(ISNUMBER(H1076), H1076&gt;=TODAY()),
    _xlpm.EmailIsValid, RIGHT(I1076,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IF(A1076="", "", IF(_xlpm.error_messages = "", "Yes", _xlpm.error_messages))
)</f>
        <v/>
      </c>
    </row>
    <row r="1077" spans="1:12">
      <c r="A1077" s="119"/>
      <c r="B1077" s="120"/>
      <c r="C1077" s="120"/>
      <c r="D1077" s="121"/>
      <c r="E1077" s="121"/>
      <c r="F1077" s="122"/>
      <c r="G1077" s="118"/>
      <c r="H1077" s="117"/>
      <c r="I1077" s="122"/>
      <c r="J1077" s="120"/>
      <c r="K1077" s="115"/>
      <c r="L1077" s="99" t="str">
        <f ca="1">_xlfn.LET(
    _xlpm.res_no, J1077,
    _xlpm.record_sheet, 'MatRes Record'!J:M,
    _xlpm.AllCellsFilled, COUNTA(A1077:K1077) = 11,
    _xlpm.QtyIsInt, AND(ISNUMBER(G1077), G1077=INT(G1077)),
    _xlpm.ReqDateIsValid, AND(ISNUMBER(H1077), H1077&gt;=TODAY()),
    _xlpm.EmailIsValid, RIGHT(I1077,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IF(A1077="", "", IF(_xlpm.error_messages = "", "Yes", _xlpm.error_messages))
)</f>
        <v/>
      </c>
    </row>
    <row r="1078" spans="1:12">
      <c r="A1078" s="123"/>
      <c r="B1078" s="124"/>
      <c r="C1078" s="124"/>
      <c r="D1078" s="125"/>
      <c r="E1078" s="125"/>
      <c r="F1078" s="126"/>
      <c r="G1078" s="113"/>
      <c r="H1078" s="112"/>
      <c r="I1078" s="126"/>
      <c r="J1078" s="124"/>
      <c r="K1078" s="110"/>
      <c r="L1078" s="99" t="str">
        <f ca="1">_xlfn.LET(
    _xlpm.res_no, J1078,
    _xlpm.record_sheet, 'MatRes Record'!J:M,
    _xlpm.AllCellsFilled, COUNTA(A1078:K1078) = 11,
    _xlpm.QtyIsInt, AND(ISNUMBER(G1078), G1078=INT(G1078)),
    _xlpm.ReqDateIsValid, AND(ISNUMBER(H1078), H1078&gt;=TODAY()),
    _xlpm.EmailIsValid, RIGHT(I1078,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IF(A1078="", "", IF(_xlpm.error_messages = "", "Yes", _xlpm.error_messages))
)</f>
        <v/>
      </c>
    </row>
    <row r="1079" spans="1:12">
      <c r="A1079" s="119"/>
      <c r="B1079" s="120"/>
      <c r="C1079" s="120"/>
      <c r="D1079" s="121"/>
      <c r="E1079" s="121"/>
      <c r="F1079" s="122"/>
      <c r="G1079" s="118"/>
      <c r="H1079" s="117"/>
      <c r="I1079" s="122"/>
      <c r="J1079" s="120"/>
      <c r="K1079" s="115"/>
      <c r="L1079" s="99" t="str">
        <f ca="1">_xlfn.LET(
    _xlpm.res_no, J1079,
    _xlpm.record_sheet, 'MatRes Record'!J:M,
    _xlpm.AllCellsFilled, COUNTA(A1079:K1079) = 11,
    _xlpm.QtyIsInt, AND(ISNUMBER(G1079), G1079=INT(G1079)),
    _xlpm.ReqDateIsValid, AND(ISNUMBER(H1079), H1079&gt;=TODAY()),
    _xlpm.EmailIsValid, RIGHT(I1079,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IF(A1079="", "", IF(_xlpm.error_messages = "", "Yes", _xlpm.error_messages))
)</f>
        <v/>
      </c>
    </row>
    <row r="1080" spans="1:12">
      <c r="A1080" s="123"/>
      <c r="B1080" s="124"/>
      <c r="C1080" s="124"/>
      <c r="D1080" s="125"/>
      <c r="E1080" s="125"/>
      <c r="F1080" s="126"/>
      <c r="G1080" s="113"/>
      <c r="H1080" s="112"/>
      <c r="I1080" s="126"/>
      <c r="J1080" s="124"/>
      <c r="K1080" s="110"/>
      <c r="L1080" s="99" t="str">
        <f ca="1">_xlfn.LET(
    _xlpm.res_no, J1080,
    _xlpm.record_sheet, 'MatRes Record'!J:M,
    _xlpm.AllCellsFilled, COUNTA(A1080:K1080) = 11,
    _xlpm.QtyIsInt, AND(ISNUMBER(G1080), G1080=INT(G1080)),
    _xlpm.ReqDateIsValid, AND(ISNUMBER(H1080), H1080&gt;=TODAY()),
    _xlpm.EmailIsValid, RIGHT(I1080,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IF(A1080="", "", IF(_xlpm.error_messages = "", "Yes", _xlpm.error_messages))
)</f>
        <v/>
      </c>
    </row>
    <row r="1081" spans="1:12">
      <c r="A1081" s="119"/>
      <c r="B1081" s="120"/>
      <c r="C1081" s="120"/>
      <c r="D1081" s="121"/>
      <c r="E1081" s="121"/>
      <c r="F1081" s="122"/>
      <c r="G1081" s="118"/>
      <c r="H1081" s="117"/>
      <c r="I1081" s="122"/>
      <c r="J1081" s="120"/>
      <c r="K1081" s="115"/>
      <c r="L1081" s="99" t="str">
        <f ca="1">_xlfn.LET(
    _xlpm.res_no, J1081,
    _xlpm.record_sheet, 'MatRes Record'!J:M,
    _xlpm.AllCellsFilled, COUNTA(A1081:K1081) = 11,
    _xlpm.QtyIsInt, AND(ISNUMBER(G1081), G1081=INT(G1081)),
    _xlpm.ReqDateIsValid, AND(ISNUMBER(H1081), H1081&gt;=TODAY()),
    _xlpm.EmailIsValid, RIGHT(I1081,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IF(A1081="", "", IF(_xlpm.error_messages = "", "Yes", _xlpm.error_messages))
)</f>
        <v/>
      </c>
    </row>
    <row r="1082" spans="1:12">
      <c r="A1082" s="123"/>
      <c r="B1082" s="124"/>
      <c r="C1082" s="124"/>
      <c r="D1082" s="125"/>
      <c r="E1082" s="125"/>
      <c r="F1082" s="126"/>
      <c r="G1082" s="113"/>
      <c r="H1082" s="112"/>
      <c r="I1082" s="126"/>
      <c r="J1082" s="124"/>
      <c r="K1082" s="110"/>
      <c r="L1082" s="99" t="str">
        <f ca="1">_xlfn.LET(
    _xlpm.res_no, J1082,
    _xlpm.record_sheet, 'MatRes Record'!J:M,
    _xlpm.AllCellsFilled, COUNTA(A1082:K1082) = 11,
    _xlpm.QtyIsInt, AND(ISNUMBER(G1082), G1082=INT(G1082)),
    _xlpm.ReqDateIsValid, AND(ISNUMBER(H1082), H1082&gt;=TODAY()),
    _xlpm.EmailIsValid, RIGHT(I1082,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IF(A1082="", "", IF(_xlpm.error_messages = "", "Yes", _xlpm.error_messages))
)</f>
        <v/>
      </c>
    </row>
    <row r="1083" spans="1:12">
      <c r="A1083" s="119"/>
      <c r="B1083" s="120"/>
      <c r="C1083" s="120"/>
      <c r="D1083" s="121"/>
      <c r="E1083" s="121"/>
      <c r="F1083" s="122"/>
      <c r="G1083" s="118"/>
      <c r="H1083" s="117"/>
      <c r="I1083" s="122"/>
      <c r="J1083" s="120"/>
      <c r="K1083" s="115"/>
      <c r="L1083" s="99" t="str">
        <f ca="1">_xlfn.LET(
    _xlpm.res_no, J1083,
    _xlpm.record_sheet, 'MatRes Record'!J:M,
    _xlpm.AllCellsFilled, COUNTA(A1083:K1083) = 11,
    _xlpm.QtyIsInt, AND(ISNUMBER(G1083), G1083=INT(G1083)),
    _xlpm.ReqDateIsValid, AND(ISNUMBER(H1083), H1083&gt;=TODAY()),
    _xlpm.EmailIsValid, RIGHT(I1083,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IF(A1083="", "", IF(_xlpm.error_messages = "", "Yes", _xlpm.error_messages))
)</f>
        <v/>
      </c>
    </row>
    <row r="1084" spans="1:12">
      <c r="A1084" s="123"/>
      <c r="B1084" s="124"/>
      <c r="C1084" s="124"/>
      <c r="D1084" s="125"/>
      <c r="E1084" s="125"/>
      <c r="F1084" s="126"/>
      <c r="G1084" s="113"/>
      <c r="H1084" s="112"/>
      <c r="I1084" s="126"/>
      <c r="J1084" s="124"/>
      <c r="K1084" s="110"/>
      <c r="L1084" s="99" t="str">
        <f ca="1">_xlfn.LET(
    _xlpm.res_no, J1084,
    _xlpm.record_sheet, 'MatRes Record'!J:M,
    _xlpm.AllCellsFilled, COUNTA(A1084:K1084) = 11,
    _xlpm.QtyIsInt, AND(ISNUMBER(G1084), G1084=INT(G1084)),
    _xlpm.ReqDateIsValid, AND(ISNUMBER(H1084), H1084&gt;=TODAY()),
    _xlpm.EmailIsValid, RIGHT(I1084,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IF(A1084="", "", IF(_xlpm.error_messages = "", "Yes", _xlpm.error_messages))
)</f>
        <v/>
      </c>
    </row>
    <row r="1085" spans="1:12">
      <c r="A1085" s="119"/>
      <c r="B1085" s="120"/>
      <c r="C1085" s="120"/>
      <c r="D1085" s="121"/>
      <c r="E1085" s="121"/>
      <c r="F1085" s="122"/>
      <c r="G1085" s="118"/>
      <c r="H1085" s="117"/>
      <c r="I1085" s="122"/>
      <c r="J1085" s="120"/>
      <c r="K1085" s="115"/>
      <c r="L1085" s="99" t="str">
        <f ca="1">_xlfn.LET(
    _xlpm.res_no, J1085,
    _xlpm.record_sheet, 'MatRes Record'!J:M,
    _xlpm.AllCellsFilled, COUNTA(A1085:K1085) = 11,
    _xlpm.QtyIsInt, AND(ISNUMBER(G1085), G1085=INT(G1085)),
    _xlpm.ReqDateIsValid, AND(ISNUMBER(H1085), H1085&gt;=TODAY()),
    _xlpm.EmailIsValid, RIGHT(I1085,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IF(A1085="", "", IF(_xlpm.error_messages = "", "Yes", _xlpm.error_messages))
)</f>
        <v/>
      </c>
    </row>
    <row r="1086" spans="1:12">
      <c r="A1086" s="123"/>
      <c r="B1086" s="124"/>
      <c r="C1086" s="124"/>
      <c r="D1086" s="125"/>
      <c r="E1086" s="125"/>
      <c r="F1086" s="126"/>
      <c r="G1086" s="113"/>
      <c r="H1086" s="112"/>
      <c r="I1086" s="126"/>
      <c r="J1086" s="124"/>
      <c r="K1086" s="110"/>
      <c r="L1086" s="99" t="str">
        <f ca="1">_xlfn.LET(
    _xlpm.res_no, J1086,
    _xlpm.record_sheet, 'MatRes Record'!J:M,
    _xlpm.AllCellsFilled, COUNTA(A1086:K1086) = 11,
    _xlpm.QtyIsInt, AND(ISNUMBER(G1086), G1086=INT(G1086)),
    _xlpm.ReqDateIsValid, AND(ISNUMBER(H1086), H1086&gt;=TODAY()),
    _xlpm.EmailIsValid, RIGHT(I1086,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IF(A1086="", "", IF(_xlpm.error_messages = "", "Yes", _xlpm.error_messages))
)</f>
        <v/>
      </c>
    </row>
    <row r="1087" spans="1:12">
      <c r="A1087" s="119"/>
      <c r="B1087" s="120"/>
      <c r="C1087" s="120"/>
      <c r="D1087" s="121"/>
      <c r="E1087" s="121"/>
      <c r="F1087" s="122"/>
      <c r="G1087" s="118"/>
      <c r="H1087" s="117"/>
      <c r="I1087" s="122"/>
      <c r="J1087" s="120"/>
      <c r="K1087" s="115"/>
      <c r="L1087" s="99" t="str">
        <f ca="1">_xlfn.LET(
    _xlpm.res_no, J1087,
    _xlpm.record_sheet, 'MatRes Record'!J:M,
    _xlpm.AllCellsFilled, COUNTA(A1087:K1087) = 11,
    _xlpm.QtyIsInt, AND(ISNUMBER(G1087), G1087=INT(G1087)),
    _xlpm.ReqDateIsValid, AND(ISNUMBER(H1087), H1087&gt;=TODAY()),
    _xlpm.EmailIsValid, RIGHT(I1087,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IF(A1087="", "", IF(_xlpm.error_messages = "", "Yes", _xlpm.error_messages))
)</f>
        <v/>
      </c>
    </row>
    <row r="1088" spans="1:12">
      <c r="A1088" s="123"/>
      <c r="B1088" s="124"/>
      <c r="C1088" s="124"/>
      <c r="D1088" s="125"/>
      <c r="E1088" s="125"/>
      <c r="F1088" s="126"/>
      <c r="G1088" s="113"/>
      <c r="H1088" s="112"/>
      <c r="I1088" s="126"/>
      <c r="J1088" s="124"/>
      <c r="K1088" s="110"/>
      <c r="L1088" s="99" t="str">
        <f ca="1">_xlfn.LET(
    _xlpm.res_no, J1088,
    _xlpm.record_sheet, 'MatRes Record'!J:M,
    _xlpm.AllCellsFilled, COUNTA(A1088:K1088) = 11,
    _xlpm.QtyIsInt, AND(ISNUMBER(G1088), G1088=INT(G1088)),
    _xlpm.ReqDateIsValid, AND(ISNUMBER(H1088), H1088&gt;=TODAY()),
    _xlpm.EmailIsValid, RIGHT(I1088,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IF(A1088="", "", IF(_xlpm.error_messages = "", "Yes", _xlpm.error_messages))
)</f>
        <v/>
      </c>
    </row>
    <row r="1089" spans="1:12">
      <c r="A1089" s="119"/>
      <c r="B1089" s="120"/>
      <c r="C1089" s="120"/>
      <c r="D1089" s="121"/>
      <c r="E1089" s="121"/>
      <c r="F1089" s="122"/>
      <c r="G1089" s="118"/>
      <c r="H1089" s="117"/>
      <c r="I1089" s="122"/>
      <c r="J1089" s="120"/>
      <c r="K1089" s="115"/>
      <c r="L1089" s="99" t="str">
        <f ca="1">_xlfn.LET(
    _xlpm.res_no, J1089,
    _xlpm.record_sheet, 'MatRes Record'!J:M,
    _xlpm.AllCellsFilled, COUNTA(A1089:K1089) = 11,
    _xlpm.QtyIsInt, AND(ISNUMBER(G1089), G1089=INT(G1089)),
    _xlpm.ReqDateIsValid, AND(ISNUMBER(H1089), H1089&gt;=TODAY()),
    _xlpm.EmailIsValid, RIGHT(I1089,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IF(A1089="", "", IF(_xlpm.error_messages = "", "Yes", _xlpm.error_messages))
)</f>
        <v/>
      </c>
    </row>
    <row r="1090" spans="1:12">
      <c r="A1090" s="127"/>
      <c r="B1090" s="124"/>
      <c r="C1090" s="124"/>
      <c r="D1090" s="113"/>
      <c r="E1090" s="125"/>
      <c r="F1090" s="126"/>
      <c r="G1090" s="113"/>
      <c r="H1090" s="112"/>
      <c r="I1090" s="126"/>
      <c r="J1090" s="124"/>
      <c r="K1090" s="110"/>
      <c r="L1090" s="99" t="str">
        <f ca="1">_xlfn.LET(
    _xlpm.res_no, J1090,
    _xlpm.record_sheet, 'MatRes Record'!J:M,
    _xlpm.AllCellsFilled, COUNTA(A1090:K1090) = 11,
    _xlpm.QtyIsInt, AND(ISNUMBER(G1090), G1090=INT(G1090)),
    _xlpm.ReqDateIsValid, AND(ISNUMBER(H1090), H1090&gt;=TODAY()),
    _xlpm.EmailIsValid, RIGHT(I1090,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IF(A1090="", "", IF(_xlpm.error_messages = "", "Yes", _xlpm.error_messages))
)</f>
        <v/>
      </c>
    </row>
    <row r="1091" spans="1:12">
      <c r="A1091" s="128"/>
      <c r="B1091" s="120"/>
      <c r="C1091" s="120"/>
      <c r="D1091" s="118"/>
      <c r="E1091" s="121"/>
      <c r="F1091" s="122"/>
      <c r="G1091" s="118"/>
      <c r="H1091" s="117"/>
      <c r="I1091" s="122"/>
      <c r="J1091" s="120"/>
      <c r="K1091" s="115"/>
      <c r="L1091" s="99" t="str">
        <f ca="1">_xlfn.LET(
    _xlpm.res_no, J1091,
    _xlpm.record_sheet, 'MatRes Record'!J:M,
    _xlpm.AllCellsFilled, COUNTA(A1091:K1091) = 11,
    _xlpm.QtyIsInt, AND(ISNUMBER(G1091), G1091=INT(G1091)),
    _xlpm.ReqDateIsValid, AND(ISNUMBER(H1091), H1091&gt;=TODAY()),
    _xlpm.EmailIsValid, RIGHT(I1091,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IF(A1091="", "", IF(_xlpm.error_messages = "", "Yes", _xlpm.error_messages))
)</f>
        <v/>
      </c>
    </row>
    <row r="1092" spans="1:12">
      <c r="A1092" s="127"/>
      <c r="B1092" s="124"/>
      <c r="C1092" s="124"/>
      <c r="D1092" s="113"/>
      <c r="E1092" s="125"/>
      <c r="F1092" s="126"/>
      <c r="G1092" s="113"/>
      <c r="H1092" s="112"/>
      <c r="I1092" s="126"/>
      <c r="J1092" s="124"/>
      <c r="K1092" s="110"/>
      <c r="L1092" s="99" t="str">
        <f ca="1">_xlfn.LET(
    _xlpm.res_no, J1092,
    _xlpm.record_sheet, 'MatRes Record'!J:M,
    _xlpm.AllCellsFilled, COUNTA(A1092:K1092) = 11,
    _xlpm.QtyIsInt, AND(ISNUMBER(G1092), G1092=INT(G1092)),
    _xlpm.ReqDateIsValid, AND(ISNUMBER(H1092), H1092&gt;=TODAY()),
    _xlpm.EmailIsValid, RIGHT(I1092,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IF(A1092="", "", IF(_xlpm.error_messages = "", "Yes", _xlpm.error_messages))
)</f>
        <v/>
      </c>
    </row>
    <row r="1093" spans="1:12">
      <c r="A1093" s="128"/>
      <c r="B1093" s="120"/>
      <c r="C1093" s="120"/>
      <c r="D1093" s="118"/>
      <c r="E1093" s="121"/>
      <c r="F1093" s="122"/>
      <c r="G1093" s="118"/>
      <c r="H1093" s="117"/>
      <c r="I1093" s="122"/>
      <c r="J1093" s="120"/>
      <c r="K1093" s="115"/>
      <c r="L1093" s="99" t="str">
        <f ca="1">_xlfn.LET(
    _xlpm.res_no, J1093,
    _xlpm.record_sheet, 'MatRes Record'!J:M,
    _xlpm.AllCellsFilled, COUNTA(A1093:K1093) = 11,
    _xlpm.QtyIsInt, AND(ISNUMBER(G1093), G1093=INT(G1093)),
    _xlpm.ReqDateIsValid, AND(ISNUMBER(H1093), H1093&gt;=TODAY()),
    _xlpm.EmailIsValid, RIGHT(I1093,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IF(A1093="", "", IF(_xlpm.error_messages = "", "Yes", _xlpm.error_messages))
)</f>
        <v/>
      </c>
    </row>
    <row r="1094" spans="1:12">
      <c r="A1094" s="127"/>
      <c r="B1094" s="124"/>
      <c r="C1094" s="124"/>
      <c r="D1094" s="113"/>
      <c r="E1094" s="125"/>
      <c r="F1094" s="126"/>
      <c r="G1094" s="113"/>
      <c r="H1094" s="112"/>
      <c r="I1094" s="126"/>
      <c r="J1094" s="124"/>
      <c r="K1094" s="110"/>
      <c r="L1094" s="99" t="str">
        <f ca="1">_xlfn.LET(
    _xlpm.res_no, J1094,
    _xlpm.record_sheet, 'MatRes Record'!J:M,
    _xlpm.AllCellsFilled, COUNTA(A1094:K1094) = 11,
    _xlpm.QtyIsInt, AND(ISNUMBER(G1094), G1094=INT(G1094)),
    _xlpm.ReqDateIsValid, AND(ISNUMBER(H1094), H1094&gt;=TODAY()),
    _xlpm.EmailIsValid, RIGHT(I1094,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IF(A1094="", "", IF(_xlpm.error_messages = "", "Yes", _xlpm.error_messages))
)</f>
        <v/>
      </c>
    </row>
    <row r="1095" spans="1:12">
      <c r="A1095" s="128"/>
      <c r="B1095" s="120"/>
      <c r="C1095" s="120"/>
      <c r="D1095" s="118"/>
      <c r="E1095" s="121"/>
      <c r="F1095" s="122"/>
      <c r="G1095" s="118"/>
      <c r="H1095" s="117"/>
      <c r="I1095" s="122"/>
      <c r="J1095" s="120"/>
      <c r="K1095" s="115"/>
      <c r="L1095" s="99" t="str">
        <f ca="1">_xlfn.LET(
    _xlpm.res_no, J1095,
    _xlpm.record_sheet, 'MatRes Record'!J:M,
    _xlpm.AllCellsFilled, COUNTA(A1095:K1095) = 11,
    _xlpm.QtyIsInt, AND(ISNUMBER(G1095), G1095=INT(G1095)),
    _xlpm.ReqDateIsValid, AND(ISNUMBER(H1095), H1095&gt;=TODAY()),
    _xlpm.EmailIsValid, RIGHT(I1095,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IF(A1095="", "", IF(_xlpm.error_messages = "", "Yes", _xlpm.error_messages))
)</f>
        <v/>
      </c>
    </row>
    <row r="1096" spans="1:12">
      <c r="A1096" s="127"/>
      <c r="B1096" s="124"/>
      <c r="C1096" s="124"/>
      <c r="D1096" s="113"/>
      <c r="E1096" s="125"/>
      <c r="F1096" s="126"/>
      <c r="G1096" s="113"/>
      <c r="H1096" s="112"/>
      <c r="I1096" s="126"/>
      <c r="J1096" s="124"/>
      <c r="K1096" s="110"/>
      <c r="L1096" s="99" t="str">
        <f ca="1">_xlfn.LET(
    _xlpm.res_no, J1096,
    _xlpm.record_sheet, 'MatRes Record'!J:M,
    _xlpm.AllCellsFilled, COUNTA(A1096:K1096) = 11,
    _xlpm.QtyIsInt, AND(ISNUMBER(G1096), G1096=INT(G1096)),
    _xlpm.ReqDateIsValid, AND(ISNUMBER(H1096), H1096&gt;=TODAY()),
    _xlpm.EmailIsValid, RIGHT(I1096,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IF(A1096="", "", IF(_xlpm.error_messages = "", "Yes", _xlpm.error_messages))
)</f>
        <v/>
      </c>
    </row>
    <row r="1097" spans="1:12">
      <c r="A1097" s="128"/>
      <c r="B1097" s="120"/>
      <c r="C1097" s="120"/>
      <c r="D1097" s="118"/>
      <c r="E1097" s="121"/>
      <c r="F1097" s="122"/>
      <c r="G1097" s="118"/>
      <c r="H1097" s="117"/>
      <c r="I1097" s="122"/>
      <c r="J1097" s="120"/>
      <c r="K1097" s="115"/>
      <c r="L1097" s="99" t="str">
        <f ca="1">_xlfn.LET(
    _xlpm.res_no, J1097,
    _xlpm.record_sheet, 'MatRes Record'!J:M,
    _xlpm.AllCellsFilled, COUNTA(A1097:K1097) = 11,
    _xlpm.QtyIsInt, AND(ISNUMBER(G1097), G1097=INT(G1097)),
    _xlpm.ReqDateIsValid, AND(ISNUMBER(H1097), H1097&gt;=TODAY()),
    _xlpm.EmailIsValid, RIGHT(I1097,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IF(A1097="", "", IF(_xlpm.error_messages = "", "Yes", _xlpm.error_messages))
)</f>
        <v/>
      </c>
    </row>
    <row r="1098" spans="1:12">
      <c r="A1098" s="127"/>
      <c r="B1098" s="124"/>
      <c r="C1098" s="124"/>
      <c r="D1098" s="113"/>
      <c r="E1098" s="125"/>
      <c r="F1098" s="126"/>
      <c r="G1098" s="113"/>
      <c r="H1098" s="112"/>
      <c r="I1098" s="126"/>
      <c r="J1098" s="124"/>
      <c r="K1098" s="110"/>
      <c r="L1098" s="99" t="str">
        <f ca="1">_xlfn.LET(
    _xlpm.res_no, J1098,
    _xlpm.record_sheet, 'MatRes Record'!J:M,
    _xlpm.AllCellsFilled, COUNTA(A1098:K1098) = 11,
    _xlpm.QtyIsInt, AND(ISNUMBER(G1098), G1098=INT(G1098)),
    _xlpm.ReqDateIsValid, AND(ISNUMBER(H1098), H1098&gt;=TODAY()),
    _xlpm.EmailIsValid, RIGHT(I1098,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IF(A1098="", "", IF(_xlpm.error_messages = "", "Yes", _xlpm.error_messages))
)</f>
        <v/>
      </c>
    </row>
    <row r="1099" spans="1:12">
      <c r="A1099" s="128"/>
      <c r="B1099" s="120"/>
      <c r="C1099" s="120"/>
      <c r="D1099" s="118"/>
      <c r="E1099" s="121"/>
      <c r="F1099" s="122"/>
      <c r="G1099" s="118"/>
      <c r="H1099" s="117"/>
      <c r="I1099" s="122"/>
      <c r="J1099" s="120"/>
      <c r="K1099" s="115"/>
      <c r="L1099" s="99" t="str">
        <f ca="1">_xlfn.LET(
    _xlpm.res_no, J1099,
    _xlpm.record_sheet, 'MatRes Record'!J:M,
    _xlpm.AllCellsFilled, COUNTA(A1099:K1099) = 11,
    _xlpm.QtyIsInt, AND(ISNUMBER(G1099), G1099=INT(G1099)),
    _xlpm.ReqDateIsValid, AND(ISNUMBER(H1099), H1099&gt;=TODAY()),
    _xlpm.EmailIsValid, RIGHT(I1099,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IF(A1099="", "", IF(_xlpm.error_messages = "", "Yes", _xlpm.error_messages))
)</f>
        <v/>
      </c>
    </row>
    <row r="1100" spans="1:12">
      <c r="A1100" s="127"/>
      <c r="B1100" s="124"/>
      <c r="C1100" s="124"/>
      <c r="D1100" s="113"/>
      <c r="E1100" s="125"/>
      <c r="F1100" s="126"/>
      <c r="G1100" s="113"/>
      <c r="H1100" s="112"/>
      <c r="I1100" s="126"/>
      <c r="J1100" s="124"/>
      <c r="K1100" s="110"/>
      <c r="L1100" s="99" t="str">
        <f ca="1">_xlfn.LET(
    _xlpm.res_no, J1100,
    _xlpm.record_sheet, 'MatRes Record'!J:M,
    _xlpm.AllCellsFilled, COUNTA(A1100:K1100) = 11,
    _xlpm.QtyIsInt, AND(ISNUMBER(G1100), G1100=INT(G1100)),
    _xlpm.ReqDateIsValid, AND(ISNUMBER(H1100), H1100&gt;=TODAY()),
    _xlpm.EmailIsValid, RIGHT(I1100,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IF(A1100="", "", IF(_xlpm.error_messages = "", "Yes", _xlpm.error_messages))
)</f>
        <v/>
      </c>
    </row>
    <row r="1101" spans="1:12">
      <c r="A1101" s="128"/>
      <c r="B1101" s="120"/>
      <c r="C1101" s="120"/>
      <c r="D1101" s="118"/>
      <c r="E1101" s="121"/>
      <c r="F1101" s="122"/>
      <c r="G1101" s="118"/>
      <c r="H1101" s="117"/>
      <c r="I1101" s="122"/>
      <c r="J1101" s="120"/>
      <c r="K1101" s="115"/>
      <c r="L1101" s="99" t="str">
        <f ca="1">_xlfn.LET(
    _xlpm.res_no, J1101,
    _xlpm.record_sheet, 'MatRes Record'!J:M,
    _xlpm.AllCellsFilled, COUNTA(A1101:K1101) = 11,
    _xlpm.QtyIsInt, AND(ISNUMBER(G1101), G1101=INT(G1101)),
    _xlpm.ReqDateIsValid, AND(ISNUMBER(H1101), H1101&gt;=TODAY()),
    _xlpm.EmailIsValid, RIGHT(I1101,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IF(A1101="", "", IF(_xlpm.error_messages = "", "Yes", _xlpm.error_messages))
)</f>
        <v/>
      </c>
    </row>
    <row r="1102" spans="1:12">
      <c r="A1102" s="129"/>
      <c r="B1102" s="130"/>
      <c r="C1102" s="130"/>
      <c r="D1102" s="131"/>
      <c r="E1102" s="132"/>
      <c r="F1102" s="133"/>
      <c r="G1102" s="131"/>
      <c r="H1102" s="112"/>
      <c r="I1102" s="133"/>
      <c r="J1102" s="130"/>
      <c r="K1102" s="110"/>
      <c r="L1102" s="99" t="str">
        <f ca="1">_xlfn.LET(
    _xlpm.res_no, J1102,
    _xlpm.record_sheet, 'MatRes Record'!J:M,
    _xlpm.AllCellsFilled, COUNTA(A1102:K1102) = 11,
    _xlpm.QtyIsInt, AND(ISNUMBER(G1102), G1102=INT(G1102)),
    _xlpm.ReqDateIsValid, AND(ISNUMBER(H1102), H1102&gt;=TODAY()),
    _xlpm.EmailIsValid, RIGHT(I1102,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IF(A1102="", "", IF(_xlpm.error_messages = "", "Yes", _xlpm.error_messages))
)</f>
        <v/>
      </c>
    </row>
    <row r="1103" spans="1:12">
      <c r="A1103" s="128"/>
      <c r="B1103" s="120"/>
      <c r="C1103" s="120"/>
      <c r="D1103" s="118"/>
      <c r="E1103" s="121"/>
      <c r="F1103" s="122"/>
      <c r="G1103" s="118"/>
      <c r="H1103" s="117"/>
      <c r="I1103" s="122"/>
      <c r="J1103" s="120"/>
      <c r="K1103" s="115"/>
      <c r="L1103" s="99" t="str">
        <f ca="1">_xlfn.LET(
    _xlpm.res_no, J1103,
    _xlpm.record_sheet, 'MatRes Record'!J:M,
    _xlpm.AllCellsFilled, COUNTA(A1103:K1103) = 11,
    _xlpm.QtyIsInt, AND(ISNUMBER(G1103), G1103=INT(G1103)),
    _xlpm.ReqDateIsValid, AND(ISNUMBER(H1103), H1103&gt;=TODAY()),
    _xlpm.EmailIsValid, RIGHT(I1103,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IF(A1103="", "", IF(_xlpm.error_messages = "", "Yes", _xlpm.error_messages))
)</f>
        <v/>
      </c>
    </row>
    <row r="1104" spans="1:12">
      <c r="A1104" s="127"/>
      <c r="B1104" s="124"/>
      <c r="C1104" s="124"/>
      <c r="D1104" s="113"/>
      <c r="E1104" s="125"/>
      <c r="F1104" s="126"/>
      <c r="G1104" s="113"/>
      <c r="H1104" s="112"/>
      <c r="I1104" s="126"/>
      <c r="J1104" s="124"/>
      <c r="K1104" s="110"/>
      <c r="L1104" s="99" t="str">
        <f ca="1">_xlfn.LET(
    _xlpm.res_no, J1104,
    _xlpm.record_sheet, 'MatRes Record'!J:M,
    _xlpm.AllCellsFilled, COUNTA(A1104:K1104) = 11,
    _xlpm.QtyIsInt, AND(ISNUMBER(G1104), G1104=INT(G1104)),
    _xlpm.ReqDateIsValid, AND(ISNUMBER(H1104), H1104&gt;=TODAY()),
    _xlpm.EmailIsValid, RIGHT(I1104,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IF(A1104="", "", IF(_xlpm.error_messages = "", "Yes", _xlpm.error_messages))
)</f>
        <v/>
      </c>
    </row>
    <row r="1105" spans="1:12">
      <c r="A1105" s="128"/>
      <c r="B1105" s="120"/>
      <c r="C1105" s="120"/>
      <c r="D1105" s="118"/>
      <c r="E1105" s="121"/>
      <c r="F1105" s="122"/>
      <c r="G1105" s="118"/>
      <c r="H1105" s="117"/>
      <c r="I1105" s="122"/>
      <c r="J1105" s="120"/>
      <c r="K1105" s="115"/>
      <c r="L1105" s="99" t="str">
        <f ca="1">_xlfn.LET(
    _xlpm.res_no, J1105,
    _xlpm.record_sheet, 'MatRes Record'!J:M,
    _xlpm.AllCellsFilled, COUNTA(A1105:K1105) = 11,
    _xlpm.QtyIsInt, AND(ISNUMBER(G1105), G1105=INT(G1105)),
    _xlpm.ReqDateIsValid, AND(ISNUMBER(H1105), H1105&gt;=TODAY()),
    _xlpm.EmailIsValid, RIGHT(I1105,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IF(A1105="", "", IF(_xlpm.error_messages = "", "Yes", _xlpm.error_messages))
)</f>
        <v/>
      </c>
    </row>
    <row r="1106" spans="1:12">
      <c r="A1106" s="127"/>
      <c r="B1106" s="124"/>
      <c r="C1106" s="124"/>
      <c r="D1106" s="113"/>
      <c r="E1106" s="125"/>
      <c r="F1106" s="126"/>
      <c r="G1106" s="113"/>
      <c r="H1106" s="112"/>
      <c r="I1106" s="126"/>
      <c r="J1106" s="124"/>
      <c r="K1106" s="110"/>
      <c r="L1106" s="99" t="str">
        <f ca="1">_xlfn.LET(
    _xlpm.res_no, J1106,
    _xlpm.record_sheet, 'MatRes Record'!J:M,
    _xlpm.AllCellsFilled, COUNTA(A1106:K1106) = 11,
    _xlpm.QtyIsInt, AND(ISNUMBER(G1106), G1106=INT(G1106)),
    _xlpm.ReqDateIsValid, AND(ISNUMBER(H1106), H1106&gt;=TODAY()),
    _xlpm.EmailIsValid, RIGHT(I1106,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IF(A1106="", "", IF(_xlpm.error_messages = "", "Yes", _xlpm.error_messages))
)</f>
        <v/>
      </c>
    </row>
    <row r="1107" spans="1:12">
      <c r="A1107" s="134"/>
      <c r="B1107" s="135"/>
      <c r="C1107" s="135"/>
      <c r="D1107" s="136"/>
      <c r="E1107" s="137"/>
      <c r="F1107" s="138"/>
      <c r="G1107" s="136"/>
      <c r="H1107" s="139"/>
      <c r="I1107" s="138"/>
      <c r="J1107" s="135"/>
      <c r="K1107" s="115"/>
      <c r="L1107" s="99" t="str">
        <f ca="1">_xlfn.LET(
    _xlpm.res_no, J1107,
    _xlpm.record_sheet, 'MatRes Record'!J:M,
    _xlpm.AllCellsFilled, COUNTA(A1107:K1107) = 11,
    _xlpm.QtyIsInt, AND(ISNUMBER(G1107), G1107=INT(G1107)),
    _xlpm.ReqDateIsValid, AND(ISNUMBER(H1107), H1107&gt;=TODAY()),
    _xlpm.EmailIsValid, RIGHT(I1107,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IF(A1107="", "", IF(_xlpm.error_messages = "", "Yes", _xlpm.error_messages))
)</f>
        <v/>
      </c>
    </row>
    <row r="1108" spans="1:12">
      <c r="A1108" s="94"/>
      <c r="B1108" s="95"/>
      <c r="C1108" s="95"/>
      <c r="D1108" s="94"/>
      <c r="E1108" s="94"/>
      <c r="F1108" s="96"/>
      <c r="G1108" s="94"/>
      <c r="H1108" s="96"/>
      <c r="I1108" s="96"/>
      <c r="J1108" s="92"/>
      <c r="K1108" s="97"/>
      <c r="L1108" s="99" t="str">
        <f ca="1">_xlfn.LET(
    _xlpm.res_no, J1108,
    _xlpm.record_sheet, 'MatRes Record'!J:M,
    _xlpm.AllCellsFilled, COUNTA(A1108:K1108) = 11,
    _xlpm.QtyIsInt, AND(ISNUMBER(G1108), G1108=INT(G1108)),
    _xlpm.ReqDateIsValid, AND(ISNUMBER(H1108), H1108&gt;=TODAY()),
    _xlpm.EmailIsValid, RIGHT(I1108,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IF(A1108="", "", IF(_xlpm.error_messages = "", "Yes", _xlpm.error_messages))
)</f>
        <v/>
      </c>
    </row>
    <row r="1109" spans="1:12">
      <c r="A1109" s="94"/>
      <c r="B1109" s="95"/>
      <c r="C1109" s="95"/>
      <c r="D1109" s="94"/>
      <c r="E1109" s="94"/>
      <c r="F1109" s="96"/>
      <c r="G1109" s="94"/>
      <c r="H1109" s="96"/>
      <c r="I1109" s="96"/>
      <c r="J1109" s="92"/>
      <c r="K1109" s="97"/>
      <c r="L1109" s="99" t="str">
        <f ca="1">_xlfn.LET(
    _xlpm.res_no, J1109,
    _xlpm.record_sheet, 'MatRes Record'!J:M,
    _xlpm.AllCellsFilled, COUNTA(A1109:K1109) = 11,
    _xlpm.QtyIsInt, AND(ISNUMBER(G1109), G1109=INT(G1109)),
    _xlpm.ReqDateIsValid, AND(ISNUMBER(H1109), H1109&gt;=TODAY()),
    _xlpm.EmailIsValid, RIGHT(I1109,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IF(A1109="", "", IF(_xlpm.error_messages = "", "Yes", _xlpm.error_messages))
)</f>
        <v/>
      </c>
    </row>
    <row r="1110" spans="1:12">
      <c r="A1110" s="94"/>
      <c r="B1110" s="95"/>
      <c r="C1110" s="95"/>
      <c r="D1110" s="94"/>
      <c r="E1110" s="94"/>
      <c r="F1110" s="96"/>
      <c r="G1110" s="94"/>
      <c r="H1110" s="96"/>
      <c r="I1110" s="96"/>
      <c r="J1110" s="92"/>
      <c r="K1110" s="97"/>
      <c r="L1110" s="99" t="str">
        <f ca="1">_xlfn.LET(
    _xlpm.res_no, J1110,
    _xlpm.record_sheet, 'MatRes Record'!J:M,
    _xlpm.AllCellsFilled, COUNTA(A1110:K1110) = 11,
    _xlpm.QtyIsInt, AND(ISNUMBER(G1110), G1110=INT(G1110)),
    _xlpm.ReqDateIsValid, AND(ISNUMBER(H1110), H1110&gt;=TODAY()),
    _xlpm.EmailIsValid, RIGHT(I1110,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IF(A1110="", "", IF(_xlpm.error_messages = "", "Yes", _xlpm.error_messages))
)</f>
        <v/>
      </c>
    </row>
    <row r="1111" spans="1:12">
      <c r="A1111" s="94"/>
      <c r="B1111" s="95"/>
      <c r="C1111" s="95"/>
      <c r="D1111" s="94"/>
      <c r="E1111" s="94"/>
      <c r="F1111" s="96"/>
      <c r="G1111" s="94"/>
      <c r="H1111" s="96"/>
      <c r="I1111" s="96"/>
      <c r="J1111" s="92"/>
      <c r="K1111" s="97"/>
      <c r="L1111" s="99" t="str">
        <f ca="1">_xlfn.LET(
    _xlpm.res_no, J1111,
    _xlpm.record_sheet, 'MatRes Record'!J:M,
    _xlpm.AllCellsFilled, COUNTA(A1111:K1111) = 11,
    _xlpm.QtyIsInt, AND(ISNUMBER(G1111), G1111=INT(G1111)),
    _xlpm.ReqDateIsValid, AND(ISNUMBER(H1111), H1111&gt;=TODAY()),
    _xlpm.EmailIsValid, RIGHT(I1111,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IF(A1111="", "", IF(_xlpm.error_messages = "", "Yes", _xlpm.error_messages))
)</f>
        <v/>
      </c>
    </row>
    <row r="1112" spans="1:12">
      <c r="A1112" s="94"/>
      <c r="B1112" s="95"/>
      <c r="C1112" s="95"/>
      <c r="D1112" s="94"/>
      <c r="E1112" s="94"/>
      <c r="F1112" s="96"/>
      <c r="G1112" s="94"/>
      <c r="H1112" s="96"/>
      <c r="I1112" s="96"/>
      <c r="J1112" s="92"/>
      <c r="K1112" s="97"/>
      <c r="L1112" s="99" t="str">
        <f ca="1">_xlfn.LET(
    _xlpm.res_no, J1112,
    _xlpm.record_sheet, 'MatRes Record'!J:M,
    _xlpm.AllCellsFilled, COUNTA(A1112:K1112) = 11,
    _xlpm.QtyIsInt, AND(ISNUMBER(G1112), G1112=INT(G1112)),
    _xlpm.ReqDateIsValid, AND(ISNUMBER(H1112), H1112&gt;=TODAY()),
    _xlpm.EmailIsValid, RIGHT(I1112,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IF(A1112="", "", IF(_xlpm.error_messages = "", "Yes", _xlpm.error_messages))
)</f>
        <v/>
      </c>
    </row>
    <row r="1113" spans="1:12">
      <c r="A1113" s="94"/>
      <c r="B1113" s="95"/>
      <c r="C1113" s="95"/>
      <c r="D1113" s="94"/>
      <c r="E1113" s="94"/>
      <c r="F1113" s="96"/>
      <c r="G1113" s="94"/>
      <c r="H1113" s="96"/>
      <c r="I1113" s="96"/>
      <c r="J1113" s="92"/>
      <c r="K1113" s="97"/>
      <c r="L1113" s="99" t="str">
        <f ca="1">_xlfn.LET(
    _xlpm.res_no, J1113,
    _xlpm.record_sheet, 'MatRes Record'!J:M,
    _xlpm.AllCellsFilled, COUNTA(A1113:K1113) = 11,
    _xlpm.QtyIsInt, AND(ISNUMBER(G1113), G1113=INT(G1113)),
    _xlpm.ReqDateIsValid, AND(ISNUMBER(H1113), H1113&gt;=TODAY()),
    _xlpm.EmailIsValid, RIGHT(I1113,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IF(A1113="", "", IF(_xlpm.error_messages = "", "Yes", _xlpm.error_messages))
)</f>
        <v/>
      </c>
    </row>
    <row r="1114" spans="1:12">
      <c r="A1114" s="94"/>
      <c r="B1114" s="95"/>
      <c r="C1114" s="95"/>
      <c r="D1114" s="94"/>
      <c r="E1114" s="94"/>
      <c r="F1114" s="96"/>
      <c r="G1114" s="94"/>
      <c r="H1114" s="96"/>
      <c r="I1114" s="96"/>
      <c r="J1114" s="92"/>
      <c r="K1114" s="97"/>
      <c r="L1114" s="99" t="str">
        <f ca="1">_xlfn.LET(
    _xlpm.res_no, J1114,
    _xlpm.record_sheet, 'MatRes Record'!J:M,
    _xlpm.AllCellsFilled, COUNTA(A1114:K1114) = 11,
    _xlpm.QtyIsInt, AND(ISNUMBER(G1114), G1114=INT(G1114)),
    _xlpm.ReqDateIsValid, AND(ISNUMBER(H1114), H1114&gt;=TODAY()),
    _xlpm.EmailIsValid, RIGHT(I1114,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IF(A1114="", "", IF(_xlpm.error_messages = "", "Yes", _xlpm.error_messages))
)</f>
        <v/>
      </c>
    </row>
    <row r="1115" spans="1:12">
      <c r="A1115" s="94"/>
      <c r="B1115" s="95"/>
      <c r="C1115" s="95"/>
      <c r="D1115" s="94"/>
      <c r="E1115" s="94"/>
      <c r="F1115" s="96"/>
      <c r="G1115" s="94"/>
      <c r="H1115" s="96"/>
      <c r="I1115" s="96"/>
      <c r="J1115" s="92"/>
      <c r="K1115" s="97"/>
      <c r="L1115" s="99" t="str">
        <f ca="1">_xlfn.LET(
    _xlpm.res_no, J1115,
    _xlpm.record_sheet, 'MatRes Record'!J:M,
    _xlpm.AllCellsFilled, COUNTA(A1115:K1115) = 11,
    _xlpm.QtyIsInt, AND(ISNUMBER(G1115), G1115=INT(G1115)),
    _xlpm.ReqDateIsValid, AND(ISNUMBER(H1115), H1115&gt;=TODAY()),
    _xlpm.EmailIsValid, RIGHT(I1115,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IF(A1115="", "", IF(_xlpm.error_messages = "", "Yes", _xlpm.error_messages))
)</f>
        <v/>
      </c>
    </row>
    <row r="1116" spans="1:12">
      <c r="A1116" s="94"/>
      <c r="B1116" s="95"/>
      <c r="C1116" s="95"/>
      <c r="D1116" s="94"/>
      <c r="E1116" s="94"/>
      <c r="F1116" s="96"/>
      <c r="G1116" s="94"/>
      <c r="H1116" s="96"/>
      <c r="I1116" s="96"/>
      <c r="J1116" s="92"/>
      <c r="K1116" s="97"/>
      <c r="L1116" s="99" t="str">
        <f ca="1">_xlfn.LET(
    _xlpm.res_no, J1116,
    _xlpm.record_sheet, 'MatRes Record'!J:M,
    _xlpm.AllCellsFilled, COUNTA(A1116:K1116) = 11,
    _xlpm.QtyIsInt, AND(ISNUMBER(G1116), G1116=INT(G1116)),
    _xlpm.ReqDateIsValid, AND(ISNUMBER(H1116), H1116&gt;=TODAY()),
    _xlpm.EmailIsValid, RIGHT(I1116,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IF(A1116="", "", IF(_xlpm.error_messages = "", "Yes", _xlpm.error_messages))
)</f>
        <v/>
      </c>
    </row>
    <row r="1117" spans="1:12">
      <c r="A1117" s="94"/>
      <c r="B1117" s="95"/>
      <c r="C1117" s="95"/>
      <c r="D1117" s="94"/>
      <c r="E1117" s="94"/>
      <c r="F1117" s="96"/>
      <c r="G1117" s="94"/>
      <c r="H1117" s="96"/>
      <c r="I1117" s="96"/>
      <c r="J1117" s="92"/>
      <c r="K1117" s="97"/>
      <c r="L1117" s="99" t="str">
        <f ca="1">_xlfn.LET(
    _xlpm.res_no, J1117,
    _xlpm.record_sheet, 'MatRes Record'!J:M,
    _xlpm.AllCellsFilled, COUNTA(A1117:K1117) = 11,
    _xlpm.QtyIsInt, AND(ISNUMBER(G1117), G1117=INT(G1117)),
    _xlpm.ReqDateIsValid, AND(ISNUMBER(H1117), H1117&gt;=TODAY()),
    _xlpm.EmailIsValid, RIGHT(I1117,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IF(A1117="", "", IF(_xlpm.error_messages = "", "Yes", _xlpm.error_messages))
)</f>
        <v/>
      </c>
    </row>
    <row r="1118" spans="1:12">
      <c r="A1118" s="94"/>
      <c r="B1118" s="95"/>
      <c r="C1118" s="95"/>
      <c r="D1118" s="94"/>
      <c r="E1118" s="94"/>
      <c r="F1118" s="96"/>
      <c r="G1118" s="94"/>
      <c r="H1118" s="96"/>
      <c r="I1118" s="96"/>
      <c r="J1118" s="92"/>
      <c r="K1118" s="97"/>
      <c r="L1118" s="99" t="str">
        <f ca="1">_xlfn.LET(
    _xlpm.res_no, J1118,
    _xlpm.record_sheet, 'MatRes Record'!J:M,
    _xlpm.AllCellsFilled, COUNTA(A1118:K1118) = 11,
    _xlpm.QtyIsInt, AND(ISNUMBER(G1118), G1118=INT(G1118)),
    _xlpm.ReqDateIsValid, AND(ISNUMBER(H1118), H1118&gt;=TODAY()),
    _xlpm.EmailIsValid, RIGHT(I1118,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IF(A1118="", "", IF(_xlpm.error_messages = "", "Yes", _xlpm.error_messages))
)</f>
        <v/>
      </c>
    </row>
    <row r="1119" spans="1:12">
      <c r="A1119" s="94"/>
      <c r="B1119" s="95"/>
      <c r="C1119" s="95"/>
      <c r="D1119" s="94"/>
      <c r="E1119" s="94"/>
      <c r="F1119" s="96"/>
      <c r="G1119" s="94"/>
      <c r="H1119" s="96"/>
      <c r="I1119" s="96"/>
      <c r="J1119" s="92"/>
      <c r="K1119" s="97"/>
      <c r="L1119" s="99" t="str">
        <f ca="1">_xlfn.LET(
    _xlpm.res_no, J1119,
    _xlpm.record_sheet, 'MatRes Record'!J:M,
    _xlpm.AllCellsFilled, COUNTA(A1119:K1119) = 11,
    _xlpm.QtyIsInt, AND(ISNUMBER(G1119), G1119=INT(G1119)),
    _xlpm.ReqDateIsValid, AND(ISNUMBER(H1119), H1119&gt;=TODAY()),
    _xlpm.EmailIsValid, RIGHT(I1119,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IF(A1119="", "", IF(_xlpm.error_messages = "", "Yes", _xlpm.error_messages))
)</f>
        <v/>
      </c>
    </row>
    <row r="1120" spans="1:12">
      <c r="A1120" s="94"/>
      <c r="B1120" s="95"/>
      <c r="C1120" s="95"/>
      <c r="D1120" s="94"/>
      <c r="E1120" s="94"/>
      <c r="F1120" s="96"/>
      <c r="G1120" s="94"/>
      <c r="H1120" s="96"/>
      <c r="I1120" s="96"/>
      <c r="J1120" s="92"/>
      <c r="K1120" s="97"/>
      <c r="L1120" s="99" t="str">
        <f ca="1">_xlfn.LET(
    _xlpm.res_no, J1120,
    _xlpm.record_sheet, 'MatRes Record'!J:M,
    _xlpm.AllCellsFilled, COUNTA(A1120:K1120) = 11,
    _xlpm.QtyIsInt, AND(ISNUMBER(G1120), G1120=INT(G1120)),
    _xlpm.ReqDateIsValid, AND(ISNUMBER(H1120), H1120&gt;=TODAY()),
    _xlpm.EmailIsValid, RIGHT(I1120,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IF(A1120="", "", IF(_xlpm.error_messages = "", "Yes", _xlpm.error_messages))
)</f>
        <v/>
      </c>
    </row>
    <row r="1121" spans="1:12">
      <c r="A1121" s="94"/>
      <c r="B1121" s="95"/>
      <c r="C1121" s="95"/>
      <c r="D1121" s="94"/>
      <c r="E1121" s="94"/>
      <c r="F1121" s="96"/>
      <c r="G1121" s="94"/>
      <c r="H1121" s="96"/>
      <c r="I1121" s="96"/>
      <c r="J1121" s="92"/>
      <c r="K1121" s="97"/>
      <c r="L1121" s="99" t="str">
        <f ca="1">_xlfn.LET(
    _xlpm.res_no, J1121,
    _xlpm.record_sheet, 'MatRes Record'!J:M,
    _xlpm.AllCellsFilled, COUNTA(A1121:K1121) = 11,
    _xlpm.QtyIsInt, AND(ISNUMBER(G1121), G1121=INT(G1121)),
    _xlpm.ReqDateIsValid, AND(ISNUMBER(H1121), H1121&gt;=TODAY()),
    _xlpm.EmailIsValid, RIGHT(I1121,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IF(A1121="", "", IF(_xlpm.error_messages = "", "Yes", _xlpm.error_messages))
)</f>
        <v/>
      </c>
    </row>
    <row r="1122" spans="1:12">
      <c r="A1122" s="94"/>
      <c r="B1122" s="95"/>
      <c r="C1122" s="95"/>
      <c r="D1122" s="94"/>
      <c r="E1122" s="94"/>
      <c r="F1122" s="96"/>
      <c r="G1122" s="94"/>
      <c r="H1122" s="96"/>
      <c r="I1122" s="96"/>
      <c r="J1122" s="92"/>
      <c r="K1122" s="97"/>
      <c r="L1122" s="99" t="str">
        <f ca="1">_xlfn.LET(
    _xlpm.res_no, J1122,
    _xlpm.record_sheet, 'MatRes Record'!J:M,
    _xlpm.AllCellsFilled, COUNTA(A1122:K1122) = 11,
    _xlpm.QtyIsInt, AND(ISNUMBER(G1122), G1122=INT(G1122)),
    _xlpm.ReqDateIsValid, AND(ISNUMBER(H1122), H1122&gt;=TODAY()),
    _xlpm.EmailIsValid, RIGHT(I1122,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IF(A1122="", "", IF(_xlpm.error_messages = "", "Yes", _xlpm.error_messages))
)</f>
        <v/>
      </c>
    </row>
    <row r="1123" spans="1:12">
      <c r="A1123" s="94"/>
      <c r="B1123" s="95"/>
      <c r="C1123" s="95"/>
      <c r="D1123" s="94"/>
      <c r="E1123" s="94"/>
      <c r="F1123" s="96"/>
      <c r="G1123" s="94"/>
      <c r="H1123" s="96"/>
      <c r="I1123" s="96"/>
      <c r="J1123" s="92"/>
      <c r="K1123" s="97"/>
      <c r="L1123" s="99" t="str">
        <f ca="1">_xlfn.LET(
    _xlpm.res_no, J1123,
    _xlpm.record_sheet, 'MatRes Record'!J:M,
    _xlpm.AllCellsFilled, COUNTA(A1123:K1123) = 11,
    _xlpm.QtyIsInt, AND(ISNUMBER(G1123), G1123=INT(G1123)),
    _xlpm.ReqDateIsValid, AND(ISNUMBER(H1123), H1123&gt;=TODAY()),
    _xlpm.EmailIsValid, RIGHT(I1123,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IF(A1123="", "", IF(_xlpm.error_messages = "", "Yes", _xlpm.error_messages))
)</f>
        <v/>
      </c>
    </row>
    <row r="1124" spans="1:12">
      <c r="A1124" s="94"/>
      <c r="B1124" s="95"/>
      <c r="C1124" s="95"/>
      <c r="D1124" s="94"/>
      <c r="E1124" s="94"/>
      <c r="F1124" s="96"/>
      <c r="G1124" s="94"/>
      <c r="H1124" s="96"/>
      <c r="I1124" s="96"/>
      <c r="J1124" s="92"/>
      <c r="K1124" s="97"/>
      <c r="L1124" s="99" t="str">
        <f ca="1">_xlfn.LET(
    _xlpm.res_no, J1124,
    _xlpm.record_sheet, 'MatRes Record'!J:M,
    _xlpm.AllCellsFilled, COUNTA(A1124:K1124) = 11,
    _xlpm.QtyIsInt, AND(ISNUMBER(G1124), G1124=INT(G1124)),
    _xlpm.ReqDateIsValid, AND(ISNUMBER(H1124), H1124&gt;=TODAY()),
    _xlpm.EmailIsValid, RIGHT(I1124,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IF(A1124="", "", IF(_xlpm.error_messages = "", "Yes", _xlpm.error_messages))
)</f>
        <v/>
      </c>
    </row>
    <row r="1125" spans="1:12">
      <c r="A1125" s="94"/>
      <c r="B1125" s="95"/>
      <c r="C1125" s="95"/>
      <c r="D1125" s="94"/>
      <c r="E1125" s="94"/>
      <c r="F1125" s="96"/>
      <c r="G1125" s="94"/>
      <c r="H1125" s="96"/>
      <c r="I1125" s="96"/>
      <c r="J1125" s="92"/>
      <c r="K1125" s="97"/>
      <c r="L1125" s="99" t="str">
        <f ca="1">_xlfn.LET(
    _xlpm.res_no, J1125,
    _xlpm.record_sheet, 'MatRes Record'!J:M,
    _xlpm.AllCellsFilled, COUNTA(A1125:K1125) = 11,
    _xlpm.QtyIsInt, AND(ISNUMBER(G1125), G1125=INT(G1125)),
    _xlpm.ReqDateIsValid, AND(ISNUMBER(H1125), H1125&gt;=TODAY()),
    _xlpm.EmailIsValid, RIGHT(I1125,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IF(A1125="", "", IF(_xlpm.error_messages = "", "Yes", _xlpm.error_messages))
)</f>
        <v/>
      </c>
    </row>
    <row r="1126" spans="1:12">
      <c r="A1126" s="94"/>
      <c r="B1126" s="95"/>
      <c r="C1126" s="95"/>
      <c r="D1126" s="94"/>
      <c r="E1126" s="94"/>
      <c r="F1126" s="96"/>
      <c r="G1126" s="94"/>
      <c r="H1126" s="96"/>
      <c r="I1126" s="96"/>
      <c r="J1126" s="92"/>
      <c r="K1126" s="97"/>
      <c r="L1126" s="99" t="str">
        <f ca="1">_xlfn.LET(
    _xlpm.res_no, J1126,
    _xlpm.record_sheet, 'MatRes Record'!J:M,
    _xlpm.AllCellsFilled, COUNTA(A1126:K1126) = 11,
    _xlpm.QtyIsInt, AND(ISNUMBER(G1126), G1126=INT(G1126)),
    _xlpm.ReqDateIsValid, AND(ISNUMBER(H1126), H1126&gt;=TODAY()),
    _xlpm.EmailIsValid, RIGHT(I1126,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IF(A1126="", "", IF(_xlpm.error_messages = "", "Yes", _xlpm.error_messages))
)</f>
        <v/>
      </c>
    </row>
    <row r="1127" spans="1:12">
      <c r="A1127" s="94"/>
      <c r="B1127" s="95"/>
      <c r="C1127" s="95"/>
      <c r="D1127" s="94"/>
      <c r="E1127" s="94"/>
      <c r="F1127" s="96"/>
      <c r="G1127" s="94"/>
      <c r="H1127" s="96"/>
      <c r="I1127" s="96"/>
      <c r="J1127" s="92"/>
      <c r="K1127" s="97"/>
      <c r="L1127" s="99" t="str">
        <f ca="1">_xlfn.LET(
    _xlpm.res_no, J1127,
    _xlpm.record_sheet, 'MatRes Record'!J:M,
    _xlpm.AllCellsFilled, COUNTA(A1127:K1127) = 11,
    _xlpm.QtyIsInt, AND(ISNUMBER(G1127), G1127=INT(G1127)),
    _xlpm.ReqDateIsValid, AND(ISNUMBER(H1127), H1127&gt;=TODAY()),
    _xlpm.EmailIsValid, RIGHT(I1127,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IF(A1127="", "", IF(_xlpm.error_messages = "", "Yes", _xlpm.error_messages))
)</f>
        <v/>
      </c>
    </row>
    <row r="1128" spans="1:12">
      <c r="A1128" s="94"/>
      <c r="B1128" s="95"/>
      <c r="C1128" s="95"/>
      <c r="D1128" s="94"/>
      <c r="E1128" s="94"/>
      <c r="F1128" s="96"/>
      <c r="G1128" s="94"/>
      <c r="H1128" s="96"/>
      <c r="I1128" s="96"/>
      <c r="J1128" s="92"/>
      <c r="K1128" s="97"/>
      <c r="L1128" s="99" t="str">
        <f ca="1">_xlfn.LET(
    _xlpm.res_no, J1128,
    _xlpm.record_sheet, 'MatRes Record'!J:M,
    _xlpm.AllCellsFilled, COUNTA(A1128:K1128) = 11,
    _xlpm.QtyIsInt, AND(ISNUMBER(G1128), G1128=INT(G1128)),
    _xlpm.ReqDateIsValid, AND(ISNUMBER(H1128), H1128&gt;=TODAY()),
    _xlpm.EmailIsValid, RIGHT(I1128,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IF(A1128="", "", IF(_xlpm.error_messages = "", "Yes", _xlpm.error_messages))
)</f>
        <v/>
      </c>
    </row>
    <row r="1129" spans="1:12">
      <c r="A1129" s="94"/>
      <c r="B1129" s="95"/>
      <c r="C1129" s="95"/>
      <c r="D1129" s="94"/>
      <c r="E1129" s="94"/>
      <c r="F1129" s="96"/>
      <c r="G1129" s="94"/>
      <c r="H1129" s="96"/>
      <c r="I1129" s="96"/>
      <c r="J1129" s="92"/>
      <c r="K1129" s="97"/>
      <c r="L1129" s="99" t="str">
        <f ca="1">_xlfn.LET(
    _xlpm.res_no, J1129,
    _xlpm.record_sheet, 'MatRes Record'!J:M,
    _xlpm.AllCellsFilled, COUNTA(A1129:K1129) = 11,
    _xlpm.QtyIsInt, AND(ISNUMBER(G1129), G1129=INT(G1129)),
    _xlpm.ReqDateIsValid, AND(ISNUMBER(H1129), H1129&gt;=TODAY()),
    _xlpm.EmailIsValid, RIGHT(I1129,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IF(A1129="", "", IF(_xlpm.error_messages = "", "Yes", _xlpm.error_messages))
)</f>
        <v/>
      </c>
    </row>
    <row r="1130" spans="1:12">
      <c r="A1130" s="94"/>
      <c r="B1130" s="95"/>
      <c r="C1130" s="95"/>
      <c r="D1130" s="94"/>
      <c r="E1130" s="94"/>
      <c r="F1130" s="96"/>
      <c r="G1130" s="94"/>
      <c r="H1130" s="96"/>
      <c r="I1130" s="96"/>
      <c r="J1130" s="92"/>
      <c r="K1130" s="97"/>
      <c r="L1130" s="99" t="str">
        <f ca="1">_xlfn.LET(
    _xlpm.res_no, J1130,
    _xlpm.record_sheet, 'MatRes Record'!J:M,
    _xlpm.AllCellsFilled, COUNTA(A1130:K1130) = 11,
    _xlpm.QtyIsInt, AND(ISNUMBER(G1130), G1130=INT(G1130)),
    _xlpm.ReqDateIsValid, AND(ISNUMBER(H1130), H1130&gt;=TODAY()),
    _xlpm.EmailIsValid, RIGHT(I1130,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IF(A1130="", "", IF(_xlpm.error_messages = "", "Yes", _xlpm.error_messages))
)</f>
        <v/>
      </c>
    </row>
    <row r="1131" spans="1:12">
      <c r="A1131" s="94"/>
      <c r="B1131" s="95"/>
      <c r="C1131" s="95"/>
      <c r="D1131" s="94"/>
      <c r="E1131" s="94"/>
      <c r="F1131" s="96"/>
      <c r="G1131" s="94"/>
      <c r="H1131" s="96"/>
      <c r="I1131" s="96"/>
      <c r="J1131" s="92"/>
      <c r="K1131" s="97"/>
      <c r="L1131" s="99" t="str">
        <f ca="1">_xlfn.LET(
    _xlpm.res_no, J1131,
    _xlpm.record_sheet, 'MatRes Record'!J:M,
    _xlpm.AllCellsFilled, COUNTA(A1131:K1131) = 11,
    _xlpm.QtyIsInt, AND(ISNUMBER(G1131), G1131=INT(G1131)),
    _xlpm.ReqDateIsValid, AND(ISNUMBER(H1131), H1131&gt;=TODAY()),
    _xlpm.EmailIsValid, RIGHT(I1131,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IF(A1131="", "", IF(_xlpm.error_messages = "", "Yes", _xlpm.error_messages))
)</f>
        <v/>
      </c>
    </row>
    <row r="1132" spans="1:12">
      <c r="A1132" s="94"/>
      <c r="B1132" s="95"/>
      <c r="C1132" s="95"/>
      <c r="D1132" s="94"/>
      <c r="E1132" s="94"/>
      <c r="F1132" s="96"/>
      <c r="G1132" s="94"/>
      <c r="H1132" s="96"/>
      <c r="I1132" s="96"/>
      <c r="J1132" s="92"/>
      <c r="K1132" s="97"/>
      <c r="L1132" s="99" t="str">
        <f ca="1">_xlfn.LET(
    _xlpm.res_no, J1132,
    _xlpm.record_sheet, 'MatRes Record'!J:M,
    _xlpm.AllCellsFilled, COUNTA(A1132:K1132) = 11,
    _xlpm.QtyIsInt, AND(ISNUMBER(G1132), G1132=INT(G1132)),
    _xlpm.ReqDateIsValid, AND(ISNUMBER(H1132), H1132&gt;=TODAY()),
    _xlpm.EmailIsValid, RIGHT(I1132,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IF(A1132="", "", IF(_xlpm.error_messages = "", "Yes", _xlpm.error_messages))
)</f>
        <v/>
      </c>
    </row>
    <row r="1133" spans="1:12">
      <c r="A1133" s="94"/>
      <c r="B1133" s="95"/>
      <c r="C1133" s="95"/>
      <c r="D1133" s="94"/>
      <c r="E1133" s="94"/>
      <c r="F1133" s="96"/>
      <c r="G1133" s="94"/>
      <c r="H1133" s="96"/>
      <c r="I1133" s="96"/>
      <c r="J1133" s="92"/>
      <c r="K1133" s="97"/>
      <c r="L1133" s="99" t="str">
        <f ca="1">_xlfn.LET(
    _xlpm.res_no, J1133,
    _xlpm.record_sheet, 'MatRes Record'!J:M,
    _xlpm.AllCellsFilled, COUNTA(A1133:K1133) = 11,
    _xlpm.QtyIsInt, AND(ISNUMBER(G1133), G1133=INT(G1133)),
    _xlpm.ReqDateIsValid, AND(ISNUMBER(H1133), H1133&gt;=TODAY()),
    _xlpm.EmailIsValid, RIGHT(I1133,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IF(A1133="", "", IF(_xlpm.error_messages = "", "Yes", _xlpm.error_messages))
)</f>
        <v/>
      </c>
    </row>
    <row r="1134" spans="1:12">
      <c r="A1134" s="94"/>
      <c r="B1134" s="95"/>
      <c r="C1134" s="95"/>
      <c r="D1134" s="94"/>
      <c r="E1134" s="94"/>
      <c r="F1134" s="96"/>
      <c r="G1134" s="94"/>
      <c r="H1134" s="96"/>
      <c r="I1134" s="96"/>
      <c r="J1134" s="92"/>
      <c r="K1134" s="97"/>
      <c r="L1134" s="99" t="str">
        <f ca="1">_xlfn.LET(
    _xlpm.res_no, J1134,
    _xlpm.record_sheet, 'MatRes Record'!J:M,
    _xlpm.AllCellsFilled, COUNTA(A1134:K1134) = 11,
    _xlpm.QtyIsInt, AND(ISNUMBER(G1134), G1134=INT(G1134)),
    _xlpm.ReqDateIsValid, AND(ISNUMBER(H1134), H1134&gt;=TODAY()),
    _xlpm.EmailIsValid, RIGHT(I1134,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IF(A1134="", "", IF(_xlpm.error_messages = "", "Yes", _xlpm.error_messages))
)</f>
        <v/>
      </c>
    </row>
    <row r="1135" spans="1:12">
      <c r="A1135" s="94"/>
      <c r="B1135" s="95"/>
      <c r="C1135" s="95"/>
      <c r="D1135" s="94"/>
      <c r="E1135" s="94"/>
      <c r="F1135" s="96"/>
      <c r="G1135" s="94"/>
      <c r="H1135" s="96"/>
      <c r="I1135" s="96"/>
      <c r="J1135" s="92"/>
      <c r="K1135" s="97"/>
      <c r="L1135" s="99" t="str">
        <f ca="1">_xlfn.LET(
    _xlpm.res_no, J1135,
    _xlpm.record_sheet, 'MatRes Record'!J:M,
    _xlpm.AllCellsFilled, COUNTA(A1135:K1135) = 11,
    _xlpm.QtyIsInt, AND(ISNUMBER(G1135), G1135=INT(G1135)),
    _xlpm.ReqDateIsValid, AND(ISNUMBER(H1135), H1135&gt;=TODAY()),
    _xlpm.EmailIsValid, RIGHT(I1135,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IF(A1135="", "", IF(_xlpm.error_messages = "", "Yes", _xlpm.error_messages))
)</f>
        <v/>
      </c>
    </row>
    <row r="1136" spans="1:12">
      <c r="A1136" s="94"/>
      <c r="B1136" s="95"/>
      <c r="C1136" s="95"/>
      <c r="D1136" s="94"/>
      <c r="E1136" s="94"/>
      <c r="F1136" s="96"/>
      <c r="G1136" s="94"/>
      <c r="H1136" s="96"/>
      <c r="I1136" s="96"/>
      <c r="J1136" s="92"/>
      <c r="K1136" s="97"/>
      <c r="L1136" s="99" t="str">
        <f ca="1">_xlfn.LET(
    _xlpm.res_no, J1136,
    _xlpm.record_sheet, 'MatRes Record'!J:M,
    _xlpm.AllCellsFilled, COUNTA(A1136:K1136) = 11,
    _xlpm.QtyIsInt, AND(ISNUMBER(G1136), G1136=INT(G1136)),
    _xlpm.ReqDateIsValid, AND(ISNUMBER(H1136), H1136&gt;=TODAY()),
    _xlpm.EmailIsValid, RIGHT(I1136,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IF(A1136="", "", IF(_xlpm.error_messages = "", "Yes", _xlpm.error_messages))
)</f>
        <v/>
      </c>
    </row>
    <row r="1137" spans="1:12">
      <c r="A1137" s="94"/>
      <c r="B1137" s="95"/>
      <c r="C1137" s="95"/>
      <c r="D1137" s="94"/>
      <c r="E1137" s="94"/>
      <c r="F1137" s="96"/>
      <c r="G1137" s="94"/>
      <c r="H1137" s="96"/>
      <c r="I1137" s="96"/>
      <c r="J1137" s="92"/>
      <c r="K1137" s="97"/>
      <c r="L1137" s="99" t="str">
        <f ca="1">_xlfn.LET(
    _xlpm.res_no, J1137,
    _xlpm.record_sheet, 'MatRes Record'!J:M,
    _xlpm.AllCellsFilled, COUNTA(A1137:K1137) = 11,
    _xlpm.QtyIsInt, AND(ISNUMBER(G1137), G1137=INT(G1137)),
    _xlpm.ReqDateIsValid, AND(ISNUMBER(H1137), H1137&gt;=TODAY()),
    _xlpm.EmailIsValid, RIGHT(I1137,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IF(A1137="", "", IF(_xlpm.error_messages = "", "Yes", _xlpm.error_messages))
)</f>
        <v/>
      </c>
    </row>
    <row r="1138" spans="1:12">
      <c r="A1138" s="94"/>
      <c r="B1138" s="95"/>
      <c r="C1138" s="95"/>
      <c r="D1138" s="94"/>
      <c r="E1138" s="94"/>
      <c r="F1138" s="96"/>
      <c r="G1138" s="94"/>
      <c r="H1138" s="96"/>
      <c r="I1138" s="96"/>
      <c r="J1138" s="92"/>
      <c r="K1138" s="97"/>
      <c r="L1138" s="99" t="str">
        <f ca="1">_xlfn.LET(
    _xlpm.res_no, J1138,
    _xlpm.record_sheet, 'MatRes Record'!J:M,
    _xlpm.AllCellsFilled, COUNTA(A1138:K1138) = 11,
    _xlpm.QtyIsInt, AND(ISNUMBER(G1138), G1138=INT(G1138)),
    _xlpm.ReqDateIsValid, AND(ISNUMBER(H1138), H1138&gt;=TODAY()),
    _xlpm.EmailIsValid, RIGHT(I1138,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IF(A1138="", "", IF(_xlpm.error_messages = "", "Yes", _xlpm.error_messages))
)</f>
        <v/>
      </c>
    </row>
    <row r="1139" spans="1:12">
      <c r="A1139" s="94"/>
      <c r="B1139" s="95"/>
      <c r="C1139" s="95"/>
      <c r="D1139" s="94"/>
      <c r="E1139" s="94"/>
      <c r="F1139" s="96"/>
      <c r="G1139" s="94"/>
      <c r="H1139" s="96"/>
      <c r="I1139" s="96"/>
      <c r="J1139" s="92"/>
      <c r="K1139" s="97"/>
      <c r="L1139" s="99" t="str">
        <f ca="1">_xlfn.LET(
    _xlpm.res_no, J1139,
    _xlpm.record_sheet, 'MatRes Record'!J:M,
    _xlpm.AllCellsFilled, COUNTA(A1139:K1139) = 11,
    _xlpm.QtyIsInt, AND(ISNUMBER(G1139), G1139=INT(G1139)),
    _xlpm.ReqDateIsValid, AND(ISNUMBER(H1139), H1139&gt;=TODAY()),
    _xlpm.EmailIsValid, RIGHT(I1139,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IF(A1139="", "", IF(_xlpm.error_messages = "", "Yes", _xlpm.error_messages))
)</f>
        <v/>
      </c>
    </row>
    <row r="1140" spans="1:12">
      <c r="A1140" s="94"/>
      <c r="B1140" s="95"/>
      <c r="C1140" s="95"/>
      <c r="D1140" s="94"/>
      <c r="E1140" s="94"/>
      <c r="F1140" s="96"/>
      <c r="G1140" s="94"/>
      <c r="H1140" s="96"/>
      <c r="I1140" s="96"/>
      <c r="J1140" s="92"/>
      <c r="K1140" s="97"/>
      <c r="L1140" s="99" t="str">
        <f ca="1">_xlfn.LET(
    _xlpm.res_no, J1140,
    _xlpm.record_sheet, 'MatRes Record'!J:M,
    _xlpm.AllCellsFilled, COUNTA(A1140:K1140) = 11,
    _xlpm.QtyIsInt, AND(ISNUMBER(G1140), G1140=INT(G1140)),
    _xlpm.ReqDateIsValid, AND(ISNUMBER(H1140), H1140&gt;=TODAY()),
    _xlpm.EmailIsValid, RIGHT(I1140,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IF(A1140="", "", IF(_xlpm.error_messages = "", "Yes", _xlpm.error_messages))
)</f>
        <v/>
      </c>
    </row>
    <row r="1141" spans="1:12">
      <c r="A1141" s="94"/>
      <c r="B1141" s="95"/>
      <c r="C1141" s="95"/>
      <c r="D1141" s="94"/>
      <c r="E1141" s="94"/>
      <c r="F1141" s="96"/>
      <c r="G1141" s="94"/>
      <c r="H1141" s="96"/>
      <c r="I1141" s="96"/>
      <c r="J1141" s="92"/>
      <c r="K1141" s="97"/>
      <c r="L1141" s="99" t="str">
        <f ca="1">_xlfn.LET(
    _xlpm.res_no, J1141,
    _xlpm.record_sheet, 'MatRes Record'!J:M,
    _xlpm.AllCellsFilled, COUNTA(A1141:K1141) = 11,
    _xlpm.QtyIsInt, AND(ISNUMBER(G1141), G1141=INT(G1141)),
    _xlpm.ReqDateIsValid, AND(ISNUMBER(H1141), H1141&gt;=TODAY()),
    _xlpm.EmailIsValid, RIGHT(I1141,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IF(A1141="", "", IF(_xlpm.error_messages = "", "Yes", _xlpm.error_messages))
)</f>
        <v/>
      </c>
    </row>
    <row r="1142" spans="1:12">
      <c r="A1142" s="94"/>
      <c r="B1142" s="95"/>
      <c r="C1142" s="95"/>
      <c r="D1142" s="94"/>
      <c r="E1142" s="94"/>
      <c r="F1142" s="96"/>
      <c r="G1142" s="94"/>
      <c r="H1142" s="96"/>
      <c r="I1142" s="96"/>
      <c r="J1142" s="92"/>
      <c r="K1142" s="97"/>
      <c r="L1142" s="99" t="str">
        <f ca="1">_xlfn.LET(
    _xlpm.res_no, J1142,
    _xlpm.record_sheet, 'MatRes Record'!J:M,
    _xlpm.AllCellsFilled, COUNTA(A1142:K1142) = 11,
    _xlpm.QtyIsInt, AND(ISNUMBER(G1142), G1142=INT(G1142)),
    _xlpm.ReqDateIsValid, AND(ISNUMBER(H1142), H1142&gt;=TODAY()),
    _xlpm.EmailIsValid, RIGHT(I1142,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IF(A1142="", "", IF(_xlpm.error_messages = "", "Yes", _xlpm.error_messages))
)</f>
        <v/>
      </c>
    </row>
    <row r="1143" spans="1:12">
      <c r="A1143" s="94"/>
      <c r="B1143" s="95"/>
      <c r="C1143" s="95"/>
      <c r="D1143" s="94"/>
      <c r="E1143" s="94"/>
      <c r="F1143" s="96"/>
      <c r="G1143" s="94"/>
      <c r="H1143" s="96"/>
      <c r="I1143" s="96"/>
      <c r="J1143" s="92"/>
      <c r="K1143" s="97"/>
      <c r="L1143" s="99" t="str">
        <f ca="1">_xlfn.LET(
    _xlpm.res_no, J1143,
    _xlpm.record_sheet, 'MatRes Record'!J:M,
    _xlpm.AllCellsFilled, COUNTA(A1143:K1143) = 11,
    _xlpm.QtyIsInt, AND(ISNUMBER(G1143), G1143=INT(G1143)),
    _xlpm.ReqDateIsValid, AND(ISNUMBER(H1143), H1143&gt;=TODAY()),
    _xlpm.EmailIsValid, RIGHT(I1143,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IF(A1143="", "", IF(_xlpm.error_messages = "", "Yes", _xlpm.error_messages))
)</f>
        <v/>
      </c>
    </row>
    <row r="1144" spans="1:12">
      <c r="A1144" s="94"/>
      <c r="B1144" s="95"/>
      <c r="C1144" s="95"/>
      <c r="D1144" s="94"/>
      <c r="E1144" s="94"/>
      <c r="F1144" s="96"/>
      <c r="G1144" s="94"/>
      <c r="H1144" s="96"/>
      <c r="I1144" s="96"/>
      <c r="J1144" s="92"/>
      <c r="K1144" s="97"/>
      <c r="L1144" s="99" t="str">
        <f ca="1">_xlfn.LET(
    _xlpm.res_no, J1144,
    _xlpm.record_sheet, 'MatRes Record'!J:M,
    _xlpm.AllCellsFilled, COUNTA(A1144:K1144) = 11,
    _xlpm.QtyIsInt, AND(ISNUMBER(G1144), G1144=INT(G1144)),
    _xlpm.ReqDateIsValid, AND(ISNUMBER(H1144), H1144&gt;=TODAY()),
    _xlpm.EmailIsValid, RIGHT(I1144,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IF(A1144="", "", IF(_xlpm.error_messages = "", "Yes", _xlpm.error_messages))
)</f>
        <v/>
      </c>
    </row>
    <row r="1145" spans="1:12">
      <c r="A1145" s="94"/>
      <c r="B1145" s="95"/>
      <c r="C1145" s="95"/>
      <c r="D1145" s="94"/>
      <c r="E1145" s="94"/>
      <c r="F1145" s="96"/>
      <c r="G1145" s="94"/>
      <c r="H1145" s="96"/>
      <c r="I1145" s="96"/>
      <c r="J1145" s="92"/>
      <c r="K1145" s="97"/>
      <c r="L1145" s="99" t="str">
        <f ca="1">_xlfn.LET(
    _xlpm.res_no, J1145,
    _xlpm.record_sheet, 'MatRes Record'!J:M,
    _xlpm.AllCellsFilled, COUNTA(A1145:K1145) = 11,
    _xlpm.QtyIsInt, AND(ISNUMBER(G1145), G1145=INT(G1145)),
    _xlpm.ReqDateIsValid, AND(ISNUMBER(H1145), H1145&gt;=TODAY()),
    _xlpm.EmailIsValid, RIGHT(I1145,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IF(A1145="", "", IF(_xlpm.error_messages = "", "Yes", _xlpm.error_messages))
)</f>
        <v/>
      </c>
    </row>
    <row r="1146" spans="1:12">
      <c r="A1146" s="94"/>
      <c r="B1146" s="95"/>
      <c r="C1146" s="95"/>
      <c r="D1146" s="94"/>
      <c r="E1146" s="94"/>
      <c r="F1146" s="96"/>
      <c r="G1146" s="94"/>
      <c r="H1146" s="96"/>
      <c r="I1146" s="96"/>
      <c r="J1146" s="92"/>
      <c r="K1146" s="97"/>
      <c r="L1146" s="99" t="str">
        <f ca="1">_xlfn.LET(
    _xlpm.res_no, J1146,
    _xlpm.record_sheet, 'MatRes Record'!J:M,
    _xlpm.AllCellsFilled, COUNTA(A1146:K1146) = 11,
    _xlpm.QtyIsInt, AND(ISNUMBER(G1146), G1146=INT(G1146)),
    _xlpm.ReqDateIsValid, AND(ISNUMBER(H1146), H1146&gt;=TODAY()),
    _xlpm.EmailIsValid, RIGHT(I1146,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IF(A1146="", "", IF(_xlpm.error_messages = "", "Yes", _xlpm.error_messages))
)</f>
        <v/>
      </c>
    </row>
    <row r="1147" spans="1:12">
      <c r="A1147" s="94"/>
      <c r="B1147" s="95"/>
      <c r="C1147" s="95"/>
      <c r="D1147" s="94"/>
      <c r="E1147" s="94"/>
      <c r="F1147" s="96"/>
      <c r="G1147" s="94"/>
      <c r="H1147" s="96"/>
      <c r="I1147" s="96"/>
      <c r="J1147" s="92"/>
      <c r="K1147" s="97"/>
      <c r="L1147" s="99" t="str">
        <f ca="1">_xlfn.LET(
    _xlpm.res_no, J1147,
    _xlpm.record_sheet, 'MatRes Record'!J:M,
    _xlpm.AllCellsFilled, COUNTA(A1147:K1147) = 11,
    _xlpm.QtyIsInt, AND(ISNUMBER(G1147), G1147=INT(G1147)),
    _xlpm.ReqDateIsValid, AND(ISNUMBER(H1147), H1147&gt;=TODAY()),
    _xlpm.EmailIsValid, RIGHT(I1147,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IF(A1147="", "", IF(_xlpm.error_messages = "", "Yes", _xlpm.error_messages))
)</f>
        <v/>
      </c>
    </row>
    <row r="1148" spans="1:12">
      <c r="A1148" s="94"/>
      <c r="B1148" s="95"/>
      <c r="C1148" s="95"/>
      <c r="D1148" s="94"/>
      <c r="E1148" s="94"/>
      <c r="F1148" s="96"/>
      <c r="G1148" s="94"/>
      <c r="H1148" s="96"/>
      <c r="I1148" s="96"/>
      <c r="J1148" s="92"/>
      <c r="K1148" s="97"/>
      <c r="L1148" s="99" t="str">
        <f ca="1">_xlfn.LET(
    _xlpm.res_no, J1148,
    _xlpm.record_sheet, 'MatRes Record'!J:M,
    _xlpm.AllCellsFilled, COUNTA(A1148:K1148) = 11,
    _xlpm.QtyIsInt, AND(ISNUMBER(G1148), G1148=INT(G1148)),
    _xlpm.ReqDateIsValid, AND(ISNUMBER(H1148), H1148&gt;=TODAY()),
    _xlpm.EmailIsValid, RIGHT(I1148,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IF(A1148="", "", IF(_xlpm.error_messages = "", "Yes", _xlpm.error_messages))
)</f>
        <v/>
      </c>
    </row>
    <row r="1149" spans="1:12">
      <c r="A1149" s="94"/>
      <c r="B1149" s="95"/>
      <c r="C1149" s="95"/>
      <c r="D1149" s="94"/>
      <c r="E1149" s="94"/>
      <c r="F1149" s="96"/>
      <c r="G1149" s="94"/>
      <c r="H1149" s="96"/>
      <c r="I1149" s="96"/>
      <c r="J1149" s="92"/>
      <c r="K1149" s="97"/>
      <c r="L1149" s="99" t="str">
        <f ca="1">_xlfn.LET(
    _xlpm.res_no, J1149,
    _xlpm.record_sheet, 'MatRes Record'!J:M,
    _xlpm.AllCellsFilled, COUNTA(A1149:K1149) = 11,
    _xlpm.QtyIsInt, AND(ISNUMBER(G1149), G1149=INT(G1149)),
    _xlpm.ReqDateIsValid, AND(ISNUMBER(H1149), H1149&gt;=TODAY()),
    _xlpm.EmailIsValid, RIGHT(I1149,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IF(A1149="", "", IF(_xlpm.error_messages = "", "Yes", _xlpm.error_messages))
)</f>
        <v/>
      </c>
    </row>
    <row r="1150" spans="1:12">
      <c r="A1150" s="94"/>
      <c r="B1150" s="95"/>
      <c r="C1150" s="95"/>
      <c r="D1150" s="94"/>
      <c r="E1150" s="94"/>
      <c r="F1150" s="96"/>
      <c r="G1150" s="94"/>
      <c r="H1150" s="96"/>
      <c r="I1150" s="96"/>
      <c r="J1150" s="92"/>
      <c r="K1150" s="97"/>
      <c r="L1150" s="99" t="str">
        <f ca="1">_xlfn.LET(
    _xlpm.res_no, J1150,
    _xlpm.record_sheet, 'MatRes Record'!J:M,
    _xlpm.AllCellsFilled, COUNTA(A1150:K1150) = 11,
    _xlpm.QtyIsInt, AND(ISNUMBER(G1150), G1150=INT(G1150)),
    _xlpm.ReqDateIsValid, AND(ISNUMBER(H1150), H1150&gt;=TODAY()),
    _xlpm.EmailIsValid, RIGHT(I1150,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IF(A1150="", "", IF(_xlpm.error_messages = "", "Yes", _xlpm.error_messages))
)</f>
        <v/>
      </c>
    </row>
    <row r="1151" spans="1:12">
      <c r="A1151" s="94"/>
      <c r="B1151" s="95"/>
      <c r="C1151" s="95"/>
      <c r="D1151" s="94"/>
      <c r="E1151" s="94"/>
      <c r="F1151" s="96"/>
      <c r="G1151" s="94"/>
      <c r="H1151" s="96"/>
      <c r="I1151" s="96"/>
      <c r="J1151" s="92"/>
      <c r="K1151" s="97"/>
      <c r="L1151" s="99" t="str">
        <f ca="1">_xlfn.LET(
    _xlpm.res_no, J1151,
    _xlpm.record_sheet, 'MatRes Record'!J:M,
    _xlpm.AllCellsFilled, COUNTA(A1151:K1151) = 11,
    _xlpm.QtyIsInt, AND(ISNUMBER(G1151), G1151=INT(G1151)),
    _xlpm.ReqDateIsValid, AND(ISNUMBER(H1151), H1151&gt;=TODAY()),
    _xlpm.EmailIsValid, RIGHT(I1151,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IF(A1151="", "", IF(_xlpm.error_messages = "", "Yes", _xlpm.error_messages))
)</f>
        <v/>
      </c>
    </row>
    <row r="1152" spans="1:12">
      <c r="A1152" s="94"/>
      <c r="B1152" s="95"/>
      <c r="C1152" s="95"/>
      <c r="D1152" s="94"/>
      <c r="E1152" s="94"/>
      <c r="F1152" s="96"/>
      <c r="G1152" s="94"/>
      <c r="H1152" s="96"/>
      <c r="I1152" s="96"/>
      <c r="J1152" s="92"/>
      <c r="K1152" s="97"/>
      <c r="L1152" s="99" t="str">
        <f ca="1">_xlfn.LET(
    _xlpm.res_no, J1152,
    _xlpm.record_sheet, 'MatRes Record'!J:M,
    _xlpm.AllCellsFilled, COUNTA(A1152:K1152) = 11,
    _xlpm.QtyIsInt, AND(ISNUMBER(G1152), G1152=INT(G1152)),
    _xlpm.ReqDateIsValid, AND(ISNUMBER(H1152), H1152&gt;=TODAY()),
    _xlpm.EmailIsValid, RIGHT(I1152,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IF(A1152="", "", IF(_xlpm.error_messages = "", "Yes", _xlpm.error_messages))
)</f>
        <v/>
      </c>
    </row>
    <row r="1153" spans="1:12">
      <c r="A1153" s="94"/>
      <c r="B1153" s="95"/>
      <c r="C1153" s="95"/>
      <c r="D1153" s="94"/>
      <c r="E1153" s="94"/>
      <c r="F1153" s="96"/>
      <c r="G1153" s="94"/>
      <c r="H1153" s="96"/>
      <c r="I1153" s="96"/>
      <c r="J1153" s="92"/>
      <c r="K1153" s="97"/>
      <c r="L1153" s="99" t="str">
        <f ca="1">_xlfn.LET(
    _xlpm.res_no, J1153,
    _xlpm.record_sheet, 'MatRes Record'!J:M,
    _xlpm.AllCellsFilled, COUNTA(A1153:K1153) = 11,
    _xlpm.QtyIsInt, AND(ISNUMBER(G1153), G1153=INT(G1153)),
    _xlpm.ReqDateIsValid, AND(ISNUMBER(H1153), H1153&gt;=TODAY()),
    _xlpm.EmailIsValid, RIGHT(I1153,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IF(A1153="", "", IF(_xlpm.error_messages = "", "Yes", _xlpm.error_messages))
)</f>
        <v/>
      </c>
    </row>
    <row r="1154" spans="1:12">
      <c r="A1154" s="94"/>
      <c r="B1154" s="95"/>
      <c r="C1154" s="95"/>
      <c r="D1154" s="94"/>
      <c r="E1154" s="94"/>
      <c r="F1154" s="96"/>
      <c r="G1154" s="94"/>
      <c r="H1154" s="96"/>
      <c r="I1154" s="96"/>
      <c r="J1154" s="92"/>
      <c r="K1154" s="97"/>
      <c r="L1154" s="99" t="str">
        <f ca="1">_xlfn.LET(
    _xlpm.res_no, J1154,
    _xlpm.record_sheet, 'MatRes Record'!J:M,
    _xlpm.AllCellsFilled, COUNTA(A1154:K1154) = 11,
    _xlpm.QtyIsInt, AND(ISNUMBER(G1154), G1154=INT(G1154)),
    _xlpm.ReqDateIsValid, AND(ISNUMBER(H1154), H1154&gt;=TODAY()),
    _xlpm.EmailIsValid, RIGHT(I1154,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IF(A1154="", "", IF(_xlpm.error_messages = "", "Yes", _xlpm.error_messages))
)</f>
        <v/>
      </c>
    </row>
    <row r="1155" spans="1:12">
      <c r="A1155" s="94"/>
      <c r="B1155" s="95"/>
      <c r="C1155" s="95"/>
      <c r="D1155" s="94"/>
      <c r="E1155" s="94"/>
      <c r="F1155" s="96"/>
      <c r="G1155" s="94"/>
      <c r="H1155" s="96"/>
      <c r="I1155" s="96"/>
      <c r="J1155" s="92"/>
      <c r="K1155" s="97"/>
      <c r="L1155" s="99" t="str">
        <f ca="1">_xlfn.LET(
    _xlpm.res_no, J1155,
    _xlpm.record_sheet, 'MatRes Record'!J:M,
    _xlpm.AllCellsFilled, COUNTA(A1155:K1155) = 11,
    _xlpm.QtyIsInt, AND(ISNUMBER(G1155), G1155=INT(G1155)),
    _xlpm.ReqDateIsValid, AND(ISNUMBER(H1155), H1155&gt;=TODAY()),
    _xlpm.EmailIsValid, RIGHT(I1155,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IF(A1155="", "", IF(_xlpm.error_messages = "", "Yes", _xlpm.error_messages))
)</f>
        <v/>
      </c>
    </row>
    <row r="1156" spans="1:12">
      <c r="A1156" s="94"/>
      <c r="B1156" s="95"/>
      <c r="C1156" s="95"/>
      <c r="D1156" s="94"/>
      <c r="E1156" s="94"/>
      <c r="F1156" s="96"/>
      <c r="G1156" s="94"/>
      <c r="H1156" s="96"/>
      <c r="I1156" s="96"/>
      <c r="J1156" s="92"/>
      <c r="K1156" s="97"/>
      <c r="L1156" s="99" t="str">
        <f ca="1">_xlfn.LET(
    _xlpm.res_no, J1156,
    _xlpm.record_sheet, 'MatRes Record'!J:M,
    _xlpm.AllCellsFilled, COUNTA(A1156:K1156) = 11,
    _xlpm.QtyIsInt, AND(ISNUMBER(G1156), G1156=INT(G1156)),
    _xlpm.ReqDateIsValid, AND(ISNUMBER(H1156), H1156&gt;=TODAY()),
    _xlpm.EmailIsValid, RIGHT(I1156,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IF(A1156="", "", IF(_xlpm.error_messages = "", "Yes", _xlpm.error_messages))
)</f>
        <v/>
      </c>
    </row>
    <row r="1157" spans="1:12">
      <c r="A1157" s="94"/>
      <c r="B1157" s="95"/>
      <c r="C1157" s="95"/>
      <c r="D1157" s="94"/>
      <c r="E1157" s="94"/>
      <c r="F1157" s="96"/>
      <c r="G1157" s="94"/>
      <c r="H1157" s="96"/>
      <c r="I1157" s="96"/>
      <c r="J1157" s="92"/>
      <c r="K1157" s="97"/>
      <c r="L1157" s="99" t="str">
        <f ca="1">_xlfn.LET(
    _xlpm.res_no, J1157,
    _xlpm.record_sheet, 'MatRes Record'!J:M,
    _xlpm.AllCellsFilled, COUNTA(A1157:K1157) = 11,
    _xlpm.QtyIsInt, AND(ISNUMBER(G1157), G1157=INT(G1157)),
    _xlpm.ReqDateIsValid, AND(ISNUMBER(H1157), H1157&gt;=TODAY()),
    _xlpm.EmailIsValid, RIGHT(I1157,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IF(A1157="", "", IF(_xlpm.error_messages = "", "Yes", _xlpm.error_messages))
)</f>
        <v/>
      </c>
    </row>
    <row r="1158" spans="1:12">
      <c r="A1158" s="94"/>
      <c r="B1158" s="95"/>
      <c r="C1158" s="95"/>
      <c r="D1158" s="94"/>
      <c r="E1158" s="94"/>
      <c r="F1158" s="96"/>
      <c r="G1158" s="94"/>
      <c r="H1158" s="96"/>
      <c r="I1158" s="96"/>
      <c r="J1158" s="92"/>
      <c r="K1158" s="97"/>
      <c r="L1158" s="99" t="str">
        <f ca="1">_xlfn.LET(
    _xlpm.res_no, J1158,
    _xlpm.record_sheet, 'MatRes Record'!J:M,
    _xlpm.AllCellsFilled, COUNTA(A1158:K1158) = 11,
    _xlpm.QtyIsInt, AND(ISNUMBER(G1158), G1158=INT(G1158)),
    _xlpm.ReqDateIsValid, AND(ISNUMBER(H1158), H1158&gt;=TODAY()),
    _xlpm.EmailIsValid, RIGHT(I1158,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IF(A1158="", "", IF(_xlpm.error_messages = "", "Yes", _xlpm.error_messages))
)</f>
        <v/>
      </c>
    </row>
    <row r="1159" spans="1:12">
      <c r="A1159" s="94"/>
      <c r="B1159" s="95"/>
      <c r="C1159" s="95"/>
      <c r="D1159" s="94"/>
      <c r="E1159" s="94"/>
      <c r="F1159" s="96"/>
      <c r="G1159" s="94"/>
      <c r="H1159" s="96"/>
      <c r="I1159" s="96"/>
      <c r="J1159" s="92"/>
      <c r="K1159" s="97"/>
      <c r="L1159" s="99" t="str">
        <f ca="1">_xlfn.LET(
    _xlpm.res_no, J1159,
    _xlpm.record_sheet, 'MatRes Record'!J:M,
    _xlpm.AllCellsFilled, COUNTA(A1159:K1159) = 11,
    _xlpm.QtyIsInt, AND(ISNUMBER(G1159), G1159=INT(G1159)),
    _xlpm.ReqDateIsValid, AND(ISNUMBER(H1159), H1159&gt;=TODAY()),
    _xlpm.EmailIsValid, RIGHT(I1159,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IF(A1159="", "", IF(_xlpm.error_messages = "", "Yes", _xlpm.error_messages))
)</f>
        <v/>
      </c>
    </row>
    <row r="1160" spans="1:12">
      <c r="A1160" s="94"/>
      <c r="B1160" s="95"/>
      <c r="C1160" s="95"/>
      <c r="D1160" s="94"/>
      <c r="E1160" s="94"/>
      <c r="F1160" s="96"/>
      <c r="G1160" s="94"/>
      <c r="H1160" s="96"/>
      <c r="I1160" s="96"/>
      <c r="J1160" s="92"/>
      <c r="K1160" s="97"/>
      <c r="L1160" s="99" t="str">
        <f ca="1">_xlfn.LET(
    _xlpm.res_no, J1160,
    _xlpm.record_sheet, 'MatRes Record'!J:M,
    _xlpm.AllCellsFilled, COUNTA(A1160:K1160) = 11,
    _xlpm.QtyIsInt, AND(ISNUMBER(G1160), G1160=INT(G1160)),
    _xlpm.ReqDateIsValid, AND(ISNUMBER(H1160), H1160&gt;=TODAY()),
    _xlpm.EmailIsValid, RIGHT(I1160,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IF(A1160="", "", IF(_xlpm.error_messages = "", "Yes", _xlpm.error_messages))
)</f>
        <v/>
      </c>
    </row>
    <row r="1161" spans="1:12">
      <c r="A1161" s="94"/>
      <c r="B1161" s="95"/>
      <c r="C1161" s="95"/>
      <c r="D1161" s="94"/>
      <c r="E1161" s="94"/>
      <c r="F1161" s="96"/>
      <c r="G1161" s="94"/>
      <c r="H1161" s="96"/>
      <c r="I1161" s="96"/>
      <c r="J1161" s="92"/>
      <c r="K1161" s="97"/>
      <c r="L1161" s="99" t="str">
        <f ca="1">_xlfn.LET(
    _xlpm.res_no, J1161,
    _xlpm.record_sheet, 'MatRes Record'!J:M,
    _xlpm.AllCellsFilled, COUNTA(A1161:K1161) = 11,
    _xlpm.QtyIsInt, AND(ISNUMBER(G1161), G1161=INT(G1161)),
    _xlpm.ReqDateIsValid, AND(ISNUMBER(H1161), H1161&gt;=TODAY()),
    _xlpm.EmailIsValid, RIGHT(I1161,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IF(A1161="", "", IF(_xlpm.error_messages = "", "Yes", _xlpm.error_messages))
)</f>
        <v/>
      </c>
    </row>
    <row r="1162" spans="1:12">
      <c r="A1162" s="94"/>
      <c r="B1162" s="95"/>
      <c r="C1162" s="95"/>
      <c r="D1162" s="94"/>
      <c r="E1162" s="94"/>
      <c r="F1162" s="96"/>
      <c r="G1162" s="94"/>
      <c r="H1162" s="96"/>
      <c r="I1162" s="96"/>
      <c r="J1162" s="92"/>
      <c r="K1162" s="97"/>
      <c r="L1162" s="99" t="str">
        <f ca="1">_xlfn.LET(
    _xlpm.res_no, J1162,
    _xlpm.record_sheet, 'MatRes Record'!J:M,
    _xlpm.AllCellsFilled, COUNTA(A1162:K1162) = 11,
    _xlpm.QtyIsInt, AND(ISNUMBER(G1162), G1162=INT(G1162)),
    _xlpm.ReqDateIsValid, AND(ISNUMBER(H1162), H1162&gt;=TODAY()),
    _xlpm.EmailIsValid, RIGHT(I1162,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IF(A1162="", "", IF(_xlpm.error_messages = "", "Yes", _xlpm.error_messages))
)</f>
        <v/>
      </c>
    </row>
    <row r="1163" spans="1:12">
      <c r="A1163" s="94"/>
      <c r="B1163" s="95"/>
      <c r="C1163" s="95"/>
      <c r="D1163" s="94"/>
      <c r="E1163" s="94"/>
      <c r="F1163" s="96"/>
      <c r="G1163" s="94"/>
      <c r="H1163" s="96"/>
      <c r="I1163" s="96"/>
      <c r="J1163" s="92"/>
      <c r="K1163" s="97"/>
      <c r="L1163" s="99" t="str">
        <f ca="1">_xlfn.LET(
    _xlpm.res_no, J1163,
    _xlpm.record_sheet, 'MatRes Record'!J:M,
    _xlpm.AllCellsFilled, COUNTA(A1163:K1163) = 11,
    _xlpm.QtyIsInt, AND(ISNUMBER(G1163), G1163=INT(G1163)),
    _xlpm.ReqDateIsValid, AND(ISNUMBER(H1163), H1163&gt;=TODAY()),
    _xlpm.EmailIsValid, RIGHT(I1163,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IF(A1163="", "", IF(_xlpm.error_messages = "", "Yes", _xlpm.error_messages))
)</f>
        <v/>
      </c>
    </row>
    <row r="1164" spans="1:12">
      <c r="A1164" s="94"/>
      <c r="B1164" s="95"/>
      <c r="C1164" s="95"/>
      <c r="D1164" s="94"/>
      <c r="E1164" s="94"/>
      <c r="F1164" s="96"/>
      <c r="G1164" s="94"/>
      <c r="H1164" s="96"/>
      <c r="I1164" s="96"/>
      <c r="J1164" s="92"/>
      <c r="K1164" s="97"/>
      <c r="L1164" s="99" t="str">
        <f ca="1">_xlfn.LET(
    _xlpm.res_no, J1164,
    _xlpm.record_sheet, 'MatRes Record'!J:M,
    _xlpm.AllCellsFilled, COUNTA(A1164:K1164) = 11,
    _xlpm.QtyIsInt, AND(ISNUMBER(G1164), G1164=INT(G1164)),
    _xlpm.ReqDateIsValid, AND(ISNUMBER(H1164), H1164&gt;=TODAY()),
    _xlpm.EmailIsValid, RIGHT(I1164,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IF(A1164="", "", IF(_xlpm.error_messages = "", "Yes", _xlpm.error_messages))
)</f>
        <v/>
      </c>
    </row>
    <row r="1165" spans="1:12">
      <c r="A1165" s="94"/>
      <c r="B1165" s="95"/>
      <c r="C1165" s="95"/>
      <c r="D1165" s="94"/>
      <c r="E1165" s="94"/>
      <c r="F1165" s="96"/>
      <c r="G1165" s="94"/>
      <c r="H1165" s="96"/>
      <c r="I1165" s="96"/>
      <c r="J1165" s="92"/>
      <c r="K1165" s="97"/>
      <c r="L1165" s="99" t="str">
        <f ca="1">_xlfn.LET(
    _xlpm.res_no, J1165,
    _xlpm.record_sheet, 'MatRes Record'!J:M,
    _xlpm.AllCellsFilled, COUNTA(A1165:K1165) = 11,
    _xlpm.QtyIsInt, AND(ISNUMBER(G1165), G1165=INT(G1165)),
    _xlpm.ReqDateIsValid, AND(ISNUMBER(H1165), H1165&gt;=TODAY()),
    _xlpm.EmailIsValid, RIGHT(I1165,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IF(A1165="", "", IF(_xlpm.error_messages = "", "Yes", _xlpm.error_messages))
)</f>
        <v/>
      </c>
    </row>
    <row r="1166" spans="1:12">
      <c r="A1166" s="94"/>
      <c r="B1166" s="95"/>
      <c r="C1166" s="95"/>
      <c r="D1166" s="94"/>
      <c r="E1166" s="94"/>
      <c r="F1166" s="96"/>
      <c r="G1166" s="94"/>
      <c r="H1166" s="96"/>
      <c r="I1166" s="96"/>
      <c r="J1166" s="92"/>
      <c r="K1166" s="97"/>
      <c r="L1166" s="99" t="str">
        <f ca="1">_xlfn.LET(
    _xlpm.res_no, J1166,
    _xlpm.record_sheet, 'MatRes Record'!J:M,
    _xlpm.AllCellsFilled, COUNTA(A1166:K1166) = 11,
    _xlpm.QtyIsInt, AND(ISNUMBER(G1166), G1166=INT(G1166)),
    _xlpm.ReqDateIsValid, AND(ISNUMBER(H1166), H1166&gt;=TODAY()),
    _xlpm.EmailIsValid, RIGHT(I1166,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IF(A1166="", "", IF(_xlpm.error_messages = "", "Yes", _xlpm.error_messages))
)</f>
        <v/>
      </c>
    </row>
    <row r="1167" spans="1:12">
      <c r="A1167" s="94"/>
      <c r="B1167" s="95"/>
      <c r="C1167" s="95"/>
      <c r="D1167" s="94"/>
      <c r="E1167" s="94"/>
      <c r="F1167" s="96"/>
      <c r="G1167" s="94"/>
      <c r="H1167" s="96"/>
      <c r="I1167" s="96"/>
      <c r="J1167" s="92"/>
      <c r="K1167" s="97"/>
      <c r="L1167" s="99" t="str">
        <f ca="1">_xlfn.LET(
    _xlpm.res_no, J1167,
    _xlpm.record_sheet, 'MatRes Record'!J:M,
    _xlpm.AllCellsFilled, COUNTA(A1167:K1167) = 11,
    _xlpm.QtyIsInt, AND(ISNUMBER(G1167), G1167=INT(G1167)),
    _xlpm.ReqDateIsValid, AND(ISNUMBER(H1167), H1167&gt;=TODAY()),
    _xlpm.EmailIsValid, RIGHT(I1167,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IF(A1167="", "", IF(_xlpm.error_messages = "", "Yes", _xlpm.error_messages))
)</f>
        <v/>
      </c>
    </row>
    <row r="1168" spans="1:12">
      <c r="A1168" s="94"/>
      <c r="B1168" s="95"/>
      <c r="C1168" s="95"/>
      <c r="D1168" s="94"/>
      <c r="E1168" s="94"/>
      <c r="F1168" s="96"/>
      <c r="G1168" s="94"/>
      <c r="H1168" s="96"/>
      <c r="I1168" s="96"/>
      <c r="J1168" s="92"/>
      <c r="K1168" s="97"/>
      <c r="L1168" s="99" t="str">
        <f ca="1">_xlfn.LET(
    _xlpm.res_no, J1168,
    _xlpm.record_sheet, 'MatRes Record'!J:M,
    _xlpm.AllCellsFilled, COUNTA(A1168:K1168) = 11,
    _xlpm.QtyIsInt, AND(ISNUMBER(G1168), G1168=INT(G1168)),
    _xlpm.ReqDateIsValid, AND(ISNUMBER(H1168), H1168&gt;=TODAY()),
    _xlpm.EmailIsValid, RIGHT(I1168,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IF(A1168="", "", IF(_xlpm.error_messages = "", "Yes", _xlpm.error_messages))
)</f>
        <v/>
      </c>
    </row>
    <row r="1169" spans="1:12">
      <c r="A1169" s="94"/>
      <c r="B1169" s="95"/>
      <c r="C1169" s="95"/>
      <c r="D1169" s="94"/>
      <c r="E1169" s="94"/>
      <c r="F1169" s="96"/>
      <c r="G1169" s="94"/>
      <c r="H1169" s="96"/>
      <c r="I1169" s="96"/>
      <c r="J1169" s="92"/>
      <c r="K1169" s="97"/>
      <c r="L1169" s="99" t="str">
        <f ca="1">_xlfn.LET(
    _xlpm.res_no, J1169,
    _xlpm.record_sheet, 'MatRes Record'!J:M,
    _xlpm.AllCellsFilled, COUNTA(A1169:K1169) = 11,
    _xlpm.QtyIsInt, AND(ISNUMBER(G1169), G1169=INT(G1169)),
    _xlpm.ReqDateIsValid, AND(ISNUMBER(H1169), H1169&gt;=TODAY()),
    _xlpm.EmailIsValid, RIGHT(I1169,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IF(A1169="", "", IF(_xlpm.error_messages = "", "Yes", _xlpm.error_messages))
)</f>
        <v/>
      </c>
    </row>
    <row r="1170" spans="1:12">
      <c r="A1170" s="94"/>
      <c r="B1170" s="95"/>
      <c r="C1170" s="95"/>
      <c r="D1170" s="94"/>
      <c r="E1170" s="94"/>
      <c r="F1170" s="96"/>
      <c r="G1170" s="94"/>
      <c r="H1170" s="96"/>
      <c r="I1170" s="96"/>
      <c r="J1170" s="92"/>
      <c r="K1170" s="97"/>
      <c r="L1170" s="99" t="str">
        <f ca="1">_xlfn.LET(
    _xlpm.res_no, J1170,
    _xlpm.record_sheet, 'MatRes Record'!J:M,
    _xlpm.AllCellsFilled, COUNTA(A1170:K1170) = 11,
    _xlpm.QtyIsInt, AND(ISNUMBER(G1170), G1170=INT(G1170)),
    _xlpm.ReqDateIsValid, AND(ISNUMBER(H1170), H1170&gt;=TODAY()),
    _xlpm.EmailIsValid, RIGHT(I1170,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IF(A1170="", "", IF(_xlpm.error_messages = "", "Yes", _xlpm.error_messages))
)</f>
        <v/>
      </c>
    </row>
    <row r="1171" spans="1:12">
      <c r="A1171" s="94"/>
      <c r="B1171" s="95"/>
      <c r="C1171" s="95"/>
      <c r="D1171" s="94"/>
      <c r="E1171" s="94"/>
      <c r="F1171" s="96"/>
      <c r="G1171" s="94"/>
      <c r="H1171" s="96"/>
      <c r="I1171" s="96"/>
      <c r="J1171" s="92"/>
      <c r="K1171" s="97"/>
      <c r="L1171" s="99" t="str">
        <f ca="1">_xlfn.LET(
    _xlpm.res_no, J1171,
    _xlpm.record_sheet, 'MatRes Record'!J:M,
    _xlpm.AllCellsFilled, COUNTA(A1171:K1171) = 11,
    _xlpm.QtyIsInt, AND(ISNUMBER(G1171), G1171=INT(G1171)),
    _xlpm.ReqDateIsValid, AND(ISNUMBER(H1171), H1171&gt;=TODAY()),
    _xlpm.EmailIsValid, RIGHT(I1171,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IF(A1171="", "", IF(_xlpm.error_messages = "", "Yes", _xlpm.error_messages))
)</f>
        <v/>
      </c>
    </row>
    <row r="1172" spans="1:12">
      <c r="A1172" s="94"/>
      <c r="B1172" s="95"/>
      <c r="C1172" s="95"/>
      <c r="D1172" s="94"/>
      <c r="E1172" s="94"/>
      <c r="F1172" s="96"/>
      <c r="G1172" s="94"/>
      <c r="H1172" s="96"/>
      <c r="I1172" s="96"/>
      <c r="J1172" s="92"/>
      <c r="K1172" s="97"/>
      <c r="L1172" s="99" t="str">
        <f ca="1">_xlfn.LET(
    _xlpm.res_no, J1172,
    _xlpm.record_sheet, 'MatRes Record'!J:M,
    _xlpm.AllCellsFilled, COUNTA(A1172:K1172) = 11,
    _xlpm.QtyIsInt, AND(ISNUMBER(G1172), G1172=INT(G1172)),
    _xlpm.ReqDateIsValid, AND(ISNUMBER(H1172), H1172&gt;=TODAY()),
    _xlpm.EmailIsValid, RIGHT(I1172,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IF(A1172="", "", IF(_xlpm.error_messages = "", "Yes", _xlpm.error_messages))
)</f>
        <v/>
      </c>
    </row>
    <row r="1173" spans="1:12">
      <c r="A1173" s="94"/>
      <c r="B1173" s="95"/>
      <c r="C1173" s="95"/>
      <c r="D1173" s="94"/>
      <c r="E1173" s="94"/>
      <c r="F1173" s="96"/>
      <c r="G1173" s="94"/>
      <c r="H1173" s="96"/>
      <c r="I1173" s="96"/>
      <c r="J1173" s="92"/>
      <c r="K1173" s="97"/>
      <c r="L1173" s="99" t="str">
        <f ca="1">_xlfn.LET(
    _xlpm.res_no, J1173,
    _xlpm.record_sheet, 'MatRes Record'!J:M,
    _xlpm.AllCellsFilled, COUNTA(A1173:K1173) = 11,
    _xlpm.QtyIsInt, AND(ISNUMBER(G1173), G1173=INT(G1173)),
    _xlpm.ReqDateIsValid, AND(ISNUMBER(H1173), H1173&gt;=TODAY()),
    _xlpm.EmailIsValid, RIGHT(I1173,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IF(A1173="", "", IF(_xlpm.error_messages = "", "Yes", _xlpm.error_messages))
)</f>
        <v/>
      </c>
    </row>
    <row r="1174" spans="1:12">
      <c r="A1174" s="94"/>
      <c r="B1174" s="95"/>
      <c r="C1174" s="95"/>
      <c r="D1174" s="94"/>
      <c r="E1174" s="94"/>
      <c r="F1174" s="96"/>
      <c r="G1174" s="94"/>
      <c r="H1174" s="96"/>
      <c r="I1174" s="96"/>
      <c r="J1174" s="92"/>
      <c r="K1174" s="97"/>
      <c r="L1174" s="99" t="str">
        <f ca="1">_xlfn.LET(
    _xlpm.res_no, J1174,
    _xlpm.record_sheet, 'MatRes Record'!J:M,
    _xlpm.AllCellsFilled, COUNTA(A1174:K1174) = 11,
    _xlpm.QtyIsInt, AND(ISNUMBER(G1174), G1174=INT(G1174)),
    _xlpm.ReqDateIsValid, AND(ISNUMBER(H1174), H1174&gt;=TODAY()),
    _xlpm.EmailIsValid, RIGHT(I1174,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IF(A1174="", "", IF(_xlpm.error_messages = "", "Yes", _xlpm.error_messages))
)</f>
        <v/>
      </c>
    </row>
    <row r="1175" spans="1:12">
      <c r="A1175" s="94"/>
      <c r="B1175" s="95"/>
      <c r="C1175" s="95"/>
      <c r="D1175" s="94"/>
      <c r="E1175" s="94"/>
      <c r="F1175" s="96"/>
      <c r="G1175" s="94"/>
      <c r="H1175" s="96"/>
      <c r="I1175" s="96"/>
      <c r="J1175" s="92"/>
      <c r="K1175" s="97"/>
      <c r="L1175" s="99" t="str">
        <f ca="1">_xlfn.LET(
    _xlpm.res_no, J1175,
    _xlpm.record_sheet, 'MatRes Record'!J:M,
    _xlpm.AllCellsFilled, COUNTA(A1175:K1175) = 11,
    _xlpm.QtyIsInt, AND(ISNUMBER(G1175), G1175=INT(G1175)),
    _xlpm.ReqDateIsValid, AND(ISNUMBER(H1175), H1175&gt;=TODAY()),
    _xlpm.EmailIsValid, RIGHT(I1175,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IF(A1175="", "", IF(_xlpm.error_messages = "", "Yes", _xlpm.error_messages))
)</f>
        <v/>
      </c>
    </row>
    <row r="1176" spans="1:12">
      <c r="A1176" s="94"/>
      <c r="B1176" s="95"/>
      <c r="C1176" s="95"/>
      <c r="D1176" s="94"/>
      <c r="E1176" s="94"/>
      <c r="F1176" s="96"/>
      <c r="G1176" s="94"/>
      <c r="H1176" s="96"/>
      <c r="I1176" s="96"/>
      <c r="J1176" s="92"/>
      <c r="K1176" s="97"/>
      <c r="L1176" s="99" t="str">
        <f ca="1">_xlfn.LET(
    _xlpm.res_no, J1176,
    _xlpm.record_sheet, 'MatRes Record'!J:M,
    _xlpm.AllCellsFilled, COUNTA(A1176:K1176) = 11,
    _xlpm.QtyIsInt, AND(ISNUMBER(G1176), G1176=INT(G1176)),
    _xlpm.ReqDateIsValid, AND(ISNUMBER(H1176), H1176&gt;=TODAY()),
    _xlpm.EmailIsValid, RIGHT(I1176,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IF(A1176="", "", IF(_xlpm.error_messages = "", "Yes", _xlpm.error_messages))
)</f>
        <v/>
      </c>
    </row>
    <row r="1177" spans="1:12">
      <c r="A1177" s="94"/>
      <c r="B1177" s="95"/>
      <c r="C1177" s="95"/>
      <c r="D1177" s="94"/>
      <c r="E1177" s="94"/>
      <c r="F1177" s="96"/>
      <c r="G1177" s="94"/>
      <c r="H1177" s="96"/>
      <c r="I1177" s="96"/>
      <c r="J1177" s="92"/>
      <c r="K1177" s="97"/>
      <c r="L1177" s="99" t="str">
        <f ca="1">_xlfn.LET(
    _xlpm.res_no, J1177,
    _xlpm.record_sheet, 'MatRes Record'!J:M,
    _xlpm.AllCellsFilled, COUNTA(A1177:K1177) = 11,
    _xlpm.QtyIsInt, AND(ISNUMBER(G1177), G1177=INT(G1177)),
    _xlpm.ReqDateIsValid, AND(ISNUMBER(H1177), H1177&gt;=TODAY()),
    _xlpm.EmailIsValid, RIGHT(I1177,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IF(A1177="", "", IF(_xlpm.error_messages = "", "Yes", _xlpm.error_messages))
)</f>
        <v/>
      </c>
    </row>
    <row r="1178" spans="1:12">
      <c r="A1178" s="94"/>
      <c r="B1178" s="95"/>
      <c r="C1178" s="95"/>
      <c r="D1178" s="94"/>
      <c r="E1178" s="94"/>
      <c r="F1178" s="96"/>
      <c r="G1178" s="94"/>
      <c r="H1178" s="96"/>
      <c r="I1178" s="96"/>
      <c r="J1178" s="92"/>
      <c r="K1178" s="97"/>
      <c r="L1178" s="99" t="str">
        <f ca="1">_xlfn.LET(
    _xlpm.res_no, J1178,
    _xlpm.record_sheet, 'MatRes Record'!J:M,
    _xlpm.AllCellsFilled, COUNTA(A1178:K1178) = 11,
    _xlpm.QtyIsInt, AND(ISNUMBER(G1178), G1178=INT(G1178)),
    _xlpm.ReqDateIsValid, AND(ISNUMBER(H1178), H1178&gt;=TODAY()),
    _xlpm.EmailIsValid, RIGHT(I1178,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IF(A1178="", "", IF(_xlpm.error_messages = "", "Yes", _xlpm.error_messages))
)</f>
        <v/>
      </c>
    </row>
    <row r="1179" spans="1:12">
      <c r="A1179" s="94"/>
      <c r="B1179" s="95"/>
      <c r="C1179" s="95"/>
      <c r="D1179" s="94"/>
      <c r="E1179" s="94"/>
      <c r="F1179" s="96"/>
      <c r="G1179" s="94"/>
      <c r="H1179" s="96"/>
      <c r="I1179" s="96"/>
      <c r="J1179" s="92"/>
      <c r="K1179" s="97"/>
      <c r="L1179" s="99" t="str">
        <f ca="1">_xlfn.LET(
    _xlpm.res_no, J1179,
    _xlpm.record_sheet, 'MatRes Record'!J:M,
    _xlpm.AllCellsFilled, COUNTA(A1179:K1179) = 11,
    _xlpm.QtyIsInt, AND(ISNUMBER(G1179), G1179=INT(G1179)),
    _xlpm.ReqDateIsValid, AND(ISNUMBER(H1179), H1179&gt;=TODAY()),
    _xlpm.EmailIsValid, RIGHT(I1179,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IF(A1179="", "", IF(_xlpm.error_messages = "", "Yes", _xlpm.error_messages))
)</f>
        <v/>
      </c>
    </row>
    <row r="1180" spans="1:12">
      <c r="A1180" s="94"/>
      <c r="B1180" s="95"/>
      <c r="C1180" s="95"/>
      <c r="D1180" s="94"/>
      <c r="E1180" s="94"/>
      <c r="F1180" s="96"/>
      <c r="G1180" s="94"/>
      <c r="H1180" s="96"/>
      <c r="I1180" s="96"/>
      <c r="J1180" s="92"/>
      <c r="K1180" s="97"/>
      <c r="L1180" s="99" t="str">
        <f ca="1">_xlfn.LET(
    _xlpm.res_no, J1180,
    _xlpm.record_sheet, 'MatRes Record'!J:M,
    _xlpm.AllCellsFilled, COUNTA(A1180:K1180) = 11,
    _xlpm.QtyIsInt, AND(ISNUMBER(G1180), G1180=INT(G1180)),
    _xlpm.ReqDateIsValid, AND(ISNUMBER(H1180), H1180&gt;=TODAY()),
    _xlpm.EmailIsValid, RIGHT(I1180,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IF(A1180="", "", IF(_xlpm.error_messages = "", "Yes", _xlpm.error_messages))
)</f>
        <v/>
      </c>
    </row>
    <row r="1181" spans="1:12">
      <c r="A1181" s="94"/>
      <c r="B1181" s="95"/>
      <c r="C1181" s="95"/>
      <c r="D1181" s="94"/>
      <c r="E1181" s="94"/>
      <c r="F1181" s="96"/>
      <c r="G1181" s="94"/>
      <c r="H1181" s="96"/>
      <c r="I1181" s="96"/>
      <c r="J1181" s="92"/>
      <c r="K1181" s="97"/>
      <c r="L1181" s="99" t="str">
        <f ca="1">_xlfn.LET(
    _xlpm.res_no, J1181,
    _xlpm.record_sheet, 'MatRes Record'!J:M,
    _xlpm.AllCellsFilled, COUNTA(A1181:K1181) = 11,
    _xlpm.QtyIsInt, AND(ISNUMBER(G1181), G1181=INT(G1181)),
    _xlpm.ReqDateIsValid, AND(ISNUMBER(H1181), H1181&gt;=TODAY()),
    _xlpm.EmailIsValid, RIGHT(I1181,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IF(A1181="", "", IF(_xlpm.error_messages = "", "Yes", _xlpm.error_messages))
)</f>
        <v/>
      </c>
    </row>
    <row r="1182" spans="1:12">
      <c r="A1182" s="94"/>
      <c r="B1182" s="95"/>
      <c r="C1182" s="95"/>
      <c r="D1182" s="94"/>
      <c r="E1182" s="94"/>
      <c r="F1182" s="96"/>
      <c r="G1182" s="94"/>
      <c r="H1182" s="96"/>
      <c r="I1182" s="96"/>
      <c r="J1182" s="92"/>
      <c r="K1182" s="97"/>
      <c r="L1182" s="99" t="str">
        <f ca="1">_xlfn.LET(
    _xlpm.res_no, J1182,
    _xlpm.record_sheet, 'MatRes Record'!J:M,
    _xlpm.AllCellsFilled, COUNTA(A1182:K1182) = 11,
    _xlpm.QtyIsInt, AND(ISNUMBER(G1182), G1182=INT(G1182)),
    _xlpm.ReqDateIsValid, AND(ISNUMBER(H1182), H1182&gt;=TODAY()),
    _xlpm.EmailIsValid, RIGHT(I1182,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IF(A1182="", "", IF(_xlpm.error_messages = "", "Yes", _xlpm.error_messages))
)</f>
        <v/>
      </c>
    </row>
    <row r="1183" spans="1:12">
      <c r="A1183" s="94"/>
      <c r="B1183" s="95"/>
      <c r="C1183" s="95"/>
      <c r="D1183" s="94"/>
      <c r="E1183" s="94"/>
      <c r="F1183" s="96"/>
      <c r="G1183" s="94"/>
      <c r="H1183" s="96"/>
      <c r="I1183" s="96"/>
      <c r="J1183" s="92"/>
      <c r="K1183" s="97"/>
      <c r="L1183" s="99" t="str">
        <f ca="1">_xlfn.LET(
    _xlpm.res_no, J1183,
    _xlpm.record_sheet, 'MatRes Record'!J:M,
    _xlpm.AllCellsFilled, COUNTA(A1183:K1183) = 11,
    _xlpm.QtyIsInt, AND(ISNUMBER(G1183), G1183=INT(G1183)),
    _xlpm.ReqDateIsValid, AND(ISNUMBER(H1183), H1183&gt;=TODAY()),
    _xlpm.EmailIsValid, RIGHT(I1183,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IF(A1183="", "", IF(_xlpm.error_messages = "", "Yes", _xlpm.error_messages))
)</f>
        <v/>
      </c>
    </row>
    <row r="1184" spans="1:12">
      <c r="A1184" s="94"/>
      <c r="B1184" s="95"/>
      <c r="C1184" s="95"/>
      <c r="D1184" s="94"/>
      <c r="E1184" s="94"/>
      <c r="F1184" s="96"/>
      <c r="G1184" s="94"/>
      <c r="H1184" s="96"/>
      <c r="I1184" s="96"/>
      <c r="J1184" s="92"/>
      <c r="K1184" s="97"/>
      <c r="L1184" s="99" t="str">
        <f ca="1">_xlfn.LET(
    _xlpm.res_no, J1184,
    _xlpm.record_sheet, 'MatRes Record'!J:M,
    _xlpm.AllCellsFilled, COUNTA(A1184:K1184) = 11,
    _xlpm.QtyIsInt, AND(ISNUMBER(G1184), G1184=INT(G1184)),
    _xlpm.ReqDateIsValid, AND(ISNUMBER(H1184), H1184&gt;=TODAY()),
    _xlpm.EmailIsValid, RIGHT(I1184,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IF(A1184="", "", IF(_xlpm.error_messages = "", "Yes", _xlpm.error_messages))
)</f>
        <v/>
      </c>
    </row>
    <row r="1185" spans="1:12">
      <c r="A1185" s="94"/>
      <c r="B1185" s="95"/>
      <c r="C1185" s="95"/>
      <c r="D1185" s="94"/>
      <c r="E1185" s="94"/>
      <c r="F1185" s="96"/>
      <c r="G1185" s="94"/>
      <c r="H1185" s="96"/>
      <c r="I1185" s="96"/>
      <c r="J1185" s="92"/>
      <c r="K1185" s="97"/>
      <c r="L1185" s="99" t="str">
        <f ca="1">_xlfn.LET(
    _xlpm.res_no, J1185,
    _xlpm.record_sheet, 'MatRes Record'!J:M,
    _xlpm.AllCellsFilled, COUNTA(A1185:K1185) = 11,
    _xlpm.QtyIsInt, AND(ISNUMBER(G1185), G1185=INT(G1185)),
    _xlpm.ReqDateIsValid, AND(ISNUMBER(H1185), H1185&gt;=TODAY()),
    _xlpm.EmailIsValid, RIGHT(I1185,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IF(A1185="", "", IF(_xlpm.error_messages = "", "Yes", _xlpm.error_messages))
)</f>
        <v/>
      </c>
    </row>
    <row r="1186" spans="1:12">
      <c r="A1186" s="94"/>
      <c r="B1186" s="95"/>
      <c r="C1186" s="95"/>
      <c r="D1186" s="94"/>
      <c r="E1186" s="94"/>
      <c r="F1186" s="96"/>
      <c r="G1186" s="94"/>
      <c r="H1186" s="96"/>
      <c r="I1186" s="96"/>
      <c r="J1186" s="92"/>
      <c r="K1186" s="97"/>
      <c r="L1186" s="99" t="str">
        <f ca="1">_xlfn.LET(
    _xlpm.res_no, J1186,
    _xlpm.record_sheet, 'MatRes Record'!J:M,
    _xlpm.AllCellsFilled, COUNTA(A1186:K1186) = 11,
    _xlpm.QtyIsInt, AND(ISNUMBER(G1186), G1186=INT(G1186)),
    _xlpm.ReqDateIsValid, AND(ISNUMBER(H1186), H1186&gt;=TODAY()),
    _xlpm.EmailIsValid, RIGHT(I1186,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IF(A1186="", "", IF(_xlpm.error_messages = "", "Yes", _xlpm.error_messages))
)</f>
        <v/>
      </c>
    </row>
    <row r="1187" spans="1:12">
      <c r="A1187" s="94"/>
      <c r="B1187" s="95"/>
      <c r="C1187" s="95"/>
      <c r="D1187" s="94"/>
      <c r="E1187" s="94"/>
      <c r="F1187" s="96"/>
      <c r="G1187" s="94"/>
      <c r="H1187" s="96"/>
      <c r="I1187" s="96"/>
      <c r="J1187" s="92"/>
      <c r="K1187" s="97"/>
      <c r="L1187" s="99" t="str">
        <f ca="1">_xlfn.LET(
    _xlpm.res_no, J1187,
    _xlpm.record_sheet, 'MatRes Record'!J:M,
    _xlpm.AllCellsFilled, COUNTA(A1187:K1187) = 11,
    _xlpm.QtyIsInt, AND(ISNUMBER(G1187), G1187=INT(G1187)),
    _xlpm.ReqDateIsValid, AND(ISNUMBER(H1187), H1187&gt;=TODAY()),
    _xlpm.EmailIsValid, RIGHT(I1187,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IF(A1187="", "", IF(_xlpm.error_messages = "", "Yes", _xlpm.error_messages))
)</f>
        <v/>
      </c>
    </row>
    <row r="1188" spans="1:12">
      <c r="A1188" s="94"/>
      <c r="B1188" s="95"/>
      <c r="C1188" s="95"/>
      <c r="D1188" s="94"/>
      <c r="E1188" s="94"/>
      <c r="F1188" s="96"/>
      <c r="G1188" s="94"/>
      <c r="H1188" s="96"/>
      <c r="I1188" s="96"/>
      <c r="J1188" s="92"/>
      <c r="K1188" s="97"/>
      <c r="L1188" s="99" t="str">
        <f ca="1">_xlfn.LET(
    _xlpm.res_no, J1188,
    _xlpm.record_sheet, 'MatRes Record'!J:M,
    _xlpm.AllCellsFilled, COUNTA(A1188:K1188) = 11,
    _xlpm.QtyIsInt, AND(ISNUMBER(G1188), G1188=INT(G1188)),
    _xlpm.ReqDateIsValid, AND(ISNUMBER(H1188), H1188&gt;=TODAY()),
    _xlpm.EmailIsValid, RIGHT(I1188,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IF(A1188="", "", IF(_xlpm.error_messages = "", "Yes", _xlpm.error_messages))
)</f>
        <v/>
      </c>
    </row>
    <row r="1189" spans="1:12">
      <c r="A1189" s="94"/>
      <c r="B1189" s="95"/>
      <c r="C1189" s="95"/>
      <c r="D1189" s="94"/>
      <c r="E1189" s="94"/>
      <c r="F1189" s="96"/>
      <c r="G1189" s="94"/>
      <c r="H1189" s="96"/>
      <c r="I1189" s="96"/>
      <c r="J1189" s="92"/>
      <c r="K1189" s="97"/>
      <c r="L1189" s="99" t="str">
        <f ca="1">_xlfn.LET(
    _xlpm.res_no, J1189,
    _xlpm.record_sheet, 'MatRes Record'!J:M,
    _xlpm.AllCellsFilled, COUNTA(A1189:K1189) = 11,
    _xlpm.QtyIsInt, AND(ISNUMBER(G1189), G1189=INT(G1189)),
    _xlpm.ReqDateIsValid, AND(ISNUMBER(H1189), H1189&gt;=TODAY()),
    _xlpm.EmailIsValid, RIGHT(I1189,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IF(A1189="", "", IF(_xlpm.error_messages = "", "Yes", _xlpm.error_messages))
)</f>
        <v/>
      </c>
    </row>
    <row r="1190" spans="1:12">
      <c r="A1190" s="94"/>
      <c r="B1190" s="95"/>
      <c r="C1190" s="95"/>
      <c r="D1190" s="94"/>
      <c r="E1190" s="94"/>
      <c r="F1190" s="96"/>
      <c r="G1190" s="94"/>
      <c r="H1190" s="96"/>
      <c r="I1190" s="96"/>
      <c r="J1190" s="92"/>
      <c r="K1190" s="97"/>
      <c r="L1190" s="99" t="str">
        <f ca="1">_xlfn.LET(
    _xlpm.res_no, J1190,
    _xlpm.record_sheet, 'MatRes Record'!J:M,
    _xlpm.AllCellsFilled, COUNTA(A1190:K1190) = 11,
    _xlpm.QtyIsInt, AND(ISNUMBER(G1190), G1190=INT(G1190)),
    _xlpm.ReqDateIsValid, AND(ISNUMBER(H1190), H1190&gt;=TODAY()),
    _xlpm.EmailIsValid, RIGHT(I1190,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IF(A1190="", "", IF(_xlpm.error_messages = "", "Yes", _xlpm.error_messages))
)</f>
        <v/>
      </c>
    </row>
    <row r="1191" spans="1:12">
      <c r="A1191" s="94"/>
      <c r="B1191" s="95"/>
      <c r="C1191" s="95"/>
      <c r="D1191" s="94"/>
      <c r="E1191" s="94"/>
      <c r="F1191" s="96"/>
      <c r="G1191" s="94"/>
      <c r="H1191" s="96"/>
      <c r="I1191" s="96"/>
      <c r="J1191" s="92"/>
      <c r="K1191" s="97"/>
      <c r="L1191" s="99" t="str">
        <f ca="1">_xlfn.LET(
    _xlpm.res_no, J1191,
    _xlpm.record_sheet, 'MatRes Record'!J:M,
    _xlpm.AllCellsFilled, COUNTA(A1191:K1191) = 11,
    _xlpm.QtyIsInt, AND(ISNUMBER(G1191), G1191=INT(G1191)),
    _xlpm.ReqDateIsValid, AND(ISNUMBER(H1191), H1191&gt;=TODAY()),
    _xlpm.EmailIsValid, RIGHT(I1191,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IF(A1191="", "", IF(_xlpm.error_messages = "", "Yes", _xlpm.error_messages))
)</f>
        <v/>
      </c>
    </row>
    <row r="1192" spans="1:12">
      <c r="A1192" s="94"/>
      <c r="B1192" s="95"/>
      <c r="C1192" s="95"/>
      <c r="D1192" s="94"/>
      <c r="E1192" s="94"/>
      <c r="F1192" s="96"/>
      <c r="G1192" s="94"/>
      <c r="H1192" s="96"/>
      <c r="I1192" s="96"/>
      <c r="J1192" s="92"/>
      <c r="K1192" s="97"/>
      <c r="L1192" s="99" t="str">
        <f ca="1">_xlfn.LET(
    _xlpm.res_no, J1192,
    _xlpm.record_sheet, 'MatRes Record'!J:M,
    _xlpm.AllCellsFilled, COUNTA(A1192:K1192) = 11,
    _xlpm.QtyIsInt, AND(ISNUMBER(G1192), G1192=INT(G1192)),
    _xlpm.ReqDateIsValid, AND(ISNUMBER(H1192), H1192&gt;=TODAY()),
    _xlpm.EmailIsValid, RIGHT(I1192,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IF(A1192="", "", IF(_xlpm.error_messages = "", "Yes", _xlpm.error_messages))
)</f>
        <v/>
      </c>
    </row>
    <row r="1193" spans="1:12">
      <c r="A1193" s="94"/>
      <c r="B1193" s="95"/>
      <c r="C1193" s="95"/>
      <c r="D1193" s="94"/>
      <c r="E1193" s="94"/>
      <c r="F1193" s="96"/>
      <c r="G1193" s="94"/>
      <c r="H1193" s="96"/>
      <c r="I1193" s="96"/>
      <c r="J1193" s="92"/>
      <c r="K1193" s="97"/>
      <c r="L1193" s="99" t="str">
        <f ca="1">_xlfn.LET(
    _xlpm.res_no, J1193,
    _xlpm.record_sheet, 'MatRes Record'!J:M,
    _xlpm.AllCellsFilled, COUNTA(A1193:K1193) = 11,
    _xlpm.QtyIsInt, AND(ISNUMBER(G1193), G1193=INT(G1193)),
    _xlpm.ReqDateIsValid, AND(ISNUMBER(H1193), H1193&gt;=TODAY()),
    _xlpm.EmailIsValid, RIGHT(I1193,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IF(A1193="", "", IF(_xlpm.error_messages = "", "Yes", _xlpm.error_messages))
)</f>
        <v/>
      </c>
    </row>
    <row r="1194" spans="1:12">
      <c r="A1194" s="94"/>
      <c r="B1194" s="95"/>
      <c r="C1194" s="95"/>
      <c r="D1194" s="94"/>
      <c r="E1194" s="94"/>
      <c r="F1194" s="96"/>
      <c r="G1194" s="94"/>
      <c r="H1194" s="96"/>
      <c r="I1194" s="96"/>
      <c r="J1194" s="92"/>
      <c r="K1194" s="97"/>
      <c r="L1194" s="99" t="str">
        <f ca="1">_xlfn.LET(
    _xlpm.res_no, J1194,
    _xlpm.record_sheet, 'MatRes Record'!J:M,
    _xlpm.AllCellsFilled, COUNTA(A1194:K1194) = 11,
    _xlpm.QtyIsInt, AND(ISNUMBER(G1194), G1194=INT(G1194)),
    _xlpm.ReqDateIsValid, AND(ISNUMBER(H1194), H1194&gt;=TODAY()),
    _xlpm.EmailIsValid, RIGHT(I1194,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IF(A1194="", "", IF(_xlpm.error_messages = "", "Yes", _xlpm.error_messages))
)</f>
        <v/>
      </c>
    </row>
    <row r="1195" spans="1:12">
      <c r="A1195" s="94"/>
      <c r="B1195" s="95"/>
      <c r="C1195" s="95"/>
      <c r="D1195" s="94"/>
      <c r="E1195" s="94"/>
      <c r="F1195" s="96"/>
      <c r="G1195" s="94"/>
      <c r="H1195" s="96"/>
      <c r="I1195" s="96"/>
      <c r="J1195" s="92"/>
      <c r="K1195" s="97"/>
      <c r="L1195" s="99" t="str">
        <f ca="1">_xlfn.LET(
    _xlpm.res_no, J1195,
    _xlpm.record_sheet, 'MatRes Record'!J:M,
    _xlpm.AllCellsFilled, COUNTA(A1195:K1195) = 11,
    _xlpm.QtyIsInt, AND(ISNUMBER(G1195), G1195=INT(G1195)),
    _xlpm.ReqDateIsValid, AND(ISNUMBER(H1195), H1195&gt;=TODAY()),
    _xlpm.EmailIsValid, RIGHT(I1195,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IF(A1195="", "", IF(_xlpm.error_messages = "", "Yes", _xlpm.error_messages))
)</f>
        <v/>
      </c>
    </row>
    <row r="1196" spans="1:12">
      <c r="A1196" s="94"/>
      <c r="B1196" s="95"/>
      <c r="C1196" s="95"/>
      <c r="D1196" s="94"/>
      <c r="E1196" s="94"/>
      <c r="F1196" s="96"/>
      <c r="G1196" s="94"/>
      <c r="H1196" s="96"/>
      <c r="I1196" s="96"/>
      <c r="J1196" s="92"/>
      <c r="K1196" s="97"/>
      <c r="L1196" s="99" t="str">
        <f ca="1">_xlfn.LET(
    _xlpm.res_no, J1196,
    _xlpm.record_sheet, 'MatRes Record'!J:M,
    _xlpm.AllCellsFilled, COUNTA(A1196:K1196) = 11,
    _xlpm.QtyIsInt, AND(ISNUMBER(G1196), G1196=INT(G1196)),
    _xlpm.ReqDateIsValid, AND(ISNUMBER(H1196), H1196&gt;=TODAY()),
    _xlpm.EmailIsValid, RIGHT(I1196,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IF(A1196="", "", IF(_xlpm.error_messages = "", "Yes", _xlpm.error_messages))
)</f>
        <v/>
      </c>
    </row>
    <row r="1197" spans="1:12">
      <c r="A1197" s="94"/>
      <c r="B1197" s="95"/>
      <c r="C1197" s="95"/>
      <c r="D1197" s="94"/>
      <c r="E1197" s="94"/>
      <c r="F1197" s="96"/>
      <c r="G1197" s="94"/>
      <c r="H1197" s="96"/>
      <c r="I1197" s="96"/>
      <c r="J1197" s="92"/>
      <c r="K1197" s="97"/>
      <c r="L1197" s="99" t="str">
        <f ca="1">_xlfn.LET(
    _xlpm.res_no, J1197,
    _xlpm.record_sheet, 'MatRes Record'!J:M,
    _xlpm.AllCellsFilled, COUNTA(A1197:K1197) = 11,
    _xlpm.QtyIsInt, AND(ISNUMBER(G1197), G1197=INT(G1197)),
    _xlpm.ReqDateIsValid, AND(ISNUMBER(H1197), H1197&gt;=TODAY()),
    _xlpm.EmailIsValid, RIGHT(I1197,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IF(A1197="", "", IF(_xlpm.error_messages = "", "Yes", _xlpm.error_messages))
)</f>
        <v/>
      </c>
    </row>
    <row r="1198" spans="1:12">
      <c r="A1198" s="94"/>
      <c r="B1198" s="95"/>
      <c r="C1198" s="95"/>
      <c r="D1198" s="94"/>
      <c r="E1198" s="94"/>
      <c r="F1198" s="96"/>
      <c r="G1198" s="94"/>
      <c r="H1198" s="96"/>
      <c r="I1198" s="96"/>
      <c r="J1198" s="92"/>
      <c r="K1198" s="97"/>
      <c r="L1198" s="99" t="str">
        <f ca="1">_xlfn.LET(
    _xlpm.res_no, J1198,
    _xlpm.record_sheet, 'MatRes Record'!J:M,
    _xlpm.AllCellsFilled, COUNTA(A1198:K1198) = 11,
    _xlpm.QtyIsInt, AND(ISNUMBER(G1198), G1198=INT(G1198)),
    _xlpm.ReqDateIsValid, AND(ISNUMBER(H1198), H1198&gt;=TODAY()),
    _xlpm.EmailIsValid, RIGHT(I1198,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IF(A1198="", "", IF(_xlpm.error_messages = "", "Yes", _xlpm.error_messages))
)</f>
        <v/>
      </c>
    </row>
    <row r="1199" spans="1:12">
      <c r="A1199" s="94"/>
      <c r="B1199" s="95"/>
      <c r="C1199" s="95"/>
      <c r="D1199" s="94"/>
      <c r="E1199" s="94"/>
      <c r="F1199" s="96"/>
      <c r="G1199" s="94"/>
      <c r="H1199" s="96"/>
      <c r="I1199" s="96"/>
      <c r="J1199" s="92"/>
      <c r="K1199" s="97"/>
      <c r="L1199" s="99" t="str">
        <f ca="1">_xlfn.LET(
    _xlpm.res_no, J1199,
    _xlpm.record_sheet, 'MatRes Record'!J:M,
    _xlpm.AllCellsFilled, COUNTA(A1199:K1199) = 11,
    _xlpm.QtyIsInt, AND(ISNUMBER(G1199), G1199=INT(G1199)),
    _xlpm.ReqDateIsValid, AND(ISNUMBER(H1199), H1199&gt;=TODAY()),
    _xlpm.EmailIsValid, RIGHT(I1199,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IF(A1199="", "", IF(_xlpm.error_messages = "", "Yes", _xlpm.error_messages))
)</f>
        <v/>
      </c>
    </row>
    <row r="1200" spans="1:12">
      <c r="A1200" s="94"/>
      <c r="B1200" s="95"/>
      <c r="C1200" s="95"/>
      <c r="D1200" s="94"/>
      <c r="E1200" s="94"/>
      <c r="F1200" s="96"/>
      <c r="G1200" s="94"/>
      <c r="H1200" s="96"/>
      <c r="I1200" s="96"/>
      <c r="J1200" s="92"/>
      <c r="K1200" s="97"/>
      <c r="L1200" s="99" t="str">
        <f ca="1">_xlfn.LET(
    _xlpm.res_no, J1200,
    _xlpm.record_sheet, 'MatRes Record'!J:M,
    _xlpm.AllCellsFilled, COUNTA(A1200:K1200) = 11,
    _xlpm.QtyIsInt, AND(ISNUMBER(G1200), G1200=INT(G1200)),
    _xlpm.ReqDateIsValid, AND(ISNUMBER(H1200), H1200&gt;=TODAY()),
    _xlpm.EmailIsValid, RIGHT(I1200,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IF(A1200="", "", IF(_xlpm.error_messages = "", "Yes", _xlpm.error_messages))
)</f>
        <v/>
      </c>
    </row>
    <row r="1201" spans="1:12">
      <c r="A1201" s="94"/>
      <c r="B1201" s="95"/>
      <c r="C1201" s="95"/>
      <c r="D1201" s="94"/>
      <c r="E1201" s="94"/>
      <c r="F1201" s="96"/>
      <c r="G1201" s="94"/>
      <c r="H1201" s="96"/>
      <c r="I1201" s="96"/>
      <c r="J1201" s="92"/>
      <c r="K1201" s="97"/>
      <c r="L1201" s="99" t="str">
        <f ca="1">_xlfn.LET(
    _xlpm.res_no, J1201,
    _xlpm.record_sheet, 'MatRes Record'!J:M,
    _xlpm.AllCellsFilled, COUNTA(A1201:K1201) = 11,
    _xlpm.QtyIsInt, AND(ISNUMBER(G1201), G1201=INT(G1201)),
    _xlpm.ReqDateIsValid, AND(ISNUMBER(H1201), H1201&gt;=TODAY()),
    _xlpm.EmailIsValid, RIGHT(I1201,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IF(A1201="", "", IF(_xlpm.error_messages = "", "Yes", _xlpm.error_messages))
)</f>
        <v/>
      </c>
    </row>
    <row r="1202" spans="1:12">
      <c r="A1202" s="94"/>
      <c r="B1202" s="95"/>
      <c r="C1202" s="95"/>
      <c r="D1202" s="94"/>
      <c r="E1202" s="94"/>
      <c r="F1202" s="96"/>
      <c r="G1202" s="94"/>
      <c r="H1202" s="96"/>
      <c r="I1202" s="96"/>
      <c r="J1202" s="92"/>
      <c r="K1202" s="97"/>
      <c r="L1202" s="99" t="str">
        <f ca="1">_xlfn.LET(
    _xlpm.res_no, J1202,
    _xlpm.record_sheet, 'MatRes Record'!J:M,
    _xlpm.AllCellsFilled, COUNTA(A1202:K1202) = 11,
    _xlpm.QtyIsInt, AND(ISNUMBER(G1202), G1202=INT(G1202)),
    _xlpm.ReqDateIsValid, AND(ISNUMBER(H1202), H1202&gt;=TODAY()),
    _xlpm.EmailIsValid, RIGHT(I1202,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IF(A1202="", "", IF(_xlpm.error_messages = "", "Yes", _xlpm.error_messages))
)</f>
        <v/>
      </c>
    </row>
    <row r="1203" spans="1:12">
      <c r="A1203" s="94"/>
      <c r="B1203" s="95"/>
      <c r="C1203" s="95"/>
      <c r="D1203" s="94"/>
      <c r="E1203" s="94"/>
      <c r="F1203" s="96"/>
      <c r="G1203" s="94"/>
      <c r="H1203" s="96"/>
      <c r="I1203" s="96"/>
      <c r="J1203" s="92"/>
      <c r="K1203" s="97"/>
      <c r="L1203" s="99" t="str">
        <f ca="1">_xlfn.LET(
    _xlpm.res_no, J1203,
    _xlpm.record_sheet, 'MatRes Record'!J:M,
    _xlpm.AllCellsFilled, COUNTA(A1203:K1203) = 11,
    _xlpm.QtyIsInt, AND(ISNUMBER(G1203), G1203=INT(G1203)),
    _xlpm.ReqDateIsValid, AND(ISNUMBER(H1203), H1203&gt;=TODAY()),
    _xlpm.EmailIsValid, RIGHT(I1203,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IF(A1203="", "", IF(_xlpm.error_messages = "", "Yes", _xlpm.error_messages))
)</f>
        <v/>
      </c>
    </row>
    <row r="1204" spans="1:12">
      <c r="A1204" s="94"/>
      <c r="B1204" s="95"/>
      <c r="C1204" s="95"/>
      <c r="D1204" s="94"/>
      <c r="E1204" s="94"/>
      <c r="F1204" s="96"/>
      <c r="G1204" s="94"/>
      <c r="H1204" s="96"/>
      <c r="I1204" s="96"/>
      <c r="J1204" s="92"/>
      <c r="K1204" s="97"/>
      <c r="L1204" s="99" t="str">
        <f ca="1">_xlfn.LET(
    _xlpm.res_no, J1204,
    _xlpm.record_sheet, 'MatRes Record'!J:M,
    _xlpm.AllCellsFilled, COUNTA(A1204:K1204) = 11,
    _xlpm.QtyIsInt, AND(ISNUMBER(G1204), G1204=INT(G1204)),
    _xlpm.ReqDateIsValid, AND(ISNUMBER(H1204), H1204&gt;=TODAY()),
    _xlpm.EmailIsValid, RIGHT(I1204,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IF(A1204="", "", IF(_xlpm.error_messages = "", "Yes", _xlpm.error_messages))
)</f>
        <v/>
      </c>
    </row>
    <row r="1205" spans="1:12">
      <c r="A1205" s="94"/>
      <c r="B1205" s="95"/>
      <c r="C1205" s="95"/>
      <c r="D1205" s="94"/>
      <c r="E1205" s="94"/>
      <c r="F1205" s="96"/>
      <c r="G1205" s="94"/>
      <c r="H1205" s="96"/>
      <c r="I1205" s="96"/>
      <c r="J1205" s="92"/>
      <c r="K1205" s="97"/>
      <c r="L1205" s="99" t="str">
        <f ca="1">_xlfn.LET(
    _xlpm.res_no, J1205,
    _xlpm.record_sheet, 'MatRes Record'!J:M,
    _xlpm.AllCellsFilled, COUNTA(A1205:K1205) = 11,
    _xlpm.QtyIsInt, AND(ISNUMBER(G1205), G1205=INT(G1205)),
    _xlpm.ReqDateIsValid, AND(ISNUMBER(H1205), H1205&gt;=TODAY()),
    _xlpm.EmailIsValid, RIGHT(I1205,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IF(A1205="", "", IF(_xlpm.error_messages = "", "Yes", _xlpm.error_messages))
)</f>
        <v/>
      </c>
    </row>
    <row r="1206" spans="1:12">
      <c r="A1206" s="94"/>
      <c r="B1206" s="95"/>
      <c r="C1206" s="95"/>
      <c r="D1206" s="94"/>
      <c r="E1206" s="94"/>
      <c r="F1206" s="96"/>
      <c r="G1206" s="94"/>
      <c r="H1206" s="96"/>
      <c r="I1206" s="96"/>
      <c r="J1206" s="92"/>
      <c r="K1206" s="97"/>
      <c r="L1206" s="99" t="str">
        <f ca="1">_xlfn.LET(
    _xlpm.res_no, J1206,
    _xlpm.record_sheet, 'MatRes Record'!J:M,
    _xlpm.AllCellsFilled, COUNTA(A1206:K1206) = 11,
    _xlpm.QtyIsInt, AND(ISNUMBER(G1206), G1206=INT(G1206)),
    _xlpm.ReqDateIsValid, AND(ISNUMBER(H1206), H1206&gt;=TODAY()),
    _xlpm.EmailIsValid, RIGHT(I1206,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IF(A1206="", "", IF(_xlpm.error_messages = "", "Yes", _xlpm.error_messages))
)</f>
        <v/>
      </c>
    </row>
    <row r="1207" spans="1:12">
      <c r="A1207" s="94"/>
      <c r="B1207" s="95"/>
      <c r="C1207" s="95"/>
      <c r="D1207" s="94"/>
      <c r="E1207" s="94"/>
      <c r="F1207" s="96"/>
      <c r="G1207" s="94"/>
      <c r="H1207" s="96"/>
      <c r="I1207" s="96"/>
      <c r="J1207" s="92"/>
      <c r="K1207" s="97"/>
      <c r="L1207" s="99" t="str">
        <f ca="1">_xlfn.LET(
    _xlpm.res_no, J1207,
    _xlpm.record_sheet, 'MatRes Record'!J:M,
    _xlpm.AllCellsFilled, COUNTA(A1207:K1207) = 11,
    _xlpm.QtyIsInt, AND(ISNUMBER(G1207), G1207=INT(G1207)),
    _xlpm.ReqDateIsValid, AND(ISNUMBER(H1207), H1207&gt;=TODAY()),
    _xlpm.EmailIsValid, RIGHT(I1207,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IF(A1207="", "", IF(_xlpm.error_messages = "", "Yes", _xlpm.error_messages))
)</f>
        <v/>
      </c>
    </row>
    <row r="1208" spans="1:12">
      <c r="A1208" s="94"/>
      <c r="B1208" s="95"/>
      <c r="C1208" s="95"/>
      <c r="D1208" s="94"/>
      <c r="E1208" s="94"/>
      <c r="F1208" s="96"/>
      <c r="G1208" s="94"/>
      <c r="H1208" s="96"/>
      <c r="I1208" s="96"/>
      <c r="J1208" s="92"/>
      <c r="K1208" s="97"/>
      <c r="L1208" s="99" t="str">
        <f ca="1">_xlfn.LET(
    _xlpm.res_no, J1208,
    _xlpm.record_sheet, 'MatRes Record'!J:M,
    _xlpm.AllCellsFilled, COUNTA(A1208:K1208) = 11,
    _xlpm.QtyIsInt, AND(ISNUMBER(G1208), G1208=INT(G1208)),
    _xlpm.ReqDateIsValid, AND(ISNUMBER(H1208), H1208&gt;=TODAY()),
    _xlpm.EmailIsValid, RIGHT(I1208,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IF(A1208="", "", IF(_xlpm.error_messages = "", "Yes", _xlpm.error_messages))
)</f>
        <v/>
      </c>
    </row>
    <row r="1209" spans="1:12">
      <c r="A1209" s="94"/>
      <c r="B1209" s="95"/>
      <c r="C1209" s="95"/>
      <c r="D1209" s="94"/>
      <c r="E1209" s="94"/>
      <c r="F1209" s="96"/>
      <c r="G1209" s="94"/>
      <c r="H1209" s="96"/>
      <c r="I1209" s="96"/>
      <c r="J1209" s="92"/>
      <c r="K1209" s="97"/>
      <c r="L1209" s="99" t="str">
        <f ca="1">_xlfn.LET(
    _xlpm.res_no, J1209,
    _xlpm.record_sheet, 'MatRes Record'!J:M,
    _xlpm.AllCellsFilled, COUNTA(A1209:K1209) = 11,
    _xlpm.QtyIsInt, AND(ISNUMBER(G1209), G1209=INT(G1209)),
    _xlpm.ReqDateIsValid, AND(ISNUMBER(H1209), H1209&gt;=TODAY()),
    _xlpm.EmailIsValid, RIGHT(I1209,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IF(A1209="", "", IF(_xlpm.error_messages = "", "Yes", _xlpm.error_messages))
)</f>
        <v/>
      </c>
    </row>
    <row r="1210" spans="1:12">
      <c r="A1210" s="94"/>
      <c r="B1210" s="95"/>
      <c r="C1210" s="95"/>
      <c r="D1210" s="94"/>
      <c r="E1210" s="94"/>
      <c r="F1210" s="96"/>
      <c r="G1210" s="94"/>
      <c r="H1210" s="96"/>
      <c r="I1210" s="96"/>
      <c r="J1210" s="92"/>
      <c r="K1210" s="97"/>
      <c r="L1210" s="99" t="str">
        <f ca="1">_xlfn.LET(
    _xlpm.res_no, J1210,
    _xlpm.record_sheet, 'MatRes Record'!J:M,
    _xlpm.AllCellsFilled, COUNTA(A1210:K1210) = 11,
    _xlpm.QtyIsInt, AND(ISNUMBER(G1210), G1210=INT(G1210)),
    _xlpm.ReqDateIsValid, AND(ISNUMBER(H1210), H1210&gt;=TODAY()),
    _xlpm.EmailIsValid, RIGHT(I1210,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IF(A1210="", "", IF(_xlpm.error_messages = "", "Yes", _xlpm.error_messages))
)</f>
        <v/>
      </c>
    </row>
    <row r="1211" spans="1:12">
      <c r="A1211" s="94"/>
      <c r="B1211" s="95"/>
      <c r="C1211" s="95"/>
      <c r="D1211" s="94"/>
      <c r="E1211" s="94"/>
      <c r="F1211" s="96"/>
      <c r="G1211" s="94"/>
      <c r="H1211" s="96"/>
      <c r="I1211" s="96"/>
      <c r="J1211" s="92"/>
      <c r="K1211" s="97"/>
      <c r="L1211" s="99" t="str">
        <f ca="1">_xlfn.LET(
    _xlpm.res_no, J1211,
    _xlpm.record_sheet, 'MatRes Record'!J:M,
    _xlpm.AllCellsFilled, COUNTA(A1211:K1211) = 11,
    _xlpm.QtyIsInt, AND(ISNUMBER(G1211), G1211=INT(G1211)),
    _xlpm.ReqDateIsValid, AND(ISNUMBER(H1211), H1211&gt;=TODAY()),
    _xlpm.EmailIsValid, RIGHT(I1211,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IF(A1211="", "", IF(_xlpm.error_messages = "", "Yes", _xlpm.error_messages))
)</f>
        <v/>
      </c>
    </row>
    <row r="1212" spans="1:12">
      <c r="A1212" s="94"/>
      <c r="B1212" s="95"/>
      <c r="C1212" s="95"/>
      <c r="D1212" s="94"/>
      <c r="E1212" s="94"/>
      <c r="F1212" s="96"/>
      <c r="G1212" s="94"/>
      <c r="H1212" s="96"/>
      <c r="I1212" s="96"/>
      <c r="J1212" s="92"/>
      <c r="K1212" s="97"/>
      <c r="L1212" s="99" t="str">
        <f ca="1">_xlfn.LET(
    _xlpm.res_no, J1212,
    _xlpm.record_sheet, 'MatRes Record'!J:M,
    _xlpm.AllCellsFilled, COUNTA(A1212:K1212) = 11,
    _xlpm.QtyIsInt, AND(ISNUMBER(G1212), G1212=INT(G1212)),
    _xlpm.ReqDateIsValid, AND(ISNUMBER(H1212), H1212&gt;=TODAY()),
    _xlpm.EmailIsValid, RIGHT(I1212,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IF(A1212="", "", IF(_xlpm.error_messages = "", "Yes", _xlpm.error_messages))
)</f>
        <v/>
      </c>
    </row>
    <row r="1213" spans="1:12">
      <c r="A1213" s="94"/>
      <c r="B1213" s="95"/>
      <c r="C1213" s="95"/>
      <c r="D1213" s="94"/>
      <c r="E1213" s="94"/>
      <c r="F1213" s="96"/>
      <c r="G1213" s="94"/>
      <c r="H1213" s="96"/>
      <c r="I1213" s="96"/>
      <c r="J1213" s="92"/>
      <c r="K1213" s="97"/>
      <c r="L1213" s="99" t="str">
        <f ca="1">_xlfn.LET(
    _xlpm.res_no, J1213,
    _xlpm.record_sheet, 'MatRes Record'!J:M,
    _xlpm.AllCellsFilled, COUNTA(A1213:K1213) = 11,
    _xlpm.QtyIsInt, AND(ISNUMBER(G1213), G1213=INT(G1213)),
    _xlpm.ReqDateIsValid, AND(ISNUMBER(H1213), H1213&gt;=TODAY()),
    _xlpm.EmailIsValid, RIGHT(I1213,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IF(A1213="", "", IF(_xlpm.error_messages = "", "Yes", _xlpm.error_messages))
)</f>
        <v/>
      </c>
    </row>
    <row r="1214" spans="1:12">
      <c r="A1214" s="94"/>
      <c r="B1214" s="95"/>
      <c r="C1214" s="95"/>
      <c r="D1214" s="94"/>
      <c r="E1214" s="94"/>
      <c r="F1214" s="96"/>
      <c r="G1214" s="94"/>
      <c r="H1214" s="96"/>
      <c r="I1214" s="96"/>
      <c r="J1214" s="92"/>
      <c r="K1214" s="97"/>
      <c r="L1214" s="99" t="str">
        <f ca="1">_xlfn.LET(
    _xlpm.res_no, J1214,
    _xlpm.record_sheet, 'MatRes Record'!J:M,
    _xlpm.AllCellsFilled, COUNTA(A1214:K1214) = 11,
    _xlpm.QtyIsInt, AND(ISNUMBER(G1214), G1214=INT(G1214)),
    _xlpm.ReqDateIsValid, AND(ISNUMBER(H1214), H1214&gt;=TODAY()),
    _xlpm.EmailIsValid, RIGHT(I1214,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IF(A1214="", "", IF(_xlpm.error_messages = "", "Yes", _xlpm.error_messages))
)</f>
        <v/>
      </c>
    </row>
    <row r="1215" spans="1:12">
      <c r="A1215" s="94"/>
      <c r="B1215" s="95"/>
      <c r="C1215" s="95"/>
      <c r="D1215" s="94"/>
      <c r="E1215" s="94"/>
      <c r="F1215" s="96"/>
      <c r="G1215" s="94"/>
      <c r="H1215" s="96"/>
      <c r="I1215" s="96"/>
      <c r="J1215" s="92"/>
      <c r="K1215" s="97"/>
      <c r="L1215" s="99" t="str">
        <f ca="1">_xlfn.LET(
    _xlpm.res_no, J1215,
    _xlpm.record_sheet, 'MatRes Record'!J:M,
    _xlpm.AllCellsFilled, COUNTA(A1215:K1215) = 11,
    _xlpm.QtyIsInt, AND(ISNUMBER(G1215), G1215=INT(G1215)),
    _xlpm.ReqDateIsValid, AND(ISNUMBER(H1215), H1215&gt;=TODAY()),
    _xlpm.EmailIsValid, RIGHT(I1215,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IF(A1215="", "", IF(_xlpm.error_messages = "", "Yes", _xlpm.error_messages))
)</f>
        <v/>
      </c>
    </row>
    <row r="1216" spans="1:12">
      <c r="A1216" s="94"/>
      <c r="B1216" s="95"/>
      <c r="C1216" s="95"/>
      <c r="D1216" s="94"/>
      <c r="E1216" s="94"/>
      <c r="F1216" s="96"/>
      <c r="G1216" s="94"/>
      <c r="H1216" s="96"/>
      <c r="I1216" s="96"/>
      <c r="J1216" s="92"/>
      <c r="K1216" s="97"/>
      <c r="L1216" s="99" t="str">
        <f ca="1">_xlfn.LET(
    _xlpm.res_no, J1216,
    _xlpm.record_sheet, 'MatRes Record'!J:M,
    _xlpm.AllCellsFilled, COUNTA(A1216:K1216) = 11,
    _xlpm.QtyIsInt, AND(ISNUMBER(G1216), G1216=INT(G1216)),
    _xlpm.ReqDateIsValid, AND(ISNUMBER(H1216), H1216&gt;=TODAY()),
    _xlpm.EmailIsValid, RIGHT(I1216,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IF(A1216="", "", IF(_xlpm.error_messages = "", "Yes", _xlpm.error_messages))
)</f>
        <v/>
      </c>
    </row>
    <row r="1217" spans="1:12">
      <c r="A1217" s="94"/>
      <c r="B1217" s="95"/>
      <c r="C1217" s="95"/>
      <c r="D1217" s="94"/>
      <c r="E1217" s="94"/>
      <c r="F1217" s="96"/>
      <c r="G1217" s="94"/>
      <c r="H1217" s="96"/>
      <c r="I1217" s="96"/>
      <c r="J1217" s="92"/>
      <c r="K1217" s="97"/>
      <c r="L1217" s="99" t="str">
        <f ca="1">_xlfn.LET(
    _xlpm.res_no, J1217,
    _xlpm.record_sheet, 'MatRes Record'!J:M,
    _xlpm.AllCellsFilled, COUNTA(A1217:K1217) = 11,
    _xlpm.QtyIsInt, AND(ISNUMBER(G1217), G1217=INT(G1217)),
    _xlpm.ReqDateIsValid, AND(ISNUMBER(H1217), H1217&gt;=TODAY()),
    _xlpm.EmailIsValid, RIGHT(I1217,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IF(A1217="", "", IF(_xlpm.error_messages = "", "Yes", _xlpm.error_messages))
)</f>
        <v/>
      </c>
    </row>
    <row r="1218" spans="1:12">
      <c r="A1218" s="94"/>
      <c r="B1218" s="95"/>
      <c r="C1218" s="95"/>
      <c r="D1218" s="94"/>
      <c r="E1218" s="94"/>
      <c r="F1218" s="96"/>
      <c r="G1218" s="94"/>
      <c r="H1218" s="96"/>
      <c r="I1218" s="96"/>
      <c r="J1218" s="92"/>
      <c r="K1218" s="97"/>
      <c r="L1218" s="99" t="str">
        <f ca="1">_xlfn.LET(
    _xlpm.res_no, J1218,
    _xlpm.record_sheet, 'MatRes Record'!J:M,
    _xlpm.AllCellsFilled, COUNTA(A1218:K1218) = 11,
    _xlpm.QtyIsInt, AND(ISNUMBER(G1218), G1218=INT(G1218)),
    _xlpm.ReqDateIsValid, AND(ISNUMBER(H1218), H1218&gt;=TODAY()),
    _xlpm.EmailIsValid, RIGHT(I1218,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IF(A1218="", "", IF(_xlpm.error_messages = "", "Yes", _xlpm.error_messages))
)</f>
        <v/>
      </c>
    </row>
    <row r="1219" spans="1:12">
      <c r="A1219" s="94"/>
      <c r="B1219" s="95"/>
      <c r="C1219" s="95"/>
      <c r="D1219" s="94"/>
      <c r="E1219" s="94"/>
      <c r="F1219" s="96"/>
      <c r="G1219" s="94"/>
      <c r="H1219" s="96"/>
      <c r="I1219" s="96"/>
      <c r="J1219" s="92"/>
      <c r="K1219" s="97"/>
      <c r="L1219" s="99" t="str">
        <f ca="1">_xlfn.LET(
    _xlpm.res_no, J1219,
    _xlpm.record_sheet, 'MatRes Record'!J:M,
    _xlpm.AllCellsFilled, COUNTA(A1219:K1219) = 11,
    _xlpm.QtyIsInt, AND(ISNUMBER(G1219), G1219=INT(G1219)),
    _xlpm.ReqDateIsValid, AND(ISNUMBER(H1219), H1219&gt;=TODAY()),
    _xlpm.EmailIsValid, RIGHT(I1219,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IF(A1219="", "", IF(_xlpm.error_messages = "", "Yes", _xlpm.error_messages))
)</f>
        <v/>
      </c>
    </row>
    <row r="1220" spans="1:12">
      <c r="A1220" s="94"/>
      <c r="B1220" s="95"/>
      <c r="C1220" s="95"/>
      <c r="D1220" s="94"/>
      <c r="E1220" s="94"/>
      <c r="F1220" s="96"/>
      <c r="G1220" s="94"/>
      <c r="H1220" s="96"/>
      <c r="I1220" s="96"/>
      <c r="J1220" s="92"/>
      <c r="K1220" s="97"/>
      <c r="L1220" s="99" t="str">
        <f ca="1">_xlfn.LET(
    _xlpm.res_no, J1220,
    _xlpm.record_sheet, 'MatRes Record'!J:M,
    _xlpm.AllCellsFilled, COUNTA(A1220:K1220) = 11,
    _xlpm.QtyIsInt, AND(ISNUMBER(G1220), G1220=INT(G1220)),
    _xlpm.ReqDateIsValid, AND(ISNUMBER(H1220), H1220&gt;=TODAY()),
    _xlpm.EmailIsValid, RIGHT(I1220,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IF(A1220="", "", IF(_xlpm.error_messages = "", "Yes", _xlpm.error_messages))
)</f>
        <v/>
      </c>
    </row>
    <row r="1221" spans="1:12">
      <c r="A1221" s="94"/>
      <c r="B1221" s="95"/>
      <c r="C1221" s="95"/>
      <c r="D1221" s="94"/>
      <c r="E1221" s="94"/>
      <c r="F1221" s="96"/>
      <c r="G1221" s="94"/>
      <c r="H1221" s="96"/>
      <c r="I1221" s="96"/>
      <c r="J1221" s="92"/>
      <c r="K1221" s="97"/>
      <c r="L1221" s="99" t="str">
        <f ca="1">_xlfn.LET(
    _xlpm.res_no, J1221,
    _xlpm.record_sheet, 'MatRes Record'!J:M,
    _xlpm.AllCellsFilled, COUNTA(A1221:K1221) = 11,
    _xlpm.QtyIsInt, AND(ISNUMBER(G1221), G1221=INT(G1221)),
    _xlpm.ReqDateIsValid, AND(ISNUMBER(H1221), H1221&gt;=TODAY()),
    _xlpm.EmailIsValid, RIGHT(I1221,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IF(A1221="", "", IF(_xlpm.error_messages = "", "Yes", _xlpm.error_messages))
)</f>
        <v/>
      </c>
    </row>
    <row r="1222" spans="1:12">
      <c r="A1222" s="94"/>
      <c r="B1222" s="95"/>
      <c r="C1222" s="95"/>
      <c r="D1222" s="94"/>
      <c r="E1222" s="94"/>
      <c r="F1222" s="96"/>
      <c r="G1222" s="94"/>
      <c r="H1222" s="96"/>
      <c r="I1222" s="96"/>
      <c r="J1222" s="92"/>
      <c r="K1222" s="97"/>
      <c r="L1222" s="99" t="str">
        <f ca="1">_xlfn.LET(
    _xlpm.res_no, J1222,
    _xlpm.record_sheet, 'MatRes Record'!J:M,
    _xlpm.AllCellsFilled, COUNTA(A1222:K1222) = 11,
    _xlpm.QtyIsInt, AND(ISNUMBER(G1222), G1222=INT(G1222)),
    _xlpm.ReqDateIsValid, AND(ISNUMBER(H1222), H1222&gt;=TODAY()),
    _xlpm.EmailIsValid, RIGHT(I1222,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IF(A1222="", "", IF(_xlpm.error_messages = "", "Yes", _xlpm.error_messages))
)</f>
        <v/>
      </c>
    </row>
    <row r="1223" spans="1:12">
      <c r="A1223" s="94"/>
      <c r="B1223" s="95"/>
      <c r="C1223" s="95"/>
      <c r="D1223" s="94"/>
      <c r="E1223" s="94"/>
      <c r="F1223" s="96"/>
      <c r="G1223" s="94"/>
      <c r="H1223" s="96"/>
      <c r="I1223" s="96"/>
      <c r="J1223" s="92"/>
      <c r="K1223" s="97"/>
      <c r="L1223" s="99" t="str">
        <f ca="1">_xlfn.LET(
    _xlpm.res_no, J1223,
    _xlpm.record_sheet, 'MatRes Record'!J:M,
    _xlpm.AllCellsFilled, COUNTA(A1223:K1223) = 11,
    _xlpm.QtyIsInt, AND(ISNUMBER(G1223), G1223=INT(G1223)),
    _xlpm.ReqDateIsValid, AND(ISNUMBER(H1223), H1223&gt;=TODAY()),
    _xlpm.EmailIsValid, RIGHT(I1223,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IF(A1223="", "", IF(_xlpm.error_messages = "", "Yes", _xlpm.error_messages))
)</f>
        <v/>
      </c>
    </row>
    <row r="1224" spans="1:12">
      <c r="A1224" s="94"/>
      <c r="B1224" s="95"/>
      <c r="C1224" s="95"/>
      <c r="D1224" s="94"/>
      <c r="E1224" s="94"/>
      <c r="F1224" s="96"/>
      <c r="G1224" s="94"/>
      <c r="H1224" s="96"/>
      <c r="I1224" s="96"/>
      <c r="J1224" s="92"/>
      <c r="K1224" s="97"/>
      <c r="L1224" s="99" t="str">
        <f ca="1">_xlfn.LET(
    _xlpm.res_no, J1224,
    _xlpm.record_sheet, 'MatRes Record'!J:M,
    _xlpm.AllCellsFilled, COUNTA(A1224:K1224) = 11,
    _xlpm.QtyIsInt, AND(ISNUMBER(G1224), G1224=INT(G1224)),
    _xlpm.ReqDateIsValid, AND(ISNUMBER(H1224), H1224&gt;=TODAY()),
    _xlpm.EmailIsValid, RIGHT(I1224,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IF(A1224="", "", IF(_xlpm.error_messages = "", "Yes", _xlpm.error_messages))
)</f>
        <v/>
      </c>
    </row>
    <row r="1225" spans="1:12">
      <c r="A1225" s="94"/>
      <c r="B1225" s="95"/>
      <c r="C1225" s="95"/>
      <c r="D1225" s="94"/>
      <c r="E1225" s="94"/>
      <c r="F1225" s="96"/>
      <c r="G1225" s="94"/>
      <c r="H1225" s="96"/>
      <c r="I1225" s="96"/>
      <c r="J1225" s="92"/>
      <c r="K1225" s="97"/>
      <c r="L1225" s="99" t="str">
        <f ca="1">_xlfn.LET(
    _xlpm.res_no, J1225,
    _xlpm.record_sheet, 'MatRes Record'!J:M,
    _xlpm.AllCellsFilled, COUNTA(A1225:K1225) = 11,
    _xlpm.QtyIsInt, AND(ISNUMBER(G1225), G1225=INT(G1225)),
    _xlpm.ReqDateIsValid, AND(ISNUMBER(H1225), H1225&gt;=TODAY()),
    _xlpm.EmailIsValid, RIGHT(I1225,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IF(A1225="", "", IF(_xlpm.error_messages = "", "Yes", _xlpm.error_messages))
)</f>
        <v/>
      </c>
    </row>
    <row r="1226" spans="1:12">
      <c r="A1226" s="94"/>
      <c r="B1226" s="95"/>
      <c r="C1226" s="95"/>
      <c r="D1226" s="94"/>
      <c r="E1226" s="94"/>
      <c r="F1226" s="96"/>
      <c r="G1226" s="94"/>
      <c r="H1226" s="96"/>
      <c r="I1226" s="96"/>
      <c r="J1226" s="92"/>
      <c r="K1226" s="97"/>
      <c r="L1226" s="99" t="str">
        <f ca="1">_xlfn.LET(
    _xlpm.res_no, J1226,
    _xlpm.record_sheet, 'MatRes Record'!J:M,
    _xlpm.AllCellsFilled, COUNTA(A1226:K1226) = 11,
    _xlpm.QtyIsInt, AND(ISNUMBER(G1226), G1226=INT(G1226)),
    _xlpm.ReqDateIsValid, AND(ISNUMBER(H1226), H1226&gt;=TODAY()),
    _xlpm.EmailIsValid, RIGHT(I1226,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IF(A1226="", "", IF(_xlpm.error_messages = "", "Yes", _xlpm.error_messages))
)</f>
        <v/>
      </c>
    </row>
    <row r="1227" spans="1:12">
      <c r="A1227" s="94"/>
      <c r="B1227" s="95"/>
      <c r="C1227" s="95"/>
      <c r="D1227" s="94"/>
      <c r="E1227" s="94"/>
      <c r="F1227" s="96"/>
      <c r="G1227" s="94"/>
      <c r="H1227" s="96"/>
      <c r="I1227" s="96"/>
      <c r="J1227" s="92"/>
      <c r="K1227" s="97"/>
      <c r="L1227" s="99" t="str">
        <f ca="1">_xlfn.LET(
    _xlpm.res_no, J1227,
    _xlpm.record_sheet, 'MatRes Record'!J:M,
    _xlpm.AllCellsFilled, COUNTA(A1227:K1227) = 11,
    _xlpm.QtyIsInt, AND(ISNUMBER(G1227), G1227=INT(G1227)),
    _xlpm.ReqDateIsValid, AND(ISNUMBER(H1227), H1227&gt;=TODAY()),
    _xlpm.EmailIsValid, RIGHT(I1227,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IF(A1227="", "", IF(_xlpm.error_messages = "", "Yes", _xlpm.error_messages))
)</f>
        <v/>
      </c>
    </row>
    <row r="1228" spans="1:12">
      <c r="A1228" s="94"/>
      <c r="B1228" s="95"/>
      <c r="C1228" s="95"/>
      <c r="D1228" s="94"/>
      <c r="E1228" s="94"/>
      <c r="F1228" s="96"/>
      <c r="G1228" s="94"/>
      <c r="H1228" s="96"/>
      <c r="I1228" s="96"/>
      <c r="J1228" s="92"/>
      <c r="K1228" s="97"/>
      <c r="L1228" s="99" t="str">
        <f ca="1">_xlfn.LET(
    _xlpm.res_no, J1228,
    _xlpm.record_sheet, 'MatRes Record'!J:M,
    _xlpm.AllCellsFilled, COUNTA(A1228:K1228) = 11,
    _xlpm.QtyIsInt, AND(ISNUMBER(G1228), G1228=INT(G1228)),
    _xlpm.ReqDateIsValid, AND(ISNUMBER(H1228), H1228&gt;=TODAY()),
    _xlpm.EmailIsValid, RIGHT(I1228,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IF(A1228="", "", IF(_xlpm.error_messages = "", "Yes", _xlpm.error_messages))
)</f>
        <v/>
      </c>
    </row>
    <row r="1229" spans="1:12">
      <c r="A1229" s="94"/>
      <c r="B1229" s="95"/>
      <c r="C1229" s="95"/>
      <c r="D1229" s="94"/>
      <c r="E1229" s="94"/>
      <c r="F1229" s="96"/>
      <c r="G1229" s="94"/>
      <c r="H1229" s="96"/>
      <c r="I1229" s="96"/>
      <c r="J1229" s="92"/>
      <c r="K1229" s="97"/>
      <c r="L1229" s="99" t="str">
        <f ca="1">_xlfn.LET(
    _xlpm.res_no, J1229,
    _xlpm.record_sheet, 'MatRes Record'!J:M,
    _xlpm.AllCellsFilled, COUNTA(A1229:K1229) = 11,
    _xlpm.QtyIsInt, AND(ISNUMBER(G1229), G1229=INT(G1229)),
    _xlpm.ReqDateIsValid, AND(ISNUMBER(H1229), H1229&gt;=TODAY()),
    _xlpm.EmailIsValid, RIGHT(I1229,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IF(A1229="", "", IF(_xlpm.error_messages = "", "Yes", _xlpm.error_messages))
)</f>
        <v/>
      </c>
    </row>
    <row r="1230" spans="1:12">
      <c r="A1230" s="94"/>
      <c r="B1230" s="95"/>
      <c r="C1230" s="95"/>
      <c r="D1230" s="94"/>
      <c r="E1230" s="94"/>
      <c r="F1230" s="96"/>
      <c r="G1230" s="94"/>
      <c r="H1230" s="96"/>
      <c r="I1230" s="96"/>
      <c r="J1230" s="92"/>
      <c r="K1230" s="97"/>
      <c r="L1230" s="99" t="str">
        <f ca="1">_xlfn.LET(
    _xlpm.res_no, J1230,
    _xlpm.record_sheet, 'MatRes Record'!J:M,
    _xlpm.AllCellsFilled, COUNTA(A1230:K1230) = 11,
    _xlpm.QtyIsInt, AND(ISNUMBER(G1230), G1230=INT(G1230)),
    _xlpm.ReqDateIsValid, AND(ISNUMBER(H1230), H1230&gt;=TODAY()),
    _xlpm.EmailIsValid, RIGHT(I1230,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IF(A1230="", "", IF(_xlpm.error_messages = "", "Yes", _xlpm.error_messages))
)</f>
        <v/>
      </c>
    </row>
    <row r="1231" spans="1:12">
      <c r="A1231" s="94"/>
      <c r="B1231" s="95"/>
      <c r="C1231" s="95"/>
      <c r="D1231" s="94"/>
      <c r="E1231" s="94"/>
      <c r="F1231" s="96"/>
      <c r="G1231" s="94"/>
      <c r="H1231" s="96"/>
      <c r="I1231" s="96"/>
      <c r="J1231" s="92"/>
      <c r="K1231" s="97"/>
      <c r="L1231" s="99" t="str">
        <f ca="1">_xlfn.LET(
    _xlpm.res_no, J1231,
    _xlpm.record_sheet, 'MatRes Record'!J:M,
    _xlpm.AllCellsFilled, COUNTA(A1231:K1231) = 11,
    _xlpm.QtyIsInt, AND(ISNUMBER(G1231), G1231=INT(G1231)),
    _xlpm.ReqDateIsValid, AND(ISNUMBER(H1231), H1231&gt;=TODAY()),
    _xlpm.EmailIsValid, RIGHT(I1231,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IF(A1231="", "", IF(_xlpm.error_messages = "", "Yes", _xlpm.error_messages))
)</f>
        <v/>
      </c>
    </row>
    <row r="1232" spans="1:12">
      <c r="A1232" s="94"/>
      <c r="B1232" s="95"/>
      <c r="C1232" s="95"/>
      <c r="D1232" s="94"/>
      <c r="E1232" s="94"/>
      <c r="F1232" s="96"/>
      <c r="G1232" s="94"/>
      <c r="H1232" s="96"/>
      <c r="I1232" s="96"/>
      <c r="J1232" s="92"/>
      <c r="K1232" s="97"/>
      <c r="L1232" s="99" t="str">
        <f ca="1">_xlfn.LET(
    _xlpm.res_no, J1232,
    _xlpm.record_sheet, 'MatRes Record'!J:M,
    _xlpm.AllCellsFilled, COUNTA(A1232:K1232) = 11,
    _xlpm.QtyIsInt, AND(ISNUMBER(G1232), G1232=INT(G1232)),
    _xlpm.ReqDateIsValid, AND(ISNUMBER(H1232), H1232&gt;=TODAY()),
    _xlpm.EmailIsValid, RIGHT(I1232,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IF(A1232="", "", IF(_xlpm.error_messages = "", "Yes", _xlpm.error_messages))
)</f>
        <v/>
      </c>
    </row>
    <row r="1233" spans="1:12">
      <c r="A1233" s="94"/>
      <c r="B1233" s="95"/>
      <c r="C1233" s="95"/>
      <c r="D1233" s="94"/>
      <c r="E1233" s="94"/>
      <c r="F1233" s="96"/>
      <c r="G1233" s="94"/>
      <c r="H1233" s="96"/>
      <c r="I1233" s="96"/>
      <c r="J1233" s="92"/>
      <c r="K1233" s="97"/>
      <c r="L1233" s="99" t="str">
        <f ca="1">_xlfn.LET(
    _xlpm.res_no, J1233,
    _xlpm.record_sheet, 'MatRes Record'!J:M,
    _xlpm.AllCellsFilled, COUNTA(A1233:K1233) = 11,
    _xlpm.QtyIsInt, AND(ISNUMBER(G1233), G1233=INT(G1233)),
    _xlpm.ReqDateIsValid, AND(ISNUMBER(H1233), H1233&gt;=TODAY()),
    _xlpm.EmailIsValid, RIGHT(I1233,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IF(A1233="", "", IF(_xlpm.error_messages = "", "Yes", _xlpm.error_messages))
)</f>
        <v/>
      </c>
    </row>
    <row r="1234" spans="1:12">
      <c r="A1234" s="94"/>
      <c r="B1234" s="95"/>
      <c r="C1234" s="95"/>
      <c r="D1234" s="94"/>
      <c r="E1234" s="94"/>
      <c r="F1234" s="96"/>
      <c r="G1234" s="94"/>
      <c r="H1234" s="96"/>
      <c r="I1234" s="96"/>
      <c r="J1234" s="92"/>
      <c r="K1234" s="97"/>
      <c r="L1234" s="99" t="str">
        <f ca="1">_xlfn.LET(
    _xlpm.res_no, J1234,
    _xlpm.record_sheet, 'MatRes Record'!J:M,
    _xlpm.AllCellsFilled, COUNTA(A1234:K1234) = 11,
    _xlpm.QtyIsInt, AND(ISNUMBER(G1234), G1234=INT(G1234)),
    _xlpm.ReqDateIsValid, AND(ISNUMBER(H1234), H1234&gt;=TODAY()),
    _xlpm.EmailIsValid, RIGHT(I1234,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IF(A1234="", "", IF(_xlpm.error_messages = "", "Yes", _xlpm.error_messages))
)</f>
        <v/>
      </c>
    </row>
    <row r="1235" spans="1:12">
      <c r="A1235" s="94"/>
      <c r="B1235" s="95"/>
      <c r="C1235" s="95"/>
      <c r="D1235" s="94"/>
      <c r="E1235" s="94"/>
      <c r="F1235" s="96"/>
      <c r="G1235" s="94"/>
      <c r="H1235" s="96"/>
      <c r="I1235" s="96"/>
      <c r="J1235" s="92"/>
      <c r="K1235" s="97"/>
      <c r="L1235" s="99" t="str">
        <f ca="1">_xlfn.LET(
    _xlpm.res_no, J1235,
    _xlpm.record_sheet, 'MatRes Record'!J:M,
    _xlpm.AllCellsFilled, COUNTA(A1235:K1235) = 11,
    _xlpm.QtyIsInt, AND(ISNUMBER(G1235), G1235=INT(G1235)),
    _xlpm.ReqDateIsValid, AND(ISNUMBER(H1235), H1235&gt;=TODAY()),
    _xlpm.EmailIsValid, RIGHT(I1235,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IF(A1235="", "", IF(_xlpm.error_messages = "", "Yes", _xlpm.error_messages))
)</f>
        <v/>
      </c>
    </row>
    <row r="1236" spans="1:12">
      <c r="A1236" s="94"/>
      <c r="B1236" s="95"/>
      <c r="C1236" s="95"/>
      <c r="D1236" s="94"/>
      <c r="E1236" s="94"/>
      <c r="F1236" s="96"/>
      <c r="G1236" s="94"/>
      <c r="H1236" s="96"/>
      <c r="I1236" s="96"/>
      <c r="J1236" s="92"/>
      <c r="K1236" s="97"/>
      <c r="L1236" s="99" t="str">
        <f ca="1">_xlfn.LET(
    _xlpm.res_no, J1236,
    _xlpm.record_sheet, 'MatRes Record'!J:M,
    _xlpm.AllCellsFilled, COUNTA(A1236:K1236) = 11,
    _xlpm.QtyIsInt, AND(ISNUMBER(G1236), G1236=INT(G1236)),
    _xlpm.ReqDateIsValid, AND(ISNUMBER(H1236), H1236&gt;=TODAY()),
    _xlpm.EmailIsValid, RIGHT(I1236,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IF(A1236="", "", IF(_xlpm.error_messages = "", "Yes", _xlpm.error_messages))
)</f>
        <v/>
      </c>
    </row>
    <row r="1237" spans="1:12">
      <c r="A1237" s="94"/>
      <c r="B1237" s="95"/>
      <c r="C1237" s="95"/>
      <c r="D1237" s="94"/>
      <c r="E1237" s="94"/>
      <c r="F1237" s="96"/>
      <c r="G1237" s="94"/>
      <c r="H1237" s="96"/>
      <c r="I1237" s="96"/>
      <c r="J1237" s="92"/>
      <c r="K1237" s="97"/>
      <c r="L1237" s="99" t="str">
        <f ca="1">_xlfn.LET(
    _xlpm.res_no, J1237,
    _xlpm.record_sheet, 'MatRes Record'!J:M,
    _xlpm.AllCellsFilled, COUNTA(A1237:K1237) = 11,
    _xlpm.QtyIsInt, AND(ISNUMBER(G1237), G1237=INT(G1237)),
    _xlpm.ReqDateIsValid, AND(ISNUMBER(H1237), H1237&gt;=TODAY()),
    _xlpm.EmailIsValid, RIGHT(I1237,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IF(A1237="", "", IF(_xlpm.error_messages = "", "Yes", _xlpm.error_messages))
)</f>
        <v/>
      </c>
    </row>
    <row r="1238" spans="1:12">
      <c r="A1238" s="94"/>
      <c r="B1238" s="95"/>
      <c r="C1238" s="95"/>
      <c r="D1238" s="94"/>
      <c r="E1238" s="94"/>
      <c r="F1238" s="96"/>
      <c r="G1238" s="94"/>
      <c r="H1238" s="96"/>
      <c r="I1238" s="96"/>
      <c r="J1238" s="92"/>
      <c r="K1238" s="97"/>
      <c r="L1238" s="99" t="str">
        <f ca="1">_xlfn.LET(
    _xlpm.res_no, J1238,
    _xlpm.record_sheet, 'MatRes Record'!J:M,
    _xlpm.AllCellsFilled, COUNTA(A1238:K1238) = 11,
    _xlpm.QtyIsInt, AND(ISNUMBER(G1238), G1238=INT(G1238)),
    _xlpm.ReqDateIsValid, AND(ISNUMBER(H1238), H1238&gt;=TODAY()),
    _xlpm.EmailIsValid, RIGHT(I1238,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IF(A1238="", "", IF(_xlpm.error_messages = "", "Yes", _xlpm.error_messages))
)</f>
        <v/>
      </c>
    </row>
    <row r="1239" spans="1:12">
      <c r="A1239" s="94"/>
      <c r="B1239" s="95"/>
      <c r="C1239" s="95"/>
      <c r="D1239" s="94"/>
      <c r="E1239" s="94"/>
      <c r="F1239" s="96"/>
      <c r="G1239" s="94"/>
      <c r="H1239" s="96"/>
      <c r="I1239" s="96"/>
      <c r="J1239" s="92"/>
      <c r="K1239" s="97"/>
      <c r="L1239" s="99" t="str">
        <f ca="1">_xlfn.LET(
    _xlpm.res_no, J1239,
    _xlpm.record_sheet, 'MatRes Record'!J:M,
    _xlpm.AllCellsFilled, COUNTA(A1239:K1239) = 11,
    _xlpm.QtyIsInt, AND(ISNUMBER(G1239), G1239=INT(G1239)),
    _xlpm.ReqDateIsValid, AND(ISNUMBER(H1239), H1239&gt;=TODAY()),
    _xlpm.EmailIsValid, RIGHT(I1239,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IF(A1239="", "", IF(_xlpm.error_messages = "", "Yes", _xlpm.error_messages))
)</f>
        <v/>
      </c>
    </row>
    <row r="1240" spans="1:12">
      <c r="A1240" s="94"/>
      <c r="B1240" s="95"/>
      <c r="C1240" s="95"/>
      <c r="D1240" s="94"/>
      <c r="E1240" s="94"/>
      <c r="F1240" s="96"/>
      <c r="G1240" s="94"/>
      <c r="H1240" s="96"/>
      <c r="I1240" s="96"/>
      <c r="J1240" s="92"/>
      <c r="K1240" s="97"/>
      <c r="L1240" s="99" t="str">
        <f ca="1">_xlfn.LET(
    _xlpm.res_no, J1240,
    _xlpm.record_sheet, 'MatRes Record'!J:M,
    _xlpm.AllCellsFilled, COUNTA(A1240:K1240) = 11,
    _xlpm.QtyIsInt, AND(ISNUMBER(G1240), G1240=INT(G1240)),
    _xlpm.ReqDateIsValid, AND(ISNUMBER(H1240), H1240&gt;=TODAY()),
    _xlpm.EmailIsValid, RIGHT(I1240,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IF(A1240="", "", IF(_xlpm.error_messages = "", "Yes", _xlpm.error_messages))
)</f>
        <v/>
      </c>
    </row>
    <row r="1241" spans="1:12">
      <c r="A1241" s="94"/>
      <c r="B1241" s="95"/>
      <c r="C1241" s="95"/>
      <c r="D1241" s="94"/>
      <c r="E1241" s="94"/>
      <c r="F1241" s="96"/>
      <c r="G1241" s="94"/>
      <c r="H1241" s="96"/>
      <c r="I1241" s="96"/>
      <c r="J1241" s="92"/>
      <c r="K1241" s="97"/>
      <c r="L1241" s="99" t="str">
        <f ca="1">_xlfn.LET(
    _xlpm.res_no, J1241,
    _xlpm.record_sheet, 'MatRes Record'!J:M,
    _xlpm.AllCellsFilled, COUNTA(A1241:K1241) = 11,
    _xlpm.QtyIsInt, AND(ISNUMBER(G1241), G1241=INT(G1241)),
    _xlpm.ReqDateIsValid, AND(ISNUMBER(H1241), H1241&gt;=TODAY()),
    _xlpm.EmailIsValid, RIGHT(I1241,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IF(A1241="", "", IF(_xlpm.error_messages = "", "Yes", _xlpm.error_messages))
)</f>
        <v/>
      </c>
    </row>
    <row r="1242" spans="1:12">
      <c r="A1242" s="94"/>
      <c r="B1242" s="95"/>
      <c r="C1242" s="95"/>
      <c r="D1242" s="94"/>
      <c r="E1242" s="94"/>
      <c r="F1242" s="96"/>
      <c r="G1242" s="94"/>
      <c r="H1242" s="96"/>
      <c r="I1242" s="96"/>
      <c r="J1242" s="92"/>
      <c r="K1242" s="97"/>
      <c r="L1242" s="99" t="str">
        <f ca="1">_xlfn.LET(
    _xlpm.res_no, J1242,
    _xlpm.record_sheet, 'MatRes Record'!J:M,
    _xlpm.AllCellsFilled, COUNTA(A1242:K1242) = 11,
    _xlpm.QtyIsInt, AND(ISNUMBER(G1242), G1242=INT(G1242)),
    _xlpm.ReqDateIsValid, AND(ISNUMBER(H1242), H1242&gt;=TODAY()),
    _xlpm.EmailIsValid, RIGHT(I1242,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IF(A1242="", "", IF(_xlpm.error_messages = "", "Yes", _xlpm.error_messages))
)</f>
        <v/>
      </c>
    </row>
    <row r="1243" spans="1:12">
      <c r="A1243" s="94"/>
      <c r="B1243" s="95"/>
      <c r="C1243" s="95"/>
      <c r="D1243" s="94"/>
      <c r="E1243" s="94"/>
      <c r="F1243" s="96"/>
      <c r="G1243" s="94"/>
      <c r="H1243" s="96"/>
      <c r="I1243" s="96"/>
      <c r="J1243" s="92"/>
      <c r="K1243" s="97"/>
      <c r="L1243" s="99" t="str">
        <f ca="1">_xlfn.LET(
    _xlpm.res_no, J1243,
    _xlpm.record_sheet, 'MatRes Record'!J:M,
    _xlpm.AllCellsFilled, COUNTA(A1243:K1243) = 11,
    _xlpm.QtyIsInt, AND(ISNUMBER(G1243), G1243=INT(G1243)),
    _xlpm.ReqDateIsValid, AND(ISNUMBER(H1243), H1243&gt;=TODAY()),
    _xlpm.EmailIsValid, RIGHT(I1243,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IF(A1243="", "", IF(_xlpm.error_messages = "", "Yes", _xlpm.error_messages))
)</f>
        <v/>
      </c>
    </row>
    <row r="1244" spans="1:12">
      <c r="A1244" s="94"/>
      <c r="B1244" s="95"/>
      <c r="C1244" s="95"/>
      <c r="D1244" s="94"/>
      <c r="E1244" s="94"/>
      <c r="F1244" s="96"/>
      <c r="G1244" s="94"/>
      <c r="H1244" s="96"/>
      <c r="I1244" s="96"/>
      <c r="J1244" s="92"/>
      <c r="K1244" s="97"/>
      <c r="L1244" s="99" t="str">
        <f ca="1">_xlfn.LET(
    _xlpm.res_no, J1244,
    _xlpm.record_sheet, 'MatRes Record'!J:M,
    _xlpm.AllCellsFilled, COUNTA(A1244:K1244) = 11,
    _xlpm.QtyIsInt, AND(ISNUMBER(G1244), G1244=INT(G1244)),
    _xlpm.ReqDateIsValid, AND(ISNUMBER(H1244), H1244&gt;=TODAY()),
    _xlpm.EmailIsValid, RIGHT(I1244,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IF(A1244="", "", IF(_xlpm.error_messages = "", "Yes", _xlpm.error_messages))
)</f>
        <v/>
      </c>
    </row>
    <row r="1245" spans="1:12">
      <c r="A1245" s="94"/>
      <c r="B1245" s="95"/>
      <c r="C1245" s="95"/>
      <c r="D1245" s="94"/>
      <c r="E1245" s="94"/>
      <c r="F1245" s="96"/>
      <c r="G1245" s="94"/>
      <c r="H1245" s="96"/>
      <c r="I1245" s="96"/>
      <c r="J1245" s="92"/>
      <c r="K1245" s="97"/>
      <c r="L1245" s="99" t="str">
        <f ca="1">_xlfn.LET(
    _xlpm.res_no, J1245,
    _xlpm.record_sheet, 'MatRes Record'!J:M,
    _xlpm.AllCellsFilled, COUNTA(A1245:K1245) = 11,
    _xlpm.QtyIsInt, AND(ISNUMBER(G1245), G1245=INT(G1245)),
    _xlpm.ReqDateIsValid, AND(ISNUMBER(H1245), H1245&gt;=TODAY()),
    _xlpm.EmailIsValid, RIGHT(I1245,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IF(A1245="", "", IF(_xlpm.error_messages = "", "Yes", _xlpm.error_messages))
)</f>
        <v/>
      </c>
    </row>
    <row r="1246" spans="1:12">
      <c r="A1246" s="94"/>
      <c r="B1246" s="95"/>
      <c r="C1246" s="95"/>
      <c r="D1246" s="94"/>
      <c r="E1246" s="94"/>
      <c r="F1246" s="96"/>
      <c r="G1246" s="94"/>
      <c r="H1246" s="96"/>
      <c r="I1246" s="96"/>
      <c r="J1246" s="92"/>
      <c r="K1246" s="97"/>
      <c r="L1246" s="99" t="str">
        <f ca="1">_xlfn.LET(
    _xlpm.res_no, J1246,
    _xlpm.record_sheet, 'MatRes Record'!J:M,
    _xlpm.AllCellsFilled, COUNTA(A1246:K1246) = 11,
    _xlpm.QtyIsInt, AND(ISNUMBER(G1246), G1246=INT(G1246)),
    _xlpm.ReqDateIsValid, AND(ISNUMBER(H1246), H1246&gt;=TODAY()),
    _xlpm.EmailIsValid, RIGHT(I1246,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IF(A1246="", "", IF(_xlpm.error_messages = "", "Yes", _xlpm.error_messages))
)</f>
        <v/>
      </c>
    </row>
    <row r="1247" spans="1:12">
      <c r="A1247" s="94"/>
      <c r="B1247" s="95"/>
      <c r="C1247" s="95"/>
      <c r="D1247" s="94"/>
      <c r="E1247" s="94"/>
      <c r="F1247" s="96"/>
      <c r="G1247" s="94"/>
      <c r="H1247" s="96"/>
      <c r="I1247" s="96"/>
      <c r="J1247" s="92"/>
      <c r="K1247" s="97"/>
      <c r="L1247" s="99" t="str">
        <f ca="1">_xlfn.LET(
    _xlpm.res_no, J1247,
    _xlpm.record_sheet, 'MatRes Record'!J:M,
    _xlpm.AllCellsFilled, COUNTA(A1247:K1247) = 11,
    _xlpm.QtyIsInt, AND(ISNUMBER(G1247), G1247=INT(G1247)),
    _xlpm.ReqDateIsValid, AND(ISNUMBER(H1247), H1247&gt;=TODAY()),
    _xlpm.EmailIsValid, RIGHT(I1247,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IF(A1247="", "", IF(_xlpm.error_messages = "", "Yes", _xlpm.error_messages))
)</f>
        <v/>
      </c>
    </row>
    <row r="1248" spans="1:12">
      <c r="A1248" s="94"/>
      <c r="B1248" s="95"/>
      <c r="C1248" s="95"/>
      <c r="D1248" s="94"/>
      <c r="E1248" s="94"/>
      <c r="F1248" s="96"/>
      <c r="G1248" s="94"/>
      <c r="H1248" s="96"/>
      <c r="I1248" s="96"/>
      <c r="J1248" s="92"/>
      <c r="K1248" s="97"/>
      <c r="L1248" s="99" t="str">
        <f ca="1">_xlfn.LET(
    _xlpm.res_no, J1248,
    _xlpm.record_sheet, 'MatRes Record'!J:M,
    _xlpm.AllCellsFilled, COUNTA(A1248:K1248) = 11,
    _xlpm.QtyIsInt, AND(ISNUMBER(G1248), G1248=INT(G1248)),
    _xlpm.ReqDateIsValid, AND(ISNUMBER(H1248), H1248&gt;=TODAY()),
    _xlpm.EmailIsValid, RIGHT(I1248,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IF(A1248="", "", IF(_xlpm.error_messages = "", "Yes", _xlpm.error_messages))
)</f>
        <v/>
      </c>
    </row>
    <row r="1249" spans="1:12">
      <c r="A1249" s="94"/>
      <c r="B1249" s="95"/>
      <c r="C1249" s="95"/>
      <c r="D1249" s="94"/>
      <c r="E1249" s="94"/>
      <c r="F1249" s="96"/>
      <c r="G1249" s="94"/>
      <c r="H1249" s="96"/>
      <c r="I1249" s="96"/>
      <c r="J1249" s="92"/>
      <c r="K1249" s="97"/>
      <c r="L1249" s="99" t="str">
        <f ca="1">_xlfn.LET(
    _xlpm.res_no, J1249,
    _xlpm.record_sheet, 'MatRes Record'!J:M,
    _xlpm.AllCellsFilled, COUNTA(A1249:K1249) = 11,
    _xlpm.QtyIsInt, AND(ISNUMBER(G1249), G1249=INT(G1249)),
    _xlpm.ReqDateIsValid, AND(ISNUMBER(H1249), H1249&gt;=TODAY()),
    _xlpm.EmailIsValid, RIGHT(I1249,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IF(A1249="", "", IF(_xlpm.error_messages = "", "Yes", _xlpm.error_messages))
)</f>
        <v/>
      </c>
    </row>
    <row r="1250" spans="1:12">
      <c r="A1250" s="94"/>
      <c r="B1250" s="95"/>
      <c r="C1250" s="95"/>
      <c r="D1250" s="94"/>
      <c r="E1250" s="94"/>
      <c r="F1250" s="96"/>
      <c r="G1250" s="94"/>
      <c r="H1250" s="96"/>
      <c r="I1250" s="96"/>
      <c r="J1250" s="92"/>
      <c r="K1250" s="97"/>
      <c r="L1250" s="99" t="str">
        <f ca="1">_xlfn.LET(
    _xlpm.res_no, J1250,
    _xlpm.record_sheet, 'MatRes Record'!J:M,
    _xlpm.AllCellsFilled, COUNTA(A1250:K1250) = 11,
    _xlpm.QtyIsInt, AND(ISNUMBER(G1250), G1250=INT(G1250)),
    _xlpm.ReqDateIsValid, AND(ISNUMBER(H1250), H1250&gt;=TODAY()),
    _xlpm.EmailIsValid, RIGHT(I1250,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IF(A1250="", "", IF(_xlpm.error_messages = "", "Yes", _xlpm.error_messages))
)</f>
        <v/>
      </c>
    </row>
    <row r="1251" spans="1:12">
      <c r="A1251" s="94"/>
      <c r="B1251" s="95"/>
      <c r="C1251" s="95"/>
      <c r="D1251" s="94"/>
      <c r="E1251" s="94"/>
      <c r="F1251" s="96"/>
      <c r="G1251" s="94"/>
      <c r="H1251" s="96"/>
      <c r="I1251" s="96"/>
      <c r="J1251" s="92"/>
      <c r="K1251" s="97"/>
      <c r="L1251" s="99" t="str">
        <f ca="1">_xlfn.LET(
    _xlpm.res_no, J1251,
    _xlpm.record_sheet, 'MatRes Record'!J:M,
    _xlpm.AllCellsFilled, COUNTA(A1251:K1251) = 11,
    _xlpm.QtyIsInt, AND(ISNUMBER(G1251), G1251=INT(G1251)),
    _xlpm.ReqDateIsValid, AND(ISNUMBER(H1251), H1251&gt;=TODAY()),
    _xlpm.EmailIsValid, RIGHT(I1251,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IF(A1251="", "", IF(_xlpm.error_messages = "", "Yes", _xlpm.error_messages))
)</f>
        <v/>
      </c>
    </row>
    <row r="1252" spans="1:12">
      <c r="A1252" s="94"/>
      <c r="B1252" s="95"/>
      <c r="C1252" s="95"/>
      <c r="D1252" s="94"/>
      <c r="E1252" s="94"/>
      <c r="F1252" s="96"/>
      <c r="G1252" s="94"/>
      <c r="H1252" s="96"/>
      <c r="I1252" s="96"/>
      <c r="J1252" s="92"/>
      <c r="K1252" s="97"/>
      <c r="L1252" s="99" t="str">
        <f ca="1">_xlfn.LET(
    _xlpm.res_no, J1252,
    _xlpm.record_sheet, 'MatRes Record'!J:M,
    _xlpm.AllCellsFilled, COUNTA(A1252:K1252) = 11,
    _xlpm.QtyIsInt, AND(ISNUMBER(G1252), G1252=INT(G1252)),
    _xlpm.ReqDateIsValid, AND(ISNUMBER(H1252), H1252&gt;=TODAY()),
    _xlpm.EmailIsValid, RIGHT(I1252,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IF(A1252="", "", IF(_xlpm.error_messages = "", "Yes", _xlpm.error_messages))
)</f>
        <v/>
      </c>
    </row>
    <row r="1253" spans="1:12">
      <c r="A1253" s="94"/>
      <c r="B1253" s="95"/>
      <c r="C1253" s="95"/>
      <c r="D1253" s="94"/>
      <c r="E1253" s="94"/>
      <c r="F1253" s="96"/>
      <c r="G1253" s="94"/>
      <c r="H1253" s="96"/>
      <c r="I1253" s="96"/>
      <c r="J1253" s="92"/>
      <c r="K1253" s="97"/>
      <c r="L1253" s="99" t="str">
        <f ca="1">_xlfn.LET(
    _xlpm.res_no, J1253,
    _xlpm.record_sheet, 'MatRes Record'!J:M,
    _xlpm.AllCellsFilled, COUNTA(A1253:K1253) = 11,
    _xlpm.QtyIsInt, AND(ISNUMBER(G1253), G1253=INT(G1253)),
    _xlpm.ReqDateIsValid, AND(ISNUMBER(H1253), H1253&gt;=TODAY()),
    _xlpm.EmailIsValid, RIGHT(I1253,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IF(A1253="", "", IF(_xlpm.error_messages = "", "Yes", _xlpm.error_messages))
)</f>
        <v/>
      </c>
    </row>
    <row r="1254" spans="1:12">
      <c r="A1254" s="94"/>
      <c r="B1254" s="95"/>
      <c r="C1254" s="95"/>
      <c r="D1254" s="94"/>
      <c r="E1254" s="94"/>
      <c r="F1254" s="96"/>
      <c r="G1254" s="94"/>
      <c r="H1254" s="96"/>
      <c r="I1254" s="96"/>
      <c r="J1254" s="92"/>
      <c r="K1254" s="97"/>
      <c r="L1254" s="99" t="str">
        <f ca="1">_xlfn.LET(
    _xlpm.res_no, J1254,
    _xlpm.record_sheet, 'MatRes Record'!J:M,
    _xlpm.AllCellsFilled, COUNTA(A1254:K1254) = 11,
    _xlpm.QtyIsInt, AND(ISNUMBER(G1254), G1254=INT(G1254)),
    _xlpm.ReqDateIsValid, AND(ISNUMBER(H1254), H1254&gt;=TODAY()),
    _xlpm.EmailIsValid, RIGHT(I1254,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IF(A1254="", "", IF(_xlpm.error_messages = "", "Yes", _xlpm.error_messages))
)</f>
        <v/>
      </c>
    </row>
    <row r="1255" spans="1:12">
      <c r="A1255" s="94"/>
      <c r="B1255" s="95"/>
      <c r="C1255" s="95"/>
      <c r="D1255" s="94"/>
      <c r="E1255" s="94"/>
      <c r="F1255" s="96"/>
      <c r="G1255" s="94"/>
      <c r="H1255" s="96"/>
      <c r="I1255" s="96"/>
      <c r="J1255" s="92"/>
      <c r="K1255" s="97"/>
      <c r="L1255" s="99" t="str">
        <f ca="1">_xlfn.LET(
    _xlpm.res_no, J1255,
    _xlpm.record_sheet, 'MatRes Record'!J:M,
    _xlpm.AllCellsFilled, COUNTA(A1255:K1255) = 11,
    _xlpm.QtyIsInt, AND(ISNUMBER(G1255), G1255=INT(G1255)),
    _xlpm.ReqDateIsValid, AND(ISNUMBER(H1255), H1255&gt;=TODAY()),
    _xlpm.EmailIsValid, RIGHT(I1255,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IF(A1255="", "", IF(_xlpm.error_messages = "", "Yes", _xlpm.error_messages))
)</f>
        <v/>
      </c>
    </row>
    <row r="1256" spans="1:12">
      <c r="A1256" s="94"/>
      <c r="B1256" s="95"/>
      <c r="C1256" s="95"/>
      <c r="D1256" s="94"/>
      <c r="E1256" s="94"/>
      <c r="F1256" s="96"/>
      <c r="G1256" s="94"/>
      <c r="H1256" s="96"/>
      <c r="I1256" s="96"/>
      <c r="J1256" s="92"/>
      <c r="K1256" s="97"/>
      <c r="L1256" s="99" t="str">
        <f ca="1">_xlfn.LET(
    _xlpm.res_no, J1256,
    _xlpm.record_sheet, 'MatRes Record'!J:M,
    _xlpm.AllCellsFilled, COUNTA(A1256:K1256) = 11,
    _xlpm.QtyIsInt, AND(ISNUMBER(G1256), G1256=INT(G1256)),
    _xlpm.ReqDateIsValid, AND(ISNUMBER(H1256), H1256&gt;=TODAY()),
    _xlpm.EmailIsValid, RIGHT(I1256,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IF(A1256="", "", IF(_xlpm.error_messages = "", "Yes", _xlpm.error_messages))
)</f>
        <v/>
      </c>
    </row>
    <row r="1257" spans="1:12">
      <c r="A1257" s="94"/>
      <c r="B1257" s="95"/>
      <c r="C1257" s="95"/>
      <c r="D1257" s="94"/>
      <c r="E1257" s="94"/>
      <c r="F1257" s="96"/>
      <c r="G1257" s="94"/>
      <c r="H1257" s="96"/>
      <c r="I1257" s="96"/>
      <c r="J1257" s="92"/>
      <c r="K1257" s="97"/>
      <c r="L1257" s="99" t="str">
        <f ca="1">_xlfn.LET(
    _xlpm.res_no, J1257,
    _xlpm.record_sheet, 'MatRes Record'!J:M,
    _xlpm.AllCellsFilled, COUNTA(A1257:K1257) = 11,
    _xlpm.QtyIsInt, AND(ISNUMBER(G1257), G1257=INT(G1257)),
    _xlpm.ReqDateIsValid, AND(ISNUMBER(H1257), H1257&gt;=TODAY()),
    _xlpm.EmailIsValid, RIGHT(I1257,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IF(A1257="", "", IF(_xlpm.error_messages = "", "Yes", _xlpm.error_messages))
)</f>
        <v/>
      </c>
    </row>
    <row r="1258" spans="1:12">
      <c r="A1258" s="94"/>
      <c r="B1258" s="95"/>
      <c r="C1258" s="95"/>
      <c r="D1258" s="94"/>
      <c r="E1258" s="94"/>
      <c r="F1258" s="96"/>
      <c r="G1258" s="94"/>
      <c r="H1258" s="96"/>
      <c r="I1258" s="96"/>
      <c r="J1258" s="92"/>
      <c r="K1258" s="97"/>
      <c r="L1258" s="99" t="str">
        <f ca="1">_xlfn.LET(
    _xlpm.res_no, J1258,
    _xlpm.record_sheet, 'MatRes Record'!J:M,
    _xlpm.AllCellsFilled, COUNTA(A1258:K1258) = 11,
    _xlpm.QtyIsInt, AND(ISNUMBER(G1258), G1258=INT(G1258)),
    _xlpm.ReqDateIsValid, AND(ISNUMBER(H1258), H1258&gt;=TODAY()),
    _xlpm.EmailIsValid, RIGHT(I1258,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IF(A1258="", "", IF(_xlpm.error_messages = "", "Yes", _xlpm.error_messages))
)</f>
        <v/>
      </c>
    </row>
    <row r="1259" spans="1:12">
      <c r="A1259" s="94"/>
      <c r="B1259" s="95"/>
      <c r="C1259" s="95"/>
      <c r="D1259" s="94"/>
      <c r="E1259" s="94"/>
      <c r="F1259" s="96"/>
      <c r="G1259" s="94"/>
      <c r="H1259" s="96"/>
      <c r="I1259" s="96"/>
      <c r="J1259" s="92"/>
      <c r="K1259" s="97"/>
      <c r="L1259" s="99" t="str">
        <f ca="1">_xlfn.LET(
    _xlpm.res_no, J1259,
    _xlpm.record_sheet, 'MatRes Record'!J:M,
    _xlpm.AllCellsFilled, COUNTA(A1259:K1259) = 11,
    _xlpm.QtyIsInt, AND(ISNUMBER(G1259), G1259=INT(G1259)),
    _xlpm.ReqDateIsValid, AND(ISNUMBER(H1259), H1259&gt;=TODAY()),
    _xlpm.EmailIsValid, RIGHT(I1259,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IF(A1259="", "", IF(_xlpm.error_messages = "", "Yes", _xlpm.error_messages))
)</f>
        <v/>
      </c>
    </row>
    <row r="1260" spans="1:12">
      <c r="A1260" s="94"/>
      <c r="B1260" s="95"/>
      <c r="C1260" s="95"/>
      <c r="D1260" s="94"/>
      <c r="E1260" s="94"/>
      <c r="F1260" s="96"/>
      <c r="G1260" s="94"/>
      <c r="H1260" s="96"/>
      <c r="I1260" s="96"/>
      <c r="J1260" s="92"/>
      <c r="K1260" s="97"/>
      <c r="L1260" s="99" t="str">
        <f ca="1">_xlfn.LET(
    _xlpm.res_no, J1260,
    _xlpm.record_sheet, 'MatRes Record'!J:M,
    _xlpm.AllCellsFilled, COUNTA(A1260:K1260) = 11,
    _xlpm.QtyIsInt, AND(ISNUMBER(G1260), G1260=INT(G1260)),
    _xlpm.ReqDateIsValid, AND(ISNUMBER(H1260), H1260&gt;=TODAY()),
    _xlpm.EmailIsValid, RIGHT(I1260,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IF(A1260="", "", IF(_xlpm.error_messages = "", "Yes", _xlpm.error_messages))
)</f>
        <v/>
      </c>
    </row>
    <row r="1261" spans="1:12">
      <c r="A1261" s="94"/>
      <c r="B1261" s="95"/>
      <c r="C1261" s="95"/>
      <c r="D1261" s="94"/>
      <c r="E1261" s="94"/>
      <c r="F1261" s="96"/>
      <c r="G1261" s="94"/>
      <c r="H1261" s="96"/>
      <c r="I1261" s="96"/>
      <c r="J1261" s="92"/>
      <c r="K1261" s="97"/>
      <c r="L1261" s="99" t="str">
        <f ca="1">_xlfn.LET(
    _xlpm.res_no, J1261,
    _xlpm.record_sheet, 'MatRes Record'!J:M,
    _xlpm.AllCellsFilled, COUNTA(A1261:K1261) = 11,
    _xlpm.QtyIsInt, AND(ISNUMBER(G1261), G1261=INT(G1261)),
    _xlpm.ReqDateIsValid, AND(ISNUMBER(H1261), H1261&gt;=TODAY()),
    _xlpm.EmailIsValid, RIGHT(I1261,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IF(A1261="", "", IF(_xlpm.error_messages = "", "Yes", _xlpm.error_messages))
)</f>
        <v/>
      </c>
    </row>
    <row r="1262" spans="1:12">
      <c r="A1262" s="94"/>
      <c r="B1262" s="95"/>
      <c r="C1262" s="95"/>
      <c r="D1262" s="94"/>
      <c r="E1262" s="94"/>
      <c r="F1262" s="96"/>
      <c r="G1262" s="94"/>
      <c r="H1262" s="96"/>
      <c r="I1262" s="96"/>
      <c r="J1262" s="92"/>
      <c r="K1262" s="97"/>
      <c r="L1262" s="99" t="str">
        <f ca="1">_xlfn.LET(
    _xlpm.res_no, J1262,
    _xlpm.record_sheet, 'MatRes Record'!J:M,
    _xlpm.AllCellsFilled, COUNTA(A1262:K1262) = 11,
    _xlpm.QtyIsInt, AND(ISNUMBER(G1262), G1262=INT(G1262)),
    _xlpm.ReqDateIsValid, AND(ISNUMBER(H1262), H1262&gt;=TODAY()),
    _xlpm.EmailIsValid, RIGHT(I1262,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IF(A1262="", "", IF(_xlpm.error_messages = "", "Yes", _xlpm.error_messages))
)</f>
        <v/>
      </c>
    </row>
    <row r="1263" spans="1:12">
      <c r="A1263" s="94"/>
      <c r="B1263" s="95"/>
      <c r="C1263" s="95"/>
      <c r="D1263" s="94"/>
      <c r="E1263" s="94"/>
      <c r="F1263" s="96"/>
      <c r="G1263" s="94"/>
      <c r="H1263" s="96"/>
      <c r="I1263" s="96"/>
      <c r="J1263" s="92"/>
      <c r="K1263" s="97"/>
      <c r="L1263" s="99" t="str">
        <f ca="1">_xlfn.LET(
    _xlpm.res_no, J1263,
    _xlpm.record_sheet, 'MatRes Record'!J:M,
    _xlpm.AllCellsFilled, COUNTA(A1263:K1263) = 11,
    _xlpm.QtyIsInt, AND(ISNUMBER(G1263), G1263=INT(G1263)),
    _xlpm.ReqDateIsValid, AND(ISNUMBER(H1263), H1263&gt;=TODAY()),
    _xlpm.EmailIsValid, RIGHT(I1263,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IF(A1263="", "", IF(_xlpm.error_messages = "", "Yes", _xlpm.error_messages))
)</f>
        <v/>
      </c>
    </row>
    <row r="1264" spans="1:12">
      <c r="A1264" s="94"/>
      <c r="B1264" s="95"/>
      <c r="C1264" s="95"/>
      <c r="D1264" s="94"/>
      <c r="E1264" s="94"/>
      <c r="F1264" s="96"/>
      <c r="G1264" s="94"/>
      <c r="H1264" s="96"/>
      <c r="I1264" s="96"/>
      <c r="J1264" s="92"/>
      <c r="K1264" s="97"/>
      <c r="L1264" s="99" t="str">
        <f ca="1">_xlfn.LET(
    _xlpm.res_no, J1264,
    _xlpm.record_sheet, 'MatRes Record'!J:M,
    _xlpm.AllCellsFilled, COUNTA(A1264:K1264) = 11,
    _xlpm.QtyIsInt, AND(ISNUMBER(G1264), G1264=INT(G1264)),
    _xlpm.ReqDateIsValid, AND(ISNUMBER(H1264), H1264&gt;=TODAY()),
    _xlpm.EmailIsValid, RIGHT(I1264,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IF(A1264="", "", IF(_xlpm.error_messages = "", "Yes", _xlpm.error_messages))
)</f>
        <v/>
      </c>
    </row>
    <row r="1265" spans="1:12">
      <c r="A1265" s="94"/>
      <c r="B1265" s="95"/>
      <c r="C1265" s="95"/>
      <c r="D1265" s="94"/>
      <c r="E1265" s="94"/>
      <c r="F1265" s="96"/>
      <c r="G1265" s="94"/>
      <c r="H1265" s="96"/>
      <c r="I1265" s="96"/>
      <c r="J1265" s="92"/>
      <c r="K1265" s="97"/>
      <c r="L1265" s="99" t="str">
        <f ca="1">_xlfn.LET(
    _xlpm.res_no, J1265,
    _xlpm.record_sheet, 'MatRes Record'!J:M,
    _xlpm.AllCellsFilled, COUNTA(A1265:K1265) = 11,
    _xlpm.QtyIsInt, AND(ISNUMBER(G1265), G1265=INT(G1265)),
    _xlpm.ReqDateIsValid, AND(ISNUMBER(H1265), H1265&gt;=TODAY()),
    _xlpm.EmailIsValid, RIGHT(I1265,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IF(A1265="", "", IF(_xlpm.error_messages = "", "Yes", _xlpm.error_messages))
)</f>
        <v/>
      </c>
    </row>
    <row r="1266" spans="1:12">
      <c r="A1266" s="94"/>
      <c r="B1266" s="95"/>
      <c r="C1266" s="95"/>
      <c r="D1266" s="94"/>
      <c r="E1266" s="94"/>
      <c r="F1266" s="96"/>
      <c r="G1266" s="94"/>
      <c r="H1266" s="96"/>
      <c r="I1266" s="96"/>
      <c r="J1266" s="92"/>
      <c r="K1266" s="97"/>
      <c r="L1266" s="99" t="str">
        <f ca="1">_xlfn.LET(
    _xlpm.res_no, J1266,
    _xlpm.record_sheet, 'MatRes Record'!J:M,
    _xlpm.AllCellsFilled, COUNTA(A1266:K1266) = 11,
    _xlpm.QtyIsInt, AND(ISNUMBER(G1266), G1266=INT(G1266)),
    _xlpm.ReqDateIsValid, AND(ISNUMBER(H1266), H1266&gt;=TODAY()),
    _xlpm.EmailIsValid, RIGHT(I1266,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IF(A1266="", "", IF(_xlpm.error_messages = "", "Yes", _xlpm.error_messages))
)</f>
        <v/>
      </c>
    </row>
    <row r="1267" spans="1:12">
      <c r="A1267" s="94"/>
      <c r="B1267" s="95"/>
      <c r="C1267" s="95"/>
      <c r="D1267" s="94"/>
      <c r="E1267" s="94"/>
      <c r="F1267" s="96"/>
      <c r="G1267" s="94"/>
      <c r="H1267" s="96"/>
      <c r="I1267" s="96"/>
      <c r="J1267" s="92"/>
      <c r="K1267" s="97"/>
      <c r="L1267" s="99" t="str">
        <f ca="1">_xlfn.LET(
    _xlpm.res_no, J1267,
    _xlpm.record_sheet, 'MatRes Record'!J:M,
    _xlpm.AllCellsFilled, COUNTA(A1267:K1267) = 11,
    _xlpm.QtyIsInt, AND(ISNUMBER(G1267), G1267=INT(G1267)),
    _xlpm.ReqDateIsValid, AND(ISNUMBER(H1267), H1267&gt;=TODAY()),
    _xlpm.EmailIsValid, RIGHT(I1267,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IF(A1267="", "", IF(_xlpm.error_messages = "", "Yes", _xlpm.error_messages))
)</f>
        <v/>
      </c>
    </row>
    <row r="1268" spans="1:12">
      <c r="A1268" s="94"/>
      <c r="B1268" s="95"/>
      <c r="C1268" s="95"/>
      <c r="D1268" s="94"/>
      <c r="E1268" s="94"/>
      <c r="F1268" s="96"/>
      <c r="G1268" s="94"/>
      <c r="H1268" s="96"/>
      <c r="I1268" s="96"/>
      <c r="J1268" s="92"/>
      <c r="K1268" s="97"/>
      <c r="L1268" s="99" t="str">
        <f ca="1">_xlfn.LET(
    _xlpm.res_no, J1268,
    _xlpm.record_sheet, 'MatRes Record'!J:M,
    _xlpm.AllCellsFilled, COUNTA(A1268:K1268) = 11,
    _xlpm.QtyIsInt, AND(ISNUMBER(G1268), G1268=INT(G1268)),
    _xlpm.ReqDateIsValid, AND(ISNUMBER(H1268), H1268&gt;=TODAY()),
    _xlpm.EmailIsValid, RIGHT(I1268,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IF(A1268="", "", IF(_xlpm.error_messages = "", "Yes", _xlpm.error_messages))
)</f>
        <v/>
      </c>
    </row>
    <row r="1269" spans="1:12">
      <c r="A1269" s="94"/>
      <c r="B1269" s="95"/>
      <c r="C1269" s="95"/>
      <c r="D1269" s="94"/>
      <c r="E1269" s="94"/>
      <c r="F1269" s="96"/>
      <c r="G1269" s="94"/>
      <c r="H1269" s="96"/>
      <c r="I1269" s="96"/>
      <c r="J1269" s="92"/>
      <c r="K1269" s="97"/>
      <c r="L1269" s="99" t="str">
        <f ca="1">_xlfn.LET(
    _xlpm.res_no, J1269,
    _xlpm.record_sheet, 'MatRes Record'!J:M,
    _xlpm.AllCellsFilled, COUNTA(A1269:K1269) = 11,
    _xlpm.QtyIsInt, AND(ISNUMBER(G1269), G1269=INT(G1269)),
    _xlpm.ReqDateIsValid, AND(ISNUMBER(H1269), H1269&gt;=TODAY()),
    _xlpm.EmailIsValid, RIGHT(I1269,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IF(A1269="", "", IF(_xlpm.error_messages = "", "Yes", _xlpm.error_messages))
)</f>
        <v/>
      </c>
    </row>
    <row r="1270" spans="1:12">
      <c r="A1270" s="94"/>
      <c r="B1270" s="95"/>
      <c r="C1270" s="95"/>
      <c r="D1270" s="94"/>
      <c r="E1270" s="94"/>
      <c r="F1270" s="96"/>
      <c r="G1270" s="94"/>
      <c r="H1270" s="96"/>
      <c r="I1270" s="96"/>
      <c r="J1270" s="92"/>
      <c r="K1270" s="97"/>
      <c r="L1270" s="99" t="str">
        <f ca="1">_xlfn.LET(
    _xlpm.res_no, J1270,
    _xlpm.record_sheet, 'MatRes Record'!J:M,
    _xlpm.AllCellsFilled, COUNTA(A1270:K1270) = 11,
    _xlpm.QtyIsInt, AND(ISNUMBER(G1270), G1270=INT(G1270)),
    _xlpm.ReqDateIsValid, AND(ISNUMBER(H1270), H1270&gt;=TODAY()),
    _xlpm.EmailIsValid, RIGHT(I1270,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IF(A1270="", "", IF(_xlpm.error_messages = "", "Yes", _xlpm.error_messages))
)</f>
        <v/>
      </c>
    </row>
    <row r="1271" spans="1:12">
      <c r="A1271" s="94"/>
      <c r="B1271" s="95"/>
      <c r="C1271" s="95"/>
      <c r="D1271" s="94"/>
      <c r="E1271" s="94"/>
      <c r="F1271" s="96"/>
      <c r="G1271" s="94"/>
      <c r="H1271" s="96"/>
      <c r="I1271" s="96"/>
      <c r="J1271" s="92"/>
      <c r="K1271" s="97"/>
      <c r="L1271" s="99" t="str">
        <f ca="1">_xlfn.LET(
    _xlpm.res_no, J1271,
    _xlpm.record_sheet, 'MatRes Record'!J:M,
    _xlpm.AllCellsFilled, COUNTA(A1271:K1271) = 11,
    _xlpm.QtyIsInt, AND(ISNUMBER(G1271), G1271=INT(G1271)),
    _xlpm.ReqDateIsValid, AND(ISNUMBER(H1271), H1271&gt;=TODAY()),
    _xlpm.EmailIsValid, RIGHT(I1271,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IF(A1271="", "", IF(_xlpm.error_messages = "", "Yes", _xlpm.error_messages))
)</f>
        <v/>
      </c>
    </row>
    <row r="1272" spans="1:12">
      <c r="A1272" s="94"/>
      <c r="B1272" s="95"/>
      <c r="C1272" s="95"/>
      <c r="D1272" s="94"/>
      <c r="E1272" s="94"/>
      <c r="F1272" s="96"/>
      <c r="G1272" s="94"/>
      <c r="H1272" s="96"/>
      <c r="I1272" s="96"/>
      <c r="J1272" s="92"/>
      <c r="K1272" s="97"/>
      <c r="L1272" s="99" t="str">
        <f ca="1">_xlfn.LET(
    _xlpm.res_no, J1272,
    _xlpm.record_sheet, 'MatRes Record'!J:M,
    _xlpm.AllCellsFilled, COUNTA(A1272:K1272) = 11,
    _xlpm.QtyIsInt, AND(ISNUMBER(G1272), G1272=INT(G1272)),
    _xlpm.ReqDateIsValid, AND(ISNUMBER(H1272), H1272&gt;=TODAY()),
    _xlpm.EmailIsValid, RIGHT(I1272,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IF(A1272="", "", IF(_xlpm.error_messages = "", "Yes", _xlpm.error_messages))
)</f>
        <v/>
      </c>
    </row>
    <row r="1273" spans="1:12">
      <c r="A1273" s="94"/>
      <c r="B1273" s="95"/>
      <c r="C1273" s="95"/>
      <c r="D1273" s="94"/>
      <c r="E1273" s="94"/>
      <c r="F1273" s="96"/>
      <c r="G1273" s="94"/>
      <c r="H1273" s="96"/>
      <c r="I1273" s="96"/>
      <c r="J1273" s="92"/>
      <c r="K1273" s="97"/>
      <c r="L1273" s="99" t="str">
        <f ca="1">_xlfn.LET(
    _xlpm.res_no, J1273,
    _xlpm.record_sheet, 'MatRes Record'!J:M,
    _xlpm.AllCellsFilled, COUNTA(A1273:K1273) = 11,
    _xlpm.QtyIsInt, AND(ISNUMBER(G1273), G1273=INT(G1273)),
    _xlpm.ReqDateIsValid, AND(ISNUMBER(H1273), H1273&gt;=TODAY()),
    _xlpm.EmailIsValid, RIGHT(I1273,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IF(A1273="", "", IF(_xlpm.error_messages = "", "Yes", _xlpm.error_messages))
)</f>
        <v/>
      </c>
    </row>
    <row r="1274" spans="1:12">
      <c r="A1274" s="94"/>
      <c r="B1274" s="95"/>
      <c r="C1274" s="95"/>
      <c r="D1274" s="94"/>
      <c r="E1274" s="94"/>
      <c r="F1274" s="96"/>
      <c r="G1274" s="94"/>
      <c r="H1274" s="96"/>
      <c r="I1274" s="96"/>
      <c r="J1274" s="92"/>
      <c r="K1274" s="97"/>
      <c r="L1274" s="99" t="str">
        <f ca="1">_xlfn.LET(
    _xlpm.res_no, J1274,
    _xlpm.record_sheet, 'MatRes Record'!J:M,
    _xlpm.AllCellsFilled, COUNTA(A1274:K1274) = 11,
    _xlpm.QtyIsInt, AND(ISNUMBER(G1274), G1274=INT(G1274)),
    _xlpm.ReqDateIsValid, AND(ISNUMBER(H1274), H1274&gt;=TODAY()),
    _xlpm.EmailIsValid, RIGHT(I1274,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IF(A1274="", "", IF(_xlpm.error_messages = "", "Yes", _xlpm.error_messages))
)</f>
        <v/>
      </c>
    </row>
    <row r="1275" spans="1:12">
      <c r="A1275" s="94"/>
      <c r="B1275" s="95"/>
      <c r="C1275" s="95"/>
      <c r="D1275" s="94"/>
      <c r="E1275" s="94"/>
      <c r="F1275" s="96"/>
      <c r="G1275" s="94"/>
      <c r="H1275" s="96"/>
      <c r="I1275" s="96"/>
      <c r="J1275" s="92"/>
      <c r="K1275" s="97"/>
      <c r="L1275" s="99" t="str">
        <f ca="1">_xlfn.LET(
    _xlpm.res_no, J1275,
    _xlpm.record_sheet, 'MatRes Record'!J:M,
    _xlpm.AllCellsFilled, COUNTA(A1275:K1275) = 11,
    _xlpm.QtyIsInt, AND(ISNUMBER(G1275), G1275=INT(G1275)),
    _xlpm.ReqDateIsValid, AND(ISNUMBER(H1275), H1275&gt;=TODAY()),
    _xlpm.EmailIsValid, RIGHT(I1275,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IF(A1275="", "", IF(_xlpm.error_messages = "", "Yes", _xlpm.error_messages))
)</f>
        <v/>
      </c>
    </row>
    <row r="1276" spans="1:12">
      <c r="A1276" s="94"/>
      <c r="B1276" s="95"/>
      <c r="C1276" s="95"/>
      <c r="D1276" s="94"/>
      <c r="E1276" s="94"/>
      <c r="F1276" s="96"/>
      <c r="G1276" s="94"/>
      <c r="H1276" s="96"/>
      <c r="I1276" s="96"/>
      <c r="J1276" s="92"/>
      <c r="K1276" s="97"/>
      <c r="L1276" s="99" t="str">
        <f ca="1">_xlfn.LET(
    _xlpm.res_no, J1276,
    _xlpm.record_sheet, 'MatRes Record'!J:M,
    _xlpm.AllCellsFilled, COUNTA(A1276:K1276) = 11,
    _xlpm.QtyIsInt, AND(ISNUMBER(G1276), G1276=INT(G1276)),
    _xlpm.ReqDateIsValid, AND(ISNUMBER(H1276), H1276&gt;=TODAY()),
    _xlpm.EmailIsValid, RIGHT(I1276,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IF(A1276="", "", IF(_xlpm.error_messages = "", "Yes", _xlpm.error_messages))
)</f>
        <v/>
      </c>
    </row>
    <row r="1277" spans="1:12">
      <c r="A1277" s="94"/>
      <c r="B1277" s="95"/>
      <c r="C1277" s="95"/>
      <c r="D1277" s="94"/>
      <c r="E1277" s="94"/>
      <c r="F1277" s="96"/>
      <c r="G1277" s="94"/>
      <c r="H1277" s="96"/>
      <c r="I1277" s="96"/>
      <c r="J1277" s="92"/>
      <c r="K1277" s="97"/>
      <c r="L1277" s="99" t="str">
        <f ca="1">_xlfn.LET(
    _xlpm.res_no, J1277,
    _xlpm.record_sheet, 'MatRes Record'!J:M,
    _xlpm.AllCellsFilled, COUNTA(A1277:K1277) = 11,
    _xlpm.QtyIsInt, AND(ISNUMBER(G1277), G1277=INT(G1277)),
    _xlpm.ReqDateIsValid, AND(ISNUMBER(H1277), H1277&gt;=TODAY()),
    _xlpm.EmailIsValid, RIGHT(I1277,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IF(A1277="", "", IF(_xlpm.error_messages = "", "Yes", _xlpm.error_messages))
)</f>
        <v/>
      </c>
    </row>
    <row r="1278" spans="1:12">
      <c r="A1278" s="94"/>
      <c r="B1278" s="95"/>
      <c r="C1278" s="95"/>
      <c r="D1278" s="94"/>
      <c r="E1278" s="94"/>
      <c r="F1278" s="96"/>
      <c r="G1278" s="94"/>
      <c r="H1278" s="96"/>
      <c r="I1278" s="96"/>
      <c r="J1278" s="92"/>
      <c r="K1278" s="97"/>
      <c r="L1278" s="99" t="str">
        <f ca="1">_xlfn.LET(
    _xlpm.res_no, J1278,
    _xlpm.record_sheet, 'MatRes Record'!J:M,
    _xlpm.AllCellsFilled, COUNTA(A1278:K1278) = 11,
    _xlpm.QtyIsInt, AND(ISNUMBER(G1278), G1278=INT(G1278)),
    _xlpm.ReqDateIsValid, AND(ISNUMBER(H1278), H1278&gt;=TODAY()),
    _xlpm.EmailIsValid, RIGHT(I1278,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IF(A1278="", "", IF(_xlpm.error_messages = "", "Yes", _xlpm.error_messages))
)</f>
        <v/>
      </c>
    </row>
    <row r="1279" spans="1:12">
      <c r="A1279" s="94"/>
      <c r="B1279" s="95"/>
      <c r="C1279" s="95"/>
      <c r="D1279" s="94"/>
      <c r="E1279" s="94"/>
      <c r="F1279" s="96"/>
      <c r="G1279" s="94"/>
      <c r="H1279" s="96"/>
      <c r="I1279" s="96"/>
      <c r="J1279" s="92"/>
      <c r="K1279" s="97"/>
      <c r="L1279" s="99" t="str">
        <f ca="1">_xlfn.LET(
    _xlpm.res_no, J1279,
    _xlpm.record_sheet, 'MatRes Record'!J:M,
    _xlpm.AllCellsFilled, COUNTA(A1279:K1279) = 11,
    _xlpm.QtyIsInt, AND(ISNUMBER(G1279), G1279=INT(G1279)),
    _xlpm.ReqDateIsValid, AND(ISNUMBER(H1279), H1279&gt;=TODAY()),
    _xlpm.EmailIsValid, RIGHT(I1279,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IF(A1279="", "", IF(_xlpm.error_messages = "", "Yes", _xlpm.error_messages))
)</f>
        <v/>
      </c>
    </row>
    <row r="1280" spans="1:12">
      <c r="A1280" s="94"/>
      <c r="B1280" s="95"/>
      <c r="C1280" s="95"/>
      <c r="D1280" s="94"/>
      <c r="E1280" s="94"/>
      <c r="F1280" s="96"/>
      <c r="G1280" s="94"/>
      <c r="H1280" s="96"/>
      <c r="I1280" s="96"/>
      <c r="J1280" s="92"/>
      <c r="K1280" s="97"/>
      <c r="L1280" s="99" t="str">
        <f ca="1">_xlfn.LET(
    _xlpm.res_no, J1280,
    _xlpm.record_sheet, 'MatRes Record'!J:M,
    _xlpm.AllCellsFilled, COUNTA(A1280:K1280) = 11,
    _xlpm.QtyIsInt, AND(ISNUMBER(G1280), G1280=INT(G1280)),
    _xlpm.ReqDateIsValid, AND(ISNUMBER(H1280), H1280&gt;=TODAY()),
    _xlpm.EmailIsValid, RIGHT(I1280,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IF(A1280="", "", IF(_xlpm.error_messages = "", "Yes", _xlpm.error_messages))
)</f>
        <v/>
      </c>
    </row>
    <row r="1281" spans="1:12">
      <c r="A1281" s="94"/>
      <c r="B1281" s="95"/>
      <c r="C1281" s="95"/>
      <c r="D1281" s="94"/>
      <c r="E1281" s="94"/>
      <c r="F1281" s="96"/>
      <c r="G1281" s="94"/>
      <c r="H1281" s="96"/>
      <c r="I1281" s="96"/>
      <c r="J1281" s="92"/>
      <c r="K1281" s="97"/>
      <c r="L1281" s="99" t="str">
        <f ca="1">_xlfn.LET(
    _xlpm.res_no, J1281,
    _xlpm.record_sheet, 'MatRes Record'!J:M,
    _xlpm.AllCellsFilled, COUNTA(A1281:K1281) = 11,
    _xlpm.QtyIsInt, AND(ISNUMBER(G1281), G1281=INT(G1281)),
    _xlpm.ReqDateIsValid, AND(ISNUMBER(H1281), H1281&gt;=TODAY()),
    _xlpm.EmailIsValid, RIGHT(I1281,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IF(A1281="", "", IF(_xlpm.error_messages = "", "Yes", _xlpm.error_messages))
)</f>
        <v/>
      </c>
    </row>
    <row r="1282" spans="1:12">
      <c r="A1282" s="94"/>
      <c r="B1282" s="95"/>
      <c r="C1282" s="95"/>
      <c r="D1282" s="94"/>
      <c r="E1282" s="94"/>
      <c r="F1282" s="96"/>
      <c r="G1282" s="94"/>
      <c r="H1282" s="96"/>
      <c r="I1282" s="96"/>
      <c r="J1282" s="92"/>
      <c r="K1282" s="97"/>
      <c r="L1282" s="99" t="str">
        <f ca="1">_xlfn.LET(
    _xlpm.res_no, J1282,
    _xlpm.record_sheet, 'MatRes Record'!J:M,
    _xlpm.AllCellsFilled, COUNTA(A1282:K1282) = 11,
    _xlpm.QtyIsInt, AND(ISNUMBER(G1282), G1282=INT(G1282)),
    _xlpm.ReqDateIsValid, AND(ISNUMBER(H1282), H1282&gt;=TODAY()),
    _xlpm.EmailIsValid, RIGHT(I1282,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IF(A1282="", "", IF(_xlpm.error_messages = "", "Yes", _xlpm.error_messages))
)</f>
        <v/>
      </c>
    </row>
    <row r="1283" spans="1:12">
      <c r="A1283" s="94"/>
      <c r="B1283" s="95"/>
      <c r="C1283" s="95"/>
      <c r="D1283" s="94"/>
      <c r="E1283" s="94"/>
      <c r="F1283" s="96"/>
      <c r="G1283" s="94"/>
      <c r="H1283" s="96"/>
      <c r="I1283" s="96"/>
      <c r="J1283" s="92"/>
      <c r="K1283" s="97"/>
      <c r="L1283" s="99" t="str">
        <f ca="1">_xlfn.LET(
    _xlpm.res_no, J1283,
    _xlpm.record_sheet, 'MatRes Record'!J:M,
    _xlpm.AllCellsFilled, COUNTA(A1283:K1283) = 11,
    _xlpm.QtyIsInt, AND(ISNUMBER(G1283), G1283=INT(G1283)),
    _xlpm.ReqDateIsValid, AND(ISNUMBER(H1283), H1283&gt;=TODAY()),
    _xlpm.EmailIsValid, RIGHT(I1283,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IF(A1283="", "", IF(_xlpm.error_messages = "", "Yes", _xlpm.error_messages))
)</f>
        <v/>
      </c>
    </row>
    <row r="1284" spans="1:12">
      <c r="A1284" s="94"/>
      <c r="B1284" s="95"/>
      <c r="C1284" s="95"/>
      <c r="D1284" s="94"/>
      <c r="E1284" s="94"/>
      <c r="F1284" s="96"/>
      <c r="G1284" s="94"/>
      <c r="H1284" s="96"/>
      <c r="I1284" s="96"/>
      <c r="J1284" s="92"/>
      <c r="K1284" s="97"/>
      <c r="L1284" s="99" t="str">
        <f ca="1">_xlfn.LET(
    _xlpm.res_no, J1284,
    _xlpm.record_sheet, 'MatRes Record'!J:M,
    _xlpm.AllCellsFilled, COUNTA(A1284:K1284) = 11,
    _xlpm.QtyIsInt, AND(ISNUMBER(G1284), G1284=INT(G1284)),
    _xlpm.ReqDateIsValid, AND(ISNUMBER(H1284), H1284&gt;=TODAY()),
    _xlpm.EmailIsValid, RIGHT(I1284,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IF(A1284="", "", IF(_xlpm.error_messages = "", "Yes", _xlpm.error_messages))
)</f>
        <v/>
      </c>
    </row>
    <row r="1285" spans="1:12">
      <c r="A1285" s="94"/>
      <c r="B1285" s="95"/>
      <c r="C1285" s="95"/>
      <c r="D1285" s="94"/>
      <c r="E1285" s="94"/>
      <c r="F1285" s="96"/>
      <c r="G1285" s="94"/>
      <c r="H1285" s="96"/>
      <c r="I1285" s="96"/>
      <c r="J1285" s="92"/>
      <c r="K1285" s="97"/>
      <c r="L1285" s="99" t="str">
        <f ca="1">_xlfn.LET(
    _xlpm.res_no, J1285,
    _xlpm.record_sheet, 'MatRes Record'!J:M,
    _xlpm.AllCellsFilled, COUNTA(A1285:K1285) = 11,
    _xlpm.QtyIsInt, AND(ISNUMBER(G1285), G1285=INT(G1285)),
    _xlpm.ReqDateIsValid, AND(ISNUMBER(H1285), H1285&gt;=TODAY()),
    _xlpm.EmailIsValid, RIGHT(I1285,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IF(A1285="", "", IF(_xlpm.error_messages = "", "Yes", _xlpm.error_messages))
)</f>
        <v/>
      </c>
    </row>
    <row r="1286" spans="1:12">
      <c r="A1286" s="94"/>
      <c r="B1286" s="95"/>
      <c r="C1286" s="95"/>
      <c r="D1286" s="94"/>
      <c r="E1286" s="94"/>
      <c r="F1286" s="96"/>
      <c r="G1286" s="94"/>
      <c r="H1286" s="96"/>
      <c r="I1286" s="96"/>
      <c r="J1286" s="92"/>
      <c r="K1286" s="97"/>
      <c r="L1286" s="99" t="str">
        <f ca="1">_xlfn.LET(
    _xlpm.res_no, J1286,
    _xlpm.record_sheet, 'MatRes Record'!J:M,
    _xlpm.AllCellsFilled, COUNTA(A1286:K1286) = 11,
    _xlpm.QtyIsInt, AND(ISNUMBER(G1286), G1286=INT(G1286)),
    _xlpm.ReqDateIsValid, AND(ISNUMBER(H1286), H1286&gt;=TODAY()),
    _xlpm.EmailIsValid, RIGHT(I1286,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IF(A1286="", "", IF(_xlpm.error_messages = "", "Yes", _xlpm.error_messages))
)</f>
        <v/>
      </c>
    </row>
    <row r="1287" spans="1:12">
      <c r="A1287" s="94"/>
      <c r="B1287" s="95"/>
      <c r="C1287" s="95"/>
      <c r="D1287" s="94"/>
      <c r="E1287" s="94"/>
      <c r="F1287" s="96"/>
      <c r="G1287" s="94"/>
      <c r="H1287" s="96"/>
      <c r="I1287" s="96"/>
      <c r="J1287" s="92"/>
      <c r="K1287" s="97"/>
      <c r="L1287" s="99" t="str">
        <f ca="1">_xlfn.LET(
    _xlpm.res_no, J1287,
    _xlpm.record_sheet, 'MatRes Record'!J:M,
    _xlpm.AllCellsFilled, COUNTA(A1287:K1287) = 11,
    _xlpm.QtyIsInt, AND(ISNUMBER(G1287), G1287=INT(G1287)),
    _xlpm.ReqDateIsValid, AND(ISNUMBER(H1287), H1287&gt;=TODAY()),
    _xlpm.EmailIsValid, RIGHT(I1287,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IF(A1287="", "", IF(_xlpm.error_messages = "", "Yes", _xlpm.error_messages))
)</f>
        <v/>
      </c>
    </row>
    <row r="1288" spans="1:12">
      <c r="A1288" s="94"/>
      <c r="B1288" s="95"/>
      <c r="C1288" s="95"/>
      <c r="D1288" s="94"/>
      <c r="E1288" s="94"/>
      <c r="F1288" s="96"/>
      <c r="G1288" s="94"/>
      <c r="H1288" s="96"/>
      <c r="I1288" s="96"/>
      <c r="J1288" s="92"/>
      <c r="K1288" s="97"/>
      <c r="L1288" s="99" t="str">
        <f ca="1">_xlfn.LET(
    _xlpm.res_no, J1288,
    _xlpm.record_sheet, 'MatRes Record'!J:M,
    _xlpm.AllCellsFilled, COUNTA(A1288:K1288) = 11,
    _xlpm.QtyIsInt, AND(ISNUMBER(G1288), G1288=INT(G1288)),
    _xlpm.ReqDateIsValid, AND(ISNUMBER(H1288), H1288&gt;=TODAY()),
    _xlpm.EmailIsValid, RIGHT(I1288,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IF(A1288="", "", IF(_xlpm.error_messages = "", "Yes", _xlpm.error_messages))
)</f>
        <v/>
      </c>
    </row>
    <row r="1289" spans="1:12">
      <c r="A1289" s="94"/>
      <c r="B1289" s="95"/>
      <c r="C1289" s="95"/>
      <c r="D1289" s="94"/>
      <c r="E1289" s="94"/>
      <c r="F1289" s="96"/>
      <c r="G1289" s="94"/>
      <c r="H1289" s="96"/>
      <c r="I1289" s="96"/>
      <c r="J1289" s="92"/>
      <c r="K1289" s="97"/>
      <c r="L1289" s="99" t="str">
        <f ca="1">_xlfn.LET(
    _xlpm.res_no, J1289,
    _xlpm.record_sheet, 'MatRes Record'!J:M,
    _xlpm.AllCellsFilled, COUNTA(A1289:K1289) = 11,
    _xlpm.QtyIsInt, AND(ISNUMBER(G1289), G1289=INT(G1289)),
    _xlpm.ReqDateIsValid, AND(ISNUMBER(H1289), H1289&gt;=TODAY()),
    _xlpm.EmailIsValid, RIGHT(I1289,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IF(A1289="", "", IF(_xlpm.error_messages = "", "Yes", _xlpm.error_messages))
)</f>
        <v/>
      </c>
    </row>
    <row r="1290" spans="1:12">
      <c r="A1290" s="94"/>
      <c r="B1290" s="95"/>
      <c r="C1290" s="95"/>
      <c r="D1290" s="94"/>
      <c r="E1290" s="94"/>
      <c r="F1290" s="96"/>
      <c r="G1290" s="94"/>
      <c r="H1290" s="96"/>
      <c r="I1290" s="96"/>
      <c r="J1290" s="92"/>
      <c r="K1290" s="97"/>
      <c r="L1290" s="99" t="str">
        <f ca="1">_xlfn.LET(
    _xlpm.res_no, J1290,
    _xlpm.record_sheet, 'MatRes Record'!J:M,
    _xlpm.AllCellsFilled, COUNTA(A1290:K1290) = 11,
    _xlpm.QtyIsInt, AND(ISNUMBER(G1290), G1290=INT(G1290)),
    _xlpm.ReqDateIsValid, AND(ISNUMBER(H1290), H1290&gt;=TODAY()),
    _xlpm.EmailIsValid, RIGHT(I1290,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IF(A1290="", "", IF(_xlpm.error_messages = "", "Yes", _xlpm.error_messages))
)</f>
        <v/>
      </c>
    </row>
    <row r="1291" spans="1:12">
      <c r="A1291" s="94"/>
      <c r="B1291" s="95"/>
      <c r="C1291" s="95"/>
      <c r="D1291" s="94"/>
      <c r="E1291" s="94"/>
      <c r="F1291" s="96"/>
      <c r="G1291" s="94"/>
      <c r="H1291" s="96"/>
      <c r="I1291" s="96"/>
      <c r="J1291" s="92"/>
      <c r="K1291" s="97"/>
      <c r="L1291" s="99" t="str">
        <f ca="1">_xlfn.LET(
    _xlpm.res_no, J1291,
    _xlpm.record_sheet, 'MatRes Record'!J:M,
    _xlpm.AllCellsFilled, COUNTA(A1291:K1291) = 11,
    _xlpm.QtyIsInt, AND(ISNUMBER(G1291), G1291=INT(G1291)),
    _xlpm.ReqDateIsValid, AND(ISNUMBER(H1291), H1291&gt;=TODAY()),
    _xlpm.EmailIsValid, RIGHT(I1291,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IF(A1291="", "", IF(_xlpm.error_messages = "", "Yes", _xlpm.error_messages))
)</f>
        <v/>
      </c>
    </row>
    <row r="1292" spans="1:12">
      <c r="A1292" s="94"/>
      <c r="B1292" s="95"/>
      <c r="C1292" s="95"/>
      <c r="D1292" s="94"/>
      <c r="E1292" s="94"/>
      <c r="F1292" s="96"/>
      <c r="G1292" s="94"/>
      <c r="H1292" s="96"/>
      <c r="I1292" s="96"/>
      <c r="J1292" s="92"/>
      <c r="K1292" s="97"/>
      <c r="L1292" s="99" t="str">
        <f ca="1">_xlfn.LET(
    _xlpm.res_no, J1292,
    _xlpm.record_sheet, 'MatRes Record'!J:M,
    _xlpm.AllCellsFilled, COUNTA(A1292:K1292) = 11,
    _xlpm.QtyIsInt, AND(ISNUMBER(G1292), G1292=INT(G1292)),
    _xlpm.ReqDateIsValid, AND(ISNUMBER(H1292), H1292&gt;=TODAY()),
    _xlpm.EmailIsValid, RIGHT(I1292,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IF(A1292="", "", IF(_xlpm.error_messages = "", "Yes", _xlpm.error_messages))
)</f>
        <v/>
      </c>
    </row>
    <row r="1293" spans="1:12">
      <c r="A1293" s="94"/>
      <c r="B1293" s="95"/>
      <c r="C1293" s="95"/>
      <c r="D1293" s="94"/>
      <c r="E1293" s="94"/>
      <c r="F1293" s="96"/>
      <c r="G1293" s="94"/>
      <c r="H1293" s="96"/>
      <c r="I1293" s="96"/>
      <c r="J1293" s="92"/>
      <c r="K1293" s="97"/>
      <c r="L1293" s="99" t="str">
        <f ca="1">_xlfn.LET(
    _xlpm.res_no, J1293,
    _xlpm.record_sheet, 'MatRes Record'!J:M,
    _xlpm.AllCellsFilled, COUNTA(A1293:K1293) = 11,
    _xlpm.QtyIsInt, AND(ISNUMBER(G1293), G1293=INT(G1293)),
    _xlpm.ReqDateIsValid, AND(ISNUMBER(H1293), H1293&gt;=TODAY()),
    _xlpm.EmailIsValid, RIGHT(I1293,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IF(A1293="", "", IF(_xlpm.error_messages = "", "Yes", _xlpm.error_messages))
)</f>
        <v/>
      </c>
    </row>
    <row r="1294" spans="1:12">
      <c r="A1294" s="94"/>
      <c r="B1294" s="95"/>
      <c r="C1294" s="95"/>
      <c r="D1294" s="94"/>
      <c r="E1294" s="94"/>
      <c r="F1294" s="96"/>
      <c r="G1294" s="94"/>
      <c r="H1294" s="96"/>
      <c r="I1294" s="96"/>
      <c r="J1294" s="92"/>
      <c r="K1294" s="97"/>
      <c r="L1294" s="99" t="str">
        <f ca="1">_xlfn.LET(
    _xlpm.res_no, J1294,
    _xlpm.record_sheet, 'MatRes Record'!J:M,
    _xlpm.AllCellsFilled, COUNTA(A1294:K1294) = 11,
    _xlpm.QtyIsInt, AND(ISNUMBER(G1294), G1294=INT(G1294)),
    _xlpm.ReqDateIsValid, AND(ISNUMBER(H1294), H1294&gt;=TODAY()),
    _xlpm.EmailIsValid, RIGHT(I1294,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IF(A1294="", "", IF(_xlpm.error_messages = "", "Yes", _xlpm.error_messages))
)</f>
        <v/>
      </c>
    </row>
    <row r="1295" spans="1:12">
      <c r="A1295" s="94"/>
      <c r="B1295" s="95"/>
      <c r="C1295" s="95"/>
      <c r="D1295" s="94"/>
      <c r="E1295" s="94"/>
      <c r="F1295" s="96"/>
      <c r="G1295" s="94"/>
      <c r="H1295" s="96"/>
      <c r="I1295" s="96"/>
      <c r="J1295" s="92"/>
      <c r="K1295" s="97"/>
      <c r="L1295" s="99" t="str">
        <f ca="1">_xlfn.LET(
    _xlpm.res_no, J1295,
    _xlpm.record_sheet, 'MatRes Record'!J:M,
    _xlpm.AllCellsFilled, COUNTA(A1295:K1295) = 11,
    _xlpm.QtyIsInt, AND(ISNUMBER(G1295), G1295=INT(G1295)),
    _xlpm.ReqDateIsValid, AND(ISNUMBER(H1295), H1295&gt;=TODAY()),
    _xlpm.EmailIsValid, RIGHT(I1295,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IF(A1295="", "", IF(_xlpm.error_messages = "", "Yes", _xlpm.error_messages))
)</f>
        <v/>
      </c>
    </row>
    <row r="1296" spans="1:12">
      <c r="A1296" s="94"/>
      <c r="B1296" s="95"/>
      <c r="C1296" s="95"/>
      <c r="D1296" s="94"/>
      <c r="E1296" s="94"/>
      <c r="F1296" s="96"/>
      <c r="G1296" s="94"/>
      <c r="H1296" s="96"/>
      <c r="I1296" s="96"/>
      <c r="J1296" s="92"/>
      <c r="K1296" s="97"/>
      <c r="L1296" s="99" t="str">
        <f ca="1">_xlfn.LET(
    _xlpm.res_no, J1296,
    _xlpm.record_sheet, 'MatRes Record'!J:M,
    _xlpm.AllCellsFilled, COUNTA(A1296:K1296) = 11,
    _xlpm.QtyIsInt, AND(ISNUMBER(G1296), G1296=INT(G1296)),
    _xlpm.ReqDateIsValid, AND(ISNUMBER(H1296), H1296&gt;=TODAY()),
    _xlpm.EmailIsValid, RIGHT(I1296,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IF(A1296="", "", IF(_xlpm.error_messages = "", "Yes", _xlpm.error_messages))
)</f>
        <v/>
      </c>
    </row>
    <row r="1297" spans="1:12">
      <c r="A1297" s="94"/>
      <c r="B1297" s="95"/>
      <c r="C1297" s="95"/>
      <c r="D1297" s="94"/>
      <c r="E1297" s="94"/>
      <c r="F1297" s="96"/>
      <c r="G1297" s="94"/>
      <c r="H1297" s="96"/>
      <c r="I1297" s="96"/>
      <c r="J1297" s="92"/>
      <c r="K1297" s="97"/>
      <c r="L1297" s="99" t="str">
        <f ca="1">_xlfn.LET(
    _xlpm.res_no, J1297,
    _xlpm.record_sheet, 'MatRes Record'!J:M,
    _xlpm.AllCellsFilled, COUNTA(A1297:K1297) = 11,
    _xlpm.QtyIsInt, AND(ISNUMBER(G1297), G1297=INT(G1297)),
    _xlpm.ReqDateIsValid, AND(ISNUMBER(H1297), H1297&gt;=TODAY()),
    _xlpm.EmailIsValid, RIGHT(I1297,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IF(A1297="", "", IF(_xlpm.error_messages = "", "Yes", _xlpm.error_messages))
)</f>
        <v/>
      </c>
    </row>
    <row r="1298" spans="1:12">
      <c r="A1298" s="94"/>
      <c r="B1298" s="95"/>
      <c r="C1298" s="95"/>
      <c r="D1298" s="94"/>
      <c r="E1298" s="94"/>
      <c r="F1298" s="96"/>
      <c r="G1298" s="94"/>
      <c r="H1298" s="96"/>
      <c r="I1298" s="96"/>
      <c r="J1298" s="92"/>
      <c r="K1298" s="97"/>
      <c r="L1298" s="99" t="str">
        <f ca="1">_xlfn.LET(
    _xlpm.res_no, J1298,
    _xlpm.record_sheet, 'MatRes Record'!J:M,
    _xlpm.AllCellsFilled, COUNTA(A1298:K1298) = 11,
    _xlpm.QtyIsInt, AND(ISNUMBER(G1298), G1298=INT(G1298)),
    _xlpm.ReqDateIsValid, AND(ISNUMBER(H1298), H1298&gt;=TODAY()),
    _xlpm.EmailIsValid, RIGHT(I1298,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IF(A1298="", "", IF(_xlpm.error_messages = "", "Yes", _xlpm.error_messages))
)</f>
        <v/>
      </c>
    </row>
    <row r="1299" spans="1:12">
      <c r="A1299" s="94"/>
      <c r="B1299" s="95"/>
      <c r="C1299" s="95"/>
      <c r="D1299" s="94"/>
      <c r="E1299" s="94"/>
      <c r="F1299" s="96"/>
      <c r="G1299" s="94"/>
      <c r="H1299" s="96"/>
      <c r="I1299" s="96"/>
      <c r="J1299" s="92"/>
      <c r="K1299" s="97"/>
      <c r="L1299" s="99" t="str">
        <f ca="1">_xlfn.LET(
    _xlpm.res_no, J1299,
    _xlpm.record_sheet, 'MatRes Record'!J:M,
    _xlpm.AllCellsFilled, COUNTA(A1299:K1299) = 11,
    _xlpm.QtyIsInt, AND(ISNUMBER(G1299), G1299=INT(G1299)),
    _xlpm.ReqDateIsValid, AND(ISNUMBER(H1299), H1299&gt;=TODAY()),
    _xlpm.EmailIsValid, RIGHT(I1299,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IF(A1299="", "", IF(_xlpm.error_messages = "", "Yes", _xlpm.error_messages))
)</f>
        <v/>
      </c>
    </row>
    <row r="1300" spans="1:12">
      <c r="A1300" s="94"/>
      <c r="B1300" s="95"/>
      <c r="C1300" s="95"/>
      <c r="D1300" s="94"/>
      <c r="E1300" s="94"/>
      <c r="F1300" s="96"/>
      <c r="G1300" s="94"/>
      <c r="H1300" s="96"/>
      <c r="I1300" s="96"/>
      <c r="J1300" s="92"/>
      <c r="K1300" s="97"/>
      <c r="L1300" s="99" t="str">
        <f ca="1">_xlfn.LET(
    _xlpm.res_no, J1300,
    _xlpm.record_sheet, 'MatRes Record'!J:M,
    _xlpm.AllCellsFilled, COUNTA(A1300:K1300) = 11,
    _xlpm.QtyIsInt, AND(ISNUMBER(G1300), G1300=INT(G1300)),
    _xlpm.ReqDateIsValid, AND(ISNUMBER(H1300), H1300&gt;=TODAY()),
    _xlpm.EmailIsValid, RIGHT(I1300,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IF(A1300="", "", IF(_xlpm.error_messages = "", "Yes", _xlpm.error_messages))
)</f>
        <v/>
      </c>
    </row>
    <row r="1301" spans="1:12">
      <c r="A1301" s="94"/>
      <c r="B1301" s="95"/>
      <c r="C1301" s="95"/>
      <c r="D1301" s="94"/>
      <c r="E1301" s="94"/>
      <c r="F1301" s="96"/>
      <c r="G1301" s="94"/>
      <c r="H1301" s="96"/>
      <c r="I1301" s="96"/>
      <c r="J1301" s="92"/>
      <c r="K1301" s="97"/>
      <c r="L1301" s="99" t="str">
        <f ca="1">_xlfn.LET(
    _xlpm.res_no, J1301,
    _xlpm.record_sheet, 'MatRes Record'!J:M,
    _xlpm.AllCellsFilled, COUNTA(A1301:K1301) = 11,
    _xlpm.QtyIsInt, AND(ISNUMBER(G1301), G1301=INT(G1301)),
    _xlpm.ReqDateIsValid, AND(ISNUMBER(H1301), H1301&gt;=TODAY()),
    _xlpm.EmailIsValid, RIGHT(I1301,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IF(A1301="", "", IF(_xlpm.error_messages = "", "Yes", _xlpm.error_messages))
)</f>
        <v/>
      </c>
    </row>
    <row r="1302" spans="1:12">
      <c r="A1302" s="94"/>
      <c r="B1302" s="95"/>
      <c r="C1302" s="95"/>
      <c r="D1302" s="94"/>
      <c r="E1302" s="94"/>
      <c r="F1302" s="96"/>
      <c r="G1302" s="94"/>
      <c r="H1302" s="96"/>
      <c r="I1302" s="96"/>
      <c r="J1302" s="92"/>
      <c r="K1302" s="97"/>
      <c r="L1302" s="99" t="str">
        <f ca="1">_xlfn.LET(
    _xlpm.res_no, J1302,
    _xlpm.record_sheet, 'MatRes Record'!J:M,
    _xlpm.AllCellsFilled, COUNTA(A1302:K1302) = 11,
    _xlpm.QtyIsInt, AND(ISNUMBER(G1302), G1302=INT(G1302)),
    _xlpm.ReqDateIsValid, AND(ISNUMBER(H1302), H1302&gt;=TODAY()),
    _xlpm.EmailIsValid, RIGHT(I1302,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IF(A1302="", "", IF(_xlpm.error_messages = "", "Yes", _xlpm.error_messages))
)</f>
        <v/>
      </c>
    </row>
    <row r="1303" spans="1:12">
      <c r="A1303" s="94"/>
      <c r="B1303" s="95"/>
      <c r="C1303" s="95"/>
      <c r="D1303" s="94"/>
      <c r="E1303" s="94"/>
      <c r="F1303" s="96"/>
      <c r="G1303" s="94"/>
      <c r="H1303" s="96"/>
      <c r="I1303" s="96"/>
      <c r="J1303" s="92"/>
      <c r="K1303" s="97"/>
      <c r="L1303" s="99" t="str">
        <f ca="1">_xlfn.LET(
    _xlpm.res_no, J1303,
    _xlpm.record_sheet, 'MatRes Record'!J:M,
    _xlpm.AllCellsFilled, COUNTA(A1303:K1303) = 11,
    _xlpm.QtyIsInt, AND(ISNUMBER(G1303), G1303=INT(G1303)),
    _xlpm.ReqDateIsValid, AND(ISNUMBER(H1303), H1303&gt;=TODAY()),
    _xlpm.EmailIsValid, RIGHT(I1303,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IF(A1303="", "", IF(_xlpm.error_messages = "", "Yes", _xlpm.error_messages))
)</f>
        <v/>
      </c>
    </row>
    <row r="1304" spans="1:12">
      <c r="A1304" s="94"/>
      <c r="B1304" s="95"/>
      <c r="C1304" s="95"/>
      <c r="D1304" s="94"/>
      <c r="E1304" s="94"/>
      <c r="F1304" s="96"/>
      <c r="G1304" s="94"/>
      <c r="H1304" s="96"/>
      <c r="I1304" s="96"/>
      <c r="J1304" s="92"/>
      <c r="K1304" s="97"/>
      <c r="L1304" s="99" t="str">
        <f ca="1">_xlfn.LET(
    _xlpm.res_no, J1304,
    _xlpm.record_sheet, 'MatRes Record'!J:M,
    _xlpm.AllCellsFilled, COUNTA(A1304:K1304) = 11,
    _xlpm.QtyIsInt, AND(ISNUMBER(G1304), G1304=INT(G1304)),
    _xlpm.ReqDateIsValid, AND(ISNUMBER(H1304), H1304&gt;=TODAY()),
    _xlpm.EmailIsValid, RIGHT(I1304,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IF(A1304="", "", IF(_xlpm.error_messages = "", "Yes", _xlpm.error_messages))
)</f>
        <v/>
      </c>
    </row>
    <row r="1305" spans="1:12">
      <c r="A1305" s="94"/>
      <c r="B1305" s="95"/>
      <c r="C1305" s="95"/>
      <c r="D1305" s="94"/>
      <c r="E1305" s="94"/>
      <c r="F1305" s="96"/>
      <c r="G1305" s="94"/>
      <c r="H1305" s="96"/>
      <c r="I1305" s="96"/>
      <c r="J1305" s="92"/>
      <c r="K1305" s="97"/>
      <c r="L1305" s="99" t="str">
        <f ca="1">_xlfn.LET(
    _xlpm.res_no, J1305,
    _xlpm.record_sheet, 'MatRes Record'!J:M,
    _xlpm.AllCellsFilled, COUNTA(A1305:K1305) = 11,
    _xlpm.QtyIsInt, AND(ISNUMBER(G1305), G1305=INT(G1305)),
    _xlpm.ReqDateIsValid, AND(ISNUMBER(H1305), H1305&gt;=TODAY()),
    _xlpm.EmailIsValid, RIGHT(I1305,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IF(A1305="", "", IF(_xlpm.error_messages = "", "Yes", _xlpm.error_messages))
)</f>
        <v/>
      </c>
    </row>
    <row r="1306" spans="1:12">
      <c r="A1306" s="94"/>
      <c r="B1306" s="95"/>
      <c r="C1306" s="95"/>
      <c r="D1306" s="94"/>
      <c r="E1306" s="94"/>
      <c r="F1306" s="96"/>
      <c r="G1306" s="94"/>
      <c r="H1306" s="96"/>
      <c r="I1306" s="96"/>
      <c r="J1306" s="92"/>
      <c r="K1306" s="97"/>
      <c r="L1306" s="99" t="str">
        <f ca="1">_xlfn.LET(
    _xlpm.res_no, J1306,
    _xlpm.record_sheet, 'MatRes Record'!J:M,
    _xlpm.AllCellsFilled, COUNTA(A1306:K1306) = 11,
    _xlpm.QtyIsInt, AND(ISNUMBER(G1306), G1306=INT(G1306)),
    _xlpm.ReqDateIsValid, AND(ISNUMBER(H1306), H1306&gt;=TODAY()),
    _xlpm.EmailIsValid, RIGHT(I1306,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IF(A1306="", "", IF(_xlpm.error_messages = "", "Yes", _xlpm.error_messages))
)</f>
        <v/>
      </c>
    </row>
    <row r="1307" spans="1:12">
      <c r="A1307" s="94"/>
      <c r="B1307" s="95"/>
      <c r="C1307" s="95"/>
      <c r="D1307" s="94"/>
      <c r="E1307" s="94"/>
      <c r="F1307" s="96"/>
      <c r="G1307" s="94"/>
      <c r="H1307" s="96"/>
      <c r="I1307" s="96"/>
      <c r="J1307" s="92"/>
      <c r="K1307" s="97"/>
      <c r="L1307" s="99" t="str">
        <f ca="1">_xlfn.LET(
    _xlpm.res_no, J1307,
    _xlpm.record_sheet, 'MatRes Record'!J:M,
    _xlpm.AllCellsFilled, COUNTA(A1307:K1307) = 11,
    _xlpm.QtyIsInt, AND(ISNUMBER(G1307), G1307=INT(G1307)),
    _xlpm.ReqDateIsValid, AND(ISNUMBER(H1307), H1307&gt;=TODAY()),
    _xlpm.EmailIsValid, RIGHT(I1307,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IF(A1307="", "", IF(_xlpm.error_messages = "", "Yes", _xlpm.error_messages))
)</f>
        <v/>
      </c>
    </row>
    <row r="1308" spans="1:12">
      <c r="A1308" s="94"/>
      <c r="B1308" s="95"/>
      <c r="C1308" s="95"/>
      <c r="D1308" s="94"/>
      <c r="E1308" s="94"/>
      <c r="F1308" s="96"/>
      <c r="G1308" s="94"/>
      <c r="H1308" s="96"/>
      <c r="I1308" s="96"/>
      <c r="J1308" s="92"/>
      <c r="K1308" s="97"/>
      <c r="L1308" s="99" t="str">
        <f ca="1">_xlfn.LET(
    _xlpm.res_no, J1308,
    _xlpm.record_sheet, 'MatRes Record'!J:M,
    _xlpm.AllCellsFilled, COUNTA(A1308:K1308) = 11,
    _xlpm.QtyIsInt, AND(ISNUMBER(G1308), G1308=INT(G1308)),
    _xlpm.ReqDateIsValid, AND(ISNUMBER(H1308), H1308&gt;=TODAY()),
    _xlpm.EmailIsValid, RIGHT(I1308,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IF(A1308="", "", IF(_xlpm.error_messages = "", "Yes", _xlpm.error_messages))
)</f>
        <v/>
      </c>
    </row>
    <row r="1309" spans="1:12">
      <c r="A1309" s="94"/>
      <c r="B1309" s="95"/>
      <c r="C1309" s="95"/>
      <c r="D1309" s="94"/>
      <c r="E1309" s="94"/>
      <c r="F1309" s="96"/>
      <c r="G1309" s="94"/>
      <c r="H1309" s="96"/>
      <c r="I1309" s="96"/>
      <c r="J1309" s="92"/>
      <c r="K1309" s="97"/>
      <c r="L1309" s="99" t="str">
        <f ca="1">_xlfn.LET(
    _xlpm.res_no, J1309,
    _xlpm.record_sheet, 'MatRes Record'!J:M,
    _xlpm.AllCellsFilled, COUNTA(A1309:K1309) = 11,
    _xlpm.QtyIsInt, AND(ISNUMBER(G1309), G1309=INT(G1309)),
    _xlpm.ReqDateIsValid, AND(ISNUMBER(H1309), H1309&gt;=TODAY()),
    _xlpm.EmailIsValid, RIGHT(I1309,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IF(A1309="", "", IF(_xlpm.error_messages = "", "Yes", _xlpm.error_messages))
)</f>
        <v/>
      </c>
    </row>
    <row r="1310" spans="1:12">
      <c r="A1310" s="94"/>
      <c r="B1310" s="95"/>
      <c r="C1310" s="95"/>
      <c r="D1310" s="94"/>
      <c r="E1310" s="94"/>
      <c r="F1310" s="96"/>
      <c r="G1310" s="94"/>
      <c r="H1310" s="96"/>
      <c r="I1310" s="96"/>
      <c r="J1310" s="92"/>
      <c r="K1310" s="97"/>
      <c r="L1310" s="99" t="str">
        <f ca="1">_xlfn.LET(
    _xlpm.res_no, J1310,
    _xlpm.record_sheet, 'MatRes Record'!J:M,
    _xlpm.AllCellsFilled, COUNTA(A1310:K1310) = 11,
    _xlpm.QtyIsInt, AND(ISNUMBER(G1310), G1310=INT(G1310)),
    _xlpm.ReqDateIsValid, AND(ISNUMBER(H1310), H1310&gt;=TODAY()),
    _xlpm.EmailIsValid, RIGHT(I1310,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IF(A1310="", "", IF(_xlpm.error_messages = "", "Yes", _xlpm.error_messages))
)</f>
        <v/>
      </c>
    </row>
    <row r="1311" spans="1:12">
      <c r="A1311" s="94"/>
      <c r="B1311" s="95"/>
      <c r="C1311" s="95"/>
      <c r="D1311" s="94"/>
      <c r="E1311" s="94"/>
      <c r="F1311" s="96"/>
      <c r="G1311" s="94"/>
      <c r="H1311" s="96"/>
      <c r="I1311" s="96"/>
      <c r="J1311" s="92"/>
      <c r="K1311" s="97"/>
      <c r="L1311" s="99" t="str">
        <f ca="1">_xlfn.LET(
    _xlpm.res_no, J1311,
    _xlpm.record_sheet, 'MatRes Record'!J:M,
    _xlpm.AllCellsFilled, COUNTA(A1311:K1311) = 11,
    _xlpm.QtyIsInt, AND(ISNUMBER(G1311), G1311=INT(G1311)),
    _xlpm.ReqDateIsValid, AND(ISNUMBER(H1311), H1311&gt;=TODAY()),
    _xlpm.EmailIsValid, RIGHT(I1311,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IF(A1311="", "", IF(_xlpm.error_messages = "", "Yes", _xlpm.error_messages))
)</f>
        <v/>
      </c>
    </row>
    <row r="1312" spans="1:12">
      <c r="A1312" s="94"/>
      <c r="B1312" s="95"/>
      <c r="C1312" s="95"/>
      <c r="D1312" s="94"/>
      <c r="E1312" s="94"/>
      <c r="F1312" s="96"/>
      <c r="G1312" s="94"/>
      <c r="H1312" s="96"/>
      <c r="I1312" s="96"/>
      <c r="J1312" s="92"/>
      <c r="K1312" s="97"/>
      <c r="L1312" s="99" t="str">
        <f ca="1">_xlfn.LET(
    _xlpm.res_no, J1312,
    _xlpm.record_sheet, 'MatRes Record'!J:M,
    _xlpm.AllCellsFilled, COUNTA(A1312:K1312) = 11,
    _xlpm.QtyIsInt, AND(ISNUMBER(G1312), G1312=INT(G1312)),
    _xlpm.ReqDateIsValid, AND(ISNUMBER(H1312), H1312&gt;=TODAY()),
    _xlpm.EmailIsValid, RIGHT(I1312,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IF(A1312="", "", IF(_xlpm.error_messages = "", "Yes", _xlpm.error_messages))
)</f>
        <v/>
      </c>
    </row>
    <row r="1313" spans="1:12">
      <c r="A1313" s="94"/>
      <c r="B1313" s="95"/>
      <c r="C1313" s="95"/>
      <c r="D1313" s="94"/>
      <c r="E1313" s="94"/>
      <c r="F1313" s="96"/>
      <c r="G1313" s="94"/>
      <c r="H1313" s="96"/>
      <c r="I1313" s="96"/>
      <c r="J1313" s="92"/>
      <c r="K1313" s="97"/>
      <c r="L1313" s="99" t="str">
        <f ca="1">_xlfn.LET(
    _xlpm.res_no, J1313,
    _xlpm.record_sheet, 'MatRes Record'!J:M,
    _xlpm.AllCellsFilled, COUNTA(A1313:K1313) = 11,
    _xlpm.QtyIsInt, AND(ISNUMBER(G1313), G1313=INT(G1313)),
    _xlpm.ReqDateIsValid, AND(ISNUMBER(H1313), H1313&gt;=TODAY()),
    _xlpm.EmailIsValid, RIGHT(I1313,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IF(A1313="", "", IF(_xlpm.error_messages = "", "Yes", _xlpm.error_messages))
)</f>
        <v/>
      </c>
    </row>
    <row r="1314" spans="1:12">
      <c r="A1314" s="94"/>
      <c r="B1314" s="95"/>
      <c r="C1314" s="95"/>
      <c r="D1314" s="94"/>
      <c r="E1314" s="94"/>
      <c r="F1314" s="96"/>
      <c r="G1314" s="94"/>
      <c r="H1314" s="96"/>
      <c r="I1314" s="96"/>
      <c r="J1314" s="92"/>
      <c r="K1314" s="97"/>
      <c r="L1314" s="99" t="str">
        <f ca="1">_xlfn.LET(
    _xlpm.res_no, J1314,
    _xlpm.record_sheet, 'MatRes Record'!J:M,
    _xlpm.AllCellsFilled, COUNTA(A1314:K1314) = 11,
    _xlpm.QtyIsInt, AND(ISNUMBER(G1314), G1314=INT(G1314)),
    _xlpm.ReqDateIsValid, AND(ISNUMBER(H1314), H1314&gt;=TODAY()),
    _xlpm.EmailIsValid, RIGHT(I1314,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IF(A1314="", "", IF(_xlpm.error_messages = "", "Yes", _xlpm.error_messages))
)</f>
        <v/>
      </c>
    </row>
    <row r="1315" spans="1:12">
      <c r="A1315" s="94"/>
      <c r="B1315" s="95"/>
      <c r="C1315" s="95"/>
      <c r="D1315" s="94"/>
      <c r="E1315" s="94"/>
      <c r="F1315" s="96"/>
      <c r="G1315" s="94"/>
      <c r="H1315" s="96"/>
      <c r="I1315" s="96"/>
      <c r="J1315" s="92"/>
      <c r="K1315" s="97"/>
      <c r="L1315" s="99" t="str">
        <f ca="1">_xlfn.LET(
    _xlpm.res_no, J1315,
    _xlpm.record_sheet, 'MatRes Record'!J:M,
    _xlpm.AllCellsFilled, COUNTA(A1315:K1315) = 11,
    _xlpm.QtyIsInt, AND(ISNUMBER(G1315), G1315=INT(G1315)),
    _xlpm.ReqDateIsValid, AND(ISNUMBER(H1315), H1315&gt;=TODAY()),
    _xlpm.EmailIsValid, RIGHT(I1315,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IF(A1315="", "", IF(_xlpm.error_messages = "", "Yes", _xlpm.error_messages))
)</f>
        <v/>
      </c>
    </row>
    <row r="1316" spans="1:12">
      <c r="A1316" s="94"/>
      <c r="B1316" s="95"/>
      <c r="C1316" s="95"/>
      <c r="D1316" s="94"/>
      <c r="E1316" s="94"/>
      <c r="F1316" s="96"/>
      <c r="G1316" s="94"/>
      <c r="H1316" s="96"/>
      <c r="I1316" s="96"/>
      <c r="J1316" s="92"/>
      <c r="K1316" s="97"/>
      <c r="L1316" s="99" t="str">
        <f ca="1">_xlfn.LET(
    _xlpm.res_no, J1316,
    _xlpm.record_sheet, 'MatRes Record'!J:M,
    _xlpm.AllCellsFilled, COUNTA(A1316:K1316) = 11,
    _xlpm.QtyIsInt, AND(ISNUMBER(G1316), G1316=INT(G1316)),
    _xlpm.ReqDateIsValid, AND(ISNUMBER(H1316), H1316&gt;=TODAY()),
    _xlpm.EmailIsValid, RIGHT(I1316,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IF(A1316="", "", IF(_xlpm.error_messages = "", "Yes", _xlpm.error_messages))
)</f>
        <v/>
      </c>
    </row>
    <row r="1317" spans="1:12">
      <c r="A1317" s="94"/>
      <c r="B1317" s="95"/>
      <c r="C1317" s="95"/>
      <c r="D1317" s="94"/>
      <c r="E1317" s="94"/>
      <c r="F1317" s="96"/>
      <c r="G1317" s="94"/>
      <c r="H1317" s="96"/>
      <c r="I1317" s="96"/>
      <c r="J1317" s="92"/>
      <c r="K1317" s="97"/>
      <c r="L1317" s="99" t="str">
        <f ca="1">_xlfn.LET(
    _xlpm.res_no, J1317,
    _xlpm.record_sheet, 'MatRes Record'!J:M,
    _xlpm.AllCellsFilled, COUNTA(A1317:K1317) = 11,
    _xlpm.QtyIsInt, AND(ISNUMBER(G1317), G1317=INT(G1317)),
    _xlpm.ReqDateIsValid, AND(ISNUMBER(H1317), H1317&gt;=TODAY()),
    _xlpm.EmailIsValid, RIGHT(I1317,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IF(A1317="", "", IF(_xlpm.error_messages = "", "Yes", _xlpm.error_messages))
)</f>
        <v/>
      </c>
    </row>
    <row r="1318" spans="1:12">
      <c r="A1318" s="94"/>
      <c r="B1318" s="95"/>
      <c r="C1318" s="95"/>
      <c r="D1318" s="94"/>
      <c r="E1318" s="94"/>
      <c r="F1318" s="96"/>
      <c r="G1318" s="94"/>
      <c r="H1318" s="96"/>
      <c r="I1318" s="96"/>
      <c r="J1318" s="92"/>
      <c r="K1318" s="97"/>
      <c r="L1318" s="99" t="str">
        <f ca="1">_xlfn.LET(
    _xlpm.res_no, J1318,
    _xlpm.record_sheet, 'MatRes Record'!J:M,
    _xlpm.AllCellsFilled, COUNTA(A1318:K1318) = 11,
    _xlpm.QtyIsInt, AND(ISNUMBER(G1318), G1318=INT(G1318)),
    _xlpm.ReqDateIsValid, AND(ISNUMBER(H1318), H1318&gt;=TODAY()),
    _xlpm.EmailIsValid, RIGHT(I1318,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IF(A1318="", "", IF(_xlpm.error_messages = "", "Yes", _xlpm.error_messages))
)</f>
        <v/>
      </c>
    </row>
    <row r="1319" spans="1:12">
      <c r="A1319" s="94"/>
      <c r="B1319" s="95"/>
      <c r="C1319" s="95"/>
      <c r="D1319" s="94"/>
      <c r="E1319" s="94"/>
      <c r="F1319" s="96"/>
      <c r="G1319" s="94"/>
      <c r="H1319" s="96"/>
      <c r="I1319" s="96"/>
      <c r="J1319" s="92"/>
      <c r="K1319" s="97"/>
      <c r="L1319" s="99" t="str">
        <f ca="1">_xlfn.LET(
    _xlpm.res_no, J1319,
    _xlpm.record_sheet, 'MatRes Record'!J:M,
    _xlpm.AllCellsFilled, COUNTA(A1319:K1319) = 11,
    _xlpm.QtyIsInt, AND(ISNUMBER(G1319), G1319=INT(G1319)),
    _xlpm.ReqDateIsValid, AND(ISNUMBER(H1319), H1319&gt;=TODAY()),
    _xlpm.EmailIsValid, RIGHT(I1319,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IF(A1319="", "", IF(_xlpm.error_messages = "", "Yes", _xlpm.error_messages))
)</f>
        <v/>
      </c>
    </row>
    <row r="1320" spans="1:12">
      <c r="A1320" s="94"/>
      <c r="B1320" s="95"/>
      <c r="C1320" s="95"/>
      <c r="D1320" s="94"/>
      <c r="E1320" s="94"/>
      <c r="F1320" s="96"/>
      <c r="G1320" s="94"/>
      <c r="H1320" s="96"/>
      <c r="I1320" s="96"/>
      <c r="J1320" s="92"/>
      <c r="K1320" s="97"/>
      <c r="L1320" s="99" t="str">
        <f ca="1">_xlfn.LET(
    _xlpm.res_no, J1320,
    _xlpm.record_sheet, 'MatRes Record'!J:M,
    _xlpm.AllCellsFilled, COUNTA(A1320:K1320) = 11,
    _xlpm.QtyIsInt, AND(ISNUMBER(G1320), G1320=INT(G1320)),
    _xlpm.ReqDateIsValid, AND(ISNUMBER(H1320), H1320&gt;=TODAY()),
    _xlpm.EmailIsValid, RIGHT(I1320,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IF(A1320="", "", IF(_xlpm.error_messages = "", "Yes", _xlpm.error_messages))
)</f>
        <v/>
      </c>
    </row>
    <row r="1321" spans="1:12">
      <c r="A1321" s="94"/>
      <c r="B1321" s="95"/>
      <c r="C1321" s="95"/>
      <c r="D1321" s="94"/>
      <c r="E1321" s="94"/>
      <c r="F1321" s="96"/>
      <c r="G1321" s="94"/>
      <c r="H1321" s="96"/>
      <c r="I1321" s="96"/>
      <c r="J1321" s="92"/>
      <c r="K1321" s="97"/>
      <c r="L1321" s="99" t="str">
        <f ca="1">_xlfn.LET(
    _xlpm.res_no, J1321,
    _xlpm.record_sheet, 'MatRes Record'!J:M,
    _xlpm.AllCellsFilled, COUNTA(A1321:K1321) = 11,
    _xlpm.QtyIsInt, AND(ISNUMBER(G1321), G1321=INT(G1321)),
    _xlpm.ReqDateIsValid, AND(ISNUMBER(H1321), H1321&gt;=TODAY()),
    _xlpm.EmailIsValid, RIGHT(I1321,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IF(A1321="", "", IF(_xlpm.error_messages = "", "Yes", _xlpm.error_messages))
)</f>
        <v/>
      </c>
    </row>
    <row r="1322" spans="1:12">
      <c r="A1322" s="94"/>
      <c r="B1322" s="95"/>
      <c r="C1322" s="95"/>
      <c r="D1322" s="94"/>
      <c r="E1322" s="94"/>
      <c r="F1322" s="96"/>
      <c r="G1322" s="94"/>
      <c r="H1322" s="96"/>
      <c r="I1322" s="96"/>
      <c r="J1322" s="92"/>
      <c r="K1322" s="97"/>
      <c r="L1322" s="99" t="str">
        <f ca="1">_xlfn.LET(
    _xlpm.res_no, J1322,
    _xlpm.record_sheet, 'MatRes Record'!J:M,
    _xlpm.AllCellsFilled, COUNTA(A1322:K1322) = 11,
    _xlpm.QtyIsInt, AND(ISNUMBER(G1322), G1322=INT(G1322)),
    _xlpm.ReqDateIsValid, AND(ISNUMBER(H1322), H1322&gt;=TODAY()),
    _xlpm.EmailIsValid, RIGHT(I1322,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IF(A1322="", "", IF(_xlpm.error_messages = "", "Yes", _xlpm.error_messages))
)</f>
        <v/>
      </c>
    </row>
    <row r="1323" spans="1:12">
      <c r="A1323" s="94"/>
      <c r="B1323" s="95"/>
      <c r="C1323" s="95"/>
      <c r="D1323" s="94"/>
      <c r="E1323" s="94"/>
      <c r="F1323" s="96"/>
      <c r="G1323" s="94"/>
      <c r="H1323" s="96"/>
      <c r="I1323" s="96"/>
      <c r="J1323" s="92"/>
      <c r="K1323" s="97"/>
      <c r="L1323" s="99" t="str">
        <f ca="1">_xlfn.LET(
    _xlpm.res_no, J1323,
    _xlpm.record_sheet, 'MatRes Record'!J:M,
    _xlpm.AllCellsFilled, COUNTA(A1323:K1323) = 11,
    _xlpm.QtyIsInt, AND(ISNUMBER(G1323), G1323=INT(G1323)),
    _xlpm.ReqDateIsValid, AND(ISNUMBER(H1323), H1323&gt;=TODAY()),
    _xlpm.EmailIsValid, RIGHT(I1323,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IF(A1323="", "", IF(_xlpm.error_messages = "", "Yes", _xlpm.error_messages))
)</f>
        <v/>
      </c>
    </row>
    <row r="1324" spans="1:12">
      <c r="A1324" s="94"/>
      <c r="B1324" s="95"/>
      <c r="C1324" s="95"/>
      <c r="D1324" s="94"/>
      <c r="E1324" s="94"/>
      <c r="F1324" s="96"/>
      <c r="G1324" s="94"/>
      <c r="H1324" s="96"/>
      <c r="I1324" s="96"/>
      <c r="J1324" s="92"/>
      <c r="K1324" s="97"/>
      <c r="L1324" s="99" t="str">
        <f ca="1">_xlfn.LET(
    _xlpm.res_no, J1324,
    _xlpm.record_sheet, 'MatRes Record'!J:M,
    _xlpm.AllCellsFilled, COUNTA(A1324:K1324) = 11,
    _xlpm.QtyIsInt, AND(ISNUMBER(G1324), G1324=INT(G1324)),
    _xlpm.ReqDateIsValid, AND(ISNUMBER(H1324), H1324&gt;=TODAY()),
    _xlpm.EmailIsValid, RIGHT(I1324,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IF(A1324="", "", IF(_xlpm.error_messages = "", "Yes", _xlpm.error_messages))
)</f>
        <v/>
      </c>
    </row>
    <row r="1325" spans="1:12">
      <c r="A1325" s="94"/>
      <c r="B1325" s="95"/>
      <c r="C1325" s="95"/>
      <c r="D1325" s="94"/>
      <c r="E1325" s="94"/>
      <c r="F1325" s="96"/>
      <c r="G1325" s="94"/>
      <c r="H1325" s="96"/>
      <c r="I1325" s="96"/>
      <c r="J1325" s="92"/>
      <c r="K1325" s="97"/>
      <c r="L1325" s="99" t="str">
        <f ca="1">_xlfn.LET(
    _xlpm.res_no, J1325,
    _xlpm.record_sheet, 'MatRes Record'!J:M,
    _xlpm.AllCellsFilled, COUNTA(A1325:K1325) = 11,
    _xlpm.QtyIsInt, AND(ISNUMBER(G1325), G1325=INT(G1325)),
    _xlpm.ReqDateIsValid, AND(ISNUMBER(H1325), H1325&gt;=TODAY()),
    _xlpm.EmailIsValid, RIGHT(I1325,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IF(A1325="", "", IF(_xlpm.error_messages = "", "Yes", _xlpm.error_messages))
)</f>
        <v/>
      </c>
    </row>
    <row r="1326" spans="1:12">
      <c r="A1326" s="94"/>
      <c r="B1326" s="95"/>
      <c r="C1326" s="95"/>
      <c r="D1326" s="94"/>
      <c r="E1326" s="94"/>
      <c r="F1326" s="96"/>
      <c r="G1326" s="94"/>
      <c r="H1326" s="96"/>
      <c r="I1326" s="96"/>
      <c r="J1326" s="92"/>
      <c r="K1326" s="97"/>
      <c r="L1326" s="99" t="str">
        <f ca="1">_xlfn.LET(
    _xlpm.res_no, J1326,
    _xlpm.record_sheet, 'MatRes Record'!J:M,
    _xlpm.AllCellsFilled, COUNTA(A1326:K1326) = 11,
    _xlpm.QtyIsInt, AND(ISNUMBER(G1326), G1326=INT(G1326)),
    _xlpm.ReqDateIsValid, AND(ISNUMBER(H1326), H1326&gt;=TODAY()),
    _xlpm.EmailIsValid, RIGHT(I1326,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IF(A1326="", "", IF(_xlpm.error_messages = "", "Yes", _xlpm.error_messages))
)</f>
        <v/>
      </c>
    </row>
    <row r="1327" spans="1:12">
      <c r="A1327" s="94"/>
      <c r="B1327" s="95"/>
      <c r="C1327" s="95"/>
      <c r="D1327" s="94"/>
      <c r="E1327" s="94"/>
      <c r="F1327" s="96"/>
      <c r="G1327" s="94"/>
      <c r="H1327" s="96"/>
      <c r="I1327" s="96"/>
      <c r="J1327" s="92"/>
      <c r="K1327" s="97"/>
      <c r="L1327" s="99" t="str">
        <f ca="1">_xlfn.LET(
    _xlpm.res_no, J1327,
    _xlpm.record_sheet, 'MatRes Record'!J:M,
    _xlpm.AllCellsFilled, COUNTA(A1327:K1327) = 11,
    _xlpm.QtyIsInt, AND(ISNUMBER(G1327), G1327=INT(G1327)),
    _xlpm.ReqDateIsValid, AND(ISNUMBER(H1327), H1327&gt;=TODAY()),
    _xlpm.EmailIsValid, RIGHT(I1327,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IF(A1327="", "", IF(_xlpm.error_messages = "", "Yes", _xlpm.error_messages))
)</f>
        <v/>
      </c>
    </row>
    <row r="1328" spans="1:12">
      <c r="A1328" s="94"/>
      <c r="B1328" s="95"/>
      <c r="C1328" s="95"/>
      <c r="D1328" s="94"/>
      <c r="E1328" s="94"/>
      <c r="F1328" s="96"/>
      <c r="G1328" s="94"/>
      <c r="H1328" s="96"/>
      <c r="I1328" s="96"/>
      <c r="J1328" s="92"/>
      <c r="K1328" s="97"/>
      <c r="L1328" s="99" t="str">
        <f ca="1">_xlfn.LET(
    _xlpm.res_no, J1328,
    _xlpm.record_sheet, 'MatRes Record'!J:M,
    _xlpm.AllCellsFilled, COUNTA(A1328:K1328) = 11,
    _xlpm.QtyIsInt, AND(ISNUMBER(G1328), G1328=INT(G1328)),
    _xlpm.ReqDateIsValid, AND(ISNUMBER(H1328), H1328&gt;=TODAY()),
    _xlpm.EmailIsValid, RIGHT(I1328,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IF(A1328="", "", IF(_xlpm.error_messages = "", "Yes", _xlpm.error_messages))
)</f>
        <v/>
      </c>
    </row>
    <row r="1329" spans="1:12">
      <c r="A1329" s="94"/>
      <c r="B1329" s="95"/>
      <c r="C1329" s="95"/>
      <c r="D1329" s="94"/>
      <c r="E1329" s="94"/>
      <c r="F1329" s="96"/>
      <c r="G1329" s="94"/>
      <c r="H1329" s="96"/>
      <c r="I1329" s="96"/>
      <c r="J1329" s="92"/>
      <c r="K1329" s="97"/>
      <c r="L1329" s="99" t="str">
        <f ca="1">_xlfn.LET(
    _xlpm.res_no, J1329,
    _xlpm.record_sheet, 'MatRes Record'!J:M,
    _xlpm.AllCellsFilled, COUNTA(A1329:K1329) = 11,
    _xlpm.QtyIsInt, AND(ISNUMBER(G1329), G1329=INT(G1329)),
    _xlpm.ReqDateIsValid, AND(ISNUMBER(H1329), H1329&gt;=TODAY()),
    _xlpm.EmailIsValid, RIGHT(I1329,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IF(A1329="", "", IF(_xlpm.error_messages = "", "Yes", _xlpm.error_messages))
)</f>
        <v/>
      </c>
    </row>
    <row r="1330" spans="1:12">
      <c r="A1330" s="94"/>
      <c r="B1330" s="95"/>
      <c r="C1330" s="95"/>
      <c r="D1330" s="94"/>
      <c r="E1330" s="94"/>
      <c r="F1330" s="96"/>
      <c r="G1330" s="94"/>
      <c r="H1330" s="96"/>
      <c r="I1330" s="96"/>
      <c r="J1330" s="92"/>
      <c r="K1330" s="97"/>
      <c r="L1330" s="99" t="str">
        <f ca="1">_xlfn.LET(
    _xlpm.res_no, J1330,
    _xlpm.record_sheet, 'MatRes Record'!J:M,
    _xlpm.AllCellsFilled, COUNTA(A1330:K1330) = 11,
    _xlpm.QtyIsInt, AND(ISNUMBER(G1330), G1330=INT(G1330)),
    _xlpm.ReqDateIsValid, AND(ISNUMBER(H1330), H1330&gt;=TODAY()),
    _xlpm.EmailIsValid, RIGHT(I1330,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IF(A1330="", "", IF(_xlpm.error_messages = "", "Yes", _xlpm.error_messages))
)</f>
        <v/>
      </c>
    </row>
    <row r="1331" spans="1:12">
      <c r="A1331" s="94"/>
      <c r="B1331" s="95"/>
      <c r="C1331" s="95"/>
      <c r="D1331" s="94"/>
      <c r="E1331" s="94"/>
      <c r="F1331" s="96"/>
      <c r="G1331" s="94"/>
      <c r="H1331" s="96"/>
      <c r="I1331" s="96"/>
      <c r="J1331" s="92"/>
      <c r="K1331" s="97"/>
      <c r="L1331" s="99" t="str">
        <f ca="1">_xlfn.LET(
    _xlpm.res_no, J1331,
    _xlpm.record_sheet, 'MatRes Record'!J:M,
    _xlpm.AllCellsFilled, COUNTA(A1331:K1331) = 11,
    _xlpm.QtyIsInt, AND(ISNUMBER(G1331), G1331=INT(G1331)),
    _xlpm.ReqDateIsValid, AND(ISNUMBER(H1331), H1331&gt;=TODAY()),
    _xlpm.EmailIsValid, RIGHT(I1331,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IF(A1331="", "", IF(_xlpm.error_messages = "", "Yes", _xlpm.error_messages))
)</f>
        <v/>
      </c>
    </row>
    <row r="1332" spans="1:12">
      <c r="A1332" s="94"/>
      <c r="B1332" s="95"/>
      <c r="C1332" s="95"/>
      <c r="D1332" s="94"/>
      <c r="E1332" s="94"/>
      <c r="F1332" s="96"/>
      <c r="G1332" s="94"/>
      <c r="H1332" s="96"/>
      <c r="I1332" s="96"/>
      <c r="J1332" s="92"/>
      <c r="K1332" s="97"/>
      <c r="L1332" s="99" t="str">
        <f ca="1">_xlfn.LET(
    _xlpm.res_no, J1332,
    _xlpm.record_sheet, 'MatRes Record'!J:M,
    _xlpm.AllCellsFilled, COUNTA(A1332:K1332) = 11,
    _xlpm.QtyIsInt, AND(ISNUMBER(G1332), G1332=INT(G1332)),
    _xlpm.ReqDateIsValid, AND(ISNUMBER(H1332), H1332&gt;=TODAY()),
    _xlpm.EmailIsValid, RIGHT(I1332,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IF(A1332="", "", IF(_xlpm.error_messages = "", "Yes", _xlpm.error_messages))
)</f>
        <v/>
      </c>
    </row>
    <row r="1333" spans="1:12">
      <c r="A1333" s="94"/>
      <c r="B1333" s="95"/>
      <c r="C1333" s="95"/>
      <c r="D1333" s="94"/>
      <c r="E1333" s="94"/>
      <c r="F1333" s="96"/>
      <c r="G1333" s="94"/>
      <c r="H1333" s="96"/>
      <c r="I1333" s="96"/>
      <c r="J1333" s="92"/>
      <c r="K1333" s="97"/>
      <c r="L1333" s="99" t="str">
        <f ca="1">_xlfn.LET(
    _xlpm.res_no, J1333,
    _xlpm.record_sheet, 'MatRes Record'!J:M,
    _xlpm.AllCellsFilled, COUNTA(A1333:K1333) = 11,
    _xlpm.QtyIsInt, AND(ISNUMBER(G1333), G1333=INT(G1333)),
    _xlpm.ReqDateIsValid, AND(ISNUMBER(H1333), H1333&gt;=TODAY()),
    _xlpm.EmailIsValid, RIGHT(I1333,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IF(A1333="", "", IF(_xlpm.error_messages = "", "Yes", _xlpm.error_messages))
)</f>
        <v/>
      </c>
    </row>
    <row r="1334" spans="1:12">
      <c r="A1334" s="94"/>
      <c r="B1334" s="95"/>
      <c r="C1334" s="95"/>
      <c r="D1334" s="94"/>
      <c r="E1334" s="94"/>
      <c r="F1334" s="96"/>
      <c r="G1334" s="94"/>
      <c r="H1334" s="96"/>
      <c r="I1334" s="96"/>
      <c r="J1334" s="92"/>
      <c r="K1334" s="97"/>
      <c r="L1334" s="99" t="str">
        <f ca="1">_xlfn.LET(
    _xlpm.res_no, J1334,
    _xlpm.record_sheet, 'MatRes Record'!J:M,
    _xlpm.AllCellsFilled, COUNTA(A1334:K1334) = 11,
    _xlpm.QtyIsInt, AND(ISNUMBER(G1334), G1334=INT(G1334)),
    _xlpm.ReqDateIsValid, AND(ISNUMBER(H1334), H1334&gt;=TODAY()),
    _xlpm.EmailIsValid, RIGHT(I1334,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IF(A1334="", "", IF(_xlpm.error_messages = "", "Yes", _xlpm.error_messages))
)</f>
        <v/>
      </c>
    </row>
    <row r="1335" spans="1:12">
      <c r="A1335" s="94"/>
      <c r="B1335" s="95"/>
      <c r="C1335" s="95"/>
      <c r="D1335" s="94"/>
      <c r="E1335" s="94"/>
      <c r="F1335" s="96"/>
      <c r="G1335" s="94"/>
      <c r="H1335" s="96"/>
      <c r="I1335" s="96"/>
      <c r="J1335" s="92"/>
      <c r="K1335" s="97"/>
      <c r="L1335" s="99" t="str">
        <f ca="1">_xlfn.LET(
    _xlpm.res_no, J1335,
    _xlpm.record_sheet, 'MatRes Record'!J:M,
    _xlpm.AllCellsFilled, COUNTA(A1335:K1335) = 11,
    _xlpm.QtyIsInt, AND(ISNUMBER(G1335), G1335=INT(G1335)),
    _xlpm.ReqDateIsValid, AND(ISNUMBER(H1335), H1335&gt;=TODAY()),
    _xlpm.EmailIsValid, RIGHT(I1335,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IF(A1335="", "", IF(_xlpm.error_messages = "", "Yes", _xlpm.error_messages))
)</f>
        <v/>
      </c>
    </row>
    <row r="1336" spans="1:12">
      <c r="A1336" s="94"/>
      <c r="B1336" s="95"/>
      <c r="C1336" s="95"/>
      <c r="D1336" s="94"/>
      <c r="E1336" s="94"/>
      <c r="F1336" s="96"/>
      <c r="G1336" s="94"/>
      <c r="H1336" s="96"/>
      <c r="I1336" s="96"/>
      <c r="J1336" s="92"/>
      <c r="K1336" s="97"/>
      <c r="L1336" s="99" t="str">
        <f ca="1">_xlfn.LET(
    _xlpm.res_no, J1336,
    _xlpm.record_sheet, 'MatRes Record'!J:M,
    _xlpm.AllCellsFilled, COUNTA(A1336:K1336) = 11,
    _xlpm.QtyIsInt, AND(ISNUMBER(G1336), G1336=INT(G1336)),
    _xlpm.ReqDateIsValid, AND(ISNUMBER(H1336), H1336&gt;=TODAY()),
    _xlpm.EmailIsValid, RIGHT(I1336,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IF(A1336="", "", IF(_xlpm.error_messages = "", "Yes", _xlpm.error_messages))
)</f>
        <v/>
      </c>
    </row>
    <row r="1337" spans="1:12">
      <c r="A1337" s="94"/>
      <c r="B1337" s="95"/>
      <c r="C1337" s="95"/>
      <c r="D1337" s="94"/>
      <c r="E1337" s="94"/>
      <c r="F1337" s="96"/>
      <c r="G1337" s="94"/>
      <c r="H1337" s="96"/>
      <c r="I1337" s="96"/>
      <c r="J1337" s="92"/>
      <c r="K1337" s="97"/>
      <c r="L1337" s="99" t="str">
        <f ca="1">_xlfn.LET(
    _xlpm.res_no, J1337,
    _xlpm.record_sheet, 'MatRes Record'!J:M,
    _xlpm.AllCellsFilled, COUNTA(A1337:K1337) = 11,
    _xlpm.QtyIsInt, AND(ISNUMBER(G1337), G1337=INT(G1337)),
    _xlpm.ReqDateIsValid, AND(ISNUMBER(H1337), H1337&gt;=TODAY()),
    _xlpm.EmailIsValid, RIGHT(I1337,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IF(A1337="", "", IF(_xlpm.error_messages = "", "Yes", _xlpm.error_messages))
)</f>
        <v/>
      </c>
    </row>
    <row r="1338" spans="1:12">
      <c r="A1338" s="94"/>
      <c r="B1338" s="95"/>
      <c r="C1338" s="95"/>
      <c r="D1338" s="94"/>
      <c r="E1338" s="94"/>
      <c r="F1338" s="96"/>
      <c r="G1338" s="94"/>
      <c r="H1338" s="96"/>
      <c r="I1338" s="96"/>
      <c r="J1338" s="92"/>
      <c r="K1338" s="97"/>
      <c r="L1338" s="99" t="str">
        <f ca="1">_xlfn.LET(
    _xlpm.res_no, J1338,
    _xlpm.record_sheet, 'MatRes Record'!J:M,
    _xlpm.AllCellsFilled, COUNTA(A1338:K1338) = 11,
    _xlpm.QtyIsInt, AND(ISNUMBER(G1338), G1338=INT(G1338)),
    _xlpm.ReqDateIsValid, AND(ISNUMBER(H1338), H1338&gt;=TODAY()),
    _xlpm.EmailIsValid, RIGHT(I1338,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IF(A1338="", "", IF(_xlpm.error_messages = "", "Yes", _xlpm.error_messages))
)</f>
        <v/>
      </c>
    </row>
    <row r="1339" spans="1:12">
      <c r="A1339" s="94"/>
      <c r="B1339" s="95"/>
      <c r="C1339" s="95"/>
      <c r="D1339" s="94"/>
      <c r="E1339" s="94"/>
      <c r="F1339" s="96"/>
      <c r="G1339" s="94"/>
      <c r="H1339" s="96"/>
      <c r="I1339" s="96"/>
      <c r="J1339" s="92"/>
      <c r="K1339" s="97"/>
      <c r="L1339" s="99" t="str">
        <f ca="1">_xlfn.LET(
    _xlpm.res_no, J1339,
    _xlpm.record_sheet, 'MatRes Record'!J:M,
    _xlpm.AllCellsFilled, COUNTA(A1339:K1339) = 11,
    _xlpm.QtyIsInt, AND(ISNUMBER(G1339), G1339=INT(G1339)),
    _xlpm.ReqDateIsValid, AND(ISNUMBER(H1339), H1339&gt;=TODAY()),
    _xlpm.EmailIsValid, RIGHT(I1339,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IF(A1339="", "", IF(_xlpm.error_messages = "", "Yes", _xlpm.error_messages))
)</f>
        <v/>
      </c>
    </row>
    <row r="1340" spans="1:12">
      <c r="A1340" s="94"/>
      <c r="B1340" s="95"/>
      <c r="C1340" s="95"/>
      <c r="D1340" s="94"/>
      <c r="E1340" s="94"/>
      <c r="F1340" s="96"/>
      <c r="G1340" s="94"/>
      <c r="H1340" s="96"/>
      <c r="I1340" s="96"/>
      <c r="J1340" s="92"/>
      <c r="K1340" s="97"/>
      <c r="L1340" s="99" t="str">
        <f ca="1">_xlfn.LET(
    _xlpm.res_no, J1340,
    _xlpm.record_sheet, 'MatRes Record'!J:M,
    _xlpm.AllCellsFilled, COUNTA(A1340:K1340) = 11,
    _xlpm.QtyIsInt, AND(ISNUMBER(G1340), G1340=INT(G1340)),
    _xlpm.ReqDateIsValid, AND(ISNUMBER(H1340), H1340&gt;=TODAY()),
    _xlpm.EmailIsValid, RIGHT(I1340,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IF(A1340="", "", IF(_xlpm.error_messages = "", "Yes", _xlpm.error_messages))
)</f>
        <v/>
      </c>
    </row>
    <row r="1341" spans="1:12">
      <c r="A1341" s="94"/>
      <c r="B1341" s="95"/>
      <c r="C1341" s="95"/>
      <c r="D1341" s="94"/>
      <c r="E1341" s="94"/>
      <c r="F1341" s="96"/>
      <c r="G1341" s="94"/>
      <c r="H1341" s="96"/>
      <c r="I1341" s="96"/>
      <c r="J1341" s="92"/>
      <c r="K1341" s="97"/>
      <c r="L1341" s="99" t="str">
        <f ca="1">_xlfn.LET(
    _xlpm.res_no, J1341,
    _xlpm.record_sheet, 'MatRes Record'!J:M,
    _xlpm.AllCellsFilled, COUNTA(A1341:K1341) = 11,
    _xlpm.QtyIsInt, AND(ISNUMBER(G1341), G1341=INT(G1341)),
    _xlpm.ReqDateIsValid, AND(ISNUMBER(H1341), H1341&gt;=TODAY()),
    _xlpm.EmailIsValid, RIGHT(I1341,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IF(A1341="", "", IF(_xlpm.error_messages = "", "Yes", _xlpm.error_messages))
)</f>
        <v/>
      </c>
    </row>
    <row r="1342" spans="1:12">
      <c r="A1342" s="94"/>
      <c r="B1342" s="95"/>
      <c r="C1342" s="95"/>
      <c r="D1342" s="94"/>
      <c r="E1342" s="94"/>
      <c r="F1342" s="96"/>
      <c r="G1342" s="94"/>
      <c r="H1342" s="96"/>
      <c r="I1342" s="96"/>
      <c r="J1342" s="92"/>
      <c r="K1342" s="97"/>
      <c r="L1342" s="99" t="str">
        <f ca="1">_xlfn.LET(
    _xlpm.res_no, J1342,
    _xlpm.record_sheet, 'MatRes Record'!J:M,
    _xlpm.AllCellsFilled, COUNTA(A1342:K1342) = 11,
    _xlpm.QtyIsInt, AND(ISNUMBER(G1342), G1342=INT(G1342)),
    _xlpm.ReqDateIsValid, AND(ISNUMBER(H1342), H1342&gt;=TODAY()),
    _xlpm.EmailIsValid, RIGHT(I1342,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IF(A1342="", "", IF(_xlpm.error_messages = "", "Yes", _xlpm.error_messages))
)</f>
        <v/>
      </c>
    </row>
    <row r="1343" spans="1:12">
      <c r="A1343" s="94"/>
      <c r="B1343" s="95"/>
      <c r="C1343" s="95"/>
      <c r="D1343" s="94"/>
      <c r="E1343" s="94"/>
      <c r="F1343" s="96"/>
      <c r="G1343" s="94"/>
      <c r="H1343" s="96"/>
      <c r="I1343" s="96"/>
      <c r="J1343" s="92"/>
      <c r="K1343" s="97"/>
      <c r="L1343" s="99" t="str">
        <f ca="1">_xlfn.LET(
    _xlpm.res_no, J1343,
    _xlpm.record_sheet, 'MatRes Record'!J:M,
    _xlpm.AllCellsFilled, COUNTA(A1343:K1343) = 11,
    _xlpm.QtyIsInt, AND(ISNUMBER(G1343), G1343=INT(G1343)),
    _xlpm.ReqDateIsValid, AND(ISNUMBER(H1343), H1343&gt;=TODAY()),
    _xlpm.EmailIsValid, RIGHT(I1343,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IF(A1343="", "", IF(_xlpm.error_messages = "", "Yes", _xlpm.error_messages))
)</f>
        <v/>
      </c>
    </row>
    <row r="1344" spans="1:12">
      <c r="A1344" s="94"/>
      <c r="B1344" s="95"/>
      <c r="C1344" s="95"/>
      <c r="D1344" s="94"/>
      <c r="E1344" s="94"/>
      <c r="F1344" s="96"/>
      <c r="G1344" s="94"/>
      <c r="H1344" s="96"/>
      <c r="I1344" s="96"/>
      <c r="J1344" s="92"/>
      <c r="K1344" s="97"/>
      <c r="L1344" s="99" t="str">
        <f ca="1">_xlfn.LET(
    _xlpm.res_no, J1344,
    _xlpm.record_sheet, 'MatRes Record'!J:M,
    _xlpm.AllCellsFilled, COUNTA(A1344:K1344) = 11,
    _xlpm.QtyIsInt, AND(ISNUMBER(G1344), G1344=INT(G1344)),
    _xlpm.ReqDateIsValid, AND(ISNUMBER(H1344), H1344&gt;=TODAY()),
    _xlpm.EmailIsValid, RIGHT(I1344,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IF(A1344="", "", IF(_xlpm.error_messages = "", "Yes", _xlpm.error_messages))
)</f>
        <v/>
      </c>
    </row>
    <row r="1345" spans="1:12">
      <c r="A1345" s="94"/>
      <c r="B1345" s="95"/>
      <c r="C1345" s="95"/>
      <c r="D1345" s="94"/>
      <c r="E1345" s="94"/>
      <c r="F1345" s="96"/>
      <c r="G1345" s="94"/>
      <c r="H1345" s="96"/>
      <c r="I1345" s="96"/>
      <c r="J1345" s="92"/>
      <c r="K1345" s="97"/>
      <c r="L1345" s="99" t="str">
        <f ca="1">_xlfn.LET(
    _xlpm.res_no, J1345,
    _xlpm.record_sheet, 'MatRes Record'!J:M,
    _xlpm.AllCellsFilled, COUNTA(A1345:K1345) = 11,
    _xlpm.QtyIsInt, AND(ISNUMBER(G1345), G1345=INT(G1345)),
    _xlpm.ReqDateIsValid, AND(ISNUMBER(H1345), H1345&gt;=TODAY()),
    _xlpm.EmailIsValid, RIGHT(I1345,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IF(A1345="", "", IF(_xlpm.error_messages = "", "Yes", _xlpm.error_messages))
)</f>
        <v/>
      </c>
    </row>
    <row r="1346" spans="1:12">
      <c r="A1346" s="94"/>
      <c r="B1346" s="95"/>
      <c r="C1346" s="95"/>
      <c r="D1346" s="94"/>
      <c r="E1346" s="94"/>
      <c r="F1346" s="96"/>
      <c r="G1346" s="94"/>
      <c r="H1346" s="96"/>
      <c r="I1346" s="96"/>
      <c r="J1346" s="92"/>
      <c r="K1346" s="97"/>
      <c r="L1346" s="99" t="str">
        <f ca="1">_xlfn.LET(
    _xlpm.res_no, J1346,
    _xlpm.record_sheet, 'MatRes Record'!J:M,
    _xlpm.AllCellsFilled, COUNTA(A1346:K1346) = 11,
    _xlpm.QtyIsInt, AND(ISNUMBER(G1346), G1346=INT(G1346)),
    _xlpm.ReqDateIsValid, AND(ISNUMBER(H1346), H1346&gt;=TODAY()),
    _xlpm.EmailIsValid, RIGHT(I1346,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IF(A1346="", "", IF(_xlpm.error_messages = "", "Yes", _xlpm.error_messages))
)</f>
        <v/>
      </c>
    </row>
    <row r="1347" spans="1:12">
      <c r="A1347" s="94"/>
      <c r="B1347" s="95"/>
      <c r="C1347" s="95"/>
      <c r="D1347" s="94"/>
      <c r="E1347" s="94"/>
      <c r="F1347" s="96"/>
      <c r="G1347" s="94"/>
      <c r="H1347" s="96"/>
      <c r="I1347" s="96"/>
      <c r="J1347" s="92"/>
      <c r="K1347" s="97"/>
      <c r="L1347" s="99" t="str">
        <f ca="1">_xlfn.LET(
    _xlpm.res_no, J1347,
    _xlpm.record_sheet, 'MatRes Record'!J:M,
    _xlpm.AllCellsFilled, COUNTA(A1347:K1347) = 11,
    _xlpm.QtyIsInt, AND(ISNUMBER(G1347), G1347=INT(G1347)),
    _xlpm.ReqDateIsValid, AND(ISNUMBER(H1347), H1347&gt;=TODAY()),
    _xlpm.EmailIsValid, RIGHT(I1347,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IF(A1347="", "", IF(_xlpm.error_messages = "", "Yes", _xlpm.error_messages))
)</f>
        <v/>
      </c>
    </row>
    <row r="1348" spans="1:12">
      <c r="A1348" s="94"/>
      <c r="B1348" s="95"/>
      <c r="C1348" s="95"/>
      <c r="D1348" s="94"/>
      <c r="E1348" s="94"/>
      <c r="F1348" s="96"/>
      <c r="G1348" s="94"/>
      <c r="H1348" s="96"/>
      <c r="I1348" s="96"/>
      <c r="J1348" s="92"/>
      <c r="K1348" s="97"/>
      <c r="L1348" s="99" t="str">
        <f ca="1">_xlfn.LET(
    _xlpm.res_no, J1348,
    _xlpm.record_sheet, 'MatRes Record'!J:M,
    _xlpm.AllCellsFilled, COUNTA(A1348:K1348) = 11,
    _xlpm.QtyIsInt, AND(ISNUMBER(G1348), G1348=INT(G1348)),
    _xlpm.ReqDateIsValid, AND(ISNUMBER(H1348), H1348&gt;=TODAY()),
    _xlpm.EmailIsValid, RIGHT(I1348,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IF(A1348="", "", IF(_xlpm.error_messages = "", "Yes", _xlpm.error_messages))
)</f>
        <v/>
      </c>
    </row>
    <row r="1349" spans="1:12">
      <c r="A1349" s="94"/>
      <c r="B1349" s="95"/>
      <c r="C1349" s="95"/>
      <c r="D1349" s="94"/>
      <c r="E1349" s="94"/>
      <c r="F1349" s="96"/>
      <c r="G1349" s="94"/>
      <c r="H1349" s="96"/>
      <c r="I1349" s="96"/>
      <c r="J1349" s="92"/>
      <c r="K1349" s="97"/>
      <c r="L1349" s="99" t="str">
        <f ca="1">_xlfn.LET(
    _xlpm.res_no, J1349,
    _xlpm.record_sheet, 'MatRes Record'!J:M,
    _xlpm.AllCellsFilled, COUNTA(A1349:K1349) = 11,
    _xlpm.QtyIsInt, AND(ISNUMBER(G1349), G1349=INT(G1349)),
    _xlpm.ReqDateIsValid, AND(ISNUMBER(H1349), H1349&gt;=TODAY()),
    _xlpm.EmailIsValid, RIGHT(I1349,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IF(A1349="", "", IF(_xlpm.error_messages = "", "Yes", _xlpm.error_messages))
)</f>
        <v/>
      </c>
    </row>
    <row r="1350" spans="1:12">
      <c r="A1350" s="94"/>
      <c r="B1350" s="95"/>
      <c r="C1350" s="95"/>
      <c r="D1350" s="94"/>
      <c r="E1350" s="94"/>
      <c r="F1350" s="96"/>
      <c r="G1350" s="94"/>
      <c r="H1350" s="96"/>
      <c r="I1350" s="96"/>
      <c r="J1350" s="92"/>
      <c r="K1350" s="97"/>
      <c r="L1350" s="99" t="str">
        <f ca="1">_xlfn.LET(
    _xlpm.res_no, J1350,
    _xlpm.record_sheet, 'MatRes Record'!J:M,
    _xlpm.AllCellsFilled, COUNTA(A1350:K1350) = 11,
    _xlpm.QtyIsInt, AND(ISNUMBER(G1350), G1350=INT(G1350)),
    _xlpm.ReqDateIsValid, AND(ISNUMBER(H1350), H1350&gt;=TODAY()),
    _xlpm.EmailIsValid, RIGHT(I1350,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IF(A1350="", "", IF(_xlpm.error_messages = "", "Yes", _xlpm.error_messages))
)</f>
        <v/>
      </c>
    </row>
    <row r="1351" spans="1:12">
      <c r="A1351" s="94"/>
      <c r="B1351" s="95"/>
      <c r="C1351" s="95"/>
      <c r="D1351" s="94"/>
      <c r="E1351" s="94"/>
      <c r="F1351" s="96"/>
      <c r="G1351" s="94"/>
      <c r="H1351" s="96"/>
      <c r="I1351" s="96"/>
      <c r="J1351" s="92"/>
      <c r="K1351" s="97"/>
      <c r="L1351" s="99" t="str">
        <f ca="1">_xlfn.LET(
    _xlpm.res_no, J1351,
    _xlpm.record_sheet, 'MatRes Record'!J:M,
    _xlpm.AllCellsFilled, COUNTA(A1351:K1351) = 11,
    _xlpm.QtyIsInt, AND(ISNUMBER(G1351), G1351=INT(G1351)),
    _xlpm.ReqDateIsValid, AND(ISNUMBER(H1351), H1351&gt;=TODAY()),
    _xlpm.EmailIsValid, RIGHT(I1351,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IF(A1351="", "", IF(_xlpm.error_messages = "", "Yes", _xlpm.error_messages))
)</f>
        <v/>
      </c>
    </row>
    <row r="1352" spans="1:12">
      <c r="A1352" s="94"/>
      <c r="B1352" s="95"/>
      <c r="C1352" s="95"/>
      <c r="D1352" s="94"/>
      <c r="E1352" s="94"/>
      <c r="F1352" s="96"/>
      <c r="G1352" s="94"/>
      <c r="H1352" s="96"/>
      <c r="I1352" s="96"/>
      <c r="J1352" s="92"/>
      <c r="K1352" s="97"/>
      <c r="L1352" s="99" t="str">
        <f ca="1">_xlfn.LET(
    _xlpm.res_no, J1352,
    _xlpm.record_sheet, 'MatRes Record'!J:M,
    _xlpm.AllCellsFilled, COUNTA(A1352:K1352) = 11,
    _xlpm.QtyIsInt, AND(ISNUMBER(G1352), G1352=INT(G1352)),
    _xlpm.ReqDateIsValid, AND(ISNUMBER(H1352), H1352&gt;=TODAY()),
    _xlpm.EmailIsValid, RIGHT(I1352,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IF(A1352="", "", IF(_xlpm.error_messages = "", "Yes", _xlpm.error_messages))
)</f>
        <v/>
      </c>
    </row>
    <row r="1353" spans="1:12">
      <c r="A1353" s="94"/>
      <c r="B1353" s="95"/>
      <c r="C1353" s="95"/>
      <c r="D1353" s="94"/>
      <c r="E1353" s="94"/>
      <c r="F1353" s="96"/>
      <c r="G1353" s="94"/>
      <c r="H1353" s="96"/>
      <c r="I1353" s="96"/>
      <c r="J1353" s="92"/>
      <c r="K1353" s="97"/>
      <c r="L1353" s="99" t="str">
        <f ca="1">_xlfn.LET(
    _xlpm.res_no, J1353,
    _xlpm.record_sheet, 'MatRes Record'!J:M,
    _xlpm.AllCellsFilled, COUNTA(A1353:K1353) = 11,
    _xlpm.QtyIsInt, AND(ISNUMBER(G1353), G1353=INT(G1353)),
    _xlpm.ReqDateIsValid, AND(ISNUMBER(H1353), H1353&gt;=TODAY()),
    _xlpm.EmailIsValid, RIGHT(I1353,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IF(A1353="", "", IF(_xlpm.error_messages = "", "Yes", _xlpm.error_messages))
)</f>
        <v/>
      </c>
    </row>
    <row r="1354" spans="1:12">
      <c r="A1354" s="94"/>
      <c r="B1354" s="95"/>
      <c r="C1354" s="95"/>
      <c r="D1354" s="94"/>
      <c r="E1354" s="94"/>
      <c r="F1354" s="96"/>
      <c r="G1354" s="94"/>
      <c r="H1354" s="96"/>
      <c r="I1354" s="96"/>
      <c r="J1354" s="92"/>
      <c r="K1354" s="97"/>
      <c r="L1354" s="99" t="str">
        <f ca="1">_xlfn.LET(
    _xlpm.res_no, J1354,
    _xlpm.record_sheet, 'MatRes Record'!J:M,
    _xlpm.AllCellsFilled, COUNTA(A1354:K1354) = 11,
    _xlpm.QtyIsInt, AND(ISNUMBER(G1354), G1354=INT(G1354)),
    _xlpm.ReqDateIsValid, AND(ISNUMBER(H1354), H1354&gt;=TODAY()),
    _xlpm.EmailIsValid, RIGHT(I1354,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IF(A1354="", "", IF(_xlpm.error_messages = "", "Yes", _xlpm.error_messages))
)</f>
        <v/>
      </c>
    </row>
    <row r="1355" spans="1:12">
      <c r="A1355" s="94"/>
      <c r="B1355" s="95"/>
      <c r="C1355" s="95"/>
      <c r="D1355" s="94"/>
      <c r="E1355" s="94"/>
      <c r="F1355" s="96"/>
      <c r="G1355" s="94"/>
      <c r="H1355" s="96"/>
      <c r="I1355" s="96"/>
      <c r="J1355" s="92"/>
      <c r="K1355" s="97"/>
      <c r="L1355" s="99" t="str">
        <f ca="1">_xlfn.LET(
    _xlpm.res_no, J1355,
    _xlpm.record_sheet, 'MatRes Record'!J:M,
    _xlpm.AllCellsFilled, COUNTA(A1355:K1355) = 11,
    _xlpm.QtyIsInt, AND(ISNUMBER(G1355), G1355=INT(G1355)),
    _xlpm.ReqDateIsValid, AND(ISNUMBER(H1355), H1355&gt;=TODAY()),
    _xlpm.EmailIsValid, RIGHT(I1355,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IF(A1355="", "", IF(_xlpm.error_messages = "", "Yes", _xlpm.error_messages))
)</f>
        <v/>
      </c>
    </row>
    <row r="1356" spans="1:12">
      <c r="A1356" s="94"/>
      <c r="B1356" s="95"/>
      <c r="C1356" s="95"/>
      <c r="D1356" s="94"/>
      <c r="E1356" s="94"/>
      <c r="F1356" s="96"/>
      <c r="G1356" s="94"/>
      <c r="H1356" s="96"/>
      <c r="I1356" s="96"/>
      <c r="J1356" s="92"/>
      <c r="K1356" s="97"/>
      <c r="L1356" s="99" t="str">
        <f ca="1">_xlfn.LET(
    _xlpm.res_no, J1356,
    _xlpm.record_sheet, 'MatRes Record'!J:M,
    _xlpm.AllCellsFilled, COUNTA(A1356:K1356) = 11,
    _xlpm.QtyIsInt, AND(ISNUMBER(G1356), G1356=INT(G1356)),
    _xlpm.ReqDateIsValid, AND(ISNUMBER(H1356), H1356&gt;=TODAY()),
    _xlpm.EmailIsValid, RIGHT(I1356,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IF(A1356="", "", IF(_xlpm.error_messages = "", "Yes", _xlpm.error_messages))
)</f>
        <v/>
      </c>
    </row>
    <row r="1357" spans="1:12">
      <c r="A1357" s="94"/>
      <c r="B1357" s="95"/>
      <c r="C1357" s="95"/>
      <c r="D1357" s="94"/>
      <c r="E1357" s="94"/>
      <c r="F1357" s="96"/>
      <c r="G1357" s="94"/>
      <c r="H1357" s="96"/>
      <c r="I1357" s="96"/>
      <c r="J1357" s="92"/>
      <c r="K1357" s="97"/>
      <c r="L1357" s="99" t="str">
        <f ca="1">_xlfn.LET(
    _xlpm.res_no, J1357,
    _xlpm.record_sheet, 'MatRes Record'!J:M,
    _xlpm.AllCellsFilled, COUNTA(A1357:K1357) = 11,
    _xlpm.QtyIsInt, AND(ISNUMBER(G1357), G1357=INT(G1357)),
    _xlpm.ReqDateIsValid, AND(ISNUMBER(H1357), H1357&gt;=TODAY()),
    _xlpm.EmailIsValid, RIGHT(I1357,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IF(A1357="", "", IF(_xlpm.error_messages = "", "Yes", _xlpm.error_messages))
)</f>
        <v/>
      </c>
    </row>
    <row r="1358" spans="1:12">
      <c r="A1358" s="94"/>
      <c r="B1358" s="95"/>
      <c r="C1358" s="95"/>
      <c r="D1358" s="94"/>
      <c r="E1358" s="94"/>
      <c r="F1358" s="96"/>
      <c r="G1358" s="94"/>
      <c r="H1358" s="96"/>
      <c r="I1358" s="96"/>
      <c r="J1358" s="92"/>
      <c r="K1358" s="97"/>
      <c r="L1358" s="99" t="str">
        <f ca="1">_xlfn.LET(
    _xlpm.res_no, J1358,
    _xlpm.record_sheet, 'MatRes Record'!J:M,
    _xlpm.AllCellsFilled, COUNTA(A1358:K1358) = 11,
    _xlpm.QtyIsInt, AND(ISNUMBER(G1358), G1358=INT(G1358)),
    _xlpm.ReqDateIsValid, AND(ISNUMBER(H1358), H1358&gt;=TODAY()),
    _xlpm.EmailIsValid, RIGHT(I1358,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IF(A1358="", "", IF(_xlpm.error_messages = "", "Yes", _xlpm.error_messages))
)</f>
        <v/>
      </c>
    </row>
    <row r="1359" spans="1:12">
      <c r="A1359" s="94"/>
      <c r="B1359" s="95"/>
      <c r="C1359" s="95"/>
      <c r="D1359" s="94"/>
      <c r="E1359" s="94"/>
      <c r="F1359" s="96"/>
      <c r="G1359" s="94"/>
      <c r="H1359" s="96"/>
      <c r="I1359" s="96"/>
      <c r="J1359" s="92"/>
      <c r="K1359" s="97"/>
      <c r="L1359" s="99" t="str">
        <f ca="1">_xlfn.LET(
    _xlpm.res_no, J1359,
    _xlpm.record_sheet, 'MatRes Record'!J:M,
    _xlpm.AllCellsFilled, COUNTA(A1359:K1359) = 11,
    _xlpm.QtyIsInt, AND(ISNUMBER(G1359), G1359=INT(G1359)),
    _xlpm.ReqDateIsValid, AND(ISNUMBER(H1359), H1359&gt;=TODAY()),
    _xlpm.EmailIsValid, RIGHT(I1359,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IF(A1359="", "", IF(_xlpm.error_messages = "", "Yes", _xlpm.error_messages))
)</f>
        <v/>
      </c>
    </row>
    <row r="1360" spans="1:12">
      <c r="A1360" s="94"/>
      <c r="B1360" s="95"/>
      <c r="C1360" s="95"/>
      <c r="D1360" s="94"/>
      <c r="E1360" s="94"/>
      <c r="F1360" s="96"/>
      <c r="G1360" s="94"/>
      <c r="H1360" s="96"/>
      <c r="I1360" s="96"/>
      <c r="J1360" s="92"/>
      <c r="K1360" s="97"/>
      <c r="L1360" s="99" t="str">
        <f ca="1">_xlfn.LET(
    _xlpm.res_no, J1360,
    _xlpm.record_sheet, 'MatRes Record'!J:M,
    _xlpm.AllCellsFilled, COUNTA(A1360:K1360) = 11,
    _xlpm.QtyIsInt, AND(ISNUMBER(G1360), G1360=INT(G1360)),
    _xlpm.ReqDateIsValid, AND(ISNUMBER(H1360), H1360&gt;=TODAY()),
    _xlpm.EmailIsValid, RIGHT(I1360,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IF(A1360="", "", IF(_xlpm.error_messages = "", "Yes", _xlpm.error_messages))
)</f>
        <v/>
      </c>
    </row>
    <row r="1361" spans="1:12">
      <c r="A1361" s="94"/>
      <c r="B1361" s="95"/>
      <c r="C1361" s="95"/>
      <c r="D1361" s="94"/>
      <c r="E1361" s="94"/>
      <c r="F1361" s="96"/>
      <c r="G1361" s="94"/>
      <c r="H1361" s="96"/>
      <c r="I1361" s="96"/>
      <c r="J1361" s="92"/>
      <c r="K1361" s="97"/>
      <c r="L1361" s="99" t="str">
        <f ca="1">_xlfn.LET(
    _xlpm.res_no, J1361,
    _xlpm.record_sheet, 'MatRes Record'!J:M,
    _xlpm.AllCellsFilled, COUNTA(A1361:K1361) = 11,
    _xlpm.QtyIsInt, AND(ISNUMBER(G1361), G1361=INT(G1361)),
    _xlpm.ReqDateIsValid, AND(ISNUMBER(H1361), H1361&gt;=TODAY()),
    _xlpm.EmailIsValid, RIGHT(I1361,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IF(A1361="", "", IF(_xlpm.error_messages = "", "Yes", _xlpm.error_messages))
)</f>
        <v/>
      </c>
    </row>
    <row r="1362" spans="1:12">
      <c r="A1362" s="94"/>
      <c r="B1362" s="95"/>
      <c r="C1362" s="95"/>
      <c r="D1362" s="94"/>
      <c r="E1362" s="94"/>
      <c r="F1362" s="96"/>
      <c r="G1362" s="94"/>
      <c r="H1362" s="96"/>
      <c r="I1362" s="96"/>
      <c r="J1362" s="92"/>
      <c r="K1362" s="97"/>
      <c r="L1362" s="99" t="str">
        <f ca="1">_xlfn.LET(
    _xlpm.res_no, J1362,
    _xlpm.record_sheet, 'MatRes Record'!J:M,
    _xlpm.AllCellsFilled, COUNTA(A1362:K1362) = 11,
    _xlpm.QtyIsInt, AND(ISNUMBER(G1362), G1362=INT(G1362)),
    _xlpm.ReqDateIsValid, AND(ISNUMBER(H1362), H1362&gt;=TODAY()),
    _xlpm.EmailIsValid, RIGHT(I1362,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IF(A1362="", "", IF(_xlpm.error_messages = "", "Yes", _xlpm.error_messages))
)</f>
        <v/>
      </c>
    </row>
    <row r="1363" spans="1:12">
      <c r="A1363" s="94"/>
      <c r="B1363" s="95"/>
      <c r="C1363" s="95"/>
      <c r="D1363" s="94"/>
      <c r="E1363" s="94"/>
      <c r="F1363" s="96"/>
      <c r="G1363" s="94"/>
      <c r="H1363" s="96"/>
      <c r="I1363" s="96"/>
      <c r="J1363" s="92"/>
      <c r="K1363" s="97"/>
      <c r="L1363" s="99" t="str">
        <f ca="1">_xlfn.LET(
    _xlpm.res_no, J1363,
    _xlpm.record_sheet, 'MatRes Record'!J:M,
    _xlpm.AllCellsFilled, COUNTA(A1363:K1363) = 11,
    _xlpm.QtyIsInt, AND(ISNUMBER(G1363), G1363=INT(G1363)),
    _xlpm.ReqDateIsValid, AND(ISNUMBER(H1363), H1363&gt;=TODAY()),
    _xlpm.EmailIsValid, RIGHT(I1363,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IF(A1363="", "", IF(_xlpm.error_messages = "", "Yes", _xlpm.error_messages))
)</f>
        <v/>
      </c>
    </row>
    <row r="1364" spans="1:12">
      <c r="A1364" s="94"/>
      <c r="B1364" s="95"/>
      <c r="C1364" s="95"/>
      <c r="D1364" s="94"/>
      <c r="E1364" s="94"/>
      <c r="F1364" s="96"/>
      <c r="G1364" s="94"/>
      <c r="H1364" s="96"/>
      <c r="I1364" s="96"/>
      <c r="J1364" s="92"/>
      <c r="K1364" s="97"/>
      <c r="L1364" s="99" t="str">
        <f ca="1">_xlfn.LET(
    _xlpm.res_no, J1364,
    _xlpm.record_sheet, 'MatRes Record'!J:M,
    _xlpm.AllCellsFilled, COUNTA(A1364:K1364) = 11,
    _xlpm.QtyIsInt, AND(ISNUMBER(G1364), G1364=INT(G1364)),
    _xlpm.ReqDateIsValid, AND(ISNUMBER(H1364), H1364&gt;=TODAY()),
    _xlpm.EmailIsValid, RIGHT(I1364,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IF(A1364="", "", IF(_xlpm.error_messages = "", "Yes", _xlpm.error_messages))
)</f>
        <v/>
      </c>
    </row>
    <row r="1365" spans="1:12">
      <c r="A1365" s="94"/>
      <c r="B1365" s="95"/>
      <c r="C1365" s="95"/>
      <c r="D1365" s="94"/>
      <c r="E1365" s="94"/>
      <c r="F1365" s="96"/>
      <c r="G1365" s="94"/>
      <c r="H1365" s="96"/>
      <c r="I1365" s="96"/>
      <c r="J1365" s="92"/>
      <c r="K1365" s="97"/>
      <c r="L1365" s="99" t="str">
        <f ca="1">_xlfn.LET(
    _xlpm.res_no, J1365,
    _xlpm.record_sheet, 'MatRes Record'!J:M,
    _xlpm.AllCellsFilled, COUNTA(A1365:K1365) = 11,
    _xlpm.QtyIsInt, AND(ISNUMBER(G1365), G1365=INT(G1365)),
    _xlpm.ReqDateIsValid, AND(ISNUMBER(H1365), H1365&gt;=TODAY()),
    _xlpm.EmailIsValid, RIGHT(I1365,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IF(A1365="", "", IF(_xlpm.error_messages = "", "Yes", _xlpm.error_messages))
)</f>
        <v/>
      </c>
    </row>
    <row r="1366" spans="1:12">
      <c r="A1366" s="94"/>
      <c r="B1366" s="95"/>
      <c r="C1366" s="95"/>
      <c r="D1366" s="94"/>
      <c r="E1366" s="94"/>
      <c r="F1366" s="96"/>
      <c r="G1366" s="94"/>
      <c r="H1366" s="96"/>
      <c r="I1366" s="96"/>
      <c r="J1366" s="92"/>
      <c r="K1366" s="97"/>
      <c r="L1366" s="99" t="str">
        <f ca="1">_xlfn.LET(
    _xlpm.res_no, J1366,
    _xlpm.record_sheet, 'MatRes Record'!J:M,
    _xlpm.AllCellsFilled, COUNTA(A1366:K1366) = 11,
    _xlpm.QtyIsInt, AND(ISNUMBER(G1366), G1366=INT(G1366)),
    _xlpm.ReqDateIsValid, AND(ISNUMBER(H1366), H1366&gt;=TODAY()),
    _xlpm.EmailIsValid, RIGHT(I1366,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IF(A1366="", "", IF(_xlpm.error_messages = "", "Yes", _xlpm.error_messages))
)</f>
        <v/>
      </c>
    </row>
    <row r="1367" spans="1:12">
      <c r="A1367" s="94"/>
      <c r="B1367" s="95"/>
      <c r="C1367" s="95"/>
      <c r="D1367" s="94"/>
      <c r="E1367" s="94"/>
      <c r="F1367" s="96"/>
      <c r="G1367" s="94"/>
      <c r="H1367" s="96"/>
      <c r="I1367" s="96"/>
      <c r="J1367" s="92"/>
      <c r="K1367" s="97"/>
      <c r="L1367" s="99" t="str">
        <f ca="1">_xlfn.LET(
    _xlpm.res_no, J1367,
    _xlpm.record_sheet, 'MatRes Record'!J:M,
    _xlpm.AllCellsFilled, COUNTA(A1367:K1367) = 11,
    _xlpm.QtyIsInt, AND(ISNUMBER(G1367), G1367=INT(G1367)),
    _xlpm.ReqDateIsValid, AND(ISNUMBER(H1367), H1367&gt;=TODAY()),
    _xlpm.EmailIsValid, RIGHT(I1367,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IF(A1367="", "", IF(_xlpm.error_messages = "", "Yes", _xlpm.error_messages))
)</f>
        <v/>
      </c>
    </row>
    <row r="1368" spans="1:12">
      <c r="A1368" s="94"/>
      <c r="B1368" s="95"/>
      <c r="C1368" s="95"/>
      <c r="D1368" s="94"/>
      <c r="E1368" s="94"/>
      <c r="F1368" s="96"/>
      <c r="G1368" s="94"/>
      <c r="H1368" s="96"/>
      <c r="I1368" s="96"/>
      <c r="J1368" s="92"/>
      <c r="K1368" s="97"/>
      <c r="L1368" s="99" t="str">
        <f ca="1">_xlfn.LET(
    _xlpm.res_no, J1368,
    _xlpm.record_sheet, 'MatRes Record'!J:M,
    _xlpm.AllCellsFilled, COUNTA(A1368:K1368) = 11,
    _xlpm.QtyIsInt, AND(ISNUMBER(G1368), G1368=INT(G1368)),
    _xlpm.ReqDateIsValid, AND(ISNUMBER(H1368), H1368&gt;=TODAY()),
    _xlpm.EmailIsValid, RIGHT(I1368,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IF(A1368="", "", IF(_xlpm.error_messages = "", "Yes", _xlpm.error_messages))
)</f>
        <v/>
      </c>
    </row>
    <row r="1369" spans="1:12">
      <c r="A1369" s="94"/>
      <c r="B1369" s="95"/>
      <c r="C1369" s="95"/>
      <c r="D1369" s="94"/>
      <c r="E1369" s="94"/>
      <c r="F1369" s="96"/>
      <c r="G1369" s="94"/>
      <c r="H1369" s="96"/>
      <c r="I1369" s="96"/>
      <c r="J1369" s="92"/>
      <c r="K1369" s="97"/>
      <c r="L1369" s="99" t="str">
        <f ca="1">_xlfn.LET(
    _xlpm.res_no, J1369,
    _xlpm.record_sheet, 'MatRes Record'!J:M,
    _xlpm.AllCellsFilled, COUNTA(A1369:K1369) = 11,
    _xlpm.QtyIsInt, AND(ISNUMBER(G1369), G1369=INT(G1369)),
    _xlpm.ReqDateIsValid, AND(ISNUMBER(H1369), H1369&gt;=TODAY()),
    _xlpm.EmailIsValid, RIGHT(I1369,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IF(A1369="", "", IF(_xlpm.error_messages = "", "Yes", _xlpm.error_messages))
)</f>
        <v/>
      </c>
    </row>
    <row r="1370" spans="1:12">
      <c r="A1370" s="94"/>
      <c r="B1370" s="95"/>
      <c r="C1370" s="95"/>
      <c r="D1370" s="94"/>
      <c r="E1370" s="94"/>
      <c r="F1370" s="96"/>
      <c r="G1370" s="94"/>
      <c r="H1370" s="96"/>
      <c r="I1370" s="96"/>
      <c r="J1370" s="92"/>
      <c r="K1370" s="97"/>
      <c r="L1370" s="99" t="str">
        <f ca="1">_xlfn.LET(
    _xlpm.res_no, J1370,
    _xlpm.record_sheet, 'MatRes Record'!J:M,
    _xlpm.AllCellsFilled, COUNTA(A1370:K1370) = 11,
    _xlpm.QtyIsInt, AND(ISNUMBER(G1370), G1370=INT(G1370)),
    _xlpm.ReqDateIsValid, AND(ISNUMBER(H1370), H1370&gt;=TODAY()),
    _xlpm.EmailIsValid, RIGHT(I1370,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IF(A1370="", "", IF(_xlpm.error_messages = "", "Yes", _xlpm.error_messages))
)</f>
        <v/>
      </c>
    </row>
    <row r="1371" spans="1:12">
      <c r="A1371" s="94"/>
      <c r="B1371" s="95"/>
      <c r="C1371" s="95"/>
      <c r="D1371" s="94"/>
      <c r="E1371" s="94"/>
      <c r="F1371" s="96"/>
      <c r="G1371" s="94"/>
      <c r="H1371" s="96"/>
      <c r="I1371" s="96"/>
      <c r="J1371" s="92"/>
      <c r="K1371" s="97"/>
      <c r="L1371" s="99" t="str">
        <f ca="1">_xlfn.LET(
    _xlpm.res_no, J1371,
    _xlpm.record_sheet, 'MatRes Record'!J:M,
    _xlpm.AllCellsFilled, COUNTA(A1371:K1371) = 11,
    _xlpm.QtyIsInt, AND(ISNUMBER(G1371), G1371=INT(G1371)),
    _xlpm.ReqDateIsValid, AND(ISNUMBER(H1371), H1371&gt;=TODAY()),
    _xlpm.EmailIsValid, RIGHT(I1371,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IF(A1371="", "", IF(_xlpm.error_messages = "", "Yes", _xlpm.error_messages))
)</f>
        <v/>
      </c>
    </row>
    <row r="1372" spans="1:12">
      <c r="A1372" s="94"/>
      <c r="B1372" s="95"/>
      <c r="C1372" s="95"/>
      <c r="D1372" s="94"/>
      <c r="E1372" s="94"/>
      <c r="F1372" s="96"/>
      <c r="G1372" s="94"/>
      <c r="H1372" s="96"/>
      <c r="I1372" s="96"/>
      <c r="J1372" s="92"/>
      <c r="K1372" s="97"/>
      <c r="L1372" s="99" t="str">
        <f ca="1">_xlfn.LET(
    _xlpm.res_no, J1372,
    _xlpm.record_sheet, 'MatRes Record'!J:M,
    _xlpm.AllCellsFilled, COUNTA(A1372:K1372) = 11,
    _xlpm.QtyIsInt, AND(ISNUMBER(G1372), G1372=INT(G1372)),
    _xlpm.ReqDateIsValid, AND(ISNUMBER(H1372), H1372&gt;=TODAY()),
    _xlpm.EmailIsValid, RIGHT(I1372,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IF(A1372="", "", IF(_xlpm.error_messages = "", "Yes", _xlpm.error_messages))
)</f>
        <v/>
      </c>
    </row>
    <row r="1373" spans="1:12">
      <c r="A1373" s="94"/>
      <c r="B1373" s="95"/>
      <c r="C1373" s="95"/>
      <c r="D1373" s="94"/>
      <c r="E1373" s="94"/>
      <c r="F1373" s="96"/>
      <c r="G1373" s="94"/>
      <c r="H1373" s="96"/>
      <c r="I1373" s="96"/>
      <c r="J1373" s="92"/>
      <c r="K1373" s="97"/>
      <c r="L1373" s="99" t="str">
        <f ca="1">_xlfn.LET(
    _xlpm.res_no, J1373,
    _xlpm.record_sheet, 'MatRes Record'!J:M,
    _xlpm.AllCellsFilled, COUNTA(A1373:K1373) = 11,
    _xlpm.QtyIsInt, AND(ISNUMBER(G1373), G1373=INT(G1373)),
    _xlpm.ReqDateIsValid, AND(ISNUMBER(H1373), H1373&gt;=TODAY()),
    _xlpm.EmailIsValid, RIGHT(I1373,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IF(A1373="", "", IF(_xlpm.error_messages = "", "Yes", _xlpm.error_messages))
)</f>
        <v/>
      </c>
    </row>
    <row r="1374" spans="1:12">
      <c r="A1374" s="94"/>
      <c r="B1374" s="95"/>
      <c r="C1374" s="95"/>
      <c r="D1374" s="94"/>
      <c r="E1374" s="94"/>
      <c r="F1374" s="96"/>
      <c r="G1374" s="94"/>
      <c r="H1374" s="96"/>
      <c r="I1374" s="96"/>
      <c r="J1374" s="92"/>
      <c r="K1374" s="97"/>
      <c r="L1374" s="99" t="str">
        <f ca="1">_xlfn.LET(
    _xlpm.res_no, J1374,
    _xlpm.record_sheet, 'MatRes Record'!J:M,
    _xlpm.AllCellsFilled, COUNTA(A1374:K1374) = 11,
    _xlpm.QtyIsInt, AND(ISNUMBER(G1374), G1374=INT(G1374)),
    _xlpm.ReqDateIsValid, AND(ISNUMBER(H1374), H1374&gt;=TODAY()),
    _xlpm.EmailIsValid, RIGHT(I1374,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IF(A1374="", "", IF(_xlpm.error_messages = "", "Yes", _xlpm.error_messages))
)</f>
        <v/>
      </c>
    </row>
    <row r="1375" spans="1:12">
      <c r="A1375" s="94"/>
      <c r="B1375" s="95"/>
      <c r="C1375" s="95"/>
      <c r="D1375" s="94"/>
      <c r="E1375" s="94"/>
      <c r="F1375" s="96"/>
      <c r="G1375" s="94"/>
      <c r="H1375" s="96"/>
      <c r="I1375" s="96"/>
      <c r="J1375" s="92"/>
      <c r="K1375" s="97"/>
      <c r="L1375" s="99" t="str">
        <f ca="1">_xlfn.LET(
    _xlpm.res_no, J1375,
    _xlpm.record_sheet, 'MatRes Record'!J:M,
    _xlpm.AllCellsFilled, COUNTA(A1375:K1375) = 11,
    _xlpm.QtyIsInt, AND(ISNUMBER(G1375), G1375=INT(G1375)),
    _xlpm.ReqDateIsValid, AND(ISNUMBER(H1375), H1375&gt;=TODAY()),
    _xlpm.EmailIsValid, RIGHT(I1375,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IF(A1375="", "", IF(_xlpm.error_messages = "", "Yes", _xlpm.error_messages))
)</f>
        <v/>
      </c>
    </row>
    <row r="1376" spans="1:12">
      <c r="A1376" s="94"/>
      <c r="B1376" s="95"/>
      <c r="C1376" s="95"/>
      <c r="D1376" s="94"/>
      <c r="E1376" s="94"/>
      <c r="F1376" s="96"/>
      <c r="G1376" s="94"/>
      <c r="H1376" s="96"/>
      <c r="I1376" s="96"/>
      <c r="J1376" s="92"/>
      <c r="K1376" s="97"/>
      <c r="L1376" s="99" t="str">
        <f ca="1">_xlfn.LET(
    _xlpm.res_no, J1376,
    _xlpm.record_sheet, 'MatRes Record'!J:M,
    _xlpm.AllCellsFilled, COUNTA(A1376:K1376) = 11,
    _xlpm.QtyIsInt, AND(ISNUMBER(G1376), G1376=INT(G1376)),
    _xlpm.ReqDateIsValid, AND(ISNUMBER(H1376), H1376&gt;=TODAY()),
    _xlpm.EmailIsValid, RIGHT(I1376,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IF(A1376="", "", IF(_xlpm.error_messages = "", "Yes", _xlpm.error_messages))
)</f>
        <v/>
      </c>
    </row>
    <row r="1377" spans="1:12">
      <c r="A1377" s="94"/>
      <c r="B1377" s="95"/>
      <c r="C1377" s="95"/>
      <c r="D1377" s="94"/>
      <c r="E1377" s="94"/>
      <c r="F1377" s="96"/>
      <c r="G1377" s="94"/>
      <c r="H1377" s="96"/>
      <c r="I1377" s="96"/>
      <c r="J1377" s="92"/>
      <c r="K1377" s="97"/>
      <c r="L1377" s="99" t="str">
        <f ca="1">_xlfn.LET(
    _xlpm.res_no, J1377,
    _xlpm.record_sheet, 'MatRes Record'!J:M,
    _xlpm.AllCellsFilled, COUNTA(A1377:K1377) = 11,
    _xlpm.QtyIsInt, AND(ISNUMBER(G1377), G1377=INT(G1377)),
    _xlpm.ReqDateIsValid, AND(ISNUMBER(H1377), H1377&gt;=TODAY()),
    _xlpm.EmailIsValid, RIGHT(I1377,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IF(A1377="", "", IF(_xlpm.error_messages = "", "Yes", _xlpm.error_messages))
)</f>
        <v/>
      </c>
    </row>
    <row r="1378" spans="1:12">
      <c r="A1378" s="94"/>
      <c r="B1378" s="95"/>
      <c r="C1378" s="95"/>
      <c r="D1378" s="94"/>
      <c r="E1378" s="94"/>
      <c r="F1378" s="96"/>
      <c r="G1378" s="94"/>
      <c r="H1378" s="96"/>
      <c r="I1378" s="96"/>
      <c r="J1378" s="92"/>
      <c r="K1378" s="97"/>
      <c r="L1378" s="99" t="str">
        <f ca="1">_xlfn.LET(
    _xlpm.res_no, J1378,
    _xlpm.record_sheet, 'MatRes Record'!J:M,
    _xlpm.AllCellsFilled, COUNTA(A1378:K1378) = 11,
    _xlpm.QtyIsInt, AND(ISNUMBER(G1378), G1378=INT(G1378)),
    _xlpm.ReqDateIsValid, AND(ISNUMBER(H1378), H1378&gt;=TODAY()),
    _xlpm.EmailIsValid, RIGHT(I1378,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IF(A1378="", "", IF(_xlpm.error_messages = "", "Yes", _xlpm.error_messages))
)</f>
        <v/>
      </c>
    </row>
    <row r="1379" spans="1:12">
      <c r="A1379" s="94"/>
      <c r="B1379" s="95"/>
      <c r="C1379" s="95"/>
      <c r="D1379" s="94"/>
      <c r="E1379" s="94"/>
      <c r="F1379" s="96"/>
      <c r="G1379" s="94"/>
      <c r="H1379" s="96"/>
      <c r="I1379" s="96"/>
      <c r="J1379" s="92"/>
      <c r="K1379" s="97"/>
      <c r="L1379" s="99" t="str">
        <f ca="1">_xlfn.LET(
    _xlpm.res_no, J1379,
    _xlpm.record_sheet, 'MatRes Record'!J:M,
    _xlpm.AllCellsFilled, COUNTA(A1379:K1379) = 11,
    _xlpm.QtyIsInt, AND(ISNUMBER(G1379), G1379=INT(G1379)),
    _xlpm.ReqDateIsValid, AND(ISNUMBER(H1379), H1379&gt;=TODAY()),
    _xlpm.EmailIsValid, RIGHT(I1379,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IF(A1379="", "", IF(_xlpm.error_messages = "", "Yes", _xlpm.error_messages))
)</f>
        <v/>
      </c>
    </row>
    <row r="1380" spans="1:12">
      <c r="A1380" s="94"/>
      <c r="B1380" s="95"/>
      <c r="C1380" s="95"/>
      <c r="D1380" s="94"/>
      <c r="E1380" s="94"/>
      <c r="F1380" s="96"/>
      <c r="G1380" s="94"/>
      <c r="H1380" s="96"/>
      <c r="I1380" s="96"/>
      <c r="J1380" s="92"/>
      <c r="K1380" s="97"/>
      <c r="L1380" s="99" t="str">
        <f ca="1">_xlfn.LET(
    _xlpm.res_no, J1380,
    _xlpm.record_sheet, 'MatRes Record'!J:M,
    _xlpm.AllCellsFilled, COUNTA(A1380:K1380) = 11,
    _xlpm.QtyIsInt, AND(ISNUMBER(G1380), G1380=INT(G1380)),
    _xlpm.ReqDateIsValid, AND(ISNUMBER(H1380), H1380&gt;=TODAY()),
    _xlpm.EmailIsValid, RIGHT(I1380,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IF(A1380="", "", IF(_xlpm.error_messages = "", "Yes", _xlpm.error_messages))
)</f>
        <v/>
      </c>
    </row>
    <row r="1381" spans="1:12">
      <c r="A1381" s="94"/>
      <c r="B1381" s="95"/>
      <c r="C1381" s="95"/>
      <c r="D1381" s="94"/>
      <c r="E1381" s="94"/>
      <c r="F1381" s="96"/>
      <c r="G1381" s="94"/>
      <c r="H1381" s="96"/>
      <c r="I1381" s="96"/>
      <c r="J1381" s="92"/>
      <c r="K1381" s="97"/>
      <c r="L1381" s="99" t="str">
        <f ca="1">_xlfn.LET(
    _xlpm.res_no, J1381,
    _xlpm.record_sheet, 'MatRes Record'!J:M,
    _xlpm.AllCellsFilled, COUNTA(A1381:K1381) = 11,
    _xlpm.QtyIsInt, AND(ISNUMBER(G1381), G1381=INT(G1381)),
    _xlpm.ReqDateIsValid, AND(ISNUMBER(H1381), H1381&gt;=TODAY()),
    _xlpm.EmailIsValid, RIGHT(I1381,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IF(A1381="", "", IF(_xlpm.error_messages = "", "Yes", _xlpm.error_messages))
)</f>
        <v/>
      </c>
    </row>
    <row r="1382" spans="1:12">
      <c r="A1382" s="94"/>
      <c r="B1382" s="95"/>
      <c r="C1382" s="95"/>
      <c r="D1382" s="94"/>
      <c r="E1382" s="94"/>
      <c r="F1382" s="96"/>
      <c r="G1382" s="94"/>
      <c r="H1382" s="96"/>
      <c r="I1382" s="96"/>
      <c r="J1382" s="92"/>
      <c r="K1382" s="97"/>
      <c r="L1382" s="99" t="str">
        <f ca="1">_xlfn.LET(
    _xlpm.res_no, J1382,
    _xlpm.record_sheet, 'MatRes Record'!J:M,
    _xlpm.AllCellsFilled, COUNTA(A1382:K1382) = 11,
    _xlpm.QtyIsInt, AND(ISNUMBER(G1382), G1382=INT(G1382)),
    _xlpm.ReqDateIsValid, AND(ISNUMBER(H1382), H1382&gt;=TODAY()),
    _xlpm.EmailIsValid, RIGHT(I1382,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IF(A1382="", "", IF(_xlpm.error_messages = "", "Yes", _xlpm.error_messages))
)</f>
        <v/>
      </c>
    </row>
    <row r="1383" spans="1:12">
      <c r="A1383" s="94"/>
      <c r="B1383" s="95"/>
      <c r="C1383" s="95"/>
      <c r="D1383" s="94"/>
      <c r="E1383" s="94"/>
      <c r="F1383" s="96"/>
      <c r="G1383" s="94"/>
      <c r="H1383" s="96"/>
      <c r="I1383" s="96"/>
      <c r="J1383" s="92"/>
      <c r="K1383" s="97"/>
      <c r="L1383" s="99" t="str">
        <f ca="1">_xlfn.LET(
    _xlpm.res_no, J1383,
    _xlpm.record_sheet, 'MatRes Record'!J:M,
    _xlpm.AllCellsFilled, COUNTA(A1383:K1383) = 11,
    _xlpm.QtyIsInt, AND(ISNUMBER(G1383), G1383=INT(G1383)),
    _xlpm.ReqDateIsValid, AND(ISNUMBER(H1383), H1383&gt;=TODAY()),
    _xlpm.EmailIsValid, RIGHT(I1383,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IF(A1383="", "", IF(_xlpm.error_messages = "", "Yes", _xlpm.error_messages))
)</f>
        <v/>
      </c>
    </row>
    <row r="1384" spans="1:12">
      <c r="A1384" s="94"/>
      <c r="B1384" s="95"/>
      <c r="C1384" s="95"/>
      <c r="D1384" s="94"/>
      <c r="E1384" s="94"/>
      <c r="F1384" s="96"/>
      <c r="G1384" s="94"/>
      <c r="H1384" s="96"/>
      <c r="I1384" s="96"/>
      <c r="J1384" s="92"/>
      <c r="K1384" s="97"/>
      <c r="L1384" s="99" t="str">
        <f ca="1">_xlfn.LET(
    _xlpm.res_no, J1384,
    _xlpm.record_sheet, 'MatRes Record'!J:M,
    _xlpm.AllCellsFilled, COUNTA(A1384:K1384) = 11,
    _xlpm.QtyIsInt, AND(ISNUMBER(G1384), G1384=INT(G1384)),
    _xlpm.ReqDateIsValid, AND(ISNUMBER(H1384), H1384&gt;=TODAY()),
    _xlpm.EmailIsValid, RIGHT(I1384,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IF(A1384="", "", IF(_xlpm.error_messages = "", "Yes", _xlpm.error_messages))
)</f>
        <v/>
      </c>
    </row>
    <row r="1385" spans="1:12">
      <c r="A1385" s="94"/>
      <c r="B1385" s="95"/>
      <c r="C1385" s="95"/>
      <c r="D1385" s="94"/>
      <c r="E1385" s="94"/>
      <c r="F1385" s="96"/>
      <c r="G1385" s="94"/>
      <c r="H1385" s="96"/>
      <c r="I1385" s="96"/>
      <c r="J1385" s="92"/>
      <c r="K1385" s="97"/>
      <c r="L1385" s="99" t="str">
        <f ca="1">_xlfn.LET(
    _xlpm.res_no, J1385,
    _xlpm.record_sheet, 'MatRes Record'!J:M,
    _xlpm.AllCellsFilled, COUNTA(A1385:K1385) = 11,
    _xlpm.QtyIsInt, AND(ISNUMBER(G1385), G1385=INT(G1385)),
    _xlpm.ReqDateIsValid, AND(ISNUMBER(H1385), H1385&gt;=TODAY()),
    _xlpm.EmailIsValid, RIGHT(I1385,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IF(A1385="", "", IF(_xlpm.error_messages = "", "Yes", _xlpm.error_messages))
)</f>
        <v/>
      </c>
    </row>
    <row r="1386" spans="1:12">
      <c r="A1386" s="94"/>
      <c r="B1386" s="95"/>
      <c r="C1386" s="95"/>
      <c r="D1386" s="94"/>
      <c r="E1386" s="94"/>
      <c r="F1386" s="96"/>
      <c r="G1386" s="94"/>
      <c r="H1386" s="96"/>
      <c r="I1386" s="96"/>
      <c r="J1386" s="92"/>
      <c r="K1386" s="97"/>
      <c r="L1386" s="99" t="str">
        <f ca="1">_xlfn.LET(
    _xlpm.res_no, J1386,
    _xlpm.record_sheet, 'MatRes Record'!J:M,
    _xlpm.AllCellsFilled, COUNTA(A1386:K1386) = 11,
    _xlpm.QtyIsInt, AND(ISNUMBER(G1386), G1386=INT(G1386)),
    _xlpm.ReqDateIsValid, AND(ISNUMBER(H1386), H1386&gt;=TODAY()),
    _xlpm.EmailIsValid, RIGHT(I1386,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IF(A1386="", "", IF(_xlpm.error_messages = "", "Yes", _xlpm.error_messages))
)</f>
        <v/>
      </c>
    </row>
    <row r="1387" spans="1:12">
      <c r="A1387" s="94"/>
      <c r="B1387" s="95"/>
      <c r="C1387" s="95"/>
      <c r="D1387" s="94"/>
      <c r="E1387" s="94"/>
      <c r="F1387" s="96"/>
      <c r="G1387" s="94"/>
      <c r="H1387" s="96"/>
      <c r="I1387" s="96"/>
      <c r="J1387" s="92"/>
      <c r="K1387" s="97"/>
      <c r="L1387" s="99" t="str">
        <f ca="1">_xlfn.LET(
    _xlpm.res_no, J1387,
    _xlpm.record_sheet, 'MatRes Record'!J:M,
    _xlpm.AllCellsFilled, COUNTA(A1387:K1387) = 11,
    _xlpm.QtyIsInt, AND(ISNUMBER(G1387), G1387=INT(G1387)),
    _xlpm.ReqDateIsValid, AND(ISNUMBER(H1387), H1387&gt;=TODAY()),
    _xlpm.EmailIsValid, RIGHT(I1387,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IF(A1387="", "", IF(_xlpm.error_messages = "", "Yes", _xlpm.error_messages))
)</f>
        <v/>
      </c>
    </row>
    <row r="1388" spans="1:12">
      <c r="A1388" s="94"/>
      <c r="B1388" s="95"/>
      <c r="C1388" s="95"/>
      <c r="D1388" s="94"/>
      <c r="E1388" s="94"/>
      <c r="F1388" s="96"/>
      <c r="G1388" s="94"/>
      <c r="H1388" s="96"/>
      <c r="I1388" s="96"/>
      <c r="J1388" s="92"/>
      <c r="K1388" s="97"/>
      <c r="L1388" s="99" t="str">
        <f ca="1">_xlfn.LET(
    _xlpm.res_no, J1388,
    _xlpm.record_sheet, 'MatRes Record'!J:M,
    _xlpm.AllCellsFilled, COUNTA(A1388:K1388) = 11,
    _xlpm.QtyIsInt, AND(ISNUMBER(G1388), G1388=INT(G1388)),
    _xlpm.ReqDateIsValid, AND(ISNUMBER(H1388), H1388&gt;=TODAY()),
    _xlpm.EmailIsValid, RIGHT(I1388,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IF(A1388="", "", IF(_xlpm.error_messages = "", "Yes", _xlpm.error_messages))
)</f>
        <v/>
      </c>
    </row>
    <row r="1389" spans="1:12">
      <c r="A1389" s="94"/>
      <c r="B1389" s="95"/>
      <c r="C1389" s="95"/>
      <c r="D1389" s="94"/>
      <c r="E1389" s="94"/>
      <c r="F1389" s="96"/>
      <c r="G1389" s="94"/>
      <c r="H1389" s="96"/>
      <c r="I1389" s="96"/>
      <c r="J1389" s="92"/>
      <c r="K1389" s="97"/>
      <c r="L1389" s="99" t="str">
        <f ca="1">_xlfn.LET(
    _xlpm.res_no, J1389,
    _xlpm.record_sheet, 'MatRes Record'!J:M,
    _xlpm.AllCellsFilled, COUNTA(A1389:K1389) = 11,
    _xlpm.QtyIsInt, AND(ISNUMBER(G1389), G1389=INT(G1389)),
    _xlpm.ReqDateIsValid, AND(ISNUMBER(H1389), H1389&gt;=TODAY()),
    _xlpm.EmailIsValid, RIGHT(I1389,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IF(A1389="", "", IF(_xlpm.error_messages = "", "Yes", _xlpm.error_messages))
)</f>
        <v/>
      </c>
    </row>
    <row r="1390" spans="1:12">
      <c r="A1390" s="94"/>
      <c r="B1390" s="95"/>
      <c r="C1390" s="95"/>
      <c r="D1390" s="94"/>
      <c r="E1390" s="94"/>
      <c r="F1390" s="96"/>
      <c r="G1390" s="94"/>
      <c r="H1390" s="96"/>
      <c r="I1390" s="96"/>
      <c r="J1390" s="92"/>
      <c r="K1390" s="97"/>
      <c r="L1390" s="99" t="str">
        <f ca="1">_xlfn.LET(
    _xlpm.res_no, J1390,
    _xlpm.record_sheet, 'MatRes Record'!J:M,
    _xlpm.AllCellsFilled, COUNTA(A1390:K1390) = 11,
    _xlpm.QtyIsInt, AND(ISNUMBER(G1390), G1390=INT(G1390)),
    _xlpm.ReqDateIsValid, AND(ISNUMBER(H1390), H1390&gt;=TODAY()),
    _xlpm.EmailIsValid, RIGHT(I1390,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IF(A1390="", "", IF(_xlpm.error_messages = "", "Yes", _xlpm.error_messages))
)</f>
        <v/>
      </c>
    </row>
    <row r="1391" spans="1:12">
      <c r="A1391" s="94"/>
      <c r="B1391" s="95"/>
      <c r="C1391" s="95"/>
      <c r="D1391" s="94"/>
      <c r="E1391" s="94"/>
      <c r="F1391" s="96"/>
      <c r="G1391" s="94"/>
      <c r="H1391" s="96"/>
      <c r="I1391" s="96"/>
      <c r="J1391" s="92"/>
      <c r="K1391" s="97"/>
      <c r="L1391" s="99" t="str">
        <f ca="1">_xlfn.LET(
    _xlpm.res_no, J1391,
    _xlpm.record_sheet, 'MatRes Record'!J:M,
    _xlpm.AllCellsFilled, COUNTA(A1391:K1391) = 11,
    _xlpm.QtyIsInt, AND(ISNUMBER(G1391), G1391=INT(G1391)),
    _xlpm.ReqDateIsValid, AND(ISNUMBER(H1391), H1391&gt;=TODAY()),
    _xlpm.EmailIsValid, RIGHT(I1391,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IF(A1391="", "", IF(_xlpm.error_messages = "", "Yes", _xlpm.error_messages))
)</f>
        <v/>
      </c>
    </row>
    <row r="1392" spans="1:12">
      <c r="A1392" s="94"/>
      <c r="B1392" s="95"/>
      <c r="C1392" s="95"/>
      <c r="D1392" s="94"/>
      <c r="E1392" s="94"/>
      <c r="F1392" s="96"/>
      <c r="G1392" s="94"/>
      <c r="H1392" s="96"/>
      <c r="I1392" s="96"/>
      <c r="J1392" s="92"/>
      <c r="K1392" s="97"/>
      <c r="L1392" s="99" t="str">
        <f ca="1">_xlfn.LET(
    _xlpm.res_no, J1392,
    _xlpm.record_sheet, 'MatRes Record'!J:M,
    _xlpm.AllCellsFilled, COUNTA(A1392:K1392) = 11,
    _xlpm.QtyIsInt, AND(ISNUMBER(G1392), G1392=INT(G1392)),
    _xlpm.ReqDateIsValid, AND(ISNUMBER(H1392), H1392&gt;=TODAY()),
    _xlpm.EmailIsValid, RIGHT(I1392,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IF(A1392="", "", IF(_xlpm.error_messages = "", "Yes", _xlpm.error_messages))
)</f>
        <v/>
      </c>
    </row>
    <row r="1393" spans="1:12">
      <c r="A1393" s="94"/>
      <c r="B1393" s="95"/>
      <c r="C1393" s="95"/>
      <c r="D1393" s="94"/>
      <c r="E1393" s="94"/>
      <c r="F1393" s="96"/>
      <c r="G1393" s="94"/>
      <c r="H1393" s="96"/>
      <c r="I1393" s="96"/>
      <c r="J1393" s="92"/>
      <c r="K1393" s="97"/>
      <c r="L1393" s="99" t="str">
        <f ca="1">_xlfn.LET(
    _xlpm.res_no, J1393,
    _xlpm.record_sheet, 'MatRes Record'!J:M,
    _xlpm.AllCellsFilled, COUNTA(A1393:K1393) = 11,
    _xlpm.QtyIsInt, AND(ISNUMBER(G1393), G1393=INT(G1393)),
    _xlpm.ReqDateIsValid, AND(ISNUMBER(H1393), H1393&gt;=TODAY()),
    _xlpm.EmailIsValid, RIGHT(I1393,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IF(A1393="", "", IF(_xlpm.error_messages = "", "Yes", _xlpm.error_messages))
)</f>
        <v/>
      </c>
    </row>
    <row r="1394" spans="1:12">
      <c r="A1394" s="94"/>
      <c r="B1394" s="95"/>
      <c r="C1394" s="95"/>
      <c r="D1394" s="94"/>
      <c r="E1394" s="94"/>
      <c r="F1394" s="96"/>
      <c r="G1394" s="94"/>
      <c r="H1394" s="96"/>
      <c r="I1394" s="96"/>
      <c r="J1394" s="92"/>
      <c r="K1394" s="97"/>
      <c r="L1394" s="99" t="str">
        <f ca="1">_xlfn.LET(
    _xlpm.res_no, J1394,
    _xlpm.record_sheet, 'MatRes Record'!J:M,
    _xlpm.AllCellsFilled, COUNTA(A1394:K1394) = 11,
    _xlpm.QtyIsInt, AND(ISNUMBER(G1394), G1394=INT(G1394)),
    _xlpm.ReqDateIsValid, AND(ISNUMBER(H1394), H1394&gt;=TODAY()),
    _xlpm.EmailIsValid, RIGHT(I1394,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IF(A1394="", "", IF(_xlpm.error_messages = "", "Yes", _xlpm.error_messages))
)</f>
        <v/>
      </c>
    </row>
    <row r="1395" spans="1:12">
      <c r="A1395" s="94"/>
      <c r="B1395" s="95"/>
      <c r="C1395" s="95"/>
      <c r="D1395" s="94"/>
      <c r="E1395" s="94"/>
      <c r="F1395" s="96"/>
      <c r="G1395" s="94"/>
      <c r="H1395" s="96"/>
      <c r="I1395" s="96"/>
      <c r="J1395" s="92"/>
      <c r="K1395" s="97"/>
      <c r="L1395" s="99" t="str">
        <f ca="1">_xlfn.LET(
    _xlpm.res_no, J1395,
    _xlpm.record_sheet, 'MatRes Record'!J:M,
    _xlpm.AllCellsFilled, COUNTA(A1395:K1395) = 11,
    _xlpm.QtyIsInt, AND(ISNUMBER(G1395), G1395=INT(G1395)),
    _xlpm.ReqDateIsValid, AND(ISNUMBER(H1395), H1395&gt;=TODAY()),
    _xlpm.EmailIsValid, RIGHT(I1395,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IF(A1395="", "", IF(_xlpm.error_messages = "", "Yes", _xlpm.error_messages))
)</f>
        <v/>
      </c>
    </row>
    <row r="1396" spans="1:12">
      <c r="A1396" s="94"/>
      <c r="B1396" s="95"/>
      <c r="C1396" s="95"/>
      <c r="D1396" s="94"/>
      <c r="E1396" s="94"/>
      <c r="F1396" s="96"/>
      <c r="G1396" s="94"/>
      <c r="H1396" s="96"/>
      <c r="I1396" s="96"/>
      <c r="J1396" s="92"/>
      <c r="K1396" s="97"/>
      <c r="L1396" s="99" t="str">
        <f ca="1">_xlfn.LET(
    _xlpm.res_no, J1396,
    _xlpm.record_sheet, 'MatRes Record'!J:M,
    _xlpm.AllCellsFilled, COUNTA(A1396:K1396) = 11,
    _xlpm.QtyIsInt, AND(ISNUMBER(G1396), G1396=INT(G1396)),
    _xlpm.ReqDateIsValid, AND(ISNUMBER(H1396), H1396&gt;=TODAY()),
    _xlpm.EmailIsValid, RIGHT(I1396,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IF(A1396="", "", IF(_xlpm.error_messages = "", "Yes", _xlpm.error_messages))
)</f>
        <v/>
      </c>
    </row>
    <row r="1397" spans="1:12">
      <c r="A1397" s="94"/>
      <c r="B1397" s="95"/>
      <c r="C1397" s="95"/>
      <c r="D1397" s="94"/>
      <c r="E1397" s="94"/>
      <c r="F1397" s="96"/>
      <c r="G1397" s="94"/>
      <c r="H1397" s="96"/>
      <c r="I1397" s="96"/>
      <c r="J1397" s="92"/>
      <c r="K1397" s="97"/>
      <c r="L1397" s="99" t="str">
        <f ca="1">_xlfn.LET(
    _xlpm.res_no, J1397,
    _xlpm.record_sheet, 'MatRes Record'!J:M,
    _xlpm.AllCellsFilled, COUNTA(A1397:K1397) = 11,
    _xlpm.QtyIsInt, AND(ISNUMBER(G1397), G1397=INT(G1397)),
    _xlpm.ReqDateIsValid, AND(ISNUMBER(H1397), H1397&gt;=TODAY()),
    _xlpm.EmailIsValid, RIGHT(I1397,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IF(A1397="", "", IF(_xlpm.error_messages = "", "Yes", _xlpm.error_messages))
)</f>
        <v/>
      </c>
    </row>
    <row r="1398" spans="1:12">
      <c r="A1398" s="94"/>
      <c r="B1398" s="95"/>
      <c r="C1398" s="95"/>
      <c r="D1398" s="94"/>
      <c r="E1398" s="94"/>
      <c r="F1398" s="96"/>
      <c r="G1398" s="94"/>
      <c r="H1398" s="96"/>
      <c r="I1398" s="96"/>
      <c r="J1398" s="92"/>
      <c r="K1398" s="97"/>
      <c r="L1398" s="99" t="str">
        <f ca="1">_xlfn.LET(
    _xlpm.res_no, J1398,
    _xlpm.record_sheet, 'MatRes Record'!J:M,
    _xlpm.AllCellsFilled, COUNTA(A1398:K1398) = 11,
    _xlpm.QtyIsInt, AND(ISNUMBER(G1398), G1398=INT(G1398)),
    _xlpm.ReqDateIsValid, AND(ISNUMBER(H1398), H1398&gt;=TODAY()),
    _xlpm.EmailIsValid, RIGHT(I1398,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IF(A1398="", "", IF(_xlpm.error_messages = "", "Yes", _xlpm.error_messages))
)</f>
        <v/>
      </c>
    </row>
    <row r="1399" spans="1:12">
      <c r="A1399" s="94"/>
      <c r="B1399" s="95"/>
      <c r="C1399" s="95"/>
      <c r="D1399" s="94"/>
      <c r="E1399" s="94"/>
      <c r="F1399" s="96"/>
      <c r="G1399" s="94"/>
      <c r="H1399" s="96"/>
      <c r="I1399" s="96"/>
      <c r="J1399" s="92"/>
      <c r="K1399" s="97"/>
      <c r="L1399" s="99" t="str">
        <f ca="1">_xlfn.LET(
    _xlpm.res_no, J1399,
    _xlpm.record_sheet, 'MatRes Record'!J:M,
    _xlpm.AllCellsFilled, COUNTA(A1399:K1399) = 11,
    _xlpm.QtyIsInt, AND(ISNUMBER(G1399), G1399=INT(G1399)),
    _xlpm.ReqDateIsValid, AND(ISNUMBER(H1399), H1399&gt;=TODAY()),
    _xlpm.EmailIsValid, RIGHT(I1399,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IF(A1399="", "", IF(_xlpm.error_messages = "", "Yes", _xlpm.error_messages))
)</f>
        <v/>
      </c>
    </row>
    <row r="1400" spans="1:12">
      <c r="A1400" s="94"/>
      <c r="B1400" s="95"/>
      <c r="C1400" s="95"/>
      <c r="D1400" s="94"/>
      <c r="E1400" s="94"/>
      <c r="F1400" s="96"/>
      <c r="G1400" s="94"/>
      <c r="H1400" s="96"/>
      <c r="I1400" s="96"/>
      <c r="J1400" s="92"/>
      <c r="K1400" s="97"/>
      <c r="L1400" s="99" t="str">
        <f ca="1">_xlfn.LET(
    _xlpm.res_no, J1400,
    _xlpm.record_sheet, 'MatRes Record'!J:M,
    _xlpm.AllCellsFilled, COUNTA(A1400:K1400) = 11,
    _xlpm.QtyIsInt, AND(ISNUMBER(G1400), G1400=INT(G1400)),
    _xlpm.ReqDateIsValid, AND(ISNUMBER(H1400), H1400&gt;=TODAY()),
    _xlpm.EmailIsValid, RIGHT(I1400,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IF(A1400="", "", IF(_xlpm.error_messages = "", "Yes", _xlpm.error_messages))
)</f>
        <v/>
      </c>
    </row>
    <row r="1401" spans="1:12">
      <c r="A1401" s="94"/>
      <c r="B1401" s="95"/>
      <c r="C1401" s="95"/>
      <c r="D1401" s="94"/>
      <c r="E1401" s="94"/>
      <c r="F1401" s="96"/>
      <c r="G1401" s="94"/>
      <c r="H1401" s="96"/>
      <c r="I1401" s="96"/>
      <c r="J1401" s="92"/>
      <c r="K1401" s="97"/>
      <c r="L1401" s="99" t="str">
        <f ca="1">_xlfn.LET(
    _xlpm.res_no, J1401,
    _xlpm.record_sheet, 'MatRes Record'!J:M,
    _xlpm.AllCellsFilled, COUNTA(A1401:K1401) = 11,
    _xlpm.QtyIsInt, AND(ISNUMBER(G1401), G1401=INT(G1401)),
    _xlpm.ReqDateIsValid, AND(ISNUMBER(H1401), H1401&gt;=TODAY()),
    _xlpm.EmailIsValid, RIGHT(I1401,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IF(A1401="", "", IF(_xlpm.error_messages = "", "Yes", _xlpm.error_messages))
)</f>
        <v/>
      </c>
    </row>
    <row r="1402" spans="1:12">
      <c r="A1402" s="94"/>
      <c r="B1402" s="95"/>
      <c r="C1402" s="95"/>
      <c r="D1402" s="94"/>
      <c r="E1402" s="94"/>
      <c r="F1402" s="96"/>
      <c r="G1402" s="94"/>
      <c r="H1402" s="96"/>
      <c r="I1402" s="96"/>
      <c r="J1402" s="92"/>
      <c r="K1402" s="97"/>
      <c r="L1402" s="99" t="str">
        <f ca="1">_xlfn.LET(
    _xlpm.res_no, J1402,
    _xlpm.record_sheet, 'MatRes Record'!J:M,
    _xlpm.AllCellsFilled, COUNTA(A1402:K1402) = 11,
    _xlpm.QtyIsInt, AND(ISNUMBER(G1402), G1402=INT(G1402)),
    _xlpm.ReqDateIsValid, AND(ISNUMBER(H1402), H1402&gt;=TODAY()),
    _xlpm.EmailIsValid, RIGHT(I1402,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IF(A1402="", "", IF(_xlpm.error_messages = "", "Yes", _xlpm.error_messages))
)</f>
        <v/>
      </c>
    </row>
    <row r="1403" spans="1:12">
      <c r="A1403" s="94"/>
      <c r="B1403" s="95"/>
      <c r="C1403" s="95"/>
      <c r="D1403" s="94"/>
      <c r="E1403" s="94"/>
      <c r="F1403" s="96"/>
      <c r="G1403" s="94"/>
      <c r="H1403" s="96"/>
      <c r="I1403" s="96"/>
      <c r="J1403" s="92"/>
      <c r="K1403" s="97"/>
      <c r="L1403" s="99" t="str">
        <f ca="1">_xlfn.LET(
    _xlpm.res_no, J1403,
    _xlpm.record_sheet, 'MatRes Record'!J:M,
    _xlpm.AllCellsFilled, COUNTA(A1403:K1403) = 11,
    _xlpm.QtyIsInt, AND(ISNUMBER(G1403), G1403=INT(G1403)),
    _xlpm.ReqDateIsValid, AND(ISNUMBER(H1403), H1403&gt;=TODAY()),
    _xlpm.EmailIsValid, RIGHT(I1403,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IF(A1403="", "", IF(_xlpm.error_messages = "", "Yes", _xlpm.error_messages))
)</f>
        <v/>
      </c>
    </row>
    <row r="1404" spans="1:12">
      <c r="A1404" s="94"/>
      <c r="B1404" s="95"/>
      <c r="C1404" s="95"/>
      <c r="D1404" s="94"/>
      <c r="E1404" s="94"/>
      <c r="F1404" s="96"/>
      <c r="G1404" s="94"/>
      <c r="H1404" s="96"/>
      <c r="I1404" s="96"/>
      <c r="J1404" s="92"/>
      <c r="K1404" s="97"/>
      <c r="L1404" s="99" t="str">
        <f ca="1">_xlfn.LET(
    _xlpm.res_no, J1404,
    _xlpm.record_sheet, 'MatRes Record'!J:M,
    _xlpm.AllCellsFilled, COUNTA(A1404:K1404) = 11,
    _xlpm.QtyIsInt, AND(ISNUMBER(G1404), G1404=INT(G1404)),
    _xlpm.ReqDateIsValid, AND(ISNUMBER(H1404), H1404&gt;=TODAY()),
    _xlpm.EmailIsValid, RIGHT(I1404,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IF(A1404="", "", IF(_xlpm.error_messages = "", "Yes", _xlpm.error_messages))
)</f>
        <v/>
      </c>
    </row>
    <row r="1405" spans="1:12">
      <c r="A1405" s="94"/>
      <c r="B1405" s="95"/>
      <c r="C1405" s="95"/>
      <c r="D1405" s="94"/>
      <c r="E1405" s="94"/>
      <c r="F1405" s="96"/>
      <c r="G1405" s="94"/>
      <c r="H1405" s="96"/>
      <c r="I1405" s="96"/>
      <c r="J1405" s="92"/>
      <c r="K1405" s="97"/>
      <c r="L1405" s="99" t="str">
        <f ca="1">_xlfn.LET(
    _xlpm.res_no, J1405,
    _xlpm.record_sheet, 'MatRes Record'!J:M,
    _xlpm.AllCellsFilled, COUNTA(A1405:K1405) = 11,
    _xlpm.QtyIsInt, AND(ISNUMBER(G1405), G1405=INT(G1405)),
    _xlpm.ReqDateIsValid, AND(ISNUMBER(H1405), H1405&gt;=TODAY()),
    _xlpm.EmailIsValid, RIGHT(I1405,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IF(A1405="", "", IF(_xlpm.error_messages = "", "Yes", _xlpm.error_messages))
)</f>
        <v/>
      </c>
    </row>
    <row r="1406" spans="1:12">
      <c r="A1406" s="94"/>
      <c r="B1406" s="95"/>
      <c r="C1406" s="95"/>
      <c r="D1406" s="94"/>
      <c r="E1406" s="94"/>
      <c r="F1406" s="96"/>
      <c r="G1406" s="94"/>
      <c r="H1406" s="96"/>
      <c r="I1406" s="96"/>
      <c r="J1406" s="92"/>
      <c r="K1406" s="97"/>
      <c r="L1406" s="99" t="str">
        <f ca="1">_xlfn.LET(
    _xlpm.res_no, J1406,
    _xlpm.record_sheet, 'MatRes Record'!J:M,
    _xlpm.AllCellsFilled, COUNTA(A1406:K1406) = 11,
    _xlpm.QtyIsInt, AND(ISNUMBER(G1406), G1406=INT(G1406)),
    _xlpm.ReqDateIsValid, AND(ISNUMBER(H1406), H1406&gt;=TODAY()),
    _xlpm.EmailIsValid, RIGHT(I1406,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IF(A1406="", "", IF(_xlpm.error_messages = "", "Yes", _xlpm.error_messages))
)</f>
        <v/>
      </c>
    </row>
    <row r="1407" spans="1:12">
      <c r="A1407" s="94"/>
      <c r="B1407" s="95"/>
      <c r="C1407" s="95"/>
      <c r="D1407" s="94"/>
      <c r="E1407" s="94"/>
      <c r="F1407" s="96"/>
      <c r="G1407" s="94"/>
      <c r="H1407" s="96"/>
      <c r="I1407" s="96"/>
      <c r="J1407" s="92"/>
      <c r="K1407" s="97"/>
      <c r="L1407" s="99" t="str">
        <f ca="1">_xlfn.LET(
    _xlpm.res_no, J1407,
    _xlpm.record_sheet, 'MatRes Record'!J:M,
    _xlpm.AllCellsFilled, COUNTA(A1407:K1407) = 11,
    _xlpm.QtyIsInt, AND(ISNUMBER(G1407), G1407=INT(G1407)),
    _xlpm.ReqDateIsValid, AND(ISNUMBER(H1407), H1407&gt;=TODAY()),
    _xlpm.EmailIsValid, RIGHT(I1407,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IF(A1407="", "", IF(_xlpm.error_messages = "", "Yes", _xlpm.error_messages))
)</f>
        <v/>
      </c>
    </row>
    <row r="1408" spans="1:12">
      <c r="A1408" s="94"/>
      <c r="B1408" s="95"/>
      <c r="C1408" s="95"/>
      <c r="D1408" s="94"/>
      <c r="E1408" s="94"/>
      <c r="F1408" s="96"/>
      <c r="G1408" s="94"/>
      <c r="H1408" s="96"/>
      <c r="I1408" s="96"/>
      <c r="J1408" s="92"/>
      <c r="K1408" s="97"/>
      <c r="L1408" s="99" t="str">
        <f ca="1">_xlfn.LET(
    _xlpm.res_no, J1408,
    _xlpm.record_sheet, 'MatRes Record'!J:M,
    _xlpm.AllCellsFilled, COUNTA(A1408:K1408) = 11,
    _xlpm.QtyIsInt, AND(ISNUMBER(G1408), G1408=INT(G1408)),
    _xlpm.ReqDateIsValid, AND(ISNUMBER(H1408), H1408&gt;=TODAY()),
    _xlpm.EmailIsValid, RIGHT(I1408,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IF(A1408="", "", IF(_xlpm.error_messages = "", "Yes", _xlpm.error_messages))
)</f>
        <v/>
      </c>
    </row>
    <row r="1409" spans="1:12">
      <c r="A1409" s="94"/>
      <c r="B1409" s="95"/>
      <c r="C1409" s="95"/>
      <c r="D1409" s="94"/>
      <c r="E1409" s="94"/>
      <c r="F1409" s="96"/>
      <c r="G1409" s="94"/>
      <c r="H1409" s="96"/>
      <c r="I1409" s="96"/>
      <c r="J1409" s="92"/>
      <c r="K1409" s="97"/>
      <c r="L1409" s="99" t="str">
        <f ca="1">_xlfn.LET(
    _xlpm.res_no, J1409,
    _xlpm.record_sheet, 'MatRes Record'!J:M,
    _xlpm.AllCellsFilled, COUNTA(A1409:K1409) = 11,
    _xlpm.QtyIsInt, AND(ISNUMBER(G1409), G1409=INT(G1409)),
    _xlpm.ReqDateIsValid, AND(ISNUMBER(H1409), H1409&gt;=TODAY()),
    _xlpm.EmailIsValid, RIGHT(I1409,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IF(A1409="", "", IF(_xlpm.error_messages = "", "Yes", _xlpm.error_messages))
)</f>
        <v/>
      </c>
    </row>
    <row r="1410" spans="1:12">
      <c r="A1410" s="94"/>
      <c r="B1410" s="95"/>
      <c r="C1410" s="95"/>
      <c r="D1410" s="94"/>
      <c r="E1410" s="94"/>
      <c r="F1410" s="96"/>
      <c r="G1410" s="94"/>
      <c r="H1410" s="96"/>
      <c r="I1410" s="96"/>
      <c r="J1410" s="92"/>
      <c r="K1410" s="97"/>
      <c r="L1410" s="99" t="str">
        <f ca="1">_xlfn.LET(
    _xlpm.res_no, J1410,
    _xlpm.record_sheet, 'MatRes Record'!J:M,
    _xlpm.AllCellsFilled, COUNTA(A1410:K1410) = 11,
    _xlpm.QtyIsInt, AND(ISNUMBER(G1410), G1410=INT(G1410)),
    _xlpm.ReqDateIsValid, AND(ISNUMBER(H1410), H1410&gt;=TODAY()),
    _xlpm.EmailIsValid, RIGHT(I1410,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IF(A1410="", "", IF(_xlpm.error_messages = "", "Yes", _xlpm.error_messages))
)</f>
        <v/>
      </c>
    </row>
    <row r="1411" spans="1:12">
      <c r="A1411" s="94"/>
      <c r="B1411" s="95"/>
      <c r="C1411" s="95"/>
      <c r="D1411" s="94"/>
      <c r="E1411" s="94"/>
      <c r="F1411" s="96"/>
      <c r="G1411" s="94"/>
      <c r="H1411" s="96"/>
      <c r="I1411" s="96"/>
      <c r="J1411" s="92"/>
      <c r="K1411" s="97"/>
      <c r="L1411" s="99" t="str">
        <f ca="1">_xlfn.LET(
    _xlpm.res_no, J1411,
    _xlpm.record_sheet, 'MatRes Record'!J:M,
    _xlpm.AllCellsFilled, COUNTA(A1411:K1411) = 11,
    _xlpm.QtyIsInt, AND(ISNUMBER(G1411), G1411=INT(G1411)),
    _xlpm.ReqDateIsValid, AND(ISNUMBER(H1411), H1411&gt;=TODAY()),
    _xlpm.EmailIsValid, RIGHT(I1411,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IF(A1411="", "", IF(_xlpm.error_messages = "", "Yes", _xlpm.error_messages))
)</f>
        <v/>
      </c>
    </row>
    <row r="1412" spans="1:12">
      <c r="A1412" s="94"/>
      <c r="B1412" s="95"/>
      <c r="C1412" s="95"/>
      <c r="D1412" s="94"/>
      <c r="E1412" s="94"/>
      <c r="F1412" s="96"/>
      <c r="G1412" s="94"/>
      <c r="H1412" s="96"/>
      <c r="I1412" s="96"/>
      <c r="J1412" s="92"/>
      <c r="K1412" s="97"/>
      <c r="L1412" s="99" t="str">
        <f ca="1">_xlfn.LET(
    _xlpm.res_no, J1412,
    _xlpm.record_sheet, 'MatRes Record'!J:M,
    _xlpm.AllCellsFilled, COUNTA(A1412:K1412) = 11,
    _xlpm.QtyIsInt, AND(ISNUMBER(G1412), G1412=INT(G1412)),
    _xlpm.ReqDateIsValid, AND(ISNUMBER(H1412), H1412&gt;=TODAY()),
    _xlpm.EmailIsValid, RIGHT(I1412,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IF(A1412="", "", IF(_xlpm.error_messages = "", "Yes", _xlpm.error_messages))
)</f>
        <v/>
      </c>
    </row>
    <row r="1413" spans="1:12">
      <c r="A1413" s="94"/>
      <c r="B1413" s="95"/>
      <c r="C1413" s="95"/>
      <c r="D1413" s="94"/>
      <c r="E1413" s="94"/>
      <c r="F1413" s="96"/>
      <c r="G1413" s="94"/>
      <c r="H1413" s="96"/>
      <c r="I1413" s="96"/>
      <c r="J1413" s="92"/>
      <c r="K1413" s="97"/>
      <c r="L1413" s="99" t="str">
        <f ca="1">_xlfn.LET(
    _xlpm.res_no, J1413,
    _xlpm.record_sheet, 'MatRes Record'!J:M,
    _xlpm.AllCellsFilled, COUNTA(A1413:K1413) = 11,
    _xlpm.QtyIsInt, AND(ISNUMBER(G1413), G1413=INT(G1413)),
    _xlpm.ReqDateIsValid, AND(ISNUMBER(H1413), H1413&gt;=TODAY()),
    _xlpm.EmailIsValid, RIGHT(I1413,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IF(A1413="", "", IF(_xlpm.error_messages = "", "Yes", _xlpm.error_messages))
)</f>
        <v/>
      </c>
    </row>
    <row r="1414" spans="1:12">
      <c r="A1414" s="94"/>
      <c r="B1414" s="95"/>
      <c r="C1414" s="95"/>
      <c r="D1414" s="94"/>
      <c r="E1414" s="94"/>
      <c r="F1414" s="96"/>
      <c r="G1414" s="94"/>
      <c r="H1414" s="96"/>
      <c r="I1414" s="96"/>
      <c r="J1414" s="92"/>
      <c r="K1414" s="97"/>
      <c r="L1414" s="99" t="str">
        <f ca="1">_xlfn.LET(
    _xlpm.res_no, J1414,
    _xlpm.record_sheet, 'MatRes Record'!J:M,
    _xlpm.AllCellsFilled, COUNTA(A1414:K1414) = 11,
    _xlpm.QtyIsInt, AND(ISNUMBER(G1414), G1414=INT(G1414)),
    _xlpm.ReqDateIsValid, AND(ISNUMBER(H1414), H1414&gt;=TODAY()),
    _xlpm.EmailIsValid, RIGHT(I1414,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IF(A1414="", "", IF(_xlpm.error_messages = "", "Yes", _xlpm.error_messages))
)</f>
        <v/>
      </c>
    </row>
    <row r="1415" spans="1:12">
      <c r="A1415" s="94"/>
      <c r="B1415" s="95"/>
      <c r="C1415" s="95"/>
      <c r="D1415" s="94"/>
      <c r="E1415" s="94"/>
      <c r="F1415" s="96"/>
      <c r="G1415" s="94"/>
      <c r="H1415" s="96"/>
      <c r="I1415" s="96"/>
      <c r="J1415" s="92"/>
      <c r="K1415" s="97"/>
      <c r="L1415" s="99" t="str">
        <f ca="1">_xlfn.LET(
    _xlpm.res_no, J1415,
    _xlpm.record_sheet, 'MatRes Record'!J:M,
    _xlpm.AllCellsFilled, COUNTA(A1415:K1415) = 11,
    _xlpm.QtyIsInt, AND(ISNUMBER(G1415), G1415=INT(G1415)),
    _xlpm.ReqDateIsValid, AND(ISNUMBER(H1415), H1415&gt;=TODAY()),
    _xlpm.EmailIsValid, RIGHT(I1415,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IF(A1415="", "", IF(_xlpm.error_messages = "", "Yes", _xlpm.error_messages))
)</f>
        <v/>
      </c>
    </row>
    <row r="1416" spans="1:12">
      <c r="A1416" s="94"/>
      <c r="B1416" s="95"/>
      <c r="C1416" s="95"/>
      <c r="D1416" s="94"/>
      <c r="E1416" s="94"/>
      <c r="F1416" s="96"/>
      <c r="G1416" s="94"/>
      <c r="H1416" s="96"/>
      <c r="I1416" s="96"/>
      <c r="J1416" s="92"/>
      <c r="K1416" s="97"/>
      <c r="L1416" s="99" t="str">
        <f ca="1">_xlfn.LET(
    _xlpm.res_no, J1416,
    _xlpm.record_sheet, 'MatRes Record'!J:M,
    _xlpm.AllCellsFilled, COUNTA(A1416:K1416) = 11,
    _xlpm.QtyIsInt, AND(ISNUMBER(G1416), G1416=INT(G1416)),
    _xlpm.ReqDateIsValid, AND(ISNUMBER(H1416), H1416&gt;=TODAY()),
    _xlpm.EmailIsValid, RIGHT(I1416,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IF(A1416="", "", IF(_xlpm.error_messages = "", "Yes", _xlpm.error_messages))
)</f>
        <v/>
      </c>
    </row>
    <row r="1417" spans="1:12">
      <c r="A1417" s="94"/>
      <c r="B1417" s="95"/>
      <c r="C1417" s="95"/>
      <c r="D1417" s="94"/>
      <c r="E1417" s="94"/>
      <c r="F1417" s="96"/>
      <c r="G1417" s="94"/>
      <c r="H1417" s="96"/>
      <c r="I1417" s="96"/>
      <c r="J1417" s="92"/>
      <c r="K1417" s="97"/>
      <c r="L1417" s="99" t="str">
        <f ca="1">_xlfn.LET(
    _xlpm.res_no, J1417,
    _xlpm.record_sheet, 'MatRes Record'!J:M,
    _xlpm.AllCellsFilled, COUNTA(A1417:K1417) = 11,
    _xlpm.QtyIsInt, AND(ISNUMBER(G1417), G1417=INT(G1417)),
    _xlpm.ReqDateIsValid, AND(ISNUMBER(H1417), H1417&gt;=TODAY()),
    _xlpm.EmailIsValid, RIGHT(I1417,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IF(A1417="", "", IF(_xlpm.error_messages = "", "Yes", _xlpm.error_messages))
)</f>
        <v/>
      </c>
    </row>
    <row r="1418" spans="1:12">
      <c r="A1418" s="94"/>
      <c r="B1418" s="95"/>
      <c r="C1418" s="95"/>
      <c r="D1418" s="94"/>
      <c r="E1418" s="94"/>
      <c r="F1418" s="96"/>
      <c r="G1418" s="94"/>
      <c r="H1418" s="96"/>
      <c r="I1418" s="96"/>
      <c r="J1418" s="92"/>
      <c r="K1418" s="97"/>
      <c r="L1418" s="99" t="str">
        <f ca="1">_xlfn.LET(
    _xlpm.res_no, J1418,
    _xlpm.record_sheet, 'MatRes Record'!J:M,
    _xlpm.AllCellsFilled, COUNTA(A1418:K1418) = 11,
    _xlpm.QtyIsInt, AND(ISNUMBER(G1418), G1418=INT(G1418)),
    _xlpm.ReqDateIsValid, AND(ISNUMBER(H1418), H1418&gt;=TODAY()),
    _xlpm.EmailIsValid, RIGHT(I1418,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IF(A1418="", "", IF(_xlpm.error_messages = "", "Yes", _xlpm.error_messages))
)</f>
        <v/>
      </c>
    </row>
    <row r="1419" spans="1:12">
      <c r="A1419" s="94"/>
      <c r="B1419" s="95"/>
      <c r="C1419" s="95"/>
      <c r="D1419" s="94"/>
      <c r="E1419" s="94"/>
      <c r="F1419" s="96"/>
      <c r="G1419" s="94"/>
      <c r="H1419" s="96"/>
      <c r="I1419" s="96"/>
      <c r="J1419" s="92"/>
      <c r="K1419" s="97"/>
      <c r="L1419" s="99" t="str">
        <f ca="1">_xlfn.LET(
    _xlpm.res_no, J1419,
    _xlpm.record_sheet, 'MatRes Record'!J:M,
    _xlpm.AllCellsFilled, COUNTA(A1419:K1419) = 11,
    _xlpm.QtyIsInt, AND(ISNUMBER(G1419), G1419=INT(G1419)),
    _xlpm.ReqDateIsValid, AND(ISNUMBER(H1419), H1419&gt;=TODAY()),
    _xlpm.EmailIsValid, RIGHT(I1419,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IF(A1419="", "", IF(_xlpm.error_messages = "", "Yes", _xlpm.error_messages))
)</f>
        <v/>
      </c>
    </row>
    <row r="1420" spans="1:12">
      <c r="A1420" s="94"/>
      <c r="B1420" s="95"/>
      <c r="C1420" s="95"/>
      <c r="D1420" s="94"/>
      <c r="E1420" s="94"/>
      <c r="F1420" s="96"/>
      <c r="G1420" s="94"/>
      <c r="H1420" s="96"/>
      <c r="I1420" s="96"/>
      <c r="J1420" s="92"/>
      <c r="K1420" s="97"/>
      <c r="L1420" s="99" t="str">
        <f ca="1">_xlfn.LET(
    _xlpm.res_no, J1420,
    _xlpm.record_sheet, 'MatRes Record'!J:M,
    _xlpm.AllCellsFilled, COUNTA(A1420:K1420) = 11,
    _xlpm.QtyIsInt, AND(ISNUMBER(G1420), G1420=INT(G1420)),
    _xlpm.ReqDateIsValid, AND(ISNUMBER(H1420), H1420&gt;=TODAY()),
    _xlpm.EmailIsValid, RIGHT(I1420,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IF(A1420="", "", IF(_xlpm.error_messages = "", "Yes", _xlpm.error_messages))
)</f>
        <v/>
      </c>
    </row>
    <row r="1421" spans="1:12">
      <c r="A1421" s="94"/>
      <c r="B1421" s="95"/>
      <c r="C1421" s="95"/>
      <c r="D1421" s="94"/>
      <c r="E1421" s="94"/>
      <c r="F1421" s="96"/>
      <c r="G1421" s="94"/>
      <c r="H1421" s="96"/>
      <c r="I1421" s="96"/>
      <c r="J1421" s="92"/>
      <c r="K1421" s="97"/>
      <c r="L1421" s="99" t="str">
        <f ca="1">_xlfn.LET(
    _xlpm.res_no, J1421,
    _xlpm.record_sheet, 'MatRes Record'!J:M,
    _xlpm.AllCellsFilled, COUNTA(A1421:K1421) = 11,
    _xlpm.QtyIsInt, AND(ISNUMBER(G1421), G1421=INT(G1421)),
    _xlpm.ReqDateIsValid, AND(ISNUMBER(H1421), H1421&gt;=TODAY()),
    _xlpm.EmailIsValid, RIGHT(I1421,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IF(A1421="", "", IF(_xlpm.error_messages = "", "Yes", _xlpm.error_messages))
)</f>
        <v/>
      </c>
    </row>
    <row r="1422" spans="1:12">
      <c r="A1422" s="94"/>
      <c r="B1422" s="95"/>
      <c r="C1422" s="95"/>
      <c r="D1422" s="94"/>
      <c r="E1422" s="94"/>
      <c r="F1422" s="96"/>
      <c r="G1422" s="94"/>
      <c r="H1422" s="96"/>
      <c r="I1422" s="96"/>
      <c r="J1422" s="92"/>
      <c r="K1422" s="97"/>
      <c r="L1422" s="99" t="str">
        <f ca="1">_xlfn.LET(
    _xlpm.res_no, J1422,
    _xlpm.record_sheet, 'MatRes Record'!J:M,
    _xlpm.AllCellsFilled, COUNTA(A1422:K1422) = 11,
    _xlpm.QtyIsInt, AND(ISNUMBER(G1422), G1422=INT(G1422)),
    _xlpm.ReqDateIsValid, AND(ISNUMBER(H1422), H1422&gt;=TODAY()),
    _xlpm.EmailIsValid, RIGHT(I1422,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IF(A1422="", "", IF(_xlpm.error_messages = "", "Yes", _xlpm.error_messages))
)</f>
        <v/>
      </c>
    </row>
    <row r="1423" spans="1:12">
      <c r="A1423" s="94"/>
      <c r="B1423" s="95"/>
      <c r="C1423" s="95"/>
      <c r="D1423" s="94"/>
      <c r="E1423" s="94"/>
      <c r="F1423" s="96"/>
      <c r="G1423" s="94"/>
      <c r="H1423" s="96"/>
      <c r="I1423" s="96"/>
      <c r="J1423" s="92"/>
      <c r="K1423" s="97"/>
      <c r="L1423" s="99" t="str">
        <f ca="1">_xlfn.LET(
    _xlpm.res_no, J1423,
    _xlpm.record_sheet, 'MatRes Record'!J:M,
    _xlpm.AllCellsFilled, COUNTA(A1423:K1423) = 11,
    _xlpm.QtyIsInt, AND(ISNUMBER(G1423), G1423=INT(G1423)),
    _xlpm.ReqDateIsValid, AND(ISNUMBER(H1423), H1423&gt;=TODAY()),
    _xlpm.EmailIsValid, RIGHT(I1423,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IF(A1423="", "", IF(_xlpm.error_messages = "", "Yes", _xlpm.error_messages))
)</f>
        <v/>
      </c>
    </row>
    <row r="1424" spans="1:12">
      <c r="A1424" s="94"/>
      <c r="B1424" s="95"/>
      <c r="C1424" s="95"/>
      <c r="D1424" s="94"/>
      <c r="E1424" s="94"/>
      <c r="F1424" s="96"/>
      <c r="G1424" s="94"/>
      <c r="H1424" s="96"/>
      <c r="I1424" s="96"/>
      <c r="J1424" s="92"/>
      <c r="K1424" s="97"/>
      <c r="L1424" s="99" t="str">
        <f ca="1">_xlfn.LET(
    _xlpm.res_no, J1424,
    _xlpm.record_sheet, 'MatRes Record'!J:M,
    _xlpm.AllCellsFilled, COUNTA(A1424:K1424) = 11,
    _xlpm.QtyIsInt, AND(ISNUMBER(G1424), G1424=INT(G1424)),
    _xlpm.ReqDateIsValid, AND(ISNUMBER(H1424), H1424&gt;=TODAY()),
    _xlpm.EmailIsValid, RIGHT(I1424,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IF(A1424="", "", IF(_xlpm.error_messages = "", "Yes", _xlpm.error_messages))
)</f>
        <v/>
      </c>
    </row>
    <row r="1425" spans="1:12">
      <c r="A1425" s="94"/>
      <c r="B1425" s="95"/>
      <c r="C1425" s="95"/>
      <c r="D1425" s="94"/>
      <c r="E1425" s="94"/>
      <c r="F1425" s="96"/>
      <c r="G1425" s="94"/>
      <c r="H1425" s="96"/>
      <c r="I1425" s="96"/>
      <c r="J1425" s="92"/>
      <c r="K1425" s="97"/>
      <c r="L1425" s="99" t="str">
        <f ca="1">_xlfn.LET(
    _xlpm.res_no, J1425,
    _xlpm.record_sheet, 'MatRes Record'!J:M,
    _xlpm.AllCellsFilled, COUNTA(A1425:K1425) = 11,
    _xlpm.QtyIsInt, AND(ISNUMBER(G1425), G1425=INT(G1425)),
    _xlpm.ReqDateIsValid, AND(ISNUMBER(H1425), H1425&gt;=TODAY()),
    _xlpm.EmailIsValid, RIGHT(I1425,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IF(A1425="", "", IF(_xlpm.error_messages = "", "Yes", _xlpm.error_messages))
)</f>
        <v/>
      </c>
    </row>
    <row r="1426" spans="1:12">
      <c r="A1426" s="94"/>
      <c r="B1426" s="95"/>
      <c r="C1426" s="95"/>
      <c r="D1426" s="94"/>
      <c r="E1426" s="94"/>
      <c r="F1426" s="96"/>
      <c r="G1426" s="94"/>
      <c r="H1426" s="96"/>
      <c r="I1426" s="96"/>
      <c r="J1426" s="92"/>
      <c r="K1426" s="97"/>
      <c r="L1426" s="99" t="str">
        <f ca="1">_xlfn.LET(
    _xlpm.res_no, J1426,
    _xlpm.record_sheet, 'MatRes Record'!J:M,
    _xlpm.AllCellsFilled, COUNTA(A1426:K1426) = 11,
    _xlpm.QtyIsInt, AND(ISNUMBER(G1426), G1426=INT(G1426)),
    _xlpm.ReqDateIsValid, AND(ISNUMBER(H1426), H1426&gt;=TODAY()),
    _xlpm.EmailIsValid, RIGHT(I1426,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IF(A1426="", "", IF(_xlpm.error_messages = "", "Yes", _xlpm.error_messages))
)</f>
        <v/>
      </c>
    </row>
    <row r="1427" spans="1:12">
      <c r="A1427" s="94"/>
      <c r="B1427" s="95"/>
      <c r="C1427" s="95"/>
      <c r="D1427" s="94"/>
      <c r="E1427" s="94"/>
      <c r="F1427" s="96"/>
      <c r="G1427" s="94"/>
      <c r="H1427" s="96"/>
      <c r="I1427" s="96"/>
      <c r="J1427" s="92"/>
      <c r="K1427" s="97"/>
      <c r="L1427" s="99" t="str">
        <f ca="1">_xlfn.LET(
    _xlpm.res_no, J1427,
    _xlpm.record_sheet, 'MatRes Record'!J:M,
    _xlpm.AllCellsFilled, COUNTA(A1427:K1427) = 11,
    _xlpm.QtyIsInt, AND(ISNUMBER(G1427), G1427=INT(G1427)),
    _xlpm.ReqDateIsValid, AND(ISNUMBER(H1427), H1427&gt;=TODAY()),
    _xlpm.EmailIsValid, RIGHT(I1427,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IF(A1427="", "", IF(_xlpm.error_messages = "", "Yes", _xlpm.error_messages))
)</f>
        <v/>
      </c>
    </row>
    <row r="1428" spans="1:12">
      <c r="A1428" s="94"/>
      <c r="B1428" s="95"/>
      <c r="C1428" s="95"/>
      <c r="D1428" s="94"/>
      <c r="E1428" s="94"/>
      <c r="F1428" s="96"/>
      <c r="G1428" s="94"/>
      <c r="H1428" s="96"/>
      <c r="I1428" s="96"/>
      <c r="J1428" s="92"/>
      <c r="K1428" s="97"/>
      <c r="L1428" s="99" t="str">
        <f ca="1">_xlfn.LET(
    _xlpm.res_no, J1428,
    _xlpm.record_sheet, 'MatRes Record'!J:M,
    _xlpm.AllCellsFilled, COUNTA(A1428:K1428) = 11,
    _xlpm.QtyIsInt, AND(ISNUMBER(G1428), G1428=INT(G1428)),
    _xlpm.ReqDateIsValid, AND(ISNUMBER(H1428), H1428&gt;=TODAY()),
    _xlpm.EmailIsValid, RIGHT(I1428,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IF(A1428="", "", IF(_xlpm.error_messages = "", "Yes", _xlpm.error_messages))
)</f>
        <v/>
      </c>
    </row>
    <row r="1429" spans="1:12">
      <c r="A1429" s="94"/>
      <c r="B1429" s="95"/>
      <c r="C1429" s="95"/>
      <c r="D1429" s="94"/>
      <c r="E1429" s="94"/>
      <c r="F1429" s="96"/>
      <c r="G1429" s="94"/>
      <c r="H1429" s="96"/>
      <c r="I1429" s="96"/>
      <c r="J1429" s="92"/>
      <c r="K1429" s="97"/>
      <c r="L1429" s="99" t="str">
        <f ca="1">_xlfn.LET(
    _xlpm.res_no, J1429,
    _xlpm.record_sheet, 'MatRes Record'!J:M,
    _xlpm.AllCellsFilled, COUNTA(A1429:K1429) = 11,
    _xlpm.QtyIsInt, AND(ISNUMBER(G1429), G1429=INT(G1429)),
    _xlpm.ReqDateIsValid, AND(ISNUMBER(H1429), H1429&gt;=TODAY()),
    _xlpm.EmailIsValid, RIGHT(I1429,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IF(A1429="", "", IF(_xlpm.error_messages = "", "Yes", _xlpm.error_messages))
)</f>
        <v/>
      </c>
    </row>
    <row r="1430" spans="1:12">
      <c r="A1430" s="94"/>
      <c r="B1430" s="95"/>
      <c r="C1430" s="95"/>
      <c r="D1430" s="94"/>
      <c r="E1430" s="94"/>
      <c r="F1430" s="96"/>
      <c r="G1430" s="94"/>
      <c r="H1430" s="96"/>
      <c r="I1430" s="96"/>
      <c r="J1430" s="92"/>
      <c r="K1430" s="97"/>
      <c r="L1430" s="99" t="str">
        <f ca="1">_xlfn.LET(
    _xlpm.res_no, J1430,
    _xlpm.record_sheet, 'MatRes Record'!J:M,
    _xlpm.AllCellsFilled, COUNTA(A1430:K1430) = 11,
    _xlpm.QtyIsInt, AND(ISNUMBER(G1430), G1430=INT(G1430)),
    _xlpm.ReqDateIsValid, AND(ISNUMBER(H1430), H1430&gt;=TODAY()),
    _xlpm.EmailIsValid, RIGHT(I1430,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IF(A1430="", "", IF(_xlpm.error_messages = "", "Yes", _xlpm.error_messages))
)</f>
        <v/>
      </c>
    </row>
    <row r="1431" spans="1:12">
      <c r="A1431" s="94"/>
      <c r="B1431" s="95"/>
      <c r="C1431" s="95"/>
      <c r="D1431" s="94"/>
      <c r="E1431" s="94"/>
      <c r="F1431" s="96"/>
      <c r="G1431" s="94"/>
      <c r="H1431" s="96"/>
      <c r="I1431" s="96"/>
      <c r="J1431" s="92"/>
      <c r="K1431" s="97"/>
      <c r="L1431" s="99" t="str">
        <f ca="1">_xlfn.LET(
    _xlpm.res_no, J1431,
    _xlpm.record_sheet, 'MatRes Record'!J:M,
    _xlpm.AllCellsFilled, COUNTA(A1431:K1431) = 11,
    _xlpm.QtyIsInt, AND(ISNUMBER(G1431), G1431=INT(G1431)),
    _xlpm.ReqDateIsValid, AND(ISNUMBER(H1431), H1431&gt;=TODAY()),
    _xlpm.EmailIsValid, RIGHT(I1431,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IF(A1431="", "", IF(_xlpm.error_messages = "", "Yes", _xlpm.error_messages))
)</f>
        <v/>
      </c>
    </row>
    <row r="1432" spans="1:12">
      <c r="A1432" s="94"/>
      <c r="B1432" s="95"/>
      <c r="C1432" s="95"/>
      <c r="D1432" s="94"/>
      <c r="E1432" s="94"/>
      <c r="F1432" s="96"/>
      <c r="G1432" s="94"/>
      <c r="H1432" s="96"/>
      <c r="I1432" s="96"/>
      <c r="J1432" s="92"/>
      <c r="K1432" s="97"/>
      <c r="L1432" s="99" t="str">
        <f ca="1">_xlfn.LET(
    _xlpm.res_no, J1432,
    _xlpm.record_sheet, 'MatRes Record'!J:M,
    _xlpm.AllCellsFilled, COUNTA(A1432:K1432) = 11,
    _xlpm.QtyIsInt, AND(ISNUMBER(G1432), G1432=INT(G1432)),
    _xlpm.ReqDateIsValid, AND(ISNUMBER(H1432), H1432&gt;=TODAY()),
    _xlpm.EmailIsValid, RIGHT(I1432,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IF(A1432="", "", IF(_xlpm.error_messages = "", "Yes", _xlpm.error_messages))
)</f>
        <v/>
      </c>
    </row>
    <row r="1433" spans="1:12">
      <c r="A1433" s="94"/>
      <c r="B1433" s="95"/>
      <c r="C1433" s="95"/>
      <c r="D1433" s="94"/>
      <c r="E1433" s="94"/>
      <c r="F1433" s="96"/>
      <c r="G1433" s="94"/>
      <c r="H1433" s="96"/>
      <c r="I1433" s="96"/>
      <c r="J1433" s="92"/>
      <c r="K1433" s="97"/>
      <c r="L1433" s="99" t="str">
        <f ca="1">_xlfn.LET(
    _xlpm.res_no, J1433,
    _xlpm.record_sheet, 'MatRes Record'!J:M,
    _xlpm.AllCellsFilled, COUNTA(A1433:K1433) = 11,
    _xlpm.QtyIsInt, AND(ISNUMBER(G1433), G1433=INT(G1433)),
    _xlpm.ReqDateIsValid, AND(ISNUMBER(H1433), H1433&gt;=TODAY()),
    _xlpm.EmailIsValid, RIGHT(I1433,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IF(A1433="", "", IF(_xlpm.error_messages = "", "Yes", _xlpm.error_messages))
)</f>
        <v/>
      </c>
    </row>
    <row r="1434" spans="1:12">
      <c r="A1434" s="94"/>
      <c r="B1434" s="95"/>
      <c r="C1434" s="95"/>
      <c r="D1434" s="94"/>
      <c r="E1434" s="94"/>
      <c r="F1434" s="96"/>
      <c r="G1434" s="94"/>
      <c r="H1434" s="96"/>
      <c r="I1434" s="96"/>
      <c r="J1434" s="92"/>
      <c r="K1434" s="97"/>
      <c r="L1434" s="99" t="str">
        <f ca="1">_xlfn.LET(
    _xlpm.res_no, J1434,
    _xlpm.record_sheet, 'MatRes Record'!J:M,
    _xlpm.AllCellsFilled, COUNTA(A1434:K1434) = 11,
    _xlpm.QtyIsInt, AND(ISNUMBER(G1434), G1434=INT(G1434)),
    _xlpm.ReqDateIsValid, AND(ISNUMBER(H1434), H1434&gt;=TODAY()),
    _xlpm.EmailIsValid, RIGHT(I1434,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IF(A1434="", "", IF(_xlpm.error_messages = "", "Yes", _xlpm.error_messages))
)</f>
        <v/>
      </c>
    </row>
    <row r="1435" spans="1:12">
      <c r="A1435" s="94"/>
      <c r="B1435" s="95"/>
      <c r="C1435" s="95"/>
      <c r="D1435" s="94"/>
      <c r="E1435" s="94"/>
      <c r="F1435" s="96"/>
      <c r="G1435" s="94"/>
      <c r="H1435" s="96"/>
      <c r="I1435" s="96"/>
      <c r="J1435" s="92"/>
      <c r="K1435" s="97"/>
      <c r="L1435" s="99" t="str">
        <f ca="1">_xlfn.LET(
    _xlpm.res_no, J1435,
    _xlpm.record_sheet, 'MatRes Record'!J:M,
    _xlpm.AllCellsFilled, COUNTA(A1435:K1435) = 11,
    _xlpm.QtyIsInt, AND(ISNUMBER(G1435), G1435=INT(G1435)),
    _xlpm.ReqDateIsValid, AND(ISNUMBER(H1435), H1435&gt;=TODAY()),
    _xlpm.EmailIsValid, RIGHT(I1435,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IF(A1435="", "", IF(_xlpm.error_messages = "", "Yes", _xlpm.error_messages))
)</f>
        <v/>
      </c>
    </row>
    <row r="1436" spans="1:12">
      <c r="A1436" s="94"/>
      <c r="B1436" s="95"/>
      <c r="C1436" s="95"/>
      <c r="D1436" s="94"/>
      <c r="E1436" s="94"/>
      <c r="F1436" s="96"/>
      <c r="G1436" s="94"/>
      <c r="H1436" s="96"/>
      <c r="I1436" s="96"/>
      <c r="J1436" s="92"/>
      <c r="K1436" s="97"/>
      <c r="L1436" s="99" t="str">
        <f ca="1">_xlfn.LET(
    _xlpm.res_no, J1436,
    _xlpm.record_sheet, 'MatRes Record'!J:M,
    _xlpm.AllCellsFilled, COUNTA(A1436:K1436) = 11,
    _xlpm.QtyIsInt, AND(ISNUMBER(G1436), G1436=INT(G1436)),
    _xlpm.ReqDateIsValid, AND(ISNUMBER(H1436), H1436&gt;=TODAY()),
    _xlpm.EmailIsValid, RIGHT(I1436,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IF(A1436="", "", IF(_xlpm.error_messages = "", "Yes", _xlpm.error_messages))
)</f>
        <v/>
      </c>
    </row>
    <row r="1437" spans="1:12">
      <c r="A1437" s="94"/>
      <c r="B1437" s="95"/>
      <c r="C1437" s="95"/>
      <c r="D1437" s="94"/>
      <c r="E1437" s="94"/>
      <c r="F1437" s="96"/>
      <c r="G1437" s="94"/>
      <c r="H1437" s="96"/>
      <c r="I1437" s="96"/>
      <c r="J1437" s="92"/>
      <c r="K1437" s="97"/>
      <c r="L1437" s="99" t="str">
        <f ca="1">_xlfn.LET(
    _xlpm.res_no, J1437,
    _xlpm.record_sheet, 'MatRes Record'!J:M,
    _xlpm.AllCellsFilled, COUNTA(A1437:K1437) = 11,
    _xlpm.QtyIsInt, AND(ISNUMBER(G1437), G1437=INT(G1437)),
    _xlpm.ReqDateIsValid, AND(ISNUMBER(H1437), H1437&gt;=TODAY()),
    _xlpm.EmailIsValid, RIGHT(I1437,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IF(A1437="", "", IF(_xlpm.error_messages = "", "Yes", _xlpm.error_messages))
)</f>
        <v/>
      </c>
    </row>
    <row r="1438" spans="1:12">
      <c r="A1438" s="94"/>
      <c r="B1438" s="95"/>
      <c r="C1438" s="95"/>
      <c r="D1438" s="94"/>
      <c r="E1438" s="94"/>
      <c r="F1438" s="96"/>
      <c r="G1438" s="94"/>
      <c r="H1438" s="96"/>
      <c r="I1438" s="96"/>
      <c r="J1438" s="92"/>
      <c r="K1438" s="97"/>
      <c r="L1438" s="99" t="str">
        <f ca="1">_xlfn.LET(
    _xlpm.res_no, J1438,
    _xlpm.record_sheet, 'MatRes Record'!J:M,
    _xlpm.AllCellsFilled, COUNTA(A1438:K1438) = 11,
    _xlpm.QtyIsInt, AND(ISNUMBER(G1438), G1438=INT(G1438)),
    _xlpm.ReqDateIsValid, AND(ISNUMBER(H1438), H1438&gt;=TODAY()),
    _xlpm.EmailIsValid, RIGHT(I1438,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IF(A1438="", "", IF(_xlpm.error_messages = "", "Yes", _xlpm.error_messages))
)</f>
        <v/>
      </c>
    </row>
    <row r="1439" spans="1:12">
      <c r="A1439" s="94"/>
      <c r="B1439" s="95"/>
      <c r="C1439" s="95"/>
      <c r="D1439" s="94"/>
      <c r="E1439" s="94"/>
      <c r="F1439" s="96"/>
      <c r="G1439" s="94"/>
      <c r="H1439" s="96"/>
      <c r="I1439" s="96"/>
      <c r="J1439" s="92"/>
      <c r="K1439" s="97"/>
      <c r="L1439" s="99" t="str">
        <f ca="1">_xlfn.LET(
    _xlpm.res_no, J1439,
    _xlpm.record_sheet, 'MatRes Record'!J:M,
    _xlpm.AllCellsFilled, COUNTA(A1439:K1439) = 11,
    _xlpm.QtyIsInt, AND(ISNUMBER(G1439), G1439=INT(G1439)),
    _xlpm.ReqDateIsValid, AND(ISNUMBER(H1439), H1439&gt;=TODAY()),
    _xlpm.EmailIsValid, RIGHT(I1439,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IF(A1439="", "", IF(_xlpm.error_messages = "", "Yes", _xlpm.error_messages))
)</f>
        <v/>
      </c>
    </row>
    <row r="1440" spans="1:12">
      <c r="A1440" s="94"/>
      <c r="B1440" s="95"/>
      <c r="C1440" s="95"/>
      <c r="D1440" s="94"/>
      <c r="E1440" s="94"/>
      <c r="F1440" s="96"/>
      <c r="G1440" s="94"/>
      <c r="H1440" s="96"/>
      <c r="I1440" s="96"/>
      <c r="J1440" s="92"/>
      <c r="K1440" s="97"/>
      <c r="L1440" s="99" t="str">
        <f ca="1">_xlfn.LET(
    _xlpm.res_no, J1440,
    _xlpm.record_sheet, 'MatRes Record'!J:M,
    _xlpm.AllCellsFilled, COUNTA(A1440:K1440) = 11,
    _xlpm.QtyIsInt, AND(ISNUMBER(G1440), G1440=INT(G1440)),
    _xlpm.ReqDateIsValid, AND(ISNUMBER(H1440), H1440&gt;=TODAY()),
    _xlpm.EmailIsValid, RIGHT(I1440,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IF(A1440="", "", IF(_xlpm.error_messages = "", "Yes", _xlpm.error_messages))
)</f>
        <v/>
      </c>
    </row>
    <row r="1441" spans="1:12">
      <c r="A1441" s="94"/>
      <c r="B1441" s="95"/>
      <c r="C1441" s="95"/>
      <c r="D1441" s="94"/>
      <c r="E1441" s="94"/>
      <c r="F1441" s="96"/>
      <c r="G1441" s="94"/>
      <c r="H1441" s="96"/>
      <c r="I1441" s="96"/>
      <c r="J1441" s="92"/>
      <c r="K1441" s="97"/>
      <c r="L1441" s="99" t="str">
        <f ca="1">_xlfn.LET(
    _xlpm.res_no, J1441,
    _xlpm.record_sheet, 'MatRes Record'!J:M,
    _xlpm.AllCellsFilled, COUNTA(A1441:K1441) = 11,
    _xlpm.QtyIsInt, AND(ISNUMBER(G1441), G1441=INT(G1441)),
    _xlpm.ReqDateIsValid, AND(ISNUMBER(H1441), H1441&gt;=TODAY()),
    _xlpm.EmailIsValid, RIGHT(I1441,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IF(A1441="", "", IF(_xlpm.error_messages = "", "Yes", _xlpm.error_messages))
)</f>
        <v/>
      </c>
    </row>
    <row r="1442" spans="1:12">
      <c r="A1442" s="94"/>
      <c r="B1442" s="95"/>
      <c r="C1442" s="95"/>
      <c r="D1442" s="94"/>
      <c r="E1442" s="94"/>
      <c r="F1442" s="96"/>
      <c r="G1442" s="94"/>
      <c r="H1442" s="96"/>
      <c r="I1442" s="96"/>
      <c r="J1442" s="92"/>
      <c r="K1442" s="97"/>
      <c r="L1442" s="99" t="str">
        <f ca="1">_xlfn.LET(
    _xlpm.res_no, J1442,
    _xlpm.record_sheet, 'MatRes Record'!J:M,
    _xlpm.AllCellsFilled, COUNTA(A1442:K1442) = 11,
    _xlpm.QtyIsInt, AND(ISNUMBER(G1442), G1442=INT(G1442)),
    _xlpm.ReqDateIsValid, AND(ISNUMBER(H1442), H1442&gt;=TODAY()),
    _xlpm.EmailIsValid, RIGHT(I1442,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IF(A1442="", "", IF(_xlpm.error_messages = "", "Yes", _xlpm.error_messages))
)</f>
        <v/>
      </c>
    </row>
    <row r="1443" spans="1:12">
      <c r="A1443" s="94"/>
      <c r="B1443" s="95"/>
      <c r="C1443" s="95"/>
      <c r="D1443" s="94"/>
      <c r="E1443" s="94"/>
      <c r="F1443" s="96"/>
      <c r="G1443" s="94"/>
      <c r="H1443" s="96"/>
      <c r="I1443" s="96"/>
      <c r="J1443" s="92"/>
      <c r="K1443" s="97"/>
      <c r="L1443" s="99" t="str">
        <f ca="1">_xlfn.LET(
    _xlpm.res_no, J1443,
    _xlpm.record_sheet, 'MatRes Record'!J:M,
    _xlpm.AllCellsFilled, COUNTA(A1443:K1443) = 11,
    _xlpm.QtyIsInt, AND(ISNUMBER(G1443), G1443=INT(G1443)),
    _xlpm.ReqDateIsValid, AND(ISNUMBER(H1443), H1443&gt;=TODAY()),
    _xlpm.EmailIsValid, RIGHT(I1443,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IF(A1443="", "", IF(_xlpm.error_messages = "", "Yes", _xlpm.error_messages))
)</f>
        <v/>
      </c>
    </row>
    <row r="1444" spans="1:12">
      <c r="A1444" s="94"/>
      <c r="B1444" s="95"/>
      <c r="C1444" s="95"/>
      <c r="D1444" s="94"/>
      <c r="E1444" s="94"/>
      <c r="F1444" s="96"/>
      <c r="G1444" s="94"/>
      <c r="H1444" s="96"/>
      <c r="I1444" s="96"/>
      <c r="J1444" s="92"/>
      <c r="K1444" s="97"/>
      <c r="L1444" s="99" t="str">
        <f ca="1">_xlfn.LET(
    _xlpm.res_no, J1444,
    _xlpm.record_sheet, 'MatRes Record'!J:M,
    _xlpm.AllCellsFilled, COUNTA(A1444:K1444) = 11,
    _xlpm.QtyIsInt, AND(ISNUMBER(G1444), G1444=INT(G1444)),
    _xlpm.ReqDateIsValid, AND(ISNUMBER(H1444), H1444&gt;=TODAY()),
    _xlpm.EmailIsValid, RIGHT(I1444,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IF(A1444="", "", IF(_xlpm.error_messages = "", "Yes", _xlpm.error_messages))
)</f>
        <v/>
      </c>
    </row>
    <row r="1445" spans="1:12">
      <c r="A1445" s="94"/>
      <c r="B1445" s="95"/>
      <c r="C1445" s="95"/>
      <c r="D1445" s="94"/>
      <c r="E1445" s="94"/>
      <c r="F1445" s="96"/>
      <c r="G1445" s="94"/>
      <c r="H1445" s="96"/>
      <c r="I1445" s="96"/>
      <c r="J1445" s="92"/>
      <c r="K1445" s="97"/>
      <c r="L1445" s="99" t="str">
        <f ca="1">_xlfn.LET(
    _xlpm.res_no, J1445,
    _xlpm.record_sheet, 'MatRes Record'!J:M,
    _xlpm.AllCellsFilled, COUNTA(A1445:K1445) = 11,
    _xlpm.QtyIsInt, AND(ISNUMBER(G1445), G1445=INT(G1445)),
    _xlpm.ReqDateIsValid, AND(ISNUMBER(H1445), H1445&gt;=TODAY()),
    _xlpm.EmailIsValid, RIGHT(I1445,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IF(A1445="", "", IF(_xlpm.error_messages = "", "Yes", _xlpm.error_messages))
)</f>
        <v/>
      </c>
    </row>
    <row r="1446" spans="1:12">
      <c r="A1446" s="94"/>
      <c r="B1446" s="95"/>
      <c r="C1446" s="95"/>
      <c r="D1446" s="94"/>
      <c r="E1446" s="94"/>
      <c r="F1446" s="96"/>
      <c r="G1446" s="94"/>
      <c r="H1446" s="96"/>
      <c r="I1446" s="96"/>
      <c r="J1446" s="92"/>
      <c r="K1446" s="97"/>
      <c r="L1446" s="99" t="str">
        <f ca="1">_xlfn.LET(
    _xlpm.res_no, J1446,
    _xlpm.record_sheet, 'MatRes Record'!J:M,
    _xlpm.AllCellsFilled, COUNTA(A1446:K1446) = 11,
    _xlpm.QtyIsInt, AND(ISNUMBER(G1446), G1446=INT(G1446)),
    _xlpm.ReqDateIsValid, AND(ISNUMBER(H1446), H1446&gt;=TODAY()),
    _xlpm.EmailIsValid, RIGHT(I1446,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IF(A1446="", "", IF(_xlpm.error_messages = "", "Yes", _xlpm.error_messages))
)</f>
        <v/>
      </c>
    </row>
    <row r="1447" spans="1:12">
      <c r="A1447" s="94"/>
      <c r="B1447" s="95"/>
      <c r="C1447" s="95"/>
      <c r="D1447" s="94"/>
      <c r="E1447" s="94"/>
      <c r="F1447" s="96"/>
      <c r="G1447" s="94"/>
      <c r="H1447" s="96"/>
      <c r="I1447" s="96"/>
      <c r="J1447" s="92"/>
      <c r="K1447" s="97"/>
      <c r="L1447" s="99" t="str">
        <f ca="1">_xlfn.LET(
    _xlpm.res_no, J1447,
    _xlpm.record_sheet, 'MatRes Record'!J:M,
    _xlpm.AllCellsFilled, COUNTA(A1447:K1447) = 11,
    _xlpm.QtyIsInt, AND(ISNUMBER(G1447), G1447=INT(G1447)),
    _xlpm.ReqDateIsValid, AND(ISNUMBER(H1447), H1447&gt;=TODAY()),
    _xlpm.EmailIsValid, RIGHT(I1447,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IF(A1447="", "", IF(_xlpm.error_messages = "", "Yes", _xlpm.error_messages))
)</f>
        <v/>
      </c>
    </row>
    <row r="1448" spans="1:12">
      <c r="A1448" s="94"/>
      <c r="B1448" s="95"/>
      <c r="C1448" s="95"/>
      <c r="D1448" s="94"/>
      <c r="E1448" s="94"/>
      <c r="F1448" s="96"/>
      <c r="G1448" s="94"/>
      <c r="H1448" s="96"/>
      <c r="I1448" s="96"/>
      <c r="J1448" s="92"/>
      <c r="K1448" s="97"/>
      <c r="L1448" s="99" t="str">
        <f ca="1">_xlfn.LET(
    _xlpm.res_no, J1448,
    _xlpm.record_sheet, 'MatRes Record'!J:M,
    _xlpm.AllCellsFilled, COUNTA(A1448:K1448) = 11,
    _xlpm.QtyIsInt, AND(ISNUMBER(G1448), G1448=INT(G1448)),
    _xlpm.ReqDateIsValid, AND(ISNUMBER(H1448), H1448&gt;=TODAY()),
    _xlpm.EmailIsValid, RIGHT(I1448,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IF(A1448="", "", IF(_xlpm.error_messages = "", "Yes", _xlpm.error_messages))
)</f>
        <v/>
      </c>
    </row>
    <row r="1449" spans="1:12">
      <c r="A1449" s="94"/>
      <c r="B1449" s="95"/>
      <c r="C1449" s="95"/>
      <c r="D1449" s="94"/>
      <c r="E1449" s="94"/>
      <c r="F1449" s="96"/>
      <c r="G1449" s="94"/>
      <c r="H1449" s="96"/>
      <c r="I1449" s="96"/>
      <c r="J1449" s="92"/>
      <c r="K1449" s="97"/>
      <c r="L1449" s="99" t="str">
        <f ca="1">_xlfn.LET(
    _xlpm.res_no, J1449,
    _xlpm.record_sheet, 'MatRes Record'!J:M,
    _xlpm.AllCellsFilled, COUNTA(A1449:K1449) = 11,
    _xlpm.QtyIsInt, AND(ISNUMBER(G1449), G1449=INT(G1449)),
    _xlpm.ReqDateIsValid, AND(ISNUMBER(H1449), H1449&gt;=TODAY()),
    _xlpm.EmailIsValid, RIGHT(I1449,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IF(A1449="", "", IF(_xlpm.error_messages = "", "Yes", _xlpm.error_messages))
)</f>
        <v/>
      </c>
    </row>
    <row r="1450" spans="1:12">
      <c r="A1450" s="94"/>
      <c r="B1450" s="95"/>
      <c r="C1450" s="95"/>
      <c r="D1450" s="94"/>
      <c r="E1450" s="94"/>
      <c r="F1450" s="96"/>
      <c r="G1450" s="94"/>
      <c r="H1450" s="96"/>
      <c r="I1450" s="96"/>
      <c r="J1450" s="92"/>
      <c r="K1450" s="97"/>
      <c r="L1450" s="99" t="str">
        <f ca="1">_xlfn.LET(
    _xlpm.res_no, J1450,
    _xlpm.record_sheet, 'MatRes Record'!J:M,
    _xlpm.AllCellsFilled, COUNTA(A1450:K1450) = 11,
    _xlpm.QtyIsInt, AND(ISNUMBER(G1450), G1450=INT(G1450)),
    _xlpm.ReqDateIsValid, AND(ISNUMBER(H1450), H1450&gt;=TODAY()),
    _xlpm.EmailIsValid, RIGHT(I1450,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IF(A1450="", "", IF(_xlpm.error_messages = "", "Yes", _xlpm.error_messages))
)</f>
        <v/>
      </c>
    </row>
    <row r="1451" spans="1:12">
      <c r="A1451" s="94"/>
      <c r="B1451" s="95"/>
      <c r="C1451" s="95"/>
      <c r="D1451" s="94"/>
      <c r="E1451" s="94"/>
      <c r="F1451" s="96"/>
      <c r="G1451" s="94"/>
      <c r="H1451" s="96"/>
      <c r="I1451" s="96"/>
      <c r="J1451" s="92"/>
      <c r="K1451" s="97"/>
      <c r="L1451" s="99" t="str">
        <f ca="1">_xlfn.LET(
    _xlpm.res_no, J1451,
    _xlpm.record_sheet, 'MatRes Record'!J:M,
    _xlpm.AllCellsFilled, COUNTA(A1451:K1451) = 11,
    _xlpm.QtyIsInt, AND(ISNUMBER(G1451), G1451=INT(G1451)),
    _xlpm.ReqDateIsValid, AND(ISNUMBER(H1451), H1451&gt;=TODAY()),
    _xlpm.EmailIsValid, RIGHT(I1451,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IF(A1451="", "", IF(_xlpm.error_messages = "", "Yes", _xlpm.error_messages))
)</f>
        <v/>
      </c>
    </row>
    <row r="1452" spans="1:12">
      <c r="A1452" s="94"/>
      <c r="B1452" s="95"/>
      <c r="C1452" s="95"/>
      <c r="D1452" s="94"/>
      <c r="E1452" s="94"/>
      <c r="F1452" s="96"/>
      <c r="G1452" s="94"/>
      <c r="H1452" s="96"/>
      <c r="I1452" s="96"/>
      <c r="J1452" s="92"/>
      <c r="K1452" s="97"/>
      <c r="L1452" s="99" t="str">
        <f ca="1">_xlfn.LET(
    _xlpm.res_no, J1452,
    _xlpm.record_sheet, 'MatRes Record'!J:M,
    _xlpm.AllCellsFilled, COUNTA(A1452:K1452) = 11,
    _xlpm.QtyIsInt, AND(ISNUMBER(G1452), G1452=INT(G1452)),
    _xlpm.ReqDateIsValid, AND(ISNUMBER(H1452), H1452&gt;=TODAY()),
    _xlpm.EmailIsValid, RIGHT(I1452,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IF(A1452="", "", IF(_xlpm.error_messages = "", "Yes", _xlpm.error_messages))
)</f>
        <v/>
      </c>
    </row>
    <row r="1453" spans="1:12">
      <c r="A1453" s="94"/>
      <c r="B1453" s="95"/>
      <c r="C1453" s="95"/>
      <c r="D1453" s="94"/>
      <c r="E1453" s="94"/>
      <c r="F1453" s="96"/>
      <c r="G1453" s="94"/>
      <c r="H1453" s="96"/>
      <c r="I1453" s="96"/>
      <c r="J1453" s="92"/>
      <c r="K1453" s="97"/>
      <c r="L1453" s="99" t="str">
        <f ca="1">_xlfn.LET(
    _xlpm.res_no, J1453,
    _xlpm.record_sheet, 'MatRes Record'!J:M,
    _xlpm.AllCellsFilled, COUNTA(A1453:K1453) = 11,
    _xlpm.QtyIsInt, AND(ISNUMBER(G1453), G1453=INT(G1453)),
    _xlpm.ReqDateIsValid, AND(ISNUMBER(H1453), H1453&gt;=TODAY()),
    _xlpm.EmailIsValid, RIGHT(I1453,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IF(A1453="", "", IF(_xlpm.error_messages = "", "Yes", _xlpm.error_messages))
)</f>
        <v/>
      </c>
    </row>
    <row r="1454" spans="1:12">
      <c r="A1454" s="94"/>
      <c r="B1454" s="95"/>
      <c r="C1454" s="95"/>
      <c r="D1454" s="94"/>
      <c r="E1454" s="94"/>
      <c r="F1454" s="96"/>
      <c r="G1454" s="94"/>
      <c r="H1454" s="96"/>
      <c r="I1454" s="96"/>
      <c r="J1454" s="92"/>
      <c r="K1454" s="97"/>
      <c r="L1454" s="99" t="str">
        <f ca="1">_xlfn.LET(
    _xlpm.res_no, J1454,
    _xlpm.record_sheet, 'MatRes Record'!J:M,
    _xlpm.AllCellsFilled, COUNTA(A1454:K1454) = 11,
    _xlpm.QtyIsInt, AND(ISNUMBER(G1454), G1454=INT(G1454)),
    _xlpm.ReqDateIsValid, AND(ISNUMBER(H1454), H1454&gt;=TODAY()),
    _xlpm.EmailIsValid, RIGHT(I1454,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IF(A1454="", "", IF(_xlpm.error_messages = "", "Yes", _xlpm.error_messages))
)</f>
        <v/>
      </c>
    </row>
    <row r="1455" spans="1:12">
      <c r="A1455" s="94"/>
      <c r="B1455" s="95"/>
      <c r="C1455" s="95"/>
      <c r="D1455" s="94"/>
      <c r="E1455" s="94"/>
      <c r="F1455" s="96"/>
      <c r="G1455" s="94"/>
      <c r="H1455" s="96"/>
      <c r="I1455" s="96"/>
      <c r="J1455" s="92"/>
      <c r="K1455" s="97"/>
      <c r="L1455" s="99" t="str">
        <f ca="1">_xlfn.LET(
    _xlpm.res_no, J1455,
    _xlpm.record_sheet, 'MatRes Record'!J:M,
    _xlpm.AllCellsFilled, COUNTA(A1455:K1455) = 11,
    _xlpm.QtyIsInt, AND(ISNUMBER(G1455), G1455=INT(G1455)),
    _xlpm.ReqDateIsValid, AND(ISNUMBER(H1455), H1455&gt;=TODAY()),
    _xlpm.EmailIsValid, RIGHT(I1455,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IF(A1455="", "", IF(_xlpm.error_messages = "", "Yes", _xlpm.error_messages))
)</f>
        <v/>
      </c>
    </row>
    <row r="1456" spans="1:12">
      <c r="A1456" s="94"/>
      <c r="B1456" s="95"/>
      <c r="C1456" s="95"/>
      <c r="D1456" s="94"/>
      <c r="E1456" s="94"/>
      <c r="F1456" s="96"/>
      <c r="G1456" s="94"/>
      <c r="H1456" s="96"/>
      <c r="I1456" s="96"/>
      <c r="J1456" s="92"/>
      <c r="K1456" s="97"/>
      <c r="L1456" s="99" t="str">
        <f ca="1">_xlfn.LET(
    _xlpm.res_no, J1456,
    _xlpm.record_sheet, 'MatRes Record'!J:M,
    _xlpm.AllCellsFilled, COUNTA(A1456:K1456) = 11,
    _xlpm.QtyIsInt, AND(ISNUMBER(G1456), G1456=INT(G1456)),
    _xlpm.ReqDateIsValid, AND(ISNUMBER(H1456), H1456&gt;=TODAY()),
    _xlpm.EmailIsValid, RIGHT(I1456,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IF(A1456="", "", IF(_xlpm.error_messages = "", "Yes", _xlpm.error_messages))
)</f>
        <v/>
      </c>
    </row>
    <row r="1457" spans="1:12">
      <c r="A1457" s="94"/>
      <c r="B1457" s="95"/>
      <c r="C1457" s="95"/>
      <c r="D1457" s="94"/>
      <c r="E1457" s="94"/>
      <c r="F1457" s="96"/>
      <c r="G1457" s="94"/>
      <c r="H1457" s="96"/>
      <c r="I1457" s="96"/>
      <c r="J1457" s="92"/>
      <c r="K1457" s="97"/>
      <c r="L1457" s="99" t="str">
        <f ca="1">_xlfn.LET(
    _xlpm.res_no, J1457,
    _xlpm.record_sheet, 'MatRes Record'!J:M,
    _xlpm.AllCellsFilled, COUNTA(A1457:K1457) = 11,
    _xlpm.QtyIsInt, AND(ISNUMBER(G1457), G1457=INT(G1457)),
    _xlpm.ReqDateIsValid, AND(ISNUMBER(H1457), H1457&gt;=TODAY()),
    _xlpm.EmailIsValid, RIGHT(I1457,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IF(A1457="", "", IF(_xlpm.error_messages = "", "Yes", _xlpm.error_messages))
)</f>
        <v/>
      </c>
    </row>
    <row r="1458" spans="1:12">
      <c r="A1458" s="94"/>
      <c r="B1458" s="95"/>
      <c r="C1458" s="95"/>
      <c r="D1458" s="94"/>
      <c r="E1458" s="94"/>
      <c r="F1458" s="96"/>
      <c r="G1458" s="94"/>
      <c r="H1458" s="96"/>
      <c r="I1458" s="96"/>
      <c r="J1458" s="92"/>
      <c r="K1458" s="97"/>
      <c r="L1458" s="99" t="str">
        <f ca="1">_xlfn.LET(
    _xlpm.res_no, J1458,
    _xlpm.record_sheet, 'MatRes Record'!J:M,
    _xlpm.AllCellsFilled, COUNTA(A1458:K1458) = 11,
    _xlpm.QtyIsInt, AND(ISNUMBER(G1458), G1458=INT(G1458)),
    _xlpm.ReqDateIsValid, AND(ISNUMBER(H1458), H1458&gt;=TODAY()),
    _xlpm.EmailIsValid, RIGHT(I1458,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IF(A1458="", "", IF(_xlpm.error_messages = "", "Yes", _xlpm.error_messages))
)</f>
        <v/>
      </c>
    </row>
    <row r="1459" spans="1:12">
      <c r="A1459" s="94"/>
      <c r="B1459" s="95"/>
      <c r="C1459" s="95"/>
      <c r="D1459" s="94"/>
      <c r="E1459" s="94"/>
      <c r="F1459" s="96"/>
      <c r="G1459" s="94"/>
      <c r="H1459" s="96"/>
      <c r="I1459" s="96"/>
      <c r="J1459" s="92"/>
      <c r="K1459" s="97"/>
      <c r="L1459" s="99" t="str">
        <f ca="1">_xlfn.LET(
    _xlpm.res_no, J1459,
    _xlpm.record_sheet, 'MatRes Record'!J:M,
    _xlpm.AllCellsFilled, COUNTA(A1459:K1459) = 11,
    _xlpm.QtyIsInt, AND(ISNUMBER(G1459), G1459=INT(G1459)),
    _xlpm.ReqDateIsValid, AND(ISNUMBER(H1459), H1459&gt;=TODAY()),
    _xlpm.EmailIsValid, RIGHT(I1459,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IF(A1459="", "", IF(_xlpm.error_messages = "", "Yes", _xlpm.error_messages))
)</f>
        <v/>
      </c>
    </row>
    <row r="1460" spans="1:12">
      <c r="A1460" s="94"/>
      <c r="B1460" s="95"/>
      <c r="C1460" s="95"/>
      <c r="D1460" s="94"/>
      <c r="E1460" s="94"/>
      <c r="F1460" s="96"/>
      <c r="G1460" s="94"/>
      <c r="H1460" s="96"/>
      <c r="I1460" s="96"/>
      <c r="J1460" s="92"/>
      <c r="K1460" s="97"/>
      <c r="L1460" s="99" t="str">
        <f ca="1">_xlfn.LET(
    _xlpm.res_no, J1460,
    _xlpm.record_sheet, 'MatRes Record'!J:M,
    _xlpm.AllCellsFilled, COUNTA(A1460:K1460) = 11,
    _xlpm.QtyIsInt, AND(ISNUMBER(G1460), G1460=INT(G1460)),
    _xlpm.ReqDateIsValid, AND(ISNUMBER(H1460), H1460&gt;=TODAY()),
    _xlpm.EmailIsValid, RIGHT(I1460,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IF(A1460="", "", IF(_xlpm.error_messages = "", "Yes", _xlpm.error_messages))
)</f>
        <v/>
      </c>
    </row>
    <row r="1461" spans="1:12">
      <c r="A1461" s="94"/>
      <c r="B1461" s="95"/>
      <c r="C1461" s="95"/>
      <c r="D1461" s="94"/>
      <c r="E1461" s="94"/>
      <c r="F1461" s="96"/>
      <c r="G1461" s="94"/>
      <c r="H1461" s="96"/>
      <c r="I1461" s="96"/>
      <c r="J1461" s="92"/>
      <c r="K1461" s="97"/>
      <c r="L1461" s="99" t="str">
        <f ca="1">_xlfn.LET(
    _xlpm.res_no, J1461,
    _xlpm.record_sheet, 'MatRes Record'!J:M,
    _xlpm.AllCellsFilled, COUNTA(A1461:K1461) = 11,
    _xlpm.QtyIsInt, AND(ISNUMBER(G1461), G1461=INT(G1461)),
    _xlpm.ReqDateIsValid, AND(ISNUMBER(H1461), H1461&gt;=TODAY()),
    _xlpm.EmailIsValid, RIGHT(I1461,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IF(A1461="", "", IF(_xlpm.error_messages = "", "Yes", _xlpm.error_messages))
)</f>
        <v/>
      </c>
    </row>
    <row r="1462" spans="1:12">
      <c r="A1462" s="94"/>
      <c r="B1462" s="95"/>
      <c r="C1462" s="95"/>
      <c r="D1462" s="94"/>
      <c r="E1462" s="94"/>
      <c r="F1462" s="96"/>
      <c r="G1462" s="94"/>
      <c r="H1462" s="96"/>
      <c r="I1462" s="96"/>
      <c r="J1462" s="92"/>
      <c r="K1462" s="97"/>
      <c r="L1462" s="99" t="str">
        <f ca="1">_xlfn.LET(
    _xlpm.res_no, J1462,
    _xlpm.record_sheet, 'MatRes Record'!J:M,
    _xlpm.AllCellsFilled, COUNTA(A1462:K1462) = 11,
    _xlpm.QtyIsInt, AND(ISNUMBER(G1462), G1462=INT(G1462)),
    _xlpm.ReqDateIsValid, AND(ISNUMBER(H1462), H1462&gt;=TODAY()),
    _xlpm.EmailIsValid, RIGHT(I1462,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IF(A1462="", "", IF(_xlpm.error_messages = "", "Yes", _xlpm.error_messages))
)</f>
        <v/>
      </c>
    </row>
    <row r="1463" spans="1:12">
      <c r="A1463" s="94"/>
      <c r="B1463" s="95"/>
      <c r="C1463" s="95"/>
      <c r="D1463" s="94"/>
      <c r="E1463" s="94"/>
      <c r="F1463" s="96"/>
      <c r="G1463" s="94"/>
      <c r="H1463" s="96"/>
      <c r="I1463" s="96"/>
      <c r="J1463" s="92"/>
      <c r="K1463" s="97"/>
      <c r="L1463" s="99" t="str">
        <f ca="1">_xlfn.LET(
    _xlpm.res_no, J1463,
    _xlpm.record_sheet, 'MatRes Record'!J:M,
    _xlpm.AllCellsFilled, COUNTA(A1463:K1463) = 11,
    _xlpm.QtyIsInt, AND(ISNUMBER(G1463), G1463=INT(G1463)),
    _xlpm.ReqDateIsValid, AND(ISNUMBER(H1463), H1463&gt;=TODAY()),
    _xlpm.EmailIsValid, RIGHT(I1463,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IF(A1463="", "", IF(_xlpm.error_messages = "", "Yes", _xlpm.error_messages))
)</f>
        <v/>
      </c>
    </row>
    <row r="1464" spans="1:12">
      <c r="A1464" s="94"/>
      <c r="B1464" s="95"/>
      <c r="C1464" s="95"/>
      <c r="D1464" s="94"/>
      <c r="E1464" s="94"/>
      <c r="F1464" s="96"/>
      <c r="G1464" s="94"/>
      <c r="H1464" s="96"/>
      <c r="I1464" s="96"/>
      <c r="J1464" s="92"/>
      <c r="K1464" s="97"/>
      <c r="L1464" s="99" t="str">
        <f ca="1">_xlfn.LET(
    _xlpm.res_no, J1464,
    _xlpm.record_sheet, 'MatRes Record'!J:M,
    _xlpm.AllCellsFilled, COUNTA(A1464:K1464) = 11,
    _xlpm.QtyIsInt, AND(ISNUMBER(G1464), G1464=INT(G1464)),
    _xlpm.ReqDateIsValid, AND(ISNUMBER(H1464), H1464&gt;=TODAY()),
    _xlpm.EmailIsValid, RIGHT(I1464,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IF(A1464="", "", IF(_xlpm.error_messages = "", "Yes", _xlpm.error_messages))
)</f>
        <v/>
      </c>
    </row>
    <row r="1465" spans="1:12">
      <c r="A1465" s="94"/>
      <c r="B1465" s="95"/>
      <c r="C1465" s="95"/>
      <c r="D1465" s="94"/>
      <c r="E1465" s="94"/>
      <c r="F1465" s="96"/>
      <c r="G1465" s="94"/>
      <c r="H1465" s="96"/>
      <c r="I1465" s="96"/>
      <c r="J1465" s="92"/>
      <c r="K1465" s="97"/>
      <c r="L1465" s="99" t="str">
        <f ca="1">_xlfn.LET(
    _xlpm.res_no, J1465,
    _xlpm.record_sheet, 'MatRes Record'!J:M,
    _xlpm.AllCellsFilled, COUNTA(A1465:K1465) = 11,
    _xlpm.QtyIsInt, AND(ISNUMBER(G1465), G1465=INT(G1465)),
    _xlpm.ReqDateIsValid, AND(ISNUMBER(H1465), H1465&gt;=TODAY()),
    _xlpm.EmailIsValid, RIGHT(I1465,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IF(A1465="", "", IF(_xlpm.error_messages = "", "Yes", _xlpm.error_messages))
)</f>
        <v/>
      </c>
    </row>
    <row r="1466" spans="1:12">
      <c r="A1466" s="94"/>
      <c r="B1466" s="95"/>
      <c r="C1466" s="95"/>
      <c r="D1466" s="94"/>
      <c r="E1466" s="94"/>
      <c r="F1466" s="96"/>
      <c r="G1466" s="94"/>
      <c r="H1466" s="96"/>
      <c r="I1466" s="96"/>
      <c r="J1466" s="92"/>
      <c r="K1466" s="97"/>
      <c r="L1466" s="99" t="str">
        <f ca="1">_xlfn.LET(
    _xlpm.res_no, J1466,
    _xlpm.record_sheet, 'MatRes Record'!J:M,
    _xlpm.AllCellsFilled, COUNTA(A1466:K1466) = 11,
    _xlpm.QtyIsInt, AND(ISNUMBER(G1466), G1466=INT(G1466)),
    _xlpm.ReqDateIsValid, AND(ISNUMBER(H1466), H1466&gt;=TODAY()),
    _xlpm.EmailIsValid, RIGHT(I1466,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IF(A1466="", "", IF(_xlpm.error_messages = "", "Yes", _xlpm.error_messages))
)</f>
        <v/>
      </c>
    </row>
    <row r="1467" spans="1:12">
      <c r="A1467" s="94"/>
      <c r="B1467" s="95"/>
      <c r="C1467" s="95"/>
      <c r="D1467" s="94"/>
      <c r="E1467" s="94"/>
      <c r="F1467" s="96"/>
      <c r="G1467" s="94"/>
      <c r="H1467" s="96"/>
      <c r="I1467" s="96"/>
      <c r="J1467" s="92"/>
      <c r="K1467" s="97"/>
      <c r="L1467" s="99" t="str">
        <f ca="1">_xlfn.LET(
    _xlpm.res_no, J1467,
    _xlpm.record_sheet, 'MatRes Record'!J:M,
    _xlpm.AllCellsFilled, COUNTA(A1467:K1467) = 11,
    _xlpm.QtyIsInt, AND(ISNUMBER(G1467), G1467=INT(G1467)),
    _xlpm.ReqDateIsValid, AND(ISNUMBER(H1467), H1467&gt;=TODAY()),
    _xlpm.EmailIsValid, RIGHT(I1467,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IF(A1467="", "", IF(_xlpm.error_messages = "", "Yes", _xlpm.error_messages))
)</f>
        <v/>
      </c>
    </row>
    <row r="1468" spans="1:12">
      <c r="A1468" s="94"/>
      <c r="B1468" s="95"/>
      <c r="C1468" s="95"/>
      <c r="D1468" s="94"/>
      <c r="E1468" s="94"/>
      <c r="F1468" s="96"/>
      <c r="G1468" s="94"/>
      <c r="H1468" s="96"/>
      <c r="I1468" s="96"/>
      <c r="J1468" s="92"/>
      <c r="K1468" s="97"/>
      <c r="L1468" s="99" t="str">
        <f ca="1">_xlfn.LET(
    _xlpm.res_no, J1468,
    _xlpm.record_sheet, 'MatRes Record'!J:M,
    _xlpm.AllCellsFilled, COUNTA(A1468:K1468) = 11,
    _xlpm.QtyIsInt, AND(ISNUMBER(G1468), G1468=INT(G1468)),
    _xlpm.ReqDateIsValid, AND(ISNUMBER(H1468), H1468&gt;=TODAY()),
    _xlpm.EmailIsValid, RIGHT(I1468,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IF(A1468="", "", IF(_xlpm.error_messages = "", "Yes", _xlpm.error_messages))
)</f>
        <v/>
      </c>
    </row>
    <row r="1469" spans="1:12">
      <c r="A1469" s="94"/>
      <c r="B1469" s="95"/>
      <c r="C1469" s="95"/>
      <c r="D1469" s="94"/>
      <c r="E1469" s="94"/>
      <c r="F1469" s="96"/>
      <c r="G1469" s="94"/>
      <c r="H1469" s="96"/>
      <c r="I1469" s="96"/>
      <c r="J1469" s="92"/>
      <c r="K1469" s="97"/>
      <c r="L1469" s="99" t="str">
        <f ca="1">_xlfn.LET(
    _xlpm.res_no, J1469,
    _xlpm.record_sheet, 'MatRes Record'!J:M,
    _xlpm.AllCellsFilled, COUNTA(A1469:K1469) = 11,
    _xlpm.QtyIsInt, AND(ISNUMBER(G1469), G1469=INT(G1469)),
    _xlpm.ReqDateIsValid, AND(ISNUMBER(H1469), H1469&gt;=TODAY()),
    _xlpm.EmailIsValid, RIGHT(I1469,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IF(A1469="", "", IF(_xlpm.error_messages = "", "Yes", _xlpm.error_messages))
)</f>
        <v/>
      </c>
    </row>
    <row r="1470" spans="1:12">
      <c r="A1470" s="94"/>
      <c r="B1470" s="95"/>
      <c r="C1470" s="95"/>
      <c r="D1470" s="94"/>
      <c r="E1470" s="94"/>
      <c r="F1470" s="96"/>
      <c r="G1470" s="94"/>
      <c r="H1470" s="96"/>
      <c r="I1470" s="96"/>
      <c r="J1470" s="92"/>
      <c r="K1470" s="97"/>
      <c r="L1470" s="99" t="str">
        <f ca="1">_xlfn.LET(
    _xlpm.res_no, J1470,
    _xlpm.record_sheet, 'MatRes Record'!J:M,
    _xlpm.AllCellsFilled, COUNTA(A1470:K1470) = 11,
    _xlpm.QtyIsInt, AND(ISNUMBER(G1470), G1470=INT(G1470)),
    _xlpm.ReqDateIsValid, AND(ISNUMBER(H1470), H1470&gt;=TODAY()),
    _xlpm.EmailIsValid, RIGHT(I1470,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IF(A1470="", "", IF(_xlpm.error_messages = "", "Yes", _xlpm.error_messages))
)</f>
        <v/>
      </c>
    </row>
    <row r="1471" spans="1:12">
      <c r="A1471" s="94"/>
      <c r="B1471" s="95"/>
      <c r="C1471" s="95"/>
      <c r="D1471" s="94"/>
      <c r="E1471" s="94"/>
      <c r="F1471" s="96"/>
      <c r="G1471" s="94"/>
      <c r="H1471" s="96"/>
      <c r="I1471" s="96"/>
      <c r="J1471" s="92"/>
      <c r="K1471" s="97"/>
      <c r="L1471" s="99" t="str">
        <f ca="1">_xlfn.LET(
    _xlpm.res_no, J1471,
    _xlpm.record_sheet, 'MatRes Record'!J:M,
    _xlpm.AllCellsFilled, COUNTA(A1471:K1471) = 11,
    _xlpm.QtyIsInt, AND(ISNUMBER(G1471), G1471=INT(G1471)),
    _xlpm.ReqDateIsValid, AND(ISNUMBER(H1471), H1471&gt;=TODAY()),
    _xlpm.EmailIsValid, RIGHT(I1471,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IF(A1471="", "", IF(_xlpm.error_messages = "", "Yes", _xlpm.error_messages))
)</f>
        <v/>
      </c>
    </row>
    <row r="1472" spans="1:12">
      <c r="A1472" s="94"/>
      <c r="B1472" s="95"/>
      <c r="C1472" s="95"/>
      <c r="D1472" s="94"/>
      <c r="E1472" s="94"/>
      <c r="F1472" s="96"/>
      <c r="G1472" s="94"/>
      <c r="H1472" s="96"/>
      <c r="I1472" s="96"/>
      <c r="J1472" s="92"/>
      <c r="K1472" s="97"/>
      <c r="L1472" s="99" t="str">
        <f ca="1">_xlfn.LET(
    _xlpm.res_no, J1472,
    _xlpm.record_sheet, 'MatRes Record'!J:M,
    _xlpm.AllCellsFilled, COUNTA(A1472:K1472) = 11,
    _xlpm.QtyIsInt, AND(ISNUMBER(G1472), G1472=INT(G1472)),
    _xlpm.ReqDateIsValid, AND(ISNUMBER(H1472), H1472&gt;=TODAY()),
    _xlpm.EmailIsValid, RIGHT(I1472,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IF(A1472="", "", IF(_xlpm.error_messages = "", "Yes", _xlpm.error_messages))
)</f>
        <v/>
      </c>
    </row>
    <row r="1473" spans="1:12">
      <c r="A1473" s="94"/>
      <c r="B1473" s="95"/>
      <c r="C1473" s="95"/>
      <c r="D1473" s="94"/>
      <c r="E1473" s="94"/>
      <c r="F1473" s="96"/>
      <c r="G1473" s="94"/>
      <c r="H1473" s="96"/>
      <c r="I1473" s="96"/>
      <c r="J1473" s="92"/>
      <c r="K1473" s="97"/>
      <c r="L1473" s="99" t="str">
        <f ca="1">_xlfn.LET(
    _xlpm.res_no, J1473,
    _xlpm.record_sheet, 'MatRes Record'!J:M,
    _xlpm.AllCellsFilled, COUNTA(A1473:K1473) = 11,
    _xlpm.QtyIsInt, AND(ISNUMBER(G1473), G1473=INT(G1473)),
    _xlpm.ReqDateIsValid, AND(ISNUMBER(H1473), H1473&gt;=TODAY()),
    _xlpm.EmailIsValid, RIGHT(I1473,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IF(A1473="", "", IF(_xlpm.error_messages = "", "Yes", _xlpm.error_messages))
)</f>
        <v/>
      </c>
    </row>
    <row r="1474" spans="1:12">
      <c r="A1474" s="94"/>
      <c r="B1474" s="95"/>
      <c r="C1474" s="95"/>
      <c r="D1474" s="94"/>
      <c r="E1474" s="94"/>
      <c r="F1474" s="96"/>
      <c r="G1474" s="94"/>
      <c r="H1474" s="96"/>
      <c r="I1474" s="96"/>
      <c r="J1474" s="92"/>
      <c r="K1474" s="97"/>
      <c r="L1474" s="99" t="str">
        <f ca="1">_xlfn.LET(
    _xlpm.res_no, J1474,
    _xlpm.record_sheet, 'MatRes Record'!J:M,
    _xlpm.AllCellsFilled, COUNTA(A1474:K1474) = 11,
    _xlpm.QtyIsInt, AND(ISNUMBER(G1474), G1474=INT(G1474)),
    _xlpm.ReqDateIsValid, AND(ISNUMBER(H1474), H1474&gt;=TODAY()),
    _xlpm.EmailIsValid, RIGHT(I1474,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IF(A1474="", "", IF(_xlpm.error_messages = "", "Yes", _xlpm.error_messages))
)</f>
        <v/>
      </c>
    </row>
    <row r="1475" spans="1:12">
      <c r="A1475" s="94"/>
      <c r="B1475" s="95"/>
      <c r="C1475" s="95"/>
      <c r="D1475" s="94"/>
      <c r="E1475" s="94"/>
      <c r="F1475" s="96"/>
      <c r="G1475" s="94"/>
      <c r="H1475" s="96"/>
      <c r="I1475" s="96"/>
      <c r="J1475" s="92"/>
      <c r="K1475" s="97"/>
      <c r="L1475" s="99" t="str">
        <f ca="1">_xlfn.LET(
    _xlpm.res_no, J1475,
    _xlpm.record_sheet, 'MatRes Record'!J:M,
    _xlpm.AllCellsFilled, COUNTA(A1475:K1475) = 11,
    _xlpm.QtyIsInt, AND(ISNUMBER(G1475), G1475=INT(G1475)),
    _xlpm.ReqDateIsValid, AND(ISNUMBER(H1475), H1475&gt;=TODAY()),
    _xlpm.EmailIsValid, RIGHT(I1475,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IF(A1475="", "", IF(_xlpm.error_messages = "", "Yes", _xlpm.error_messages))
)</f>
        <v/>
      </c>
    </row>
    <row r="1476" spans="1:12">
      <c r="A1476" s="94"/>
      <c r="B1476" s="95"/>
      <c r="C1476" s="95"/>
      <c r="D1476" s="94"/>
      <c r="E1476" s="94"/>
      <c r="F1476" s="96"/>
      <c r="G1476" s="94"/>
      <c r="H1476" s="96"/>
      <c r="I1476" s="96"/>
      <c r="J1476" s="92"/>
      <c r="K1476" s="97"/>
      <c r="L1476" s="99" t="str">
        <f ca="1">_xlfn.LET(
    _xlpm.res_no, J1476,
    _xlpm.record_sheet, 'MatRes Record'!J:M,
    _xlpm.AllCellsFilled, COUNTA(A1476:K1476) = 11,
    _xlpm.QtyIsInt, AND(ISNUMBER(G1476), G1476=INT(G1476)),
    _xlpm.ReqDateIsValid, AND(ISNUMBER(H1476), H1476&gt;=TODAY()),
    _xlpm.EmailIsValid, RIGHT(I1476,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IF(A1476="", "", IF(_xlpm.error_messages = "", "Yes", _xlpm.error_messages))
)</f>
        <v/>
      </c>
    </row>
    <row r="1477" spans="1:12">
      <c r="A1477" s="94"/>
      <c r="B1477" s="95"/>
      <c r="C1477" s="95"/>
      <c r="D1477" s="94"/>
      <c r="E1477" s="94"/>
      <c r="F1477" s="96"/>
      <c r="G1477" s="94"/>
      <c r="H1477" s="96"/>
      <c r="I1477" s="96"/>
      <c r="J1477" s="92"/>
      <c r="K1477" s="97"/>
      <c r="L1477" s="99" t="str">
        <f ca="1">_xlfn.LET(
    _xlpm.res_no, J1477,
    _xlpm.record_sheet, 'MatRes Record'!J:M,
    _xlpm.AllCellsFilled, COUNTA(A1477:K1477) = 11,
    _xlpm.QtyIsInt, AND(ISNUMBER(G1477), G1477=INT(G1477)),
    _xlpm.ReqDateIsValid, AND(ISNUMBER(H1477), H1477&gt;=TODAY()),
    _xlpm.EmailIsValid, RIGHT(I1477,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IF(A1477="", "", IF(_xlpm.error_messages = "", "Yes", _xlpm.error_messages))
)</f>
        <v/>
      </c>
    </row>
    <row r="1478" spans="1:12">
      <c r="A1478" s="94"/>
      <c r="B1478" s="95"/>
      <c r="C1478" s="95"/>
      <c r="D1478" s="94"/>
      <c r="E1478" s="94"/>
      <c r="F1478" s="96"/>
      <c r="G1478" s="94"/>
      <c r="H1478" s="96"/>
      <c r="I1478" s="96"/>
      <c r="J1478" s="92"/>
      <c r="K1478" s="97"/>
      <c r="L1478" s="99" t="str">
        <f ca="1">_xlfn.LET(
    _xlpm.res_no, J1478,
    _xlpm.record_sheet, 'MatRes Record'!J:M,
    _xlpm.AllCellsFilled, COUNTA(A1478:K1478) = 11,
    _xlpm.QtyIsInt, AND(ISNUMBER(G1478), G1478=INT(G1478)),
    _xlpm.ReqDateIsValid, AND(ISNUMBER(H1478), H1478&gt;=TODAY()),
    _xlpm.EmailIsValid, RIGHT(I1478,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IF(A1478="", "", IF(_xlpm.error_messages = "", "Yes", _xlpm.error_messages))
)</f>
        <v/>
      </c>
    </row>
    <row r="1479" spans="1:12">
      <c r="A1479" s="94"/>
      <c r="B1479" s="95"/>
      <c r="C1479" s="95"/>
      <c r="D1479" s="94"/>
      <c r="E1479" s="94"/>
      <c r="F1479" s="96"/>
      <c r="G1479" s="94"/>
      <c r="H1479" s="96"/>
      <c r="I1479" s="96"/>
      <c r="J1479" s="92"/>
      <c r="K1479" s="97"/>
      <c r="L1479" s="99" t="str">
        <f ca="1">_xlfn.LET(
    _xlpm.res_no, J1479,
    _xlpm.record_sheet, 'MatRes Record'!J:M,
    _xlpm.AllCellsFilled, COUNTA(A1479:K1479) = 11,
    _xlpm.QtyIsInt, AND(ISNUMBER(G1479), G1479=INT(G1479)),
    _xlpm.ReqDateIsValid, AND(ISNUMBER(H1479), H1479&gt;=TODAY()),
    _xlpm.EmailIsValid, RIGHT(I1479,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IF(A1479="", "", IF(_xlpm.error_messages = "", "Yes", _xlpm.error_messages))
)</f>
        <v/>
      </c>
    </row>
    <row r="1480" spans="1:12">
      <c r="A1480" s="94"/>
      <c r="B1480" s="95"/>
      <c r="C1480" s="95"/>
      <c r="D1480" s="94"/>
      <c r="E1480" s="94"/>
      <c r="F1480" s="96"/>
      <c r="G1480" s="94"/>
      <c r="H1480" s="96"/>
      <c r="I1480" s="96"/>
      <c r="J1480" s="92"/>
      <c r="K1480" s="97"/>
      <c r="L1480" s="99" t="str">
        <f ca="1">_xlfn.LET(
    _xlpm.res_no, J1480,
    _xlpm.record_sheet, 'MatRes Record'!J:M,
    _xlpm.AllCellsFilled, COUNTA(A1480:K1480) = 11,
    _xlpm.QtyIsInt, AND(ISNUMBER(G1480), G1480=INT(G1480)),
    _xlpm.ReqDateIsValid, AND(ISNUMBER(H1480), H1480&gt;=TODAY()),
    _xlpm.EmailIsValid, RIGHT(I1480,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IF(A1480="", "", IF(_xlpm.error_messages = "", "Yes", _xlpm.error_messages))
)</f>
        <v/>
      </c>
    </row>
    <row r="1481" spans="1:12">
      <c r="A1481" s="94"/>
      <c r="B1481" s="95"/>
      <c r="C1481" s="95"/>
      <c r="D1481" s="94"/>
      <c r="E1481" s="94"/>
      <c r="F1481" s="96"/>
      <c r="G1481" s="94"/>
      <c r="H1481" s="96"/>
      <c r="I1481" s="96"/>
      <c r="J1481" s="92"/>
      <c r="K1481" s="97"/>
      <c r="L1481" s="99" t="str">
        <f ca="1">_xlfn.LET(
    _xlpm.res_no, J1481,
    _xlpm.record_sheet, 'MatRes Record'!J:M,
    _xlpm.AllCellsFilled, COUNTA(A1481:K1481) = 11,
    _xlpm.QtyIsInt, AND(ISNUMBER(G1481), G1481=INT(G1481)),
    _xlpm.ReqDateIsValid, AND(ISNUMBER(H1481), H1481&gt;=TODAY()),
    _xlpm.EmailIsValid, RIGHT(I1481,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IF(A1481="", "", IF(_xlpm.error_messages = "", "Yes", _xlpm.error_messages))
)</f>
        <v/>
      </c>
    </row>
    <row r="1482" spans="1:12">
      <c r="A1482" s="94"/>
      <c r="B1482" s="95"/>
      <c r="C1482" s="95"/>
      <c r="D1482" s="94"/>
      <c r="E1482" s="94"/>
      <c r="F1482" s="96"/>
      <c r="G1482" s="94"/>
      <c r="H1482" s="96"/>
      <c r="I1482" s="96"/>
      <c r="J1482" s="92"/>
      <c r="K1482" s="97"/>
      <c r="L1482" s="99" t="str">
        <f ca="1">_xlfn.LET(
    _xlpm.res_no, J1482,
    _xlpm.record_sheet, 'MatRes Record'!J:M,
    _xlpm.AllCellsFilled, COUNTA(A1482:K1482) = 11,
    _xlpm.QtyIsInt, AND(ISNUMBER(G1482), G1482=INT(G1482)),
    _xlpm.ReqDateIsValid, AND(ISNUMBER(H1482), H1482&gt;=TODAY()),
    _xlpm.EmailIsValid, RIGHT(I1482,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IF(A1482="", "", IF(_xlpm.error_messages = "", "Yes", _xlpm.error_messages))
)</f>
        <v/>
      </c>
    </row>
    <row r="1483" spans="1:12">
      <c r="A1483" s="94"/>
      <c r="B1483" s="95"/>
      <c r="C1483" s="95"/>
      <c r="D1483" s="94"/>
      <c r="E1483" s="94"/>
      <c r="F1483" s="96"/>
      <c r="G1483" s="94"/>
      <c r="H1483" s="96"/>
      <c r="I1483" s="96"/>
      <c r="J1483" s="92"/>
      <c r="K1483" s="97"/>
      <c r="L1483" s="99" t="str">
        <f ca="1">_xlfn.LET(
    _xlpm.res_no, J1483,
    _xlpm.record_sheet, 'MatRes Record'!J:M,
    _xlpm.AllCellsFilled, COUNTA(A1483:K1483) = 11,
    _xlpm.QtyIsInt, AND(ISNUMBER(G1483), G1483=INT(G1483)),
    _xlpm.ReqDateIsValid, AND(ISNUMBER(H1483), H1483&gt;=TODAY()),
    _xlpm.EmailIsValid, RIGHT(I1483,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IF(A1483="", "", IF(_xlpm.error_messages = "", "Yes", _xlpm.error_messages))
)</f>
        <v/>
      </c>
    </row>
    <row r="1484" spans="1:12">
      <c r="A1484" s="94"/>
      <c r="B1484" s="95"/>
      <c r="C1484" s="95"/>
      <c r="D1484" s="94"/>
      <c r="E1484" s="94"/>
      <c r="F1484" s="96"/>
      <c r="G1484" s="94"/>
      <c r="H1484" s="96"/>
      <c r="I1484" s="96"/>
      <c r="J1484" s="92"/>
      <c r="K1484" s="97"/>
      <c r="L1484" s="99" t="str">
        <f ca="1">_xlfn.LET(
    _xlpm.res_no, J1484,
    _xlpm.record_sheet, 'MatRes Record'!J:M,
    _xlpm.AllCellsFilled, COUNTA(A1484:K1484) = 11,
    _xlpm.QtyIsInt, AND(ISNUMBER(G1484), G1484=INT(G1484)),
    _xlpm.ReqDateIsValid, AND(ISNUMBER(H1484), H1484&gt;=TODAY()),
    _xlpm.EmailIsValid, RIGHT(I1484,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IF(A1484="", "", IF(_xlpm.error_messages = "", "Yes", _xlpm.error_messages))
)</f>
        <v/>
      </c>
    </row>
    <row r="1485" spans="1:12">
      <c r="A1485" s="94"/>
      <c r="B1485" s="95"/>
      <c r="C1485" s="95"/>
      <c r="D1485" s="94"/>
      <c r="E1485" s="94"/>
      <c r="F1485" s="96"/>
      <c r="G1485" s="94"/>
      <c r="H1485" s="96"/>
      <c r="I1485" s="96"/>
      <c r="J1485" s="92"/>
      <c r="K1485" s="97"/>
      <c r="L1485" s="99" t="str">
        <f ca="1">_xlfn.LET(
    _xlpm.res_no, J1485,
    _xlpm.record_sheet, 'MatRes Record'!J:M,
    _xlpm.AllCellsFilled, COUNTA(A1485:K1485) = 11,
    _xlpm.QtyIsInt, AND(ISNUMBER(G1485), G1485=INT(G1485)),
    _xlpm.ReqDateIsValid, AND(ISNUMBER(H1485), H1485&gt;=TODAY()),
    _xlpm.EmailIsValid, RIGHT(I1485,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IF(A1485="", "", IF(_xlpm.error_messages = "", "Yes", _xlpm.error_messages))
)</f>
        <v/>
      </c>
    </row>
    <row r="1486" spans="1:12">
      <c r="A1486" s="94"/>
      <c r="B1486" s="95"/>
      <c r="C1486" s="95"/>
      <c r="D1486" s="94"/>
      <c r="E1486" s="94"/>
      <c r="F1486" s="96"/>
      <c r="G1486" s="94"/>
      <c r="H1486" s="96"/>
      <c r="I1486" s="96"/>
      <c r="J1486" s="92"/>
      <c r="K1486" s="97"/>
      <c r="L1486" s="99" t="str">
        <f ca="1">_xlfn.LET(
    _xlpm.res_no, J1486,
    _xlpm.record_sheet, 'MatRes Record'!J:M,
    _xlpm.AllCellsFilled, COUNTA(A1486:K1486) = 11,
    _xlpm.QtyIsInt, AND(ISNUMBER(G1486), G1486=INT(G1486)),
    _xlpm.ReqDateIsValid, AND(ISNUMBER(H1486), H1486&gt;=TODAY()),
    _xlpm.EmailIsValid, RIGHT(I1486,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IF(A1486="", "", IF(_xlpm.error_messages = "", "Yes", _xlpm.error_messages))
)</f>
        <v/>
      </c>
    </row>
    <row r="1487" spans="1:12">
      <c r="A1487" s="94"/>
      <c r="B1487" s="95"/>
      <c r="C1487" s="95"/>
      <c r="D1487" s="94"/>
      <c r="E1487" s="94"/>
      <c r="F1487" s="96"/>
      <c r="G1487" s="94"/>
      <c r="H1487" s="96"/>
      <c r="I1487" s="96"/>
      <c r="J1487" s="92"/>
      <c r="K1487" s="97"/>
      <c r="L1487" s="99" t="str">
        <f ca="1">_xlfn.LET(
    _xlpm.res_no, J1487,
    _xlpm.record_sheet, 'MatRes Record'!J:M,
    _xlpm.AllCellsFilled, COUNTA(A1487:K1487) = 11,
    _xlpm.QtyIsInt, AND(ISNUMBER(G1487), G1487=INT(G1487)),
    _xlpm.ReqDateIsValid, AND(ISNUMBER(H1487), H1487&gt;=TODAY()),
    _xlpm.EmailIsValid, RIGHT(I1487,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IF(A1487="", "", IF(_xlpm.error_messages = "", "Yes", _xlpm.error_messages))
)</f>
        <v/>
      </c>
    </row>
    <row r="1488" spans="1:12">
      <c r="A1488" s="94"/>
      <c r="B1488" s="95"/>
      <c r="C1488" s="95"/>
      <c r="D1488" s="94"/>
      <c r="E1488" s="94"/>
      <c r="F1488" s="96"/>
      <c r="G1488" s="94"/>
      <c r="H1488" s="96"/>
      <c r="I1488" s="96"/>
      <c r="J1488" s="92"/>
      <c r="K1488" s="97"/>
      <c r="L1488" s="99" t="str">
        <f ca="1">_xlfn.LET(
    _xlpm.res_no, J1488,
    _xlpm.record_sheet, 'MatRes Record'!J:M,
    _xlpm.AllCellsFilled, COUNTA(A1488:K1488) = 11,
    _xlpm.QtyIsInt, AND(ISNUMBER(G1488), G1488=INT(G1488)),
    _xlpm.ReqDateIsValid, AND(ISNUMBER(H1488), H1488&gt;=TODAY()),
    _xlpm.EmailIsValid, RIGHT(I1488,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IF(A1488="", "", IF(_xlpm.error_messages = "", "Yes", _xlpm.error_messages))
)</f>
        <v/>
      </c>
    </row>
    <row r="1489" spans="1:12">
      <c r="A1489" s="94"/>
      <c r="B1489" s="95"/>
      <c r="C1489" s="95"/>
      <c r="D1489" s="94"/>
      <c r="E1489" s="94"/>
      <c r="F1489" s="96"/>
      <c r="G1489" s="94"/>
      <c r="H1489" s="96"/>
      <c r="I1489" s="96"/>
      <c r="J1489" s="92"/>
      <c r="K1489" s="97"/>
      <c r="L1489" s="99" t="str">
        <f ca="1">_xlfn.LET(
    _xlpm.res_no, J1489,
    _xlpm.record_sheet, 'MatRes Record'!J:M,
    _xlpm.AllCellsFilled, COUNTA(A1489:K1489) = 11,
    _xlpm.QtyIsInt, AND(ISNUMBER(G1489), G1489=INT(G1489)),
    _xlpm.ReqDateIsValid, AND(ISNUMBER(H1489), H1489&gt;=TODAY()),
    _xlpm.EmailIsValid, RIGHT(I1489,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IF(A1489="", "", IF(_xlpm.error_messages = "", "Yes", _xlpm.error_messages))
)</f>
        <v/>
      </c>
    </row>
    <row r="1490" spans="1:12">
      <c r="A1490" s="94"/>
      <c r="B1490" s="95"/>
      <c r="C1490" s="95"/>
      <c r="D1490" s="94"/>
      <c r="E1490" s="94"/>
      <c r="F1490" s="96"/>
      <c r="G1490" s="94"/>
      <c r="H1490" s="96"/>
      <c r="I1490" s="96"/>
      <c r="J1490" s="92"/>
      <c r="K1490" s="97"/>
      <c r="L1490" s="99" t="str">
        <f ca="1">_xlfn.LET(
    _xlpm.res_no, J1490,
    _xlpm.record_sheet, 'MatRes Record'!J:M,
    _xlpm.AllCellsFilled, COUNTA(A1490:K1490) = 11,
    _xlpm.QtyIsInt, AND(ISNUMBER(G1490), G1490=INT(G1490)),
    _xlpm.ReqDateIsValid, AND(ISNUMBER(H1490), H1490&gt;=TODAY()),
    _xlpm.EmailIsValid, RIGHT(I1490,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IF(A1490="", "", IF(_xlpm.error_messages = "", "Yes", _xlpm.error_messages))
)</f>
        <v/>
      </c>
    </row>
    <row r="1491" spans="1:12">
      <c r="A1491" s="94"/>
      <c r="B1491" s="95"/>
      <c r="C1491" s="95"/>
      <c r="D1491" s="94"/>
      <c r="E1491" s="94"/>
      <c r="F1491" s="96"/>
      <c r="G1491" s="94"/>
      <c r="H1491" s="96"/>
      <c r="I1491" s="96"/>
      <c r="J1491" s="92"/>
      <c r="K1491" s="97"/>
      <c r="L1491" s="99" t="str">
        <f ca="1">_xlfn.LET(
    _xlpm.res_no, J1491,
    _xlpm.record_sheet, 'MatRes Record'!J:M,
    _xlpm.AllCellsFilled, COUNTA(A1491:K1491) = 11,
    _xlpm.QtyIsInt, AND(ISNUMBER(G1491), G1491=INT(G1491)),
    _xlpm.ReqDateIsValid, AND(ISNUMBER(H1491), H1491&gt;=TODAY()),
    _xlpm.EmailIsValid, RIGHT(I1491,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IF(A1491="", "", IF(_xlpm.error_messages = "", "Yes", _xlpm.error_messages))
)</f>
        <v/>
      </c>
    </row>
    <row r="1492" spans="1:12">
      <c r="A1492" s="94"/>
      <c r="B1492" s="95"/>
      <c r="C1492" s="95"/>
      <c r="D1492" s="94"/>
      <c r="E1492" s="94"/>
      <c r="F1492" s="96"/>
      <c r="G1492" s="94"/>
      <c r="H1492" s="96"/>
      <c r="I1492" s="96"/>
      <c r="J1492" s="92"/>
      <c r="K1492" s="97"/>
      <c r="L1492" s="99" t="str">
        <f ca="1">_xlfn.LET(
    _xlpm.res_no, J1492,
    _xlpm.record_sheet, 'MatRes Record'!J:M,
    _xlpm.AllCellsFilled, COUNTA(A1492:K1492) = 11,
    _xlpm.QtyIsInt, AND(ISNUMBER(G1492), G1492=INT(G1492)),
    _xlpm.ReqDateIsValid, AND(ISNUMBER(H1492), H1492&gt;=TODAY()),
    _xlpm.EmailIsValid, RIGHT(I1492,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IF(A1492="", "", IF(_xlpm.error_messages = "", "Yes", _xlpm.error_messages))
)</f>
        <v/>
      </c>
    </row>
    <row r="1493" spans="1:12">
      <c r="A1493" s="94"/>
      <c r="B1493" s="95"/>
      <c r="C1493" s="95"/>
      <c r="D1493" s="94"/>
      <c r="E1493" s="94"/>
      <c r="F1493" s="96"/>
      <c r="G1493" s="94"/>
      <c r="H1493" s="96"/>
      <c r="I1493" s="96"/>
      <c r="J1493" s="92"/>
      <c r="K1493" s="97"/>
      <c r="L1493" s="99" t="str">
        <f ca="1">_xlfn.LET(
    _xlpm.res_no, J1493,
    _xlpm.record_sheet, 'MatRes Record'!J:M,
    _xlpm.AllCellsFilled, COUNTA(A1493:K1493) = 11,
    _xlpm.QtyIsInt, AND(ISNUMBER(G1493), G1493=INT(G1493)),
    _xlpm.ReqDateIsValid, AND(ISNUMBER(H1493), H1493&gt;=TODAY()),
    _xlpm.EmailIsValid, RIGHT(I1493,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IF(A1493="", "", IF(_xlpm.error_messages = "", "Yes", _xlpm.error_messages))
)</f>
        <v/>
      </c>
    </row>
    <row r="1494" spans="1:12">
      <c r="A1494" s="94"/>
      <c r="B1494" s="95"/>
      <c r="C1494" s="95"/>
      <c r="D1494" s="94"/>
      <c r="E1494" s="94"/>
      <c r="F1494" s="96"/>
      <c r="G1494" s="94"/>
      <c r="H1494" s="96"/>
      <c r="I1494" s="96"/>
      <c r="J1494" s="92"/>
      <c r="K1494" s="97"/>
      <c r="L1494" s="99" t="str">
        <f ca="1">_xlfn.LET(
    _xlpm.res_no, J1494,
    _xlpm.record_sheet, 'MatRes Record'!J:M,
    _xlpm.AllCellsFilled, COUNTA(A1494:K1494) = 11,
    _xlpm.QtyIsInt, AND(ISNUMBER(G1494), G1494=INT(G1494)),
    _xlpm.ReqDateIsValid, AND(ISNUMBER(H1494), H1494&gt;=TODAY()),
    _xlpm.EmailIsValid, RIGHT(I1494,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IF(A1494="", "", IF(_xlpm.error_messages = "", "Yes", _xlpm.error_messages))
)</f>
        <v/>
      </c>
    </row>
    <row r="1495" spans="1:12">
      <c r="A1495" s="94"/>
      <c r="B1495" s="95"/>
      <c r="C1495" s="95"/>
      <c r="D1495" s="94"/>
      <c r="E1495" s="94"/>
      <c r="F1495" s="96"/>
      <c r="G1495" s="94"/>
      <c r="H1495" s="96"/>
      <c r="I1495" s="96"/>
      <c r="J1495" s="92"/>
      <c r="K1495" s="97"/>
      <c r="L1495" s="99" t="str">
        <f ca="1">_xlfn.LET(
    _xlpm.res_no, J1495,
    _xlpm.record_sheet, 'MatRes Record'!J:M,
    _xlpm.AllCellsFilled, COUNTA(A1495:K1495) = 11,
    _xlpm.QtyIsInt, AND(ISNUMBER(G1495), G1495=INT(G1495)),
    _xlpm.ReqDateIsValid, AND(ISNUMBER(H1495), H1495&gt;=TODAY()),
    _xlpm.EmailIsValid, RIGHT(I1495,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IF(A1495="", "", IF(_xlpm.error_messages = "", "Yes", _xlpm.error_messages))
)</f>
        <v/>
      </c>
    </row>
    <row r="1496" spans="1:12">
      <c r="A1496" s="94"/>
      <c r="B1496" s="95"/>
      <c r="C1496" s="95"/>
      <c r="D1496" s="94"/>
      <c r="E1496" s="94"/>
      <c r="F1496" s="96"/>
      <c r="G1496" s="94"/>
      <c r="H1496" s="96"/>
      <c r="I1496" s="96"/>
      <c r="J1496" s="92"/>
      <c r="K1496" s="97"/>
      <c r="L1496" s="99" t="str">
        <f ca="1">_xlfn.LET(
    _xlpm.res_no, J1496,
    _xlpm.record_sheet, 'MatRes Record'!J:M,
    _xlpm.AllCellsFilled, COUNTA(A1496:K1496) = 11,
    _xlpm.QtyIsInt, AND(ISNUMBER(G1496), G1496=INT(G1496)),
    _xlpm.ReqDateIsValid, AND(ISNUMBER(H1496), H1496&gt;=TODAY()),
    _xlpm.EmailIsValid, RIGHT(I1496,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IF(A1496="", "", IF(_xlpm.error_messages = "", "Yes", _xlpm.error_messages))
)</f>
        <v/>
      </c>
    </row>
    <row r="1497" spans="1:12">
      <c r="A1497" s="94"/>
      <c r="B1497" s="95"/>
      <c r="C1497" s="95"/>
      <c r="D1497" s="94"/>
      <c r="E1497" s="94"/>
      <c r="F1497" s="96"/>
      <c r="G1497" s="94"/>
      <c r="H1497" s="96"/>
      <c r="I1497" s="96"/>
      <c r="J1497" s="92"/>
      <c r="K1497" s="97"/>
      <c r="L1497" s="99" t="str">
        <f ca="1">_xlfn.LET(
    _xlpm.res_no, J1497,
    _xlpm.record_sheet, 'MatRes Record'!J:M,
    _xlpm.AllCellsFilled, COUNTA(A1497:K1497) = 11,
    _xlpm.QtyIsInt, AND(ISNUMBER(G1497), G1497=INT(G1497)),
    _xlpm.ReqDateIsValid, AND(ISNUMBER(H1497), H1497&gt;=TODAY()),
    _xlpm.EmailIsValid, RIGHT(I1497,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IF(A1497="", "", IF(_xlpm.error_messages = "", "Yes", _xlpm.error_messages))
)</f>
        <v/>
      </c>
    </row>
    <row r="1498" spans="1:12">
      <c r="A1498" s="94"/>
      <c r="B1498" s="95"/>
      <c r="C1498" s="95"/>
      <c r="D1498" s="94"/>
      <c r="E1498" s="94"/>
      <c r="F1498" s="96"/>
      <c r="G1498" s="94"/>
      <c r="H1498" s="96"/>
      <c r="I1498" s="96"/>
      <c r="J1498" s="92"/>
      <c r="K1498" s="97"/>
      <c r="L1498" s="99" t="str">
        <f ca="1">_xlfn.LET(
    _xlpm.res_no, J1498,
    _xlpm.record_sheet, 'MatRes Record'!J:M,
    _xlpm.AllCellsFilled, COUNTA(A1498:K1498) = 11,
    _xlpm.QtyIsInt, AND(ISNUMBER(G1498), G1498=INT(G1498)),
    _xlpm.ReqDateIsValid, AND(ISNUMBER(H1498), H1498&gt;=TODAY()),
    _xlpm.EmailIsValid, RIGHT(I1498,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IF(A1498="", "", IF(_xlpm.error_messages = "", "Yes", _xlpm.error_messages))
)</f>
        <v/>
      </c>
    </row>
    <row r="1499" spans="1:12">
      <c r="A1499" s="94"/>
      <c r="B1499" s="95"/>
      <c r="C1499" s="95"/>
      <c r="D1499" s="94"/>
      <c r="E1499" s="94"/>
      <c r="F1499" s="96"/>
      <c r="G1499" s="94"/>
      <c r="H1499" s="96"/>
      <c r="I1499" s="96"/>
      <c r="J1499" s="92"/>
      <c r="K1499" s="97"/>
      <c r="L1499" s="99" t="str">
        <f ca="1">_xlfn.LET(
    _xlpm.res_no, J1499,
    _xlpm.record_sheet, 'MatRes Record'!J:M,
    _xlpm.AllCellsFilled, COUNTA(A1499:K1499) = 11,
    _xlpm.QtyIsInt, AND(ISNUMBER(G1499), G1499=INT(G1499)),
    _xlpm.ReqDateIsValid, AND(ISNUMBER(H1499), H1499&gt;=TODAY()),
    _xlpm.EmailIsValid, RIGHT(I1499,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IF(A1499="", "", IF(_xlpm.error_messages = "", "Yes", _xlpm.error_messages))
)</f>
        <v/>
      </c>
    </row>
    <row r="1500" spans="1:12">
      <c r="A1500" s="94"/>
      <c r="B1500" s="95"/>
      <c r="C1500" s="95"/>
      <c r="D1500" s="94"/>
      <c r="E1500" s="94"/>
      <c r="F1500" s="96"/>
      <c r="G1500" s="94"/>
      <c r="H1500" s="96"/>
      <c r="I1500" s="96"/>
      <c r="J1500" s="92"/>
      <c r="K1500" s="97"/>
      <c r="L1500" s="99" t="str">
        <f ca="1">_xlfn.LET(
    _xlpm.res_no, J1500,
    _xlpm.record_sheet, 'MatRes Record'!J:M,
    _xlpm.AllCellsFilled, COUNTA(A1500:K1500) = 11,
    _xlpm.QtyIsInt, AND(ISNUMBER(G1500), G1500=INT(G1500)),
    _xlpm.ReqDateIsValid, AND(ISNUMBER(H1500), H1500&gt;=TODAY()),
    _xlpm.EmailIsValid, RIGHT(I1500,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IF(A1500="", "", IF(_xlpm.error_messages = "", "Yes", _xlpm.error_messages))
)</f>
        <v/>
      </c>
    </row>
    <row r="1501" spans="1:12">
      <c r="A1501" s="94"/>
      <c r="B1501" s="95"/>
      <c r="C1501" s="95"/>
      <c r="D1501" s="94"/>
      <c r="E1501" s="94"/>
      <c r="F1501" s="96"/>
      <c r="G1501" s="94"/>
      <c r="H1501" s="96"/>
      <c r="I1501" s="96"/>
      <c r="J1501" s="92"/>
      <c r="K1501" s="97"/>
      <c r="L1501" s="99" t="str">
        <f ca="1">_xlfn.LET(
    _xlpm.res_no, J1501,
    _xlpm.record_sheet, 'MatRes Record'!J:M,
    _xlpm.AllCellsFilled, COUNTA(A1501:K1501) = 11,
    _xlpm.QtyIsInt, AND(ISNUMBER(G1501), G1501=INT(G1501)),
    _xlpm.ReqDateIsValid, AND(ISNUMBER(H1501), H1501&gt;=TODAY()),
    _xlpm.EmailIsValid, RIGHT(I1501,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IF(A1501="", "", IF(_xlpm.error_messages = "", "Yes", _xlpm.error_messages))
)</f>
        <v/>
      </c>
    </row>
    <row r="1502" spans="1:12">
      <c r="A1502" s="94"/>
      <c r="B1502" s="95"/>
      <c r="C1502" s="95"/>
      <c r="D1502" s="94"/>
      <c r="E1502" s="94"/>
      <c r="F1502" s="96"/>
      <c r="G1502" s="94"/>
      <c r="H1502" s="96"/>
      <c r="I1502" s="96"/>
      <c r="J1502" s="92"/>
      <c r="K1502" s="97"/>
      <c r="L1502" s="99" t="str">
        <f ca="1">_xlfn.LET(
    _xlpm.res_no, J1502,
    _xlpm.record_sheet, 'MatRes Record'!J:M,
    _xlpm.AllCellsFilled, COUNTA(A1502:K1502) = 11,
    _xlpm.QtyIsInt, AND(ISNUMBER(G1502), G1502=INT(G1502)),
    _xlpm.ReqDateIsValid, AND(ISNUMBER(H1502), H1502&gt;=TODAY()),
    _xlpm.EmailIsValid, RIGHT(I1502,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IF(A1502="", "", IF(_xlpm.error_messages = "", "Yes", _xlpm.error_messages))
)</f>
        <v/>
      </c>
    </row>
    <row r="1503" spans="1:12">
      <c r="A1503" s="94"/>
      <c r="B1503" s="95"/>
      <c r="C1503" s="95"/>
      <c r="D1503" s="94"/>
      <c r="E1503" s="94"/>
      <c r="F1503" s="96"/>
      <c r="G1503" s="94"/>
      <c r="H1503" s="96"/>
      <c r="I1503" s="96"/>
      <c r="J1503" s="92"/>
      <c r="K1503" s="97"/>
      <c r="L1503" s="99" t="str">
        <f ca="1">_xlfn.LET(
    _xlpm.res_no, J1503,
    _xlpm.record_sheet, 'MatRes Record'!J:M,
    _xlpm.AllCellsFilled, COUNTA(A1503:K1503) = 11,
    _xlpm.QtyIsInt, AND(ISNUMBER(G1503), G1503=INT(G1503)),
    _xlpm.ReqDateIsValid, AND(ISNUMBER(H1503), H1503&gt;=TODAY()),
    _xlpm.EmailIsValid, RIGHT(I1503,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IF(A1503="", "", IF(_xlpm.error_messages = "", "Yes", _xlpm.error_messages))
)</f>
        <v/>
      </c>
    </row>
    <row r="1504" spans="1:12">
      <c r="A1504" s="94"/>
      <c r="B1504" s="95"/>
      <c r="C1504" s="95"/>
      <c r="D1504" s="94"/>
      <c r="E1504" s="94"/>
      <c r="F1504" s="96"/>
      <c r="G1504" s="94"/>
      <c r="H1504" s="96"/>
      <c r="I1504" s="96"/>
      <c r="J1504" s="92"/>
      <c r="K1504" s="97"/>
      <c r="L1504" s="99" t="str">
        <f ca="1">_xlfn.LET(
    _xlpm.res_no, J1504,
    _xlpm.record_sheet, 'MatRes Record'!J:M,
    _xlpm.AllCellsFilled, COUNTA(A1504:K1504) = 11,
    _xlpm.QtyIsInt, AND(ISNUMBER(G1504), G1504=INT(G1504)),
    _xlpm.ReqDateIsValid, AND(ISNUMBER(H1504), H1504&gt;=TODAY()),
    _xlpm.EmailIsValid, RIGHT(I1504,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IF(A1504="", "", IF(_xlpm.error_messages = "", "Yes", _xlpm.error_messages))
)</f>
        <v/>
      </c>
    </row>
    <row r="1505" spans="1:12">
      <c r="A1505" s="94"/>
      <c r="B1505" s="95"/>
      <c r="C1505" s="95"/>
      <c r="D1505" s="94"/>
      <c r="E1505" s="94"/>
      <c r="F1505" s="96"/>
      <c r="G1505" s="94"/>
      <c r="H1505" s="96"/>
      <c r="I1505" s="96"/>
      <c r="J1505" s="92"/>
      <c r="K1505" s="97"/>
      <c r="L1505" s="99" t="str">
        <f ca="1">_xlfn.LET(
    _xlpm.res_no, J1505,
    _xlpm.record_sheet, 'MatRes Record'!J:M,
    _xlpm.AllCellsFilled, COUNTA(A1505:K1505) = 11,
    _xlpm.QtyIsInt, AND(ISNUMBER(G1505), G1505=INT(G1505)),
    _xlpm.ReqDateIsValid, AND(ISNUMBER(H1505), H1505&gt;=TODAY()),
    _xlpm.EmailIsValid, RIGHT(I1505,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IF(A1505="", "", IF(_xlpm.error_messages = "", "Yes", _xlpm.error_messages))
)</f>
        <v/>
      </c>
    </row>
    <row r="1506" spans="1:12">
      <c r="A1506" s="94"/>
      <c r="B1506" s="95"/>
      <c r="C1506" s="95"/>
      <c r="D1506" s="94"/>
      <c r="E1506" s="94"/>
      <c r="F1506" s="96"/>
      <c r="G1506" s="94"/>
      <c r="H1506" s="96"/>
      <c r="I1506" s="96"/>
      <c r="J1506" s="92"/>
      <c r="K1506" s="97"/>
      <c r="L1506" s="99" t="str">
        <f ca="1">_xlfn.LET(
    _xlpm.res_no, J1506,
    _xlpm.record_sheet, 'MatRes Record'!J:M,
    _xlpm.AllCellsFilled, COUNTA(A1506:K1506) = 11,
    _xlpm.QtyIsInt, AND(ISNUMBER(G1506), G1506=INT(G1506)),
    _xlpm.ReqDateIsValid, AND(ISNUMBER(H1506), H1506&gt;=TODAY()),
    _xlpm.EmailIsValid, RIGHT(I1506,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IF(A1506="", "", IF(_xlpm.error_messages = "", "Yes", _xlpm.error_messages))
)</f>
        <v/>
      </c>
    </row>
    <row r="1507" spans="1:12">
      <c r="A1507" s="94"/>
      <c r="B1507" s="95"/>
      <c r="C1507" s="95"/>
      <c r="D1507" s="94"/>
      <c r="E1507" s="94"/>
      <c r="F1507" s="96"/>
      <c r="G1507" s="94"/>
      <c r="H1507" s="96"/>
      <c r="I1507" s="96"/>
      <c r="J1507" s="92"/>
      <c r="K1507" s="97"/>
      <c r="L1507" s="99" t="str">
        <f ca="1">_xlfn.LET(
    _xlpm.res_no, J1507,
    _xlpm.record_sheet, 'MatRes Record'!J:M,
    _xlpm.AllCellsFilled, COUNTA(A1507:K1507) = 11,
    _xlpm.QtyIsInt, AND(ISNUMBER(G1507), G1507=INT(G1507)),
    _xlpm.ReqDateIsValid, AND(ISNUMBER(H1507), H1507&gt;=TODAY()),
    _xlpm.EmailIsValid, RIGHT(I1507,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IF(A1507="", "", IF(_xlpm.error_messages = "", "Yes", _xlpm.error_messages))
)</f>
        <v/>
      </c>
    </row>
    <row r="1508" spans="1:12">
      <c r="A1508" s="94"/>
      <c r="B1508" s="95"/>
      <c r="C1508" s="95"/>
      <c r="D1508" s="94"/>
      <c r="E1508" s="94"/>
      <c r="F1508" s="96"/>
      <c r="G1508" s="94"/>
      <c r="H1508" s="96"/>
      <c r="I1508" s="96"/>
      <c r="J1508" s="92"/>
      <c r="K1508" s="97"/>
      <c r="L1508" s="99" t="str">
        <f ca="1">_xlfn.LET(
    _xlpm.res_no, J1508,
    _xlpm.record_sheet, 'MatRes Record'!J:M,
    _xlpm.AllCellsFilled, COUNTA(A1508:K1508) = 11,
    _xlpm.QtyIsInt, AND(ISNUMBER(G1508), G1508=INT(G1508)),
    _xlpm.ReqDateIsValid, AND(ISNUMBER(H1508), H1508&gt;=TODAY()),
    _xlpm.EmailIsValid, RIGHT(I1508,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IF(A1508="", "", IF(_xlpm.error_messages = "", "Yes", _xlpm.error_messages))
)</f>
        <v/>
      </c>
    </row>
    <row r="1509" spans="1:12">
      <c r="A1509" s="94"/>
      <c r="B1509" s="95"/>
      <c r="C1509" s="95"/>
      <c r="D1509" s="94"/>
      <c r="E1509" s="94"/>
      <c r="F1509" s="96"/>
      <c r="G1509" s="94"/>
      <c r="H1509" s="96"/>
      <c r="I1509" s="96"/>
      <c r="J1509" s="92"/>
      <c r="K1509" s="97"/>
      <c r="L1509" s="99" t="str">
        <f ca="1">_xlfn.LET(
    _xlpm.res_no, J1509,
    _xlpm.record_sheet, 'MatRes Record'!J:M,
    _xlpm.AllCellsFilled, COUNTA(A1509:K1509) = 11,
    _xlpm.QtyIsInt, AND(ISNUMBER(G1509), G1509=INT(G1509)),
    _xlpm.ReqDateIsValid, AND(ISNUMBER(H1509), H1509&gt;=TODAY()),
    _xlpm.EmailIsValid, RIGHT(I1509,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IF(A1509="", "", IF(_xlpm.error_messages = "", "Yes", _xlpm.error_messages))
)</f>
        <v/>
      </c>
    </row>
    <row r="1510" spans="1:12">
      <c r="A1510" s="94"/>
      <c r="B1510" s="95"/>
      <c r="C1510" s="95"/>
      <c r="D1510" s="94"/>
      <c r="E1510" s="94"/>
      <c r="F1510" s="96"/>
      <c r="G1510" s="94"/>
      <c r="H1510" s="96"/>
      <c r="I1510" s="96"/>
      <c r="J1510" s="92"/>
      <c r="K1510" s="97"/>
      <c r="L1510" s="99" t="str">
        <f ca="1">_xlfn.LET(
    _xlpm.res_no, J1510,
    _xlpm.record_sheet, 'MatRes Record'!J:M,
    _xlpm.AllCellsFilled, COUNTA(A1510:K1510) = 11,
    _xlpm.QtyIsInt, AND(ISNUMBER(G1510), G1510=INT(G1510)),
    _xlpm.ReqDateIsValid, AND(ISNUMBER(H1510), H1510&gt;=TODAY()),
    _xlpm.EmailIsValid, RIGHT(I1510,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IF(A1510="", "", IF(_xlpm.error_messages = "", "Yes", _xlpm.error_messages))
)</f>
        <v/>
      </c>
    </row>
    <row r="1511" spans="1:12">
      <c r="A1511" s="94"/>
      <c r="B1511" s="95"/>
      <c r="C1511" s="95"/>
      <c r="D1511" s="94"/>
      <c r="E1511" s="94"/>
      <c r="F1511" s="96"/>
      <c r="G1511" s="94"/>
      <c r="H1511" s="96"/>
      <c r="I1511" s="96"/>
      <c r="J1511" s="92"/>
      <c r="K1511" s="97"/>
      <c r="L1511" s="99" t="str">
        <f ca="1">_xlfn.LET(
    _xlpm.res_no, J1511,
    _xlpm.record_sheet, 'MatRes Record'!J:M,
    _xlpm.AllCellsFilled, COUNTA(A1511:K1511) = 11,
    _xlpm.QtyIsInt, AND(ISNUMBER(G1511), G1511=INT(G1511)),
    _xlpm.ReqDateIsValid, AND(ISNUMBER(H1511), H1511&gt;=TODAY()),
    _xlpm.EmailIsValid, RIGHT(I1511,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IF(A1511="", "", IF(_xlpm.error_messages = "", "Yes", _xlpm.error_messages))
)</f>
        <v/>
      </c>
    </row>
    <row r="1512" spans="1:12">
      <c r="A1512" s="94"/>
      <c r="B1512" s="95"/>
      <c r="C1512" s="95"/>
      <c r="D1512" s="94"/>
      <c r="E1512" s="94"/>
      <c r="F1512" s="96"/>
      <c r="G1512" s="94"/>
      <c r="H1512" s="96"/>
      <c r="I1512" s="96"/>
      <c r="J1512" s="92"/>
      <c r="K1512" s="97"/>
      <c r="L1512" s="99" t="str">
        <f ca="1">_xlfn.LET(
    _xlpm.res_no, J1512,
    _xlpm.record_sheet, 'MatRes Record'!J:M,
    _xlpm.AllCellsFilled, COUNTA(A1512:K1512) = 11,
    _xlpm.QtyIsInt, AND(ISNUMBER(G1512), G1512=INT(G1512)),
    _xlpm.ReqDateIsValid, AND(ISNUMBER(H1512), H1512&gt;=TODAY()),
    _xlpm.EmailIsValid, RIGHT(I1512,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IF(A1512="", "", IF(_xlpm.error_messages = "", "Yes", _xlpm.error_messages))
)</f>
        <v/>
      </c>
    </row>
    <row r="1513" spans="1:12">
      <c r="A1513" s="94"/>
      <c r="B1513" s="95"/>
      <c r="C1513" s="95"/>
      <c r="D1513" s="94"/>
      <c r="E1513" s="94"/>
      <c r="F1513" s="96"/>
      <c r="G1513" s="94"/>
      <c r="H1513" s="96"/>
      <c r="I1513" s="96"/>
      <c r="J1513" s="92"/>
      <c r="K1513" s="97"/>
      <c r="L1513" s="99" t="str">
        <f ca="1">_xlfn.LET(
    _xlpm.res_no, J1513,
    _xlpm.record_sheet, 'MatRes Record'!J:M,
    _xlpm.AllCellsFilled, COUNTA(A1513:K1513) = 11,
    _xlpm.QtyIsInt, AND(ISNUMBER(G1513), G1513=INT(G1513)),
    _xlpm.ReqDateIsValid, AND(ISNUMBER(H1513), H1513&gt;=TODAY()),
    _xlpm.EmailIsValid, RIGHT(I1513,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IF(A1513="", "", IF(_xlpm.error_messages = "", "Yes", _xlpm.error_messages))
)</f>
        <v/>
      </c>
    </row>
    <row r="1514" spans="1:12">
      <c r="A1514" s="94"/>
      <c r="B1514" s="95"/>
      <c r="C1514" s="95"/>
      <c r="D1514" s="94"/>
      <c r="E1514" s="94"/>
      <c r="F1514" s="96"/>
      <c r="G1514" s="94"/>
      <c r="H1514" s="96"/>
      <c r="I1514" s="96"/>
      <c r="J1514" s="92"/>
      <c r="K1514" s="97"/>
      <c r="L1514" s="99" t="str">
        <f ca="1">_xlfn.LET(
    _xlpm.res_no, J1514,
    _xlpm.record_sheet, 'MatRes Record'!J:M,
    _xlpm.AllCellsFilled, COUNTA(A1514:K1514) = 11,
    _xlpm.QtyIsInt, AND(ISNUMBER(G1514), G1514=INT(G1514)),
    _xlpm.ReqDateIsValid, AND(ISNUMBER(H1514), H1514&gt;=TODAY()),
    _xlpm.EmailIsValid, RIGHT(I1514,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IF(A1514="", "", IF(_xlpm.error_messages = "", "Yes", _xlpm.error_messages))
)</f>
        <v/>
      </c>
    </row>
    <row r="1515" spans="1:12">
      <c r="A1515" s="94"/>
      <c r="B1515" s="95"/>
      <c r="C1515" s="95"/>
      <c r="D1515" s="94"/>
      <c r="E1515" s="94"/>
      <c r="F1515" s="96"/>
      <c r="G1515" s="94"/>
      <c r="H1515" s="96"/>
      <c r="I1515" s="96"/>
      <c r="J1515" s="92"/>
      <c r="K1515" s="97"/>
      <c r="L1515" s="99" t="str">
        <f ca="1">_xlfn.LET(
    _xlpm.res_no, J1515,
    _xlpm.record_sheet, 'MatRes Record'!J:M,
    _xlpm.AllCellsFilled, COUNTA(A1515:K1515) = 11,
    _xlpm.QtyIsInt, AND(ISNUMBER(G1515), G1515=INT(G1515)),
    _xlpm.ReqDateIsValid, AND(ISNUMBER(H1515), H1515&gt;=TODAY()),
    _xlpm.EmailIsValid, RIGHT(I1515,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IF(A1515="", "", IF(_xlpm.error_messages = "", "Yes", _xlpm.error_messages))
)</f>
        <v/>
      </c>
    </row>
    <row r="1516" spans="1:12">
      <c r="A1516" s="94"/>
      <c r="B1516" s="95"/>
      <c r="C1516" s="95"/>
      <c r="D1516" s="94"/>
      <c r="E1516" s="94"/>
      <c r="F1516" s="96"/>
      <c r="G1516" s="94"/>
      <c r="H1516" s="96"/>
      <c r="I1516" s="96"/>
      <c r="J1516" s="92"/>
      <c r="K1516" s="97"/>
      <c r="L1516" s="99" t="str">
        <f ca="1">_xlfn.LET(
    _xlpm.res_no, J1516,
    _xlpm.record_sheet, 'MatRes Record'!J:M,
    _xlpm.AllCellsFilled, COUNTA(A1516:K1516) = 11,
    _xlpm.QtyIsInt, AND(ISNUMBER(G1516), G1516=INT(G1516)),
    _xlpm.ReqDateIsValid, AND(ISNUMBER(H1516), H1516&gt;=TODAY()),
    _xlpm.EmailIsValid, RIGHT(I1516,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IF(A1516="", "", IF(_xlpm.error_messages = "", "Yes", _xlpm.error_messages))
)</f>
        <v/>
      </c>
    </row>
    <row r="1517" spans="1:12">
      <c r="A1517" s="94"/>
      <c r="B1517" s="95"/>
      <c r="C1517" s="95"/>
      <c r="D1517" s="94"/>
      <c r="E1517" s="94"/>
      <c r="F1517" s="96"/>
      <c r="G1517" s="94"/>
      <c r="H1517" s="96"/>
      <c r="I1517" s="96"/>
      <c r="J1517" s="92"/>
      <c r="K1517" s="97"/>
      <c r="L1517" s="99" t="str">
        <f ca="1">_xlfn.LET(
    _xlpm.res_no, J1517,
    _xlpm.record_sheet, 'MatRes Record'!J:M,
    _xlpm.AllCellsFilled, COUNTA(A1517:K1517) = 11,
    _xlpm.QtyIsInt, AND(ISNUMBER(G1517), G1517=INT(G1517)),
    _xlpm.ReqDateIsValid, AND(ISNUMBER(H1517), H1517&gt;=TODAY()),
    _xlpm.EmailIsValid, RIGHT(I1517,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IF(A1517="", "", IF(_xlpm.error_messages = "", "Yes", _xlpm.error_messages))
)</f>
        <v/>
      </c>
    </row>
    <row r="1518" spans="1:12">
      <c r="A1518" s="94"/>
      <c r="B1518" s="95"/>
      <c r="C1518" s="95"/>
      <c r="D1518" s="94"/>
      <c r="E1518" s="94"/>
      <c r="F1518" s="96"/>
      <c r="G1518" s="94"/>
      <c r="H1518" s="96"/>
      <c r="I1518" s="96"/>
      <c r="J1518" s="92"/>
      <c r="K1518" s="97"/>
      <c r="L1518" s="99" t="str">
        <f ca="1">_xlfn.LET(
    _xlpm.res_no, J1518,
    _xlpm.record_sheet, 'MatRes Record'!J:M,
    _xlpm.AllCellsFilled, COUNTA(A1518:K1518) = 11,
    _xlpm.QtyIsInt, AND(ISNUMBER(G1518), G1518=INT(G1518)),
    _xlpm.ReqDateIsValid, AND(ISNUMBER(H1518), H1518&gt;=TODAY()),
    _xlpm.EmailIsValid, RIGHT(I1518,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IF(A1518="", "", IF(_xlpm.error_messages = "", "Yes", _xlpm.error_messages))
)</f>
        <v/>
      </c>
    </row>
    <row r="1519" spans="1:12">
      <c r="A1519" s="94"/>
      <c r="B1519" s="95"/>
      <c r="C1519" s="95"/>
      <c r="D1519" s="94"/>
      <c r="E1519" s="94"/>
      <c r="F1519" s="96"/>
      <c r="G1519" s="94"/>
      <c r="H1519" s="96"/>
      <c r="I1519" s="96"/>
      <c r="J1519" s="92"/>
      <c r="K1519" s="97"/>
      <c r="L1519" s="99" t="str">
        <f ca="1">_xlfn.LET(
    _xlpm.res_no, J1519,
    _xlpm.record_sheet, 'MatRes Record'!J:M,
    _xlpm.AllCellsFilled, COUNTA(A1519:K1519) = 11,
    _xlpm.QtyIsInt, AND(ISNUMBER(G1519), G1519=INT(G1519)),
    _xlpm.ReqDateIsValid, AND(ISNUMBER(H1519), H1519&gt;=TODAY()),
    _xlpm.EmailIsValid, RIGHT(I1519,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IF(A1519="", "", IF(_xlpm.error_messages = "", "Yes", _xlpm.error_messages))
)</f>
        <v/>
      </c>
    </row>
    <row r="1520" spans="1:12">
      <c r="A1520" s="94"/>
      <c r="B1520" s="95"/>
      <c r="C1520" s="95"/>
      <c r="D1520" s="94"/>
      <c r="E1520" s="94"/>
      <c r="F1520" s="96"/>
      <c r="G1520" s="94"/>
      <c r="H1520" s="96"/>
      <c r="I1520" s="96"/>
      <c r="J1520" s="92"/>
      <c r="K1520" s="97"/>
      <c r="L1520" s="99" t="str">
        <f ca="1">_xlfn.LET(
    _xlpm.res_no, J1520,
    _xlpm.record_sheet, 'MatRes Record'!J:M,
    _xlpm.AllCellsFilled, COUNTA(A1520:K1520) = 11,
    _xlpm.QtyIsInt, AND(ISNUMBER(G1520), G1520=INT(G1520)),
    _xlpm.ReqDateIsValid, AND(ISNUMBER(H1520), H1520&gt;=TODAY()),
    _xlpm.EmailIsValid, RIGHT(I1520,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IF(A1520="", "", IF(_xlpm.error_messages = "", "Yes", _xlpm.error_messages))
)</f>
        <v/>
      </c>
    </row>
    <row r="1521" spans="1:12">
      <c r="A1521" s="94"/>
      <c r="B1521" s="95"/>
      <c r="C1521" s="95"/>
      <c r="D1521" s="94"/>
      <c r="E1521" s="94"/>
      <c r="F1521" s="96"/>
      <c r="G1521" s="94"/>
      <c r="H1521" s="96"/>
      <c r="I1521" s="96"/>
      <c r="J1521" s="92"/>
      <c r="K1521" s="97"/>
      <c r="L1521" s="99" t="str">
        <f ca="1">_xlfn.LET(
    _xlpm.res_no, J1521,
    _xlpm.record_sheet, 'MatRes Record'!J:M,
    _xlpm.AllCellsFilled, COUNTA(A1521:K1521) = 11,
    _xlpm.QtyIsInt, AND(ISNUMBER(G1521), G1521=INT(G1521)),
    _xlpm.ReqDateIsValid, AND(ISNUMBER(H1521), H1521&gt;=TODAY()),
    _xlpm.EmailIsValid, RIGHT(I1521,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IF(A1521="", "", IF(_xlpm.error_messages = "", "Yes", _xlpm.error_messages))
)</f>
        <v/>
      </c>
    </row>
    <row r="1522" spans="1:12">
      <c r="A1522" s="94"/>
      <c r="B1522" s="95"/>
      <c r="C1522" s="95"/>
      <c r="D1522" s="94"/>
      <c r="E1522" s="94"/>
      <c r="F1522" s="96"/>
      <c r="G1522" s="94"/>
      <c r="H1522" s="96"/>
      <c r="I1522" s="96"/>
      <c r="J1522" s="92"/>
      <c r="K1522" s="97"/>
      <c r="L1522" s="99" t="str">
        <f ca="1">_xlfn.LET(
    _xlpm.res_no, J1522,
    _xlpm.record_sheet, 'MatRes Record'!J:M,
    _xlpm.AllCellsFilled, COUNTA(A1522:K1522) = 11,
    _xlpm.QtyIsInt, AND(ISNUMBER(G1522), G1522=INT(G1522)),
    _xlpm.ReqDateIsValid, AND(ISNUMBER(H1522), H1522&gt;=TODAY()),
    _xlpm.EmailIsValid, RIGHT(I1522,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IF(A1522="", "", IF(_xlpm.error_messages = "", "Yes", _xlpm.error_messages))
)</f>
        <v/>
      </c>
    </row>
    <row r="1523" spans="1:12">
      <c r="A1523" s="94"/>
      <c r="B1523" s="95"/>
      <c r="C1523" s="95"/>
      <c r="D1523" s="94"/>
      <c r="E1523" s="94"/>
      <c r="F1523" s="96"/>
      <c r="G1523" s="94"/>
      <c r="H1523" s="96"/>
      <c r="I1523" s="96"/>
      <c r="J1523" s="92"/>
      <c r="K1523" s="97"/>
      <c r="L1523" s="99" t="str">
        <f ca="1">_xlfn.LET(
    _xlpm.res_no, J1523,
    _xlpm.record_sheet, 'MatRes Record'!J:M,
    _xlpm.AllCellsFilled, COUNTA(A1523:K1523) = 11,
    _xlpm.QtyIsInt, AND(ISNUMBER(G1523), G1523=INT(G1523)),
    _xlpm.ReqDateIsValid, AND(ISNUMBER(H1523), H1523&gt;=TODAY()),
    _xlpm.EmailIsValid, RIGHT(I1523,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IF(A1523="", "", IF(_xlpm.error_messages = "", "Yes", _xlpm.error_messages))
)</f>
        <v/>
      </c>
    </row>
    <row r="1524" spans="1:12">
      <c r="A1524" s="94"/>
      <c r="B1524" s="95"/>
      <c r="C1524" s="95"/>
      <c r="D1524" s="94"/>
      <c r="E1524" s="94"/>
      <c r="F1524" s="96"/>
      <c r="G1524" s="94"/>
      <c r="H1524" s="96"/>
      <c r="I1524" s="96"/>
      <c r="J1524" s="92"/>
      <c r="K1524" s="97"/>
      <c r="L1524" s="99" t="str">
        <f ca="1">_xlfn.LET(
    _xlpm.res_no, J1524,
    _xlpm.record_sheet, 'MatRes Record'!J:M,
    _xlpm.AllCellsFilled, COUNTA(A1524:K1524) = 11,
    _xlpm.QtyIsInt, AND(ISNUMBER(G1524), G1524=INT(G1524)),
    _xlpm.ReqDateIsValid, AND(ISNUMBER(H1524), H1524&gt;=TODAY()),
    _xlpm.EmailIsValid, RIGHT(I1524,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IF(A1524="", "", IF(_xlpm.error_messages = "", "Yes", _xlpm.error_messages))
)</f>
        <v/>
      </c>
    </row>
    <row r="1525" spans="1:12">
      <c r="A1525" s="94"/>
      <c r="B1525" s="95"/>
      <c r="C1525" s="95"/>
      <c r="D1525" s="94"/>
      <c r="E1525" s="94"/>
      <c r="F1525" s="96"/>
      <c r="G1525" s="94"/>
      <c r="H1525" s="96"/>
      <c r="I1525" s="96"/>
      <c r="J1525" s="92"/>
      <c r="K1525" s="97"/>
      <c r="L1525" s="99" t="str">
        <f ca="1">_xlfn.LET(
    _xlpm.res_no, J1525,
    _xlpm.record_sheet, 'MatRes Record'!J:M,
    _xlpm.AllCellsFilled, COUNTA(A1525:K1525) = 11,
    _xlpm.QtyIsInt, AND(ISNUMBER(G1525), G1525=INT(G1525)),
    _xlpm.ReqDateIsValid, AND(ISNUMBER(H1525), H1525&gt;=TODAY()),
    _xlpm.EmailIsValid, RIGHT(I1525,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IF(A1525="", "", IF(_xlpm.error_messages = "", "Yes", _xlpm.error_messages))
)</f>
        <v/>
      </c>
    </row>
    <row r="1526" spans="1:12">
      <c r="A1526" s="94"/>
      <c r="B1526" s="95"/>
      <c r="C1526" s="95"/>
      <c r="D1526" s="94"/>
      <c r="E1526" s="94"/>
      <c r="F1526" s="96"/>
      <c r="G1526" s="94"/>
      <c r="H1526" s="96"/>
      <c r="I1526" s="96"/>
      <c r="J1526" s="92"/>
      <c r="K1526" s="97"/>
      <c r="L1526" s="99" t="str">
        <f ca="1">_xlfn.LET(
    _xlpm.res_no, J1526,
    _xlpm.record_sheet, 'MatRes Record'!J:M,
    _xlpm.AllCellsFilled, COUNTA(A1526:K1526) = 11,
    _xlpm.QtyIsInt, AND(ISNUMBER(G1526), G1526=INT(G1526)),
    _xlpm.ReqDateIsValid, AND(ISNUMBER(H1526), H1526&gt;=TODAY()),
    _xlpm.EmailIsValid, RIGHT(I1526,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IF(A1526="", "", IF(_xlpm.error_messages = "", "Yes", _xlpm.error_messages))
)</f>
        <v/>
      </c>
    </row>
    <row r="1527" spans="1:12">
      <c r="A1527" s="94"/>
      <c r="B1527" s="95"/>
      <c r="C1527" s="95"/>
      <c r="D1527" s="94"/>
      <c r="E1527" s="94"/>
      <c r="F1527" s="96"/>
      <c r="G1527" s="94"/>
      <c r="H1527" s="96"/>
      <c r="I1527" s="96"/>
      <c r="J1527" s="92"/>
      <c r="K1527" s="97"/>
      <c r="L1527" s="99" t="str">
        <f ca="1">_xlfn.LET(
    _xlpm.res_no, J1527,
    _xlpm.record_sheet, 'MatRes Record'!J:M,
    _xlpm.AllCellsFilled, COUNTA(A1527:K1527) = 11,
    _xlpm.QtyIsInt, AND(ISNUMBER(G1527), G1527=INT(G1527)),
    _xlpm.ReqDateIsValid, AND(ISNUMBER(H1527), H1527&gt;=TODAY()),
    _xlpm.EmailIsValid, RIGHT(I1527,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IF(A1527="", "", IF(_xlpm.error_messages = "", "Yes", _xlpm.error_messages))
)</f>
        <v/>
      </c>
    </row>
    <row r="1528" spans="1:12">
      <c r="A1528" s="94"/>
      <c r="B1528" s="95"/>
      <c r="C1528" s="95"/>
      <c r="D1528" s="94"/>
      <c r="E1528" s="94"/>
      <c r="F1528" s="96"/>
      <c r="G1528" s="94"/>
      <c r="H1528" s="96"/>
      <c r="I1528" s="96"/>
      <c r="J1528" s="92"/>
      <c r="K1528" s="97"/>
      <c r="L1528" s="99" t="str">
        <f ca="1">_xlfn.LET(
    _xlpm.res_no, J1528,
    _xlpm.record_sheet, 'MatRes Record'!J:M,
    _xlpm.AllCellsFilled, COUNTA(A1528:K1528) = 11,
    _xlpm.QtyIsInt, AND(ISNUMBER(G1528), G1528=INT(G1528)),
    _xlpm.ReqDateIsValid, AND(ISNUMBER(H1528), H1528&gt;=TODAY()),
    _xlpm.EmailIsValid, RIGHT(I1528,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IF(A1528="", "", IF(_xlpm.error_messages = "", "Yes", _xlpm.error_messages))
)</f>
        <v/>
      </c>
    </row>
    <row r="1529" spans="1:12">
      <c r="A1529" s="94"/>
      <c r="B1529" s="95"/>
      <c r="C1529" s="95"/>
      <c r="D1529" s="94"/>
      <c r="E1529" s="94"/>
      <c r="F1529" s="96"/>
      <c r="G1529" s="94"/>
      <c r="H1529" s="96"/>
      <c r="I1529" s="96"/>
      <c r="J1529" s="92"/>
      <c r="K1529" s="97"/>
      <c r="L1529" s="99" t="str">
        <f ca="1">_xlfn.LET(
    _xlpm.res_no, J1529,
    _xlpm.record_sheet, 'MatRes Record'!J:M,
    _xlpm.AllCellsFilled, COUNTA(A1529:K1529) = 11,
    _xlpm.QtyIsInt, AND(ISNUMBER(G1529), G1529=INT(G1529)),
    _xlpm.ReqDateIsValid, AND(ISNUMBER(H1529), H1529&gt;=TODAY()),
    _xlpm.EmailIsValid, RIGHT(I1529,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IF(A1529="", "", IF(_xlpm.error_messages = "", "Yes", _xlpm.error_messages))
)</f>
        <v/>
      </c>
    </row>
    <row r="1530" spans="1:12">
      <c r="A1530" s="94"/>
      <c r="B1530" s="95"/>
      <c r="C1530" s="95"/>
      <c r="D1530" s="94"/>
      <c r="E1530" s="94"/>
      <c r="F1530" s="96"/>
      <c r="G1530" s="94"/>
      <c r="H1530" s="96"/>
      <c r="I1530" s="96"/>
      <c r="J1530" s="92"/>
      <c r="K1530" s="97"/>
      <c r="L1530" s="99" t="str">
        <f ca="1">_xlfn.LET(
    _xlpm.res_no, J1530,
    _xlpm.record_sheet, 'MatRes Record'!J:M,
    _xlpm.AllCellsFilled, COUNTA(A1530:K1530) = 11,
    _xlpm.QtyIsInt, AND(ISNUMBER(G1530), G1530=INT(G1530)),
    _xlpm.ReqDateIsValid, AND(ISNUMBER(H1530), H1530&gt;=TODAY()),
    _xlpm.EmailIsValid, RIGHT(I1530,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IF(A1530="", "", IF(_xlpm.error_messages = "", "Yes", _xlpm.error_messages))
)</f>
        <v/>
      </c>
    </row>
    <row r="1531" spans="1:12">
      <c r="A1531" s="94"/>
      <c r="B1531" s="95"/>
      <c r="C1531" s="95"/>
      <c r="D1531" s="94"/>
      <c r="E1531" s="94"/>
      <c r="F1531" s="96"/>
      <c r="G1531" s="94"/>
      <c r="H1531" s="96"/>
      <c r="I1531" s="96"/>
      <c r="J1531" s="92"/>
      <c r="K1531" s="97"/>
      <c r="L1531" s="99" t="str">
        <f ca="1">_xlfn.LET(
    _xlpm.res_no, J1531,
    _xlpm.record_sheet, 'MatRes Record'!J:M,
    _xlpm.AllCellsFilled, COUNTA(A1531:K1531) = 11,
    _xlpm.QtyIsInt, AND(ISNUMBER(G1531), G1531=INT(G1531)),
    _xlpm.ReqDateIsValid, AND(ISNUMBER(H1531), H1531&gt;=TODAY()),
    _xlpm.EmailIsValid, RIGHT(I1531,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IF(A1531="", "", IF(_xlpm.error_messages = "", "Yes", _xlpm.error_messages))
)</f>
        <v/>
      </c>
    </row>
    <row r="1532" spans="1:12">
      <c r="A1532" s="94"/>
      <c r="B1532" s="95"/>
      <c r="C1532" s="95"/>
      <c r="D1532" s="94"/>
      <c r="E1532" s="94"/>
      <c r="F1532" s="96"/>
      <c r="G1532" s="94"/>
      <c r="H1532" s="96"/>
      <c r="I1532" s="96"/>
      <c r="J1532" s="92"/>
      <c r="K1532" s="97"/>
      <c r="L1532" s="99" t="str">
        <f ca="1">_xlfn.LET(
    _xlpm.res_no, J1532,
    _xlpm.record_sheet, 'MatRes Record'!J:M,
    _xlpm.AllCellsFilled, COUNTA(A1532:K1532) = 11,
    _xlpm.QtyIsInt, AND(ISNUMBER(G1532), G1532=INT(G1532)),
    _xlpm.ReqDateIsValid, AND(ISNUMBER(H1532), H1532&gt;=TODAY()),
    _xlpm.EmailIsValid, RIGHT(I1532,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IF(A1532="", "", IF(_xlpm.error_messages = "", "Yes", _xlpm.error_messages))
)</f>
        <v/>
      </c>
    </row>
    <row r="1533" spans="1:12">
      <c r="A1533" s="94"/>
      <c r="B1533" s="95"/>
      <c r="C1533" s="95"/>
      <c r="D1533" s="94"/>
      <c r="E1533" s="94"/>
      <c r="F1533" s="96"/>
      <c r="G1533" s="94"/>
      <c r="H1533" s="96"/>
      <c r="I1533" s="96"/>
      <c r="J1533" s="92"/>
      <c r="K1533" s="97"/>
      <c r="L1533" s="99" t="str">
        <f ca="1">_xlfn.LET(
    _xlpm.res_no, J1533,
    _xlpm.record_sheet, 'MatRes Record'!J:M,
    _xlpm.AllCellsFilled, COUNTA(A1533:K1533) = 11,
    _xlpm.QtyIsInt, AND(ISNUMBER(G1533), G1533=INT(G1533)),
    _xlpm.ReqDateIsValid, AND(ISNUMBER(H1533), H1533&gt;=TODAY()),
    _xlpm.EmailIsValid, RIGHT(I1533,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IF(A1533="", "", IF(_xlpm.error_messages = "", "Yes", _xlpm.error_messages))
)</f>
        <v/>
      </c>
    </row>
    <row r="1534" spans="1:12">
      <c r="A1534" s="94"/>
      <c r="B1534" s="95"/>
      <c r="C1534" s="95"/>
      <c r="D1534" s="94"/>
      <c r="E1534" s="94"/>
      <c r="F1534" s="96"/>
      <c r="G1534" s="94"/>
      <c r="H1534" s="96"/>
      <c r="I1534" s="96"/>
      <c r="J1534" s="92"/>
      <c r="K1534" s="97"/>
      <c r="L1534" s="99" t="str">
        <f ca="1">_xlfn.LET(
    _xlpm.res_no, J1534,
    _xlpm.record_sheet, 'MatRes Record'!J:M,
    _xlpm.AllCellsFilled, COUNTA(A1534:K1534) = 11,
    _xlpm.QtyIsInt, AND(ISNUMBER(G1534), G1534=INT(G1534)),
    _xlpm.ReqDateIsValid, AND(ISNUMBER(H1534), H1534&gt;=TODAY()),
    _xlpm.EmailIsValid, RIGHT(I1534,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IF(A1534="", "", IF(_xlpm.error_messages = "", "Yes", _xlpm.error_messages))
)</f>
        <v/>
      </c>
    </row>
    <row r="1535" spans="1:12">
      <c r="A1535" s="94"/>
      <c r="B1535" s="95"/>
      <c r="C1535" s="95"/>
      <c r="D1535" s="94"/>
      <c r="E1535" s="94"/>
      <c r="F1535" s="96"/>
      <c r="G1535" s="94"/>
      <c r="H1535" s="96"/>
      <c r="I1535" s="96"/>
      <c r="J1535" s="92"/>
      <c r="K1535" s="97"/>
      <c r="L1535" s="99" t="str">
        <f ca="1">_xlfn.LET(
    _xlpm.res_no, J1535,
    _xlpm.record_sheet, 'MatRes Record'!J:M,
    _xlpm.AllCellsFilled, COUNTA(A1535:K1535) = 11,
    _xlpm.QtyIsInt, AND(ISNUMBER(G1535), G1535=INT(G1535)),
    _xlpm.ReqDateIsValid, AND(ISNUMBER(H1535), H1535&gt;=TODAY()),
    _xlpm.EmailIsValid, RIGHT(I1535,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IF(A1535="", "", IF(_xlpm.error_messages = "", "Yes", _xlpm.error_messages))
)</f>
        <v/>
      </c>
    </row>
    <row r="1536" spans="1:12">
      <c r="A1536" s="94"/>
      <c r="B1536" s="95"/>
      <c r="C1536" s="95"/>
      <c r="D1536" s="94"/>
      <c r="E1536" s="94"/>
      <c r="F1536" s="96"/>
      <c r="G1536" s="94"/>
      <c r="H1536" s="96"/>
      <c r="I1536" s="96"/>
      <c r="J1536" s="92"/>
      <c r="K1536" s="97"/>
      <c r="L1536" s="99" t="str">
        <f ca="1">_xlfn.LET(
    _xlpm.res_no, J1536,
    _xlpm.record_sheet, 'MatRes Record'!J:M,
    _xlpm.AllCellsFilled, COUNTA(A1536:K1536) = 11,
    _xlpm.QtyIsInt, AND(ISNUMBER(G1536), G1536=INT(G1536)),
    _xlpm.ReqDateIsValid, AND(ISNUMBER(H1536), H1536&gt;=TODAY()),
    _xlpm.EmailIsValid, RIGHT(I1536,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IF(A1536="", "", IF(_xlpm.error_messages = "", "Yes", _xlpm.error_messages))
)</f>
        <v/>
      </c>
    </row>
    <row r="1537" spans="1:12">
      <c r="A1537" s="94"/>
      <c r="B1537" s="95"/>
      <c r="C1537" s="95"/>
      <c r="D1537" s="94"/>
      <c r="E1537" s="94"/>
      <c r="F1537" s="96"/>
      <c r="G1537" s="94"/>
      <c r="H1537" s="96"/>
      <c r="I1537" s="96"/>
      <c r="J1537" s="92"/>
      <c r="K1537" s="97"/>
      <c r="L1537" s="99" t="str">
        <f ca="1">_xlfn.LET(
    _xlpm.res_no, J1537,
    _xlpm.record_sheet, 'MatRes Record'!J:M,
    _xlpm.AllCellsFilled, COUNTA(A1537:K1537) = 11,
    _xlpm.QtyIsInt, AND(ISNUMBER(G1537), G1537=INT(G1537)),
    _xlpm.ReqDateIsValid, AND(ISNUMBER(H1537), H1537&gt;=TODAY()),
    _xlpm.EmailIsValid, RIGHT(I1537,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IF(A1537="", "", IF(_xlpm.error_messages = "", "Yes", _xlpm.error_messages))
)</f>
        <v/>
      </c>
    </row>
    <row r="1538" spans="1:12">
      <c r="A1538" s="94"/>
      <c r="B1538" s="95"/>
      <c r="C1538" s="95"/>
      <c r="D1538" s="94"/>
      <c r="E1538" s="94"/>
      <c r="F1538" s="96"/>
      <c r="G1538" s="94"/>
      <c r="H1538" s="96"/>
      <c r="I1538" s="96"/>
      <c r="J1538" s="92"/>
      <c r="K1538" s="97"/>
      <c r="L1538" s="99" t="str">
        <f ca="1">_xlfn.LET(
    _xlpm.res_no, J1538,
    _xlpm.record_sheet, 'MatRes Record'!J:M,
    _xlpm.AllCellsFilled, COUNTA(A1538:K1538) = 11,
    _xlpm.QtyIsInt, AND(ISNUMBER(G1538), G1538=INT(G1538)),
    _xlpm.ReqDateIsValid, AND(ISNUMBER(H1538), H1538&gt;=TODAY()),
    _xlpm.EmailIsValid, RIGHT(I1538,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IF(A1538="", "", IF(_xlpm.error_messages = "", "Yes", _xlpm.error_messages))
)</f>
        <v/>
      </c>
    </row>
    <row r="1539" spans="1:12">
      <c r="A1539" s="94"/>
      <c r="B1539" s="95"/>
      <c r="C1539" s="95"/>
      <c r="D1539" s="94"/>
      <c r="E1539" s="94"/>
      <c r="F1539" s="96"/>
      <c r="G1539" s="94"/>
      <c r="H1539" s="96"/>
      <c r="I1539" s="96"/>
      <c r="J1539" s="92"/>
      <c r="K1539" s="97"/>
      <c r="L1539" s="99" t="str">
        <f ca="1">_xlfn.LET(
    _xlpm.res_no, J1539,
    _xlpm.record_sheet, 'MatRes Record'!J:M,
    _xlpm.AllCellsFilled, COUNTA(A1539:K1539) = 11,
    _xlpm.QtyIsInt, AND(ISNUMBER(G1539), G1539=INT(G1539)),
    _xlpm.ReqDateIsValid, AND(ISNUMBER(H1539), H1539&gt;=TODAY()),
    _xlpm.EmailIsValid, RIGHT(I1539,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IF(A1539="", "", IF(_xlpm.error_messages = "", "Yes", _xlpm.error_messages))
)</f>
        <v/>
      </c>
    </row>
    <row r="1540" spans="1:12">
      <c r="A1540" s="94"/>
      <c r="B1540" s="95"/>
      <c r="C1540" s="95"/>
      <c r="D1540" s="94"/>
      <c r="E1540" s="94"/>
      <c r="F1540" s="96"/>
      <c r="G1540" s="94"/>
      <c r="H1540" s="96"/>
      <c r="I1540" s="96"/>
      <c r="J1540" s="92"/>
      <c r="K1540" s="97"/>
      <c r="L1540" s="99" t="str">
        <f ca="1">_xlfn.LET(
    _xlpm.res_no, J1540,
    _xlpm.record_sheet, 'MatRes Record'!J:M,
    _xlpm.AllCellsFilled, COUNTA(A1540:K1540) = 11,
    _xlpm.QtyIsInt, AND(ISNUMBER(G1540), G1540=INT(G1540)),
    _xlpm.ReqDateIsValid, AND(ISNUMBER(H1540), H1540&gt;=TODAY()),
    _xlpm.EmailIsValid, RIGHT(I1540,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IF(A1540="", "", IF(_xlpm.error_messages = "", "Yes", _xlpm.error_messages))
)</f>
        <v/>
      </c>
    </row>
    <row r="1541" spans="1:12">
      <c r="A1541" s="94"/>
      <c r="B1541" s="95"/>
      <c r="C1541" s="95"/>
      <c r="D1541" s="94"/>
      <c r="E1541" s="94"/>
      <c r="F1541" s="96"/>
      <c r="G1541" s="94"/>
      <c r="H1541" s="96"/>
      <c r="I1541" s="96"/>
      <c r="J1541" s="92"/>
      <c r="K1541" s="97"/>
      <c r="L1541" s="99" t="str">
        <f ca="1">_xlfn.LET(
    _xlpm.res_no, J1541,
    _xlpm.record_sheet, 'MatRes Record'!J:M,
    _xlpm.AllCellsFilled, COUNTA(A1541:K1541) = 11,
    _xlpm.QtyIsInt, AND(ISNUMBER(G1541), G1541=INT(G1541)),
    _xlpm.ReqDateIsValid, AND(ISNUMBER(H1541), H1541&gt;=TODAY()),
    _xlpm.EmailIsValid, RIGHT(I1541,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IF(A1541="", "", IF(_xlpm.error_messages = "", "Yes", _xlpm.error_messages))
)</f>
        <v/>
      </c>
    </row>
    <row r="1542" spans="1:12">
      <c r="A1542" s="94"/>
      <c r="B1542" s="95"/>
      <c r="C1542" s="95"/>
      <c r="D1542" s="94"/>
      <c r="E1542" s="94"/>
      <c r="F1542" s="96"/>
      <c r="G1542" s="94"/>
      <c r="H1542" s="96"/>
      <c r="I1542" s="96"/>
      <c r="J1542" s="92"/>
      <c r="K1542" s="97"/>
      <c r="L1542" s="99" t="str">
        <f ca="1">_xlfn.LET(
    _xlpm.res_no, J1542,
    _xlpm.record_sheet, 'MatRes Record'!J:M,
    _xlpm.AllCellsFilled, COUNTA(A1542:K1542) = 11,
    _xlpm.QtyIsInt, AND(ISNUMBER(G1542), G1542=INT(G1542)),
    _xlpm.ReqDateIsValid, AND(ISNUMBER(H1542), H1542&gt;=TODAY()),
    _xlpm.EmailIsValid, RIGHT(I1542,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IF(A1542="", "", IF(_xlpm.error_messages = "", "Yes", _xlpm.error_messages))
)</f>
        <v/>
      </c>
    </row>
    <row r="1543" spans="1:12">
      <c r="A1543" s="94"/>
      <c r="B1543" s="95"/>
      <c r="C1543" s="95"/>
      <c r="D1543" s="94"/>
      <c r="E1543" s="94"/>
      <c r="F1543" s="96"/>
      <c r="G1543" s="94"/>
      <c r="H1543" s="96"/>
      <c r="I1543" s="96"/>
      <c r="J1543" s="92"/>
      <c r="K1543" s="97"/>
      <c r="L1543" s="99" t="str">
        <f ca="1">_xlfn.LET(
    _xlpm.res_no, J1543,
    _xlpm.record_sheet, 'MatRes Record'!J:M,
    _xlpm.AllCellsFilled, COUNTA(A1543:K1543) = 11,
    _xlpm.QtyIsInt, AND(ISNUMBER(G1543), G1543=INT(G1543)),
    _xlpm.ReqDateIsValid, AND(ISNUMBER(H1543), H1543&gt;=TODAY()),
    _xlpm.EmailIsValid, RIGHT(I1543,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IF(A1543="", "", IF(_xlpm.error_messages = "", "Yes", _xlpm.error_messages))
)</f>
        <v/>
      </c>
    </row>
    <row r="1544" spans="1:12">
      <c r="A1544" s="94"/>
      <c r="B1544" s="95"/>
      <c r="C1544" s="95"/>
      <c r="D1544" s="94"/>
      <c r="E1544" s="94"/>
      <c r="F1544" s="96"/>
      <c r="G1544" s="94"/>
      <c r="H1544" s="96"/>
      <c r="I1544" s="96"/>
      <c r="J1544" s="92"/>
      <c r="K1544" s="97"/>
      <c r="L1544" s="99" t="str">
        <f ca="1">_xlfn.LET(
    _xlpm.res_no, J1544,
    _xlpm.record_sheet, 'MatRes Record'!J:M,
    _xlpm.AllCellsFilled, COUNTA(A1544:K1544) = 11,
    _xlpm.QtyIsInt, AND(ISNUMBER(G1544), G1544=INT(G1544)),
    _xlpm.ReqDateIsValid, AND(ISNUMBER(H1544), H1544&gt;=TODAY()),
    _xlpm.EmailIsValid, RIGHT(I1544,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IF(A1544="", "", IF(_xlpm.error_messages = "", "Yes", _xlpm.error_messages))
)</f>
        <v/>
      </c>
    </row>
    <row r="1545" spans="1:12">
      <c r="A1545" s="94"/>
      <c r="B1545" s="95"/>
      <c r="C1545" s="95"/>
      <c r="D1545" s="94"/>
      <c r="E1545" s="94"/>
      <c r="F1545" s="96"/>
      <c r="G1545" s="94"/>
      <c r="H1545" s="96"/>
      <c r="I1545" s="96"/>
      <c r="J1545" s="92"/>
      <c r="K1545" s="97"/>
      <c r="L1545" s="99" t="str">
        <f ca="1">_xlfn.LET(
    _xlpm.res_no, J1545,
    _xlpm.record_sheet, 'MatRes Record'!J:M,
    _xlpm.AllCellsFilled, COUNTA(A1545:K1545) = 11,
    _xlpm.QtyIsInt, AND(ISNUMBER(G1545), G1545=INT(G1545)),
    _xlpm.ReqDateIsValid, AND(ISNUMBER(H1545), H1545&gt;=TODAY()),
    _xlpm.EmailIsValid, RIGHT(I1545,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IF(A1545="", "", IF(_xlpm.error_messages = "", "Yes", _xlpm.error_messages))
)</f>
        <v/>
      </c>
    </row>
    <row r="1546" spans="1:12">
      <c r="A1546" s="94"/>
      <c r="B1546" s="95"/>
      <c r="C1546" s="95"/>
      <c r="D1546" s="94"/>
      <c r="E1546" s="94"/>
      <c r="F1546" s="96"/>
      <c r="G1546" s="94"/>
      <c r="H1546" s="96"/>
      <c r="I1546" s="96"/>
      <c r="J1546" s="92"/>
      <c r="K1546" s="97"/>
      <c r="L1546" s="99" t="str">
        <f ca="1">_xlfn.LET(
    _xlpm.res_no, J1546,
    _xlpm.record_sheet, 'MatRes Record'!J:M,
    _xlpm.AllCellsFilled, COUNTA(A1546:K1546) = 11,
    _xlpm.QtyIsInt, AND(ISNUMBER(G1546), G1546=INT(G1546)),
    _xlpm.ReqDateIsValid, AND(ISNUMBER(H1546), H1546&gt;=TODAY()),
    _xlpm.EmailIsValid, RIGHT(I1546,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IF(A1546="", "", IF(_xlpm.error_messages = "", "Yes", _xlpm.error_messages))
)</f>
        <v/>
      </c>
    </row>
    <row r="1547" spans="1:12">
      <c r="A1547" s="94"/>
      <c r="B1547" s="95"/>
      <c r="C1547" s="95"/>
      <c r="D1547" s="94"/>
      <c r="E1547" s="94"/>
      <c r="F1547" s="96"/>
      <c r="G1547" s="94"/>
      <c r="H1547" s="96"/>
      <c r="I1547" s="96"/>
      <c r="J1547" s="92"/>
      <c r="K1547" s="97"/>
      <c r="L1547" s="99" t="str">
        <f ca="1">_xlfn.LET(
    _xlpm.res_no, J1547,
    _xlpm.record_sheet, 'MatRes Record'!J:M,
    _xlpm.AllCellsFilled, COUNTA(A1547:K1547) = 11,
    _xlpm.QtyIsInt, AND(ISNUMBER(G1547), G1547=INT(G1547)),
    _xlpm.ReqDateIsValid, AND(ISNUMBER(H1547), H1547&gt;=TODAY()),
    _xlpm.EmailIsValid, RIGHT(I1547,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IF(A1547="", "", IF(_xlpm.error_messages = "", "Yes", _xlpm.error_messages))
)</f>
        <v/>
      </c>
    </row>
    <row r="1548" spans="1:12">
      <c r="A1548" s="94"/>
      <c r="B1548" s="95"/>
      <c r="C1548" s="95"/>
      <c r="D1548" s="94"/>
      <c r="E1548" s="94"/>
      <c r="F1548" s="96"/>
      <c r="G1548" s="94"/>
      <c r="H1548" s="96"/>
      <c r="I1548" s="96"/>
      <c r="J1548" s="92"/>
      <c r="K1548" s="97"/>
      <c r="L1548" s="99" t="str">
        <f ca="1">_xlfn.LET(
    _xlpm.res_no, J1548,
    _xlpm.record_sheet, 'MatRes Record'!J:M,
    _xlpm.AllCellsFilled, COUNTA(A1548:K1548) = 11,
    _xlpm.QtyIsInt, AND(ISNUMBER(G1548), G1548=INT(G1548)),
    _xlpm.ReqDateIsValid, AND(ISNUMBER(H1548), H1548&gt;=TODAY()),
    _xlpm.EmailIsValid, RIGHT(I1548,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IF(A1548="", "", IF(_xlpm.error_messages = "", "Yes", _xlpm.error_messages))
)</f>
        <v/>
      </c>
    </row>
    <row r="1549" spans="1:12">
      <c r="A1549" s="94"/>
      <c r="B1549" s="95"/>
      <c r="C1549" s="95"/>
      <c r="D1549" s="94"/>
      <c r="E1549" s="94"/>
      <c r="F1549" s="96"/>
      <c r="G1549" s="94"/>
      <c r="H1549" s="96"/>
      <c r="I1549" s="96"/>
      <c r="J1549" s="92"/>
      <c r="K1549" s="97"/>
      <c r="L1549" s="99" t="str">
        <f ca="1">_xlfn.LET(
    _xlpm.res_no, J1549,
    _xlpm.record_sheet, 'MatRes Record'!J:M,
    _xlpm.AllCellsFilled, COUNTA(A1549:K1549) = 11,
    _xlpm.QtyIsInt, AND(ISNUMBER(G1549), G1549=INT(G1549)),
    _xlpm.ReqDateIsValid, AND(ISNUMBER(H1549), H1549&gt;=TODAY()),
    _xlpm.EmailIsValid, RIGHT(I1549,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IF(A1549="", "", IF(_xlpm.error_messages = "", "Yes", _xlpm.error_messages))
)</f>
        <v/>
      </c>
    </row>
    <row r="1550" spans="1:12">
      <c r="A1550" s="94"/>
      <c r="B1550" s="95"/>
      <c r="C1550" s="95"/>
      <c r="D1550" s="94"/>
      <c r="E1550" s="94"/>
      <c r="F1550" s="96"/>
      <c r="G1550" s="94"/>
      <c r="H1550" s="96"/>
      <c r="I1550" s="96"/>
      <c r="J1550" s="92"/>
      <c r="K1550" s="97"/>
      <c r="L1550" s="99" t="str">
        <f ca="1">_xlfn.LET(
    _xlpm.res_no, J1550,
    _xlpm.record_sheet, 'MatRes Record'!J:M,
    _xlpm.AllCellsFilled, COUNTA(A1550:K1550) = 11,
    _xlpm.QtyIsInt, AND(ISNUMBER(G1550), G1550=INT(G1550)),
    _xlpm.ReqDateIsValid, AND(ISNUMBER(H1550), H1550&gt;=TODAY()),
    _xlpm.EmailIsValid, RIGHT(I1550,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IF(A1550="", "", IF(_xlpm.error_messages = "", "Yes", _xlpm.error_messages))
)</f>
        <v/>
      </c>
    </row>
    <row r="1551" spans="1:12">
      <c r="A1551" s="94"/>
      <c r="B1551" s="95"/>
      <c r="C1551" s="95"/>
      <c r="D1551" s="94"/>
      <c r="E1551" s="94"/>
      <c r="F1551" s="96"/>
      <c r="G1551" s="94"/>
      <c r="H1551" s="96"/>
      <c r="I1551" s="96"/>
      <c r="J1551" s="92"/>
      <c r="K1551" s="97"/>
      <c r="L1551" s="99" t="str">
        <f ca="1">_xlfn.LET(
    _xlpm.res_no, J1551,
    _xlpm.record_sheet, 'MatRes Record'!J:M,
    _xlpm.AllCellsFilled, COUNTA(A1551:K1551) = 11,
    _xlpm.QtyIsInt, AND(ISNUMBER(G1551), G1551=INT(G1551)),
    _xlpm.ReqDateIsValid, AND(ISNUMBER(H1551), H1551&gt;=TODAY()),
    _xlpm.EmailIsValid, RIGHT(I1551,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IF(A1551="", "", IF(_xlpm.error_messages = "", "Yes", _xlpm.error_messages))
)</f>
        <v/>
      </c>
    </row>
    <row r="1552" spans="1:12">
      <c r="A1552" s="94"/>
      <c r="B1552" s="95"/>
      <c r="C1552" s="95"/>
      <c r="D1552" s="94"/>
      <c r="E1552" s="94"/>
      <c r="F1552" s="96"/>
      <c r="G1552" s="94"/>
      <c r="H1552" s="96"/>
      <c r="I1552" s="96"/>
      <c r="J1552" s="92"/>
      <c r="K1552" s="97"/>
      <c r="L1552" s="99" t="str">
        <f ca="1">_xlfn.LET(
    _xlpm.res_no, J1552,
    _xlpm.record_sheet, 'MatRes Record'!J:M,
    _xlpm.AllCellsFilled, COUNTA(A1552:K1552) = 11,
    _xlpm.QtyIsInt, AND(ISNUMBER(G1552), G1552=INT(G1552)),
    _xlpm.ReqDateIsValid, AND(ISNUMBER(H1552), H1552&gt;=TODAY()),
    _xlpm.EmailIsValid, RIGHT(I1552,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IF(A1552="", "", IF(_xlpm.error_messages = "", "Yes", _xlpm.error_messages))
)</f>
        <v/>
      </c>
    </row>
    <row r="1553" spans="1:12">
      <c r="A1553" s="94"/>
      <c r="B1553" s="95"/>
      <c r="C1553" s="95"/>
      <c r="D1553" s="94"/>
      <c r="E1553" s="94"/>
      <c r="F1553" s="96"/>
      <c r="G1553" s="94"/>
      <c r="H1553" s="96"/>
      <c r="I1553" s="96"/>
      <c r="J1553" s="92"/>
      <c r="K1553" s="97"/>
      <c r="L1553" s="99" t="str">
        <f ca="1">_xlfn.LET(
    _xlpm.res_no, J1553,
    _xlpm.record_sheet, 'MatRes Record'!J:M,
    _xlpm.AllCellsFilled, COUNTA(A1553:K1553) = 11,
    _xlpm.QtyIsInt, AND(ISNUMBER(G1553), G1553=INT(G1553)),
    _xlpm.ReqDateIsValid, AND(ISNUMBER(H1553), H1553&gt;=TODAY()),
    _xlpm.EmailIsValid, RIGHT(I1553,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IF(A1553="", "", IF(_xlpm.error_messages = "", "Yes", _xlpm.error_messages))
)</f>
        <v/>
      </c>
    </row>
    <row r="1554" spans="1:12">
      <c r="A1554" s="94"/>
      <c r="B1554" s="95"/>
      <c r="C1554" s="95"/>
      <c r="D1554" s="94"/>
      <c r="E1554" s="94"/>
      <c r="F1554" s="96"/>
      <c r="G1554" s="94"/>
      <c r="H1554" s="96"/>
      <c r="I1554" s="96"/>
      <c r="J1554" s="92"/>
      <c r="K1554" s="97"/>
      <c r="L1554" s="99" t="str">
        <f ca="1">_xlfn.LET(
    _xlpm.res_no, J1554,
    _xlpm.record_sheet, 'MatRes Record'!J:M,
    _xlpm.AllCellsFilled, COUNTA(A1554:K1554) = 11,
    _xlpm.QtyIsInt, AND(ISNUMBER(G1554), G1554=INT(G1554)),
    _xlpm.ReqDateIsValid, AND(ISNUMBER(H1554), H1554&gt;=TODAY()),
    _xlpm.EmailIsValid, RIGHT(I1554,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IF(A1554="", "", IF(_xlpm.error_messages = "", "Yes", _xlpm.error_messages))
)</f>
        <v/>
      </c>
    </row>
    <row r="1555" spans="1:12">
      <c r="A1555" s="94"/>
      <c r="B1555" s="95"/>
      <c r="C1555" s="95"/>
      <c r="D1555" s="94"/>
      <c r="E1555" s="94"/>
      <c r="F1555" s="96"/>
      <c r="G1555" s="94"/>
      <c r="H1555" s="96"/>
      <c r="I1555" s="96"/>
      <c r="J1555" s="92"/>
      <c r="K1555" s="97"/>
      <c r="L1555" s="99" t="str">
        <f ca="1">_xlfn.LET(
    _xlpm.res_no, J1555,
    _xlpm.record_sheet, 'MatRes Record'!J:M,
    _xlpm.AllCellsFilled, COUNTA(A1555:K1555) = 11,
    _xlpm.QtyIsInt, AND(ISNUMBER(G1555), G1555=INT(G1555)),
    _xlpm.ReqDateIsValid, AND(ISNUMBER(H1555), H1555&gt;=TODAY()),
    _xlpm.EmailIsValid, RIGHT(I1555,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IF(A1555="", "", IF(_xlpm.error_messages = "", "Yes", _xlpm.error_messages))
)</f>
        <v/>
      </c>
    </row>
    <row r="1556" spans="1:12">
      <c r="A1556" s="94"/>
      <c r="B1556" s="95"/>
      <c r="C1556" s="95"/>
      <c r="D1556" s="94"/>
      <c r="E1556" s="94"/>
      <c r="F1556" s="96"/>
      <c r="G1556" s="94"/>
      <c r="H1556" s="96"/>
      <c r="I1556" s="96"/>
      <c r="J1556" s="92"/>
      <c r="K1556" s="97"/>
      <c r="L1556" s="99" t="str">
        <f ca="1">_xlfn.LET(
    _xlpm.res_no, J1556,
    _xlpm.record_sheet, 'MatRes Record'!J:M,
    _xlpm.AllCellsFilled, COUNTA(A1556:K1556) = 11,
    _xlpm.QtyIsInt, AND(ISNUMBER(G1556), G1556=INT(G1556)),
    _xlpm.ReqDateIsValid, AND(ISNUMBER(H1556), H1556&gt;=TODAY()),
    _xlpm.EmailIsValid, RIGHT(I1556,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IF(A1556="", "", IF(_xlpm.error_messages = "", "Yes", _xlpm.error_messages))
)</f>
        <v/>
      </c>
    </row>
    <row r="1557" spans="1:12">
      <c r="A1557" s="94"/>
      <c r="B1557" s="95"/>
      <c r="C1557" s="95"/>
      <c r="D1557" s="94"/>
      <c r="E1557" s="94"/>
      <c r="F1557" s="96"/>
      <c r="G1557" s="94"/>
      <c r="H1557" s="96"/>
      <c r="I1557" s="96"/>
      <c r="J1557" s="92"/>
      <c r="K1557" s="97"/>
      <c r="L1557" s="99" t="str">
        <f ca="1">_xlfn.LET(
    _xlpm.res_no, J1557,
    _xlpm.record_sheet, 'MatRes Record'!J:M,
    _xlpm.AllCellsFilled, COUNTA(A1557:K1557) = 11,
    _xlpm.QtyIsInt, AND(ISNUMBER(G1557), G1557=INT(G1557)),
    _xlpm.ReqDateIsValid, AND(ISNUMBER(H1557), H1557&gt;=TODAY()),
    _xlpm.EmailIsValid, RIGHT(I1557,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IF(A1557="", "", IF(_xlpm.error_messages = "", "Yes", _xlpm.error_messages))
)</f>
        <v/>
      </c>
    </row>
    <row r="1558" spans="1:12">
      <c r="A1558" s="94"/>
      <c r="B1558" s="95"/>
      <c r="C1558" s="95"/>
      <c r="D1558" s="94"/>
      <c r="E1558" s="94"/>
      <c r="F1558" s="96"/>
      <c r="G1558" s="94"/>
      <c r="H1558" s="96"/>
      <c r="I1558" s="96"/>
      <c r="J1558" s="92"/>
      <c r="K1558" s="97"/>
      <c r="L1558" s="99" t="str">
        <f ca="1">_xlfn.LET(
    _xlpm.res_no, J1558,
    _xlpm.record_sheet, 'MatRes Record'!J:M,
    _xlpm.AllCellsFilled, COUNTA(A1558:K1558) = 11,
    _xlpm.QtyIsInt, AND(ISNUMBER(G1558), G1558=INT(G1558)),
    _xlpm.ReqDateIsValid, AND(ISNUMBER(H1558), H1558&gt;=TODAY()),
    _xlpm.EmailIsValid, RIGHT(I1558,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IF(A1558="", "", IF(_xlpm.error_messages = "", "Yes", _xlpm.error_messages))
)</f>
        <v/>
      </c>
    </row>
    <row r="1559" spans="1:12">
      <c r="A1559" s="109"/>
      <c r="B1559" s="110"/>
      <c r="C1559" s="111"/>
      <c r="D1559" s="110"/>
      <c r="E1559" s="110"/>
      <c r="F1559" s="112"/>
      <c r="G1559" s="110"/>
      <c r="H1559" s="112"/>
      <c r="I1559" s="112"/>
      <c r="J1559" s="113"/>
      <c r="K1559" s="110"/>
      <c r="L1559" s="99" t="str">
        <f ca="1">_xlfn.LET(
    _xlpm.res_no, J1559,
    _xlpm.record_sheet, 'MatRes Record'!J:M,
    _xlpm.AllCellsFilled, COUNTA(A1559:K1559) = 11,
    _xlpm.QtyIsInt, AND(ISNUMBER(G1559), G1559=INT(G1559)),
    _xlpm.ReqDateIsValid, AND(ISNUMBER(H1559), H1559&gt;=TODAY()),
    _xlpm.EmailIsValid, RIGHT(I1559,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IF(A1559="", "", IF(_xlpm.error_messages = "", "Yes", _xlpm.error_messages))
)</f>
        <v/>
      </c>
    </row>
    <row r="1560" spans="1:12">
      <c r="A1560" s="114"/>
      <c r="B1560" s="115"/>
      <c r="C1560" s="116"/>
      <c r="D1560" s="115"/>
      <c r="E1560" s="115"/>
      <c r="F1560" s="117"/>
      <c r="G1560" s="115"/>
      <c r="H1560" s="117"/>
      <c r="I1560" s="117"/>
      <c r="J1560" s="118"/>
      <c r="K1560" s="115"/>
      <c r="L1560" s="99" t="str">
        <f ca="1">_xlfn.LET(
    _xlpm.res_no, J1560,
    _xlpm.record_sheet, 'MatRes Record'!J:M,
    _xlpm.AllCellsFilled, COUNTA(A1560:K1560) = 11,
    _xlpm.QtyIsInt, AND(ISNUMBER(G1560), G1560=INT(G1560)),
    _xlpm.ReqDateIsValid, AND(ISNUMBER(H1560), H1560&gt;=TODAY()),
    _xlpm.EmailIsValid, RIGHT(I1560,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IF(A1560="", "", IF(_xlpm.error_messages = "", "Yes", _xlpm.error_messages))
)</f>
        <v/>
      </c>
    </row>
    <row r="1561" spans="1:12">
      <c r="A1561" s="109"/>
      <c r="B1561" s="110"/>
      <c r="C1561" s="111"/>
      <c r="D1561" s="110"/>
      <c r="E1561" s="110"/>
      <c r="F1561" s="112"/>
      <c r="G1561" s="110"/>
      <c r="H1561" s="112"/>
      <c r="I1561" s="112"/>
      <c r="J1561" s="113"/>
      <c r="K1561" s="110"/>
      <c r="L1561" s="99" t="str">
        <f ca="1">_xlfn.LET(
    _xlpm.res_no, J1561,
    _xlpm.record_sheet, 'MatRes Record'!J:M,
    _xlpm.AllCellsFilled, COUNTA(A1561:K1561) = 11,
    _xlpm.QtyIsInt, AND(ISNUMBER(G1561), G1561=INT(G1561)),
    _xlpm.ReqDateIsValid, AND(ISNUMBER(H1561), H1561&gt;=TODAY()),
    _xlpm.EmailIsValid, RIGHT(I1561,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IF(A1561="", "", IF(_xlpm.error_messages = "", "Yes", _xlpm.error_messages))
)</f>
        <v/>
      </c>
    </row>
    <row r="1562" spans="1:12">
      <c r="A1562" s="114"/>
      <c r="B1562" s="115"/>
      <c r="C1562" s="116"/>
      <c r="D1562" s="115"/>
      <c r="E1562" s="115"/>
      <c r="F1562" s="117"/>
      <c r="G1562" s="115"/>
      <c r="H1562" s="117"/>
      <c r="I1562" s="117"/>
      <c r="J1562" s="118"/>
      <c r="K1562" s="115"/>
      <c r="L1562" s="99" t="str">
        <f ca="1">_xlfn.LET(
    _xlpm.res_no, J1562,
    _xlpm.record_sheet, 'MatRes Record'!J:M,
    _xlpm.AllCellsFilled, COUNTA(A1562:K1562) = 11,
    _xlpm.QtyIsInt, AND(ISNUMBER(G1562), G1562=INT(G1562)),
    _xlpm.ReqDateIsValid, AND(ISNUMBER(H1562), H1562&gt;=TODAY()),
    _xlpm.EmailIsValid, RIGHT(I1562,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IF(A1562="", "", IF(_xlpm.error_messages = "", "Yes", _xlpm.error_messages))
)</f>
        <v/>
      </c>
    </row>
    <row r="1563" spans="1:12">
      <c r="A1563" s="109"/>
      <c r="B1563" s="110"/>
      <c r="C1563" s="111"/>
      <c r="D1563" s="110"/>
      <c r="E1563" s="110"/>
      <c r="F1563" s="112"/>
      <c r="G1563" s="110"/>
      <c r="H1563" s="112"/>
      <c r="I1563" s="112"/>
      <c r="J1563" s="113"/>
      <c r="K1563" s="110"/>
      <c r="L1563" s="99" t="str">
        <f ca="1">_xlfn.LET(
    _xlpm.res_no, J1563,
    _xlpm.record_sheet, 'MatRes Record'!J:M,
    _xlpm.AllCellsFilled, COUNTA(A1563:K1563) = 11,
    _xlpm.QtyIsInt, AND(ISNUMBER(G1563), G1563=INT(G1563)),
    _xlpm.ReqDateIsValid, AND(ISNUMBER(H1563), H1563&gt;=TODAY()),
    _xlpm.EmailIsValid, RIGHT(I1563,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IF(A1563="", "", IF(_xlpm.error_messages = "", "Yes", _xlpm.error_messages))
)</f>
        <v/>
      </c>
    </row>
    <row r="1564" spans="1:12">
      <c r="A1564" s="114"/>
      <c r="B1564" s="115"/>
      <c r="C1564" s="116"/>
      <c r="D1564" s="115"/>
      <c r="E1564" s="115"/>
      <c r="F1564" s="117"/>
      <c r="G1564" s="115"/>
      <c r="H1564" s="117"/>
      <c r="I1564" s="117"/>
      <c r="J1564" s="118"/>
      <c r="K1564" s="115"/>
      <c r="L1564" s="99" t="str">
        <f ca="1">_xlfn.LET(
    _xlpm.res_no, J1564,
    _xlpm.record_sheet, 'MatRes Record'!J:M,
    _xlpm.AllCellsFilled, COUNTA(A1564:K1564) = 11,
    _xlpm.QtyIsInt, AND(ISNUMBER(G1564), G1564=INT(G1564)),
    _xlpm.ReqDateIsValid, AND(ISNUMBER(H1564), H1564&gt;=TODAY()),
    _xlpm.EmailIsValid, RIGHT(I1564,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IF(A1564="", "", IF(_xlpm.error_messages = "", "Yes", _xlpm.error_messages))
)</f>
        <v/>
      </c>
    </row>
    <row r="1565" spans="1:12">
      <c r="A1565" s="109"/>
      <c r="B1565" s="110"/>
      <c r="C1565" s="111"/>
      <c r="D1565" s="110"/>
      <c r="E1565" s="110"/>
      <c r="F1565" s="112"/>
      <c r="G1565" s="110"/>
      <c r="H1565" s="112"/>
      <c r="I1565" s="112"/>
      <c r="J1565" s="113"/>
      <c r="K1565" s="110"/>
      <c r="L1565" s="99" t="str">
        <f ca="1">_xlfn.LET(
    _xlpm.res_no, J1565,
    _xlpm.record_sheet, 'MatRes Record'!J:M,
    _xlpm.AllCellsFilled, COUNTA(A1565:K1565) = 11,
    _xlpm.QtyIsInt, AND(ISNUMBER(G1565), G1565=INT(G1565)),
    _xlpm.ReqDateIsValid, AND(ISNUMBER(H1565), H1565&gt;=TODAY()),
    _xlpm.EmailIsValid, RIGHT(I1565,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IF(A1565="", "", IF(_xlpm.error_messages = "", "Yes", _xlpm.error_messages))
)</f>
        <v/>
      </c>
    </row>
    <row r="1566" spans="1:12">
      <c r="A1566" s="119"/>
      <c r="B1566" s="118"/>
      <c r="C1566" s="120"/>
      <c r="D1566" s="121"/>
      <c r="E1566" s="121"/>
      <c r="F1566" s="122"/>
      <c r="G1566" s="118"/>
      <c r="H1566" s="117"/>
      <c r="I1566" s="122"/>
      <c r="J1566" s="118"/>
      <c r="K1566" s="115"/>
      <c r="L1566" s="99" t="str">
        <f ca="1">_xlfn.LET(
    _xlpm.res_no, J1566,
    _xlpm.record_sheet, 'MatRes Record'!J:M,
    _xlpm.AllCellsFilled, COUNTA(A1566:K1566) = 11,
    _xlpm.QtyIsInt, AND(ISNUMBER(G1566), G1566=INT(G1566)),
    _xlpm.ReqDateIsValid, AND(ISNUMBER(H1566), H1566&gt;=TODAY()),
    _xlpm.EmailIsValid, RIGHT(I1566,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IF(A1566="", "", IF(_xlpm.error_messages = "", "Yes", _xlpm.error_messages))
)</f>
        <v/>
      </c>
    </row>
    <row r="1567" spans="1:12">
      <c r="A1567" s="123"/>
      <c r="B1567" s="113"/>
      <c r="C1567" s="124"/>
      <c r="D1567" s="125"/>
      <c r="E1567" s="125"/>
      <c r="F1567" s="126"/>
      <c r="G1567" s="113"/>
      <c r="H1567" s="112"/>
      <c r="I1567" s="126"/>
      <c r="J1567" s="113"/>
      <c r="K1567" s="110"/>
      <c r="L1567" s="99" t="str">
        <f ca="1">_xlfn.LET(
    _xlpm.res_no, J1567,
    _xlpm.record_sheet, 'MatRes Record'!J:M,
    _xlpm.AllCellsFilled, COUNTA(A1567:K1567) = 11,
    _xlpm.QtyIsInt, AND(ISNUMBER(G1567), G1567=INT(G1567)),
    _xlpm.ReqDateIsValid, AND(ISNUMBER(H1567), H1567&gt;=TODAY()),
    _xlpm.EmailIsValid, RIGHT(I1567,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IF(A1567="", "", IF(_xlpm.error_messages = "", "Yes", _xlpm.error_messages))
)</f>
        <v/>
      </c>
    </row>
    <row r="1568" spans="1:12">
      <c r="A1568" s="119"/>
      <c r="B1568" s="120"/>
      <c r="C1568" s="120"/>
      <c r="D1568" s="121"/>
      <c r="E1568" s="121"/>
      <c r="F1568" s="122"/>
      <c r="G1568" s="118"/>
      <c r="H1568" s="117"/>
      <c r="I1568" s="122"/>
      <c r="J1568" s="120"/>
      <c r="K1568" s="115"/>
      <c r="L1568" s="99" t="str">
        <f ca="1">_xlfn.LET(
    _xlpm.res_no, J1568,
    _xlpm.record_sheet, 'MatRes Record'!J:M,
    _xlpm.AllCellsFilled, COUNTA(A1568:K1568) = 11,
    _xlpm.QtyIsInt, AND(ISNUMBER(G1568), G1568=INT(G1568)),
    _xlpm.ReqDateIsValid, AND(ISNUMBER(H1568), H1568&gt;=TODAY()),
    _xlpm.EmailIsValid, RIGHT(I1568,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IF(A1568="", "", IF(_xlpm.error_messages = "", "Yes", _xlpm.error_messages))
)</f>
        <v/>
      </c>
    </row>
    <row r="1569" spans="1:12">
      <c r="A1569" s="123"/>
      <c r="B1569" s="124"/>
      <c r="C1569" s="124"/>
      <c r="D1569" s="125"/>
      <c r="E1569" s="125"/>
      <c r="F1569" s="126"/>
      <c r="G1569" s="113"/>
      <c r="H1569" s="112"/>
      <c r="I1569" s="126"/>
      <c r="J1569" s="124"/>
      <c r="K1569" s="110"/>
      <c r="L1569" s="99" t="str">
        <f ca="1">_xlfn.LET(
    _xlpm.res_no, J1569,
    _xlpm.record_sheet, 'MatRes Record'!J:M,
    _xlpm.AllCellsFilled, COUNTA(A1569:K1569) = 11,
    _xlpm.QtyIsInt, AND(ISNUMBER(G1569), G1569=INT(G1569)),
    _xlpm.ReqDateIsValid, AND(ISNUMBER(H1569), H1569&gt;=TODAY()),
    _xlpm.EmailIsValid, RIGHT(I1569,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IF(A1569="", "", IF(_xlpm.error_messages = "", "Yes", _xlpm.error_messages))
)</f>
        <v/>
      </c>
    </row>
    <row r="1570" spans="1:12">
      <c r="A1570" s="119"/>
      <c r="B1570" s="120"/>
      <c r="C1570" s="120"/>
      <c r="D1570" s="121"/>
      <c r="E1570" s="121"/>
      <c r="F1570" s="122"/>
      <c r="G1570" s="118"/>
      <c r="H1570" s="117"/>
      <c r="I1570" s="122"/>
      <c r="J1570" s="120"/>
      <c r="K1570" s="115"/>
      <c r="L1570" s="99" t="str">
        <f ca="1">_xlfn.LET(
    _xlpm.res_no, J1570,
    _xlpm.record_sheet, 'MatRes Record'!J:M,
    _xlpm.AllCellsFilled, COUNTA(A1570:K1570) = 11,
    _xlpm.QtyIsInt, AND(ISNUMBER(G1570), G1570=INT(G1570)),
    _xlpm.ReqDateIsValid, AND(ISNUMBER(H1570), H1570&gt;=TODAY()),
    _xlpm.EmailIsValid, RIGHT(I1570,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IF(A1570="", "", IF(_xlpm.error_messages = "", "Yes", _xlpm.error_messages))
)</f>
        <v/>
      </c>
    </row>
    <row r="1571" spans="1:12">
      <c r="A1571" s="123"/>
      <c r="B1571" s="124"/>
      <c r="C1571" s="124"/>
      <c r="D1571" s="125"/>
      <c r="E1571" s="125"/>
      <c r="F1571" s="126"/>
      <c r="G1571" s="113"/>
      <c r="H1571" s="112"/>
      <c r="I1571" s="126"/>
      <c r="J1571" s="124"/>
      <c r="K1571" s="110"/>
      <c r="L1571" s="99" t="str">
        <f ca="1">_xlfn.LET(
    _xlpm.res_no, J1571,
    _xlpm.record_sheet, 'MatRes Record'!J:M,
    _xlpm.AllCellsFilled, COUNTA(A1571:K1571) = 11,
    _xlpm.QtyIsInt, AND(ISNUMBER(G1571), G1571=INT(G1571)),
    _xlpm.ReqDateIsValid, AND(ISNUMBER(H1571), H1571&gt;=TODAY()),
    _xlpm.EmailIsValid, RIGHT(I1571,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IF(A1571="", "", IF(_xlpm.error_messages = "", "Yes", _xlpm.error_messages))
)</f>
        <v/>
      </c>
    </row>
    <row r="1572" spans="1:12">
      <c r="A1572" s="119"/>
      <c r="B1572" s="120"/>
      <c r="C1572" s="120"/>
      <c r="D1572" s="121"/>
      <c r="E1572" s="121"/>
      <c r="F1572" s="122"/>
      <c r="G1572" s="118"/>
      <c r="H1572" s="117"/>
      <c r="I1572" s="122"/>
      <c r="J1572" s="120"/>
      <c r="K1572" s="115"/>
      <c r="L1572" s="99" t="str">
        <f ca="1">_xlfn.LET(
    _xlpm.res_no, J1572,
    _xlpm.record_sheet, 'MatRes Record'!J:M,
    _xlpm.AllCellsFilled, COUNTA(A1572:K1572) = 11,
    _xlpm.QtyIsInt, AND(ISNUMBER(G1572), G1572=INT(G1572)),
    _xlpm.ReqDateIsValid, AND(ISNUMBER(H1572), H1572&gt;=TODAY()),
    _xlpm.EmailIsValid, RIGHT(I1572,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IF(A1572="", "", IF(_xlpm.error_messages = "", "Yes", _xlpm.error_messages))
)</f>
        <v/>
      </c>
    </row>
    <row r="1573" spans="1:12">
      <c r="A1573" s="123"/>
      <c r="B1573" s="124"/>
      <c r="C1573" s="124"/>
      <c r="D1573" s="125"/>
      <c r="E1573" s="125"/>
      <c r="F1573" s="126"/>
      <c r="G1573" s="113"/>
      <c r="H1573" s="112"/>
      <c r="I1573" s="126"/>
      <c r="J1573" s="124"/>
      <c r="K1573" s="110"/>
      <c r="L1573" s="99" t="str">
        <f ca="1">_xlfn.LET(
    _xlpm.res_no, J1573,
    _xlpm.record_sheet, 'MatRes Record'!J:M,
    _xlpm.AllCellsFilled, COUNTA(A1573:K1573) = 11,
    _xlpm.QtyIsInt, AND(ISNUMBER(G1573), G1573=INT(G1573)),
    _xlpm.ReqDateIsValid, AND(ISNUMBER(H1573), H1573&gt;=TODAY()),
    _xlpm.EmailIsValid, RIGHT(I1573,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IF(A1573="", "", IF(_xlpm.error_messages = "", "Yes", _xlpm.error_messages))
)</f>
        <v/>
      </c>
    </row>
    <row r="1574" spans="1:12">
      <c r="A1574" s="119"/>
      <c r="B1574" s="120"/>
      <c r="C1574" s="120"/>
      <c r="D1574" s="121"/>
      <c r="E1574" s="121"/>
      <c r="F1574" s="122"/>
      <c r="G1574" s="118"/>
      <c r="H1574" s="117"/>
      <c r="I1574" s="122"/>
      <c r="J1574" s="120"/>
      <c r="K1574" s="115"/>
      <c r="L1574" s="99" t="str">
        <f ca="1">_xlfn.LET(
    _xlpm.res_no, J1574,
    _xlpm.record_sheet, 'MatRes Record'!J:M,
    _xlpm.AllCellsFilled, COUNTA(A1574:K1574) = 11,
    _xlpm.QtyIsInt, AND(ISNUMBER(G1574), G1574=INT(G1574)),
    _xlpm.ReqDateIsValid, AND(ISNUMBER(H1574), H1574&gt;=TODAY()),
    _xlpm.EmailIsValid, RIGHT(I1574,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IF(A1574="", "", IF(_xlpm.error_messages = "", "Yes", _xlpm.error_messages))
)</f>
        <v/>
      </c>
    </row>
    <row r="1575" spans="1:12">
      <c r="A1575" s="123"/>
      <c r="B1575" s="124"/>
      <c r="C1575" s="124"/>
      <c r="D1575" s="125"/>
      <c r="E1575" s="125"/>
      <c r="F1575" s="126"/>
      <c r="G1575" s="113"/>
      <c r="H1575" s="112"/>
      <c r="I1575" s="126"/>
      <c r="J1575" s="124"/>
      <c r="K1575" s="110"/>
      <c r="L1575" s="99" t="str">
        <f ca="1">_xlfn.LET(
    _xlpm.res_no, J1575,
    _xlpm.record_sheet, 'MatRes Record'!J:M,
    _xlpm.AllCellsFilled, COUNTA(A1575:K1575) = 11,
    _xlpm.QtyIsInt, AND(ISNUMBER(G1575), G1575=INT(G1575)),
    _xlpm.ReqDateIsValid, AND(ISNUMBER(H1575), H1575&gt;=TODAY()),
    _xlpm.EmailIsValid, RIGHT(I1575,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IF(A1575="", "", IF(_xlpm.error_messages = "", "Yes", _xlpm.error_messages))
)</f>
        <v/>
      </c>
    </row>
    <row r="1576" spans="1:12">
      <c r="A1576" s="119"/>
      <c r="B1576" s="120"/>
      <c r="C1576" s="120"/>
      <c r="D1576" s="121"/>
      <c r="E1576" s="121"/>
      <c r="F1576" s="122"/>
      <c r="G1576" s="118"/>
      <c r="H1576" s="117"/>
      <c r="I1576" s="122"/>
      <c r="J1576" s="120"/>
      <c r="K1576" s="115"/>
      <c r="L1576" s="99" t="str">
        <f ca="1">_xlfn.LET(
    _xlpm.res_no, J1576,
    _xlpm.record_sheet, 'MatRes Record'!J:M,
    _xlpm.AllCellsFilled, COUNTA(A1576:K1576) = 11,
    _xlpm.QtyIsInt, AND(ISNUMBER(G1576), G1576=INT(G1576)),
    _xlpm.ReqDateIsValid, AND(ISNUMBER(H1576), H1576&gt;=TODAY()),
    _xlpm.EmailIsValid, RIGHT(I1576,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IF(A1576="", "", IF(_xlpm.error_messages = "", "Yes", _xlpm.error_messages))
)</f>
        <v/>
      </c>
    </row>
    <row r="1577" spans="1:12">
      <c r="A1577" s="123"/>
      <c r="B1577" s="124"/>
      <c r="C1577" s="124"/>
      <c r="D1577" s="125"/>
      <c r="E1577" s="125"/>
      <c r="F1577" s="126"/>
      <c r="G1577" s="113"/>
      <c r="H1577" s="112"/>
      <c r="I1577" s="126"/>
      <c r="J1577" s="124"/>
      <c r="K1577" s="110"/>
      <c r="L1577" s="99" t="str">
        <f ca="1">_xlfn.LET(
    _xlpm.res_no, J1577,
    _xlpm.record_sheet, 'MatRes Record'!J:M,
    _xlpm.AllCellsFilled, COUNTA(A1577:K1577) = 11,
    _xlpm.QtyIsInt, AND(ISNUMBER(G1577), G1577=INT(G1577)),
    _xlpm.ReqDateIsValid, AND(ISNUMBER(H1577), H1577&gt;=TODAY()),
    _xlpm.EmailIsValid, RIGHT(I1577,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IF(A1577="", "", IF(_xlpm.error_messages = "", "Yes", _xlpm.error_messages))
)</f>
        <v/>
      </c>
    </row>
    <row r="1578" spans="1:12">
      <c r="A1578" s="119"/>
      <c r="B1578" s="120"/>
      <c r="C1578" s="120"/>
      <c r="D1578" s="121"/>
      <c r="E1578" s="121"/>
      <c r="F1578" s="122"/>
      <c r="G1578" s="118"/>
      <c r="H1578" s="117"/>
      <c r="I1578" s="122"/>
      <c r="J1578" s="120"/>
      <c r="K1578" s="115"/>
      <c r="L1578" s="99" t="str">
        <f ca="1">_xlfn.LET(
    _xlpm.res_no, J1578,
    _xlpm.record_sheet, 'MatRes Record'!J:M,
    _xlpm.AllCellsFilled, COUNTA(A1578:K1578) = 11,
    _xlpm.QtyIsInt, AND(ISNUMBER(G1578), G1578=INT(G1578)),
    _xlpm.ReqDateIsValid, AND(ISNUMBER(H1578), H1578&gt;=TODAY()),
    _xlpm.EmailIsValid, RIGHT(I1578,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IF(A1578="", "", IF(_xlpm.error_messages = "", "Yes", _xlpm.error_messages))
)</f>
        <v/>
      </c>
    </row>
    <row r="1579" spans="1:12">
      <c r="A1579" s="123"/>
      <c r="B1579" s="124"/>
      <c r="C1579" s="124"/>
      <c r="D1579" s="125"/>
      <c r="E1579" s="125"/>
      <c r="F1579" s="126"/>
      <c r="G1579" s="113"/>
      <c r="H1579" s="112"/>
      <c r="I1579" s="126"/>
      <c r="J1579" s="124"/>
      <c r="K1579" s="110"/>
      <c r="L1579" s="99" t="str">
        <f ca="1">_xlfn.LET(
    _xlpm.res_no, J1579,
    _xlpm.record_sheet, 'MatRes Record'!J:M,
    _xlpm.AllCellsFilled, COUNTA(A1579:K1579) = 11,
    _xlpm.QtyIsInt, AND(ISNUMBER(G1579), G1579=INT(G1579)),
    _xlpm.ReqDateIsValid, AND(ISNUMBER(H1579), H1579&gt;=TODAY()),
    _xlpm.EmailIsValid, RIGHT(I1579,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IF(A1579="", "", IF(_xlpm.error_messages = "", "Yes", _xlpm.error_messages))
)</f>
        <v/>
      </c>
    </row>
    <row r="1580" spans="1:12">
      <c r="A1580" s="119"/>
      <c r="B1580" s="120"/>
      <c r="C1580" s="120"/>
      <c r="D1580" s="121"/>
      <c r="E1580" s="121"/>
      <c r="F1580" s="122"/>
      <c r="G1580" s="118"/>
      <c r="H1580" s="117"/>
      <c r="I1580" s="122"/>
      <c r="J1580" s="120"/>
      <c r="K1580" s="115"/>
      <c r="L1580" s="99" t="str">
        <f ca="1">_xlfn.LET(
    _xlpm.res_no, J1580,
    _xlpm.record_sheet, 'MatRes Record'!J:M,
    _xlpm.AllCellsFilled, COUNTA(A1580:K1580) = 11,
    _xlpm.QtyIsInt, AND(ISNUMBER(G1580), G1580=INT(G1580)),
    _xlpm.ReqDateIsValid, AND(ISNUMBER(H1580), H1580&gt;=TODAY()),
    _xlpm.EmailIsValid, RIGHT(I1580,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IF(A1580="", "", IF(_xlpm.error_messages = "", "Yes", _xlpm.error_messages))
)</f>
        <v/>
      </c>
    </row>
    <row r="1581" spans="1:12">
      <c r="A1581" s="123"/>
      <c r="B1581" s="124"/>
      <c r="C1581" s="124"/>
      <c r="D1581" s="125"/>
      <c r="E1581" s="125"/>
      <c r="F1581" s="126"/>
      <c r="G1581" s="113"/>
      <c r="H1581" s="112"/>
      <c r="I1581" s="126"/>
      <c r="J1581" s="124"/>
      <c r="K1581" s="110"/>
      <c r="L1581" s="99" t="str">
        <f ca="1">_xlfn.LET(
    _xlpm.res_no, J1581,
    _xlpm.record_sheet, 'MatRes Record'!J:M,
    _xlpm.AllCellsFilled, COUNTA(A1581:K1581) = 11,
    _xlpm.QtyIsInt, AND(ISNUMBER(G1581), G1581=INT(G1581)),
    _xlpm.ReqDateIsValid, AND(ISNUMBER(H1581), H1581&gt;=TODAY()),
    _xlpm.EmailIsValid, RIGHT(I1581,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IF(A1581="", "", IF(_xlpm.error_messages = "", "Yes", _xlpm.error_messages))
)</f>
        <v/>
      </c>
    </row>
    <row r="1582" spans="1:12">
      <c r="A1582" s="119"/>
      <c r="B1582" s="120"/>
      <c r="C1582" s="120"/>
      <c r="D1582" s="121"/>
      <c r="E1582" s="121"/>
      <c r="F1582" s="122"/>
      <c r="G1582" s="118"/>
      <c r="H1582" s="117"/>
      <c r="I1582" s="122"/>
      <c r="J1582" s="120"/>
      <c r="K1582" s="115"/>
      <c r="L1582" s="99" t="str">
        <f ca="1">_xlfn.LET(
    _xlpm.res_no, J1582,
    _xlpm.record_sheet, 'MatRes Record'!J:M,
    _xlpm.AllCellsFilled, COUNTA(A1582:K1582) = 11,
    _xlpm.QtyIsInt, AND(ISNUMBER(G1582), G1582=INT(G1582)),
    _xlpm.ReqDateIsValid, AND(ISNUMBER(H1582), H1582&gt;=TODAY()),
    _xlpm.EmailIsValid, RIGHT(I1582,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IF(A1582="", "", IF(_xlpm.error_messages = "", "Yes", _xlpm.error_messages))
)</f>
        <v/>
      </c>
    </row>
    <row r="1583" spans="1:12">
      <c r="A1583" s="123"/>
      <c r="B1583" s="124"/>
      <c r="C1583" s="124"/>
      <c r="D1583" s="125"/>
      <c r="E1583" s="125"/>
      <c r="F1583" s="126"/>
      <c r="G1583" s="113"/>
      <c r="H1583" s="112"/>
      <c r="I1583" s="126"/>
      <c r="J1583" s="124"/>
      <c r="K1583" s="110"/>
      <c r="L1583" s="99" t="str">
        <f ca="1">_xlfn.LET(
    _xlpm.res_no, J1583,
    _xlpm.record_sheet, 'MatRes Record'!J:M,
    _xlpm.AllCellsFilled, COUNTA(A1583:K1583) = 11,
    _xlpm.QtyIsInt, AND(ISNUMBER(G1583), G1583=INT(G1583)),
    _xlpm.ReqDateIsValid, AND(ISNUMBER(H1583), H1583&gt;=TODAY()),
    _xlpm.EmailIsValid, RIGHT(I1583,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IF(A1583="", "", IF(_xlpm.error_messages = "", "Yes", _xlpm.error_messages))
)</f>
        <v/>
      </c>
    </row>
    <row r="1584" spans="1:12">
      <c r="A1584" s="119"/>
      <c r="B1584" s="120"/>
      <c r="C1584" s="120"/>
      <c r="D1584" s="121"/>
      <c r="E1584" s="121"/>
      <c r="F1584" s="122"/>
      <c r="G1584" s="118"/>
      <c r="H1584" s="117"/>
      <c r="I1584" s="122"/>
      <c r="J1584" s="120"/>
      <c r="K1584" s="115"/>
      <c r="L1584" s="99" t="str">
        <f ca="1">_xlfn.LET(
    _xlpm.res_no, J1584,
    _xlpm.record_sheet, 'MatRes Record'!J:M,
    _xlpm.AllCellsFilled, COUNTA(A1584:K1584) = 11,
    _xlpm.QtyIsInt, AND(ISNUMBER(G1584), G1584=INT(G1584)),
    _xlpm.ReqDateIsValid, AND(ISNUMBER(H1584), H1584&gt;=TODAY()),
    _xlpm.EmailIsValid, RIGHT(I1584,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IF(A1584="", "", IF(_xlpm.error_messages = "", "Yes", _xlpm.error_messages))
)</f>
        <v/>
      </c>
    </row>
    <row r="1585" spans="1:12">
      <c r="A1585" s="123"/>
      <c r="B1585" s="124"/>
      <c r="C1585" s="124"/>
      <c r="D1585" s="125"/>
      <c r="E1585" s="125"/>
      <c r="F1585" s="126"/>
      <c r="G1585" s="113"/>
      <c r="H1585" s="112"/>
      <c r="I1585" s="126"/>
      <c r="J1585" s="124"/>
      <c r="K1585" s="110"/>
      <c r="L1585" s="99" t="str">
        <f ca="1">_xlfn.LET(
    _xlpm.res_no, J1585,
    _xlpm.record_sheet, 'MatRes Record'!J:M,
    _xlpm.AllCellsFilled, COUNTA(A1585:K1585) = 11,
    _xlpm.QtyIsInt, AND(ISNUMBER(G1585), G1585=INT(G1585)),
    _xlpm.ReqDateIsValid, AND(ISNUMBER(H1585), H1585&gt;=TODAY()),
    _xlpm.EmailIsValid, RIGHT(I1585,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IF(A1585="", "", IF(_xlpm.error_messages = "", "Yes", _xlpm.error_messages))
)</f>
        <v/>
      </c>
    </row>
    <row r="1586" spans="1:12">
      <c r="A1586" s="119"/>
      <c r="B1586" s="120"/>
      <c r="C1586" s="120"/>
      <c r="D1586" s="121"/>
      <c r="E1586" s="121"/>
      <c r="F1586" s="122"/>
      <c r="G1586" s="118"/>
      <c r="H1586" s="117"/>
      <c r="I1586" s="122"/>
      <c r="J1586" s="120"/>
      <c r="K1586" s="115"/>
      <c r="L1586" s="99" t="str">
        <f ca="1">_xlfn.LET(
    _xlpm.res_no, J1586,
    _xlpm.record_sheet, 'MatRes Record'!J:M,
    _xlpm.AllCellsFilled, COUNTA(A1586:K1586) = 11,
    _xlpm.QtyIsInt, AND(ISNUMBER(G1586), G1586=INT(G1586)),
    _xlpm.ReqDateIsValid, AND(ISNUMBER(H1586), H1586&gt;=TODAY()),
    _xlpm.EmailIsValid, RIGHT(I1586,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IF(A1586="", "", IF(_xlpm.error_messages = "", "Yes", _xlpm.error_messages))
)</f>
        <v/>
      </c>
    </row>
    <row r="1587" spans="1:12">
      <c r="A1587" s="123"/>
      <c r="B1587" s="124"/>
      <c r="C1587" s="124"/>
      <c r="D1587" s="125"/>
      <c r="E1587" s="125"/>
      <c r="F1587" s="126"/>
      <c r="G1587" s="113"/>
      <c r="H1587" s="112"/>
      <c r="I1587" s="126"/>
      <c r="J1587" s="124"/>
      <c r="K1587" s="110"/>
      <c r="L1587" s="99" t="str">
        <f ca="1">_xlfn.LET(
    _xlpm.res_no, J1587,
    _xlpm.record_sheet, 'MatRes Record'!J:M,
    _xlpm.AllCellsFilled, COUNTA(A1587:K1587) = 11,
    _xlpm.QtyIsInt, AND(ISNUMBER(G1587), G1587=INT(G1587)),
    _xlpm.ReqDateIsValid, AND(ISNUMBER(H1587), H1587&gt;=TODAY()),
    _xlpm.EmailIsValid, RIGHT(I1587,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IF(A1587="", "", IF(_xlpm.error_messages = "", "Yes", _xlpm.error_messages))
)</f>
        <v/>
      </c>
    </row>
    <row r="1588" spans="1:12">
      <c r="A1588" s="119"/>
      <c r="B1588" s="120"/>
      <c r="C1588" s="120"/>
      <c r="D1588" s="121"/>
      <c r="E1588" s="121"/>
      <c r="F1588" s="122"/>
      <c r="G1588" s="118"/>
      <c r="H1588" s="117"/>
      <c r="I1588" s="122"/>
      <c r="J1588" s="120"/>
      <c r="K1588" s="115"/>
      <c r="L1588" s="99" t="str">
        <f ca="1">_xlfn.LET(
    _xlpm.res_no, J1588,
    _xlpm.record_sheet, 'MatRes Record'!J:M,
    _xlpm.AllCellsFilled, COUNTA(A1588:K1588) = 11,
    _xlpm.QtyIsInt, AND(ISNUMBER(G1588), G1588=INT(G1588)),
    _xlpm.ReqDateIsValid, AND(ISNUMBER(H1588), H1588&gt;=TODAY()),
    _xlpm.EmailIsValid, RIGHT(I1588,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IF(A1588="", "", IF(_xlpm.error_messages = "", "Yes", _xlpm.error_messages))
)</f>
        <v/>
      </c>
    </row>
    <row r="1589" spans="1:12">
      <c r="A1589" s="123"/>
      <c r="B1589" s="124"/>
      <c r="C1589" s="124"/>
      <c r="D1589" s="125"/>
      <c r="E1589" s="125"/>
      <c r="F1589" s="126"/>
      <c r="G1589" s="113"/>
      <c r="H1589" s="112"/>
      <c r="I1589" s="126"/>
      <c r="J1589" s="124"/>
      <c r="K1589" s="110"/>
      <c r="L1589" s="99" t="str">
        <f ca="1">_xlfn.LET(
    _xlpm.res_no, J1589,
    _xlpm.record_sheet, 'MatRes Record'!J:M,
    _xlpm.AllCellsFilled, COUNTA(A1589:K1589) = 11,
    _xlpm.QtyIsInt, AND(ISNUMBER(G1589), G1589=INT(G1589)),
    _xlpm.ReqDateIsValid, AND(ISNUMBER(H1589), H1589&gt;=TODAY()),
    _xlpm.EmailIsValid, RIGHT(I1589,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IF(A1589="", "", IF(_xlpm.error_messages = "", "Yes", _xlpm.error_messages))
)</f>
        <v/>
      </c>
    </row>
    <row r="1590" spans="1:12">
      <c r="A1590" s="119"/>
      <c r="B1590" s="120"/>
      <c r="C1590" s="120"/>
      <c r="D1590" s="121"/>
      <c r="E1590" s="121"/>
      <c r="F1590" s="122"/>
      <c r="G1590" s="118"/>
      <c r="H1590" s="117"/>
      <c r="I1590" s="122"/>
      <c r="J1590" s="120"/>
      <c r="K1590" s="115"/>
      <c r="L1590" s="99" t="str">
        <f ca="1">_xlfn.LET(
    _xlpm.res_no, J1590,
    _xlpm.record_sheet, 'MatRes Record'!J:M,
    _xlpm.AllCellsFilled, COUNTA(A1590:K1590) = 11,
    _xlpm.QtyIsInt, AND(ISNUMBER(G1590), G1590=INT(G1590)),
    _xlpm.ReqDateIsValid, AND(ISNUMBER(H1590), H1590&gt;=TODAY()),
    _xlpm.EmailIsValid, RIGHT(I1590,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IF(A1590="", "", IF(_xlpm.error_messages = "", "Yes", _xlpm.error_messages))
)</f>
        <v/>
      </c>
    </row>
    <row r="1591" spans="1:12">
      <c r="A1591" s="123"/>
      <c r="B1591" s="124"/>
      <c r="C1591" s="124"/>
      <c r="D1591" s="125"/>
      <c r="E1591" s="125"/>
      <c r="F1591" s="126"/>
      <c r="G1591" s="113"/>
      <c r="H1591" s="112"/>
      <c r="I1591" s="126"/>
      <c r="J1591" s="124"/>
      <c r="K1591" s="110"/>
      <c r="L1591" s="99" t="str">
        <f ca="1">_xlfn.LET(
    _xlpm.res_no, J1591,
    _xlpm.record_sheet, 'MatRes Record'!J:M,
    _xlpm.AllCellsFilled, COUNTA(A1591:K1591) = 11,
    _xlpm.QtyIsInt, AND(ISNUMBER(G1591), G1591=INT(G1591)),
    _xlpm.ReqDateIsValid, AND(ISNUMBER(H1591), H1591&gt;=TODAY()),
    _xlpm.EmailIsValid, RIGHT(I1591,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IF(A1591="", "", IF(_xlpm.error_messages = "", "Yes", _xlpm.error_messages))
)</f>
        <v/>
      </c>
    </row>
    <row r="1592" spans="1:12">
      <c r="A1592" s="119"/>
      <c r="B1592" s="120"/>
      <c r="C1592" s="120"/>
      <c r="D1592" s="121"/>
      <c r="E1592" s="121"/>
      <c r="F1592" s="122"/>
      <c r="G1592" s="118"/>
      <c r="H1592" s="117"/>
      <c r="I1592" s="122"/>
      <c r="J1592" s="120"/>
      <c r="K1592" s="115"/>
      <c r="L1592" s="99" t="str">
        <f ca="1">_xlfn.LET(
    _xlpm.res_no, J1592,
    _xlpm.record_sheet, 'MatRes Record'!J:M,
    _xlpm.AllCellsFilled, COUNTA(A1592:K1592) = 11,
    _xlpm.QtyIsInt, AND(ISNUMBER(G1592), G1592=INT(G1592)),
    _xlpm.ReqDateIsValid, AND(ISNUMBER(H1592), H1592&gt;=TODAY()),
    _xlpm.EmailIsValid, RIGHT(I1592,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IF(A1592="", "", IF(_xlpm.error_messages = "", "Yes", _xlpm.error_messages))
)</f>
        <v/>
      </c>
    </row>
    <row r="1593" spans="1:12">
      <c r="A1593" s="123"/>
      <c r="B1593" s="124"/>
      <c r="C1593" s="124"/>
      <c r="D1593" s="125"/>
      <c r="E1593" s="125"/>
      <c r="F1593" s="126"/>
      <c r="G1593" s="113"/>
      <c r="H1593" s="112"/>
      <c r="I1593" s="126"/>
      <c r="J1593" s="124"/>
      <c r="K1593" s="110"/>
      <c r="L1593" s="99" t="str">
        <f ca="1">_xlfn.LET(
    _xlpm.res_no, J1593,
    _xlpm.record_sheet, 'MatRes Record'!J:M,
    _xlpm.AllCellsFilled, COUNTA(A1593:K1593) = 11,
    _xlpm.QtyIsInt, AND(ISNUMBER(G1593), G1593=INT(G1593)),
    _xlpm.ReqDateIsValid, AND(ISNUMBER(H1593), H1593&gt;=TODAY()),
    _xlpm.EmailIsValid, RIGHT(I1593,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IF(A1593="", "", IF(_xlpm.error_messages = "", "Yes", _xlpm.error_messages))
)</f>
        <v/>
      </c>
    </row>
    <row r="1594" spans="1:12">
      <c r="A1594" s="119"/>
      <c r="B1594" s="120"/>
      <c r="C1594" s="120"/>
      <c r="D1594" s="121"/>
      <c r="E1594" s="121"/>
      <c r="F1594" s="122"/>
      <c r="G1594" s="118"/>
      <c r="H1594" s="117"/>
      <c r="I1594" s="122"/>
      <c r="J1594" s="120"/>
      <c r="K1594" s="115"/>
      <c r="L1594" s="99" t="str">
        <f ca="1">_xlfn.LET(
    _xlpm.res_no, J1594,
    _xlpm.record_sheet, 'MatRes Record'!J:M,
    _xlpm.AllCellsFilled, COUNTA(A1594:K1594) = 11,
    _xlpm.QtyIsInt, AND(ISNUMBER(G1594), G1594=INT(G1594)),
    _xlpm.ReqDateIsValid, AND(ISNUMBER(H1594), H1594&gt;=TODAY()),
    _xlpm.EmailIsValid, RIGHT(I1594,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IF(A1594="", "", IF(_xlpm.error_messages = "", "Yes", _xlpm.error_messages))
)</f>
        <v/>
      </c>
    </row>
    <row r="1595" spans="1:12">
      <c r="A1595" s="123"/>
      <c r="B1595" s="124"/>
      <c r="C1595" s="124"/>
      <c r="D1595" s="125"/>
      <c r="E1595" s="125"/>
      <c r="F1595" s="126"/>
      <c r="G1595" s="113"/>
      <c r="H1595" s="112"/>
      <c r="I1595" s="126"/>
      <c r="J1595" s="124"/>
      <c r="K1595" s="110"/>
      <c r="L1595" s="99" t="str">
        <f ca="1">_xlfn.LET(
    _xlpm.res_no, J1595,
    _xlpm.record_sheet, 'MatRes Record'!J:M,
    _xlpm.AllCellsFilled, COUNTA(A1595:K1595) = 11,
    _xlpm.QtyIsInt, AND(ISNUMBER(G1595), G1595=INT(G1595)),
    _xlpm.ReqDateIsValid, AND(ISNUMBER(H1595), H1595&gt;=TODAY()),
    _xlpm.EmailIsValid, RIGHT(I1595,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IF(A1595="", "", IF(_xlpm.error_messages = "", "Yes", _xlpm.error_messages))
)</f>
        <v/>
      </c>
    </row>
    <row r="1596" spans="1:12">
      <c r="A1596" s="119"/>
      <c r="B1596" s="120"/>
      <c r="C1596" s="120"/>
      <c r="D1596" s="121"/>
      <c r="E1596" s="121"/>
      <c r="F1596" s="122"/>
      <c r="G1596" s="118"/>
      <c r="H1596" s="117"/>
      <c r="I1596" s="122"/>
      <c r="J1596" s="120"/>
      <c r="K1596" s="115"/>
      <c r="L1596" s="99" t="str">
        <f ca="1">_xlfn.LET(
    _xlpm.res_no, J1596,
    _xlpm.record_sheet, 'MatRes Record'!J:M,
    _xlpm.AllCellsFilled, COUNTA(A1596:K1596) = 11,
    _xlpm.QtyIsInt, AND(ISNUMBER(G1596), G1596=INT(G1596)),
    _xlpm.ReqDateIsValid, AND(ISNUMBER(H1596), H1596&gt;=TODAY()),
    _xlpm.EmailIsValid, RIGHT(I1596,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IF(A1596="", "", IF(_xlpm.error_messages = "", "Yes", _xlpm.error_messages))
)</f>
        <v/>
      </c>
    </row>
    <row r="1597" spans="1:12">
      <c r="A1597" s="123"/>
      <c r="B1597" s="124"/>
      <c r="C1597" s="124"/>
      <c r="D1597" s="125"/>
      <c r="E1597" s="125"/>
      <c r="F1597" s="126"/>
      <c r="G1597" s="113"/>
      <c r="H1597" s="112"/>
      <c r="I1597" s="126"/>
      <c r="J1597" s="124"/>
      <c r="K1597" s="110"/>
      <c r="L1597" s="99" t="str">
        <f ca="1">_xlfn.LET(
    _xlpm.res_no, J1597,
    _xlpm.record_sheet, 'MatRes Record'!J:M,
    _xlpm.AllCellsFilled, COUNTA(A1597:K1597) = 11,
    _xlpm.QtyIsInt, AND(ISNUMBER(G1597), G1597=INT(G1597)),
    _xlpm.ReqDateIsValid, AND(ISNUMBER(H1597), H1597&gt;=TODAY()),
    _xlpm.EmailIsValid, RIGHT(I1597,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IF(A1597="", "", IF(_xlpm.error_messages = "", "Yes", _xlpm.error_messages))
)</f>
        <v/>
      </c>
    </row>
    <row r="1598" spans="1:12">
      <c r="A1598" s="119"/>
      <c r="B1598" s="120"/>
      <c r="C1598" s="120"/>
      <c r="D1598" s="121"/>
      <c r="E1598" s="121"/>
      <c r="F1598" s="122"/>
      <c r="G1598" s="118"/>
      <c r="H1598" s="117"/>
      <c r="I1598" s="122"/>
      <c r="J1598" s="120"/>
      <c r="K1598" s="115"/>
      <c r="L1598" s="99" t="str">
        <f ca="1">_xlfn.LET(
    _xlpm.res_no, J1598,
    _xlpm.record_sheet, 'MatRes Record'!J:M,
    _xlpm.AllCellsFilled, COUNTA(A1598:K1598) = 11,
    _xlpm.QtyIsInt, AND(ISNUMBER(G1598), G1598=INT(G1598)),
    _xlpm.ReqDateIsValid, AND(ISNUMBER(H1598), H1598&gt;=TODAY()),
    _xlpm.EmailIsValid, RIGHT(I1598,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IF(A1598="", "", IF(_xlpm.error_messages = "", "Yes", _xlpm.error_messages))
)</f>
        <v/>
      </c>
    </row>
    <row r="1599" spans="1:12">
      <c r="A1599" s="123"/>
      <c r="B1599" s="124"/>
      <c r="C1599" s="124"/>
      <c r="D1599" s="125"/>
      <c r="E1599" s="125"/>
      <c r="F1599" s="126"/>
      <c r="G1599" s="113"/>
      <c r="H1599" s="112"/>
      <c r="I1599" s="126"/>
      <c r="J1599" s="124"/>
      <c r="K1599" s="110"/>
      <c r="L1599" s="99" t="str">
        <f ca="1">_xlfn.LET(
    _xlpm.res_no, J1599,
    _xlpm.record_sheet, 'MatRes Record'!J:M,
    _xlpm.AllCellsFilled, COUNTA(A1599:K1599) = 11,
    _xlpm.QtyIsInt, AND(ISNUMBER(G1599), G1599=INT(G1599)),
    _xlpm.ReqDateIsValid, AND(ISNUMBER(H1599), H1599&gt;=TODAY()),
    _xlpm.EmailIsValid, RIGHT(I1599,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IF(A1599="", "", IF(_xlpm.error_messages = "", "Yes", _xlpm.error_messages))
)</f>
        <v/>
      </c>
    </row>
    <row r="1600" spans="1:12">
      <c r="A1600" s="119"/>
      <c r="B1600" s="120"/>
      <c r="C1600" s="120"/>
      <c r="D1600" s="121"/>
      <c r="E1600" s="121"/>
      <c r="F1600" s="122"/>
      <c r="G1600" s="118"/>
      <c r="H1600" s="117"/>
      <c r="I1600" s="122"/>
      <c r="J1600" s="120"/>
      <c r="K1600" s="115"/>
      <c r="L1600" s="99" t="str">
        <f ca="1">_xlfn.LET(
    _xlpm.res_no, J1600,
    _xlpm.record_sheet, 'MatRes Record'!J:M,
    _xlpm.AllCellsFilled, COUNTA(A1600:K1600) = 11,
    _xlpm.QtyIsInt, AND(ISNUMBER(G1600), G1600=INT(G1600)),
    _xlpm.ReqDateIsValid, AND(ISNUMBER(H1600), H1600&gt;=TODAY()),
    _xlpm.EmailIsValid, RIGHT(I1600,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IF(A1600="", "", IF(_xlpm.error_messages = "", "Yes", _xlpm.error_messages))
)</f>
        <v/>
      </c>
    </row>
    <row r="1601" spans="1:12">
      <c r="A1601" s="123"/>
      <c r="B1601" s="124"/>
      <c r="C1601" s="124"/>
      <c r="D1601" s="125"/>
      <c r="E1601" s="125"/>
      <c r="F1601" s="126"/>
      <c r="G1601" s="113"/>
      <c r="H1601" s="112"/>
      <c r="I1601" s="126"/>
      <c r="J1601" s="124"/>
      <c r="K1601" s="110"/>
      <c r="L1601" s="99" t="str">
        <f ca="1">_xlfn.LET(
    _xlpm.res_no, J1601,
    _xlpm.record_sheet, 'MatRes Record'!J:M,
    _xlpm.AllCellsFilled, COUNTA(A1601:K1601) = 11,
    _xlpm.QtyIsInt, AND(ISNUMBER(G1601), G1601=INT(G1601)),
    _xlpm.ReqDateIsValid, AND(ISNUMBER(H1601), H1601&gt;=TODAY()),
    _xlpm.EmailIsValid, RIGHT(I1601,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IF(A1601="", "", IF(_xlpm.error_messages = "", "Yes", _xlpm.error_messages))
)</f>
        <v/>
      </c>
    </row>
    <row r="1602" spans="1:12">
      <c r="A1602" s="119"/>
      <c r="B1602" s="120"/>
      <c r="C1602" s="120"/>
      <c r="D1602" s="121"/>
      <c r="E1602" s="121"/>
      <c r="F1602" s="122"/>
      <c r="G1602" s="118"/>
      <c r="H1602" s="117"/>
      <c r="I1602" s="122"/>
      <c r="J1602" s="120"/>
      <c r="K1602" s="115"/>
      <c r="L1602" s="99" t="str">
        <f ca="1">_xlfn.LET(
    _xlpm.res_no, J1602,
    _xlpm.record_sheet, 'MatRes Record'!J:M,
    _xlpm.AllCellsFilled, COUNTA(A1602:K1602) = 11,
    _xlpm.QtyIsInt, AND(ISNUMBER(G1602), G1602=INT(G1602)),
    _xlpm.ReqDateIsValid, AND(ISNUMBER(H1602), H1602&gt;=TODAY()),
    _xlpm.EmailIsValid, RIGHT(I1602,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IF(A1602="", "", IF(_xlpm.error_messages = "", "Yes", _xlpm.error_messages))
)</f>
        <v/>
      </c>
    </row>
    <row r="1603" spans="1:12">
      <c r="A1603" s="123"/>
      <c r="B1603" s="124"/>
      <c r="C1603" s="124"/>
      <c r="D1603" s="125"/>
      <c r="E1603" s="125"/>
      <c r="F1603" s="126"/>
      <c r="G1603" s="113"/>
      <c r="H1603" s="112"/>
      <c r="I1603" s="126"/>
      <c r="J1603" s="124"/>
      <c r="K1603" s="110"/>
      <c r="L1603" s="99" t="str">
        <f ca="1">_xlfn.LET(
    _xlpm.res_no, J1603,
    _xlpm.record_sheet, 'MatRes Record'!J:M,
    _xlpm.AllCellsFilled, COUNTA(A1603:K1603) = 11,
    _xlpm.QtyIsInt, AND(ISNUMBER(G1603), G1603=INT(G1603)),
    _xlpm.ReqDateIsValid, AND(ISNUMBER(H1603), H1603&gt;=TODAY()),
    _xlpm.EmailIsValid, RIGHT(I1603,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IF(A1603="", "", IF(_xlpm.error_messages = "", "Yes", _xlpm.error_messages))
)</f>
        <v/>
      </c>
    </row>
    <row r="1604" spans="1:12">
      <c r="A1604" s="119"/>
      <c r="B1604" s="120"/>
      <c r="C1604" s="120"/>
      <c r="D1604" s="121"/>
      <c r="E1604" s="121"/>
      <c r="F1604" s="122"/>
      <c r="G1604" s="118"/>
      <c r="H1604" s="117"/>
      <c r="I1604" s="122"/>
      <c r="J1604" s="120"/>
      <c r="K1604" s="115"/>
      <c r="L1604" s="99" t="str">
        <f ca="1">_xlfn.LET(
    _xlpm.res_no, J1604,
    _xlpm.record_sheet, 'MatRes Record'!J:M,
    _xlpm.AllCellsFilled, COUNTA(A1604:K1604) = 11,
    _xlpm.QtyIsInt, AND(ISNUMBER(G1604), G1604=INT(G1604)),
    _xlpm.ReqDateIsValid, AND(ISNUMBER(H1604), H1604&gt;=TODAY()),
    _xlpm.EmailIsValid, RIGHT(I1604,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IF(A1604="", "", IF(_xlpm.error_messages = "", "Yes", _xlpm.error_messages))
)</f>
        <v/>
      </c>
    </row>
    <row r="1605" spans="1:12">
      <c r="A1605" s="123"/>
      <c r="B1605" s="124"/>
      <c r="C1605" s="124"/>
      <c r="D1605" s="125"/>
      <c r="E1605" s="125"/>
      <c r="F1605" s="126"/>
      <c r="G1605" s="113"/>
      <c r="H1605" s="112"/>
      <c r="I1605" s="126"/>
      <c r="J1605" s="124"/>
      <c r="K1605" s="110"/>
      <c r="L1605" s="99" t="str">
        <f ca="1">_xlfn.LET(
    _xlpm.res_no, J1605,
    _xlpm.record_sheet, 'MatRes Record'!J:M,
    _xlpm.AllCellsFilled, COUNTA(A1605:K1605) = 11,
    _xlpm.QtyIsInt, AND(ISNUMBER(G1605), G1605=INT(G1605)),
    _xlpm.ReqDateIsValid, AND(ISNUMBER(H1605), H1605&gt;=TODAY()),
    _xlpm.EmailIsValid, RIGHT(I1605,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IF(A1605="", "", IF(_xlpm.error_messages = "", "Yes", _xlpm.error_messages))
)</f>
        <v/>
      </c>
    </row>
    <row r="1606" spans="1:12">
      <c r="A1606" s="119"/>
      <c r="B1606" s="120"/>
      <c r="C1606" s="120"/>
      <c r="D1606" s="121"/>
      <c r="E1606" s="121"/>
      <c r="F1606" s="122"/>
      <c r="G1606" s="118"/>
      <c r="H1606" s="117"/>
      <c r="I1606" s="122"/>
      <c r="J1606" s="120"/>
      <c r="K1606" s="115"/>
      <c r="L1606" s="99" t="str">
        <f ca="1">_xlfn.LET(
    _xlpm.res_no, J1606,
    _xlpm.record_sheet, 'MatRes Record'!J:M,
    _xlpm.AllCellsFilled, COUNTA(A1606:K1606) = 11,
    _xlpm.QtyIsInt, AND(ISNUMBER(G1606), G1606=INT(G1606)),
    _xlpm.ReqDateIsValid, AND(ISNUMBER(H1606), H1606&gt;=TODAY()),
    _xlpm.EmailIsValid, RIGHT(I1606,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IF(A1606="", "", IF(_xlpm.error_messages = "", "Yes", _xlpm.error_messages))
)</f>
        <v/>
      </c>
    </row>
    <row r="1607" spans="1:12">
      <c r="A1607" s="123"/>
      <c r="B1607" s="124"/>
      <c r="C1607" s="124"/>
      <c r="D1607" s="125"/>
      <c r="E1607" s="125"/>
      <c r="F1607" s="126"/>
      <c r="G1607" s="113"/>
      <c r="H1607" s="112"/>
      <c r="I1607" s="126"/>
      <c r="J1607" s="124"/>
      <c r="K1607" s="110"/>
      <c r="L1607" s="99" t="str">
        <f ca="1">_xlfn.LET(
    _xlpm.res_no, J1607,
    _xlpm.record_sheet, 'MatRes Record'!J:M,
    _xlpm.AllCellsFilled, COUNTA(A1607:K1607) = 11,
    _xlpm.QtyIsInt, AND(ISNUMBER(G1607), G1607=INT(G1607)),
    _xlpm.ReqDateIsValid, AND(ISNUMBER(H1607), H1607&gt;=TODAY()),
    _xlpm.EmailIsValid, RIGHT(I1607,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IF(A1607="", "", IF(_xlpm.error_messages = "", "Yes", _xlpm.error_messages))
)</f>
        <v/>
      </c>
    </row>
    <row r="1608" spans="1:12">
      <c r="A1608" s="119"/>
      <c r="B1608" s="120"/>
      <c r="C1608" s="120"/>
      <c r="D1608" s="121"/>
      <c r="E1608" s="121"/>
      <c r="F1608" s="122"/>
      <c r="G1608" s="118"/>
      <c r="H1608" s="117"/>
      <c r="I1608" s="122"/>
      <c r="J1608" s="120"/>
      <c r="K1608" s="115"/>
      <c r="L1608" s="99" t="str">
        <f ca="1">_xlfn.LET(
    _xlpm.res_no, J1608,
    _xlpm.record_sheet, 'MatRes Record'!J:M,
    _xlpm.AllCellsFilled, COUNTA(A1608:K1608) = 11,
    _xlpm.QtyIsInt, AND(ISNUMBER(G1608), G1608=INT(G1608)),
    _xlpm.ReqDateIsValid, AND(ISNUMBER(H1608), H1608&gt;=TODAY()),
    _xlpm.EmailIsValid, RIGHT(I1608,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IF(A1608="", "", IF(_xlpm.error_messages = "", "Yes", _xlpm.error_messages))
)</f>
        <v/>
      </c>
    </row>
    <row r="1609" spans="1:12">
      <c r="A1609" s="127"/>
      <c r="B1609" s="124"/>
      <c r="C1609" s="124"/>
      <c r="D1609" s="113"/>
      <c r="E1609" s="125"/>
      <c r="F1609" s="126"/>
      <c r="G1609" s="113"/>
      <c r="H1609" s="112"/>
      <c r="I1609" s="126"/>
      <c r="J1609" s="124"/>
      <c r="K1609" s="110"/>
      <c r="L1609" s="99" t="str">
        <f ca="1">_xlfn.LET(
    _xlpm.res_no, J1609,
    _xlpm.record_sheet, 'MatRes Record'!J:M,
    _xlpm.AllCellsFilled, COUNTA(A1609:K1609) = 11,
    _xlpm.QtyIsInt, AND(ISNUMBER(G1609), G1609=INT(G1609)),
    _xlpm.ReqDateIsValid, AND(ISNUMBER(H1609), H1609&gt;=TODAY()),
    _xlpm.EmailIsValid, RIGHT(I1609,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IF(A1609="", "", IF(_xlpm.error_messages = "", "Yes", _xlpm.error_messages))
)</f>
        <v/>
      </c>
    </row>
    <row r="1610" spans="1:12">
      <c r="A1610" s="128"/>
      <c r="B1610" s="120"/>
      <c r="C1610" s="120"/>
      <c r="D1610" s="118"/>
      <c r="E1610" s="121"/>
      <c r="F1610" s="122"/>
      <c r="G1610" s="118"/>
      <c r="H1610" s="117"/>
      <c r="I1610" s="122"/>
      <c r="J1610" s="120"/>
      <c r="K1610" s="115"/>
      <c r="L1610" s="99" t="str">
        <f ca="1">_xlfn.LET(
    _xlpm.res_no, J1610,
    _xlpm.record_sheet, 'MatRes Record'!J:M,
    _xlpm.AllCellsFilled, COUNTA(A1610:K1610) = 11,
    _xlpm.QtyIsInt, AND(ISNUMBER(G1610), G1610=INT(G1610)),
    _xlpm.ReqDateIsValid, AND(ISNUMBER(H1610), H1610&gt;=TODAY()),
    _xlpm.EmailIsValid, RIGHT(I1610,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IF(A1610="", "", IF(_xlpm.error_messages = "", "Yes", _xlpm.error_messages))
)</f>
        <v/>
      </c>
    </row>
    <row r="1611" spans="1:12">
      <c r="A1611" s="127"/>
      <c r="B1611" s="124"/>
      <c r="C1611" s="124"/>
      <c r="D1611" s="113"/>
      <c r="E1611" s="125"/>
      <c r="F1611" s="126"/>
      <c r="G1611" s="113"/>
      <c r="H1611" s="112"/>
      <c r="I1611" s="126"/>
      <c r="J1611" s="124"/>
      <c r="K1611" s="110"/>
      <c r="L1611" s="99" t="str">
        <f ca="1">_xlfn.LET(
    _xlpm.res_no, J1611,
    _xlpm.record_sheet, 'MatRes Record'!J:M,
    _xlpm.AllCellsFilled, COUNTA(A1611:K1611) = 11,
    _xlpm.QtyIsInt, AND(ISNUMBER(G1611), G1611=INT(G1611)),
    _xlpm.ReqDateIsValid, AND(ISNUMBER(H1611), H1611&gt;=TODAY()),
    _xlpm.EmailIsValid, RIGHT(I1611,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IF(A1611="", "", IF(_xlpm.error_messages = "", "Yes", _xlpm.error_messages))
)</f>
        <v/>
      </c>
    </row>
    <row r="1612" spans="1:12">
      <c r="A1612" s="128"/>
      <c r="B1612" s="120"/>
      <c r="C1612" s="120"/>
      <c r="D1612" s="118"/>
      <c r="E1612" s="121"/>
      <c r="F1612" s="122"/>
      <c r="G1612" s="118"/>
      <c r="H1612" s="117"/>
      <c r="I1612" s="122"/>
      <c r="J1612" s="120"/>
      <c r="K1612" s="115"/>
      <c r="L1612" s="99" t="str">
        <f ca="1">_xlfn.LET(
    _xlpm.res_no, J1612,
    _xlpm.record_sheet, 'MatRes Record'!J:M,
    _xlpm.AllCellsFilled, COUNTA(A1612:K1612) = 11,
    _xlpm.QtyIsInt, AND(ISNUMBER(G1612), G1612=INT(G1612)),
    _xlpm.ReqDateIsValid, AND(ISNUMBER(H1612), H1612&gt;=TODAY()),
    _xlpm.EmailIsValid, RIGHT(I1612,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IF(A1612="", "", IF(_xlpm.error_messages = "", "Yes", _xlpm.error_messages))
)</f>
        <v/>
      </c>
    </row>
    <row r="1613" spans="1:12">
      <c r="A1613" s="127"/>
      <c r="B1613" s="124"/>
      <c r="C1613" s="124"/>
      <c r="D1613" s="113"/>
      <c r="E1613" s="125"/>
      <c r="F1613" s="126"/>
      <c r="G1613" s="113"/>
      <c r="H1613" s="112"/>
      <c r="I1613" s="126"/>
      <c r="J1613" s="124"/>
      <c r="K1613" s="110"/>
      <c r="L1613" s="99" t="str">
        <f ca="1">_xlfn.LET(
    _xlpm.res_no, J1613,
    _xlpm.record_sheet, 'MatRes Record'!J:M,
    _xlpm.AllCellsFilled, COUNTA(A1613:K1613) = 11,
    _xlpm.QtyIsInt, AND(ISNUMBER(G1613), G1613=INT(G1613)),
    _xlpm.ReqDateIsValid, AND(ISNUMBER(H1613), H1613&gt;=TODAY()),
    _xlpm.EmailIsValid, RIGHT(I1613,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IF(A1613="", "", IF(_xlpm.error_messages = "", "Yes", _xlpm.error_messages))
)</f>
        <v/>
      </c>
    </row>
    <row r="1614" spans="1:12">
      <c r="A1614" s="128"/>
      <c r="B1614" s="120"/>
      <c r="C1614" s="120"/>
      <c r="D1614" s="118"/>
      <c r="E1614" s="121"/>
      <c r="F1614" s="122"/>
      <c r="G1614" s="118"/>
      <c r="H1614" s="117"/>
      <c r="I1614" s="122"/>
      <c r="J1614" s="120"/>
      <c r="K1614" s="115"/>
      <c r="L1614" s="99" t="str">
        <f ca="1">_xlfn.LET(
    _xlpm.res_no, J1614,
    _xlpm.record_sheet, 'MatRes Record'!J:M,
    _xlpm.AllCellsFilled, COUNTA(A1614:K1614) = 11,
    _xlpm.QtyIsInt, AND(ISNUMBER(G1614), G1614=INT(G1614)),
    _xlpm.ReqDateIsValid, AND(ISNUMBER(H1614), H1614&gt;=TODAY()),
    _xlpm.EmailIsValid, RIGHT(I1614,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IF(A1614="", "", IF(_xlpm.error_messages = "", "Yes", _xlpm.error_messages))
)</f>
        <v/>
      </c>
    </row>
    <row r="1615" spans="1:12">
      <c r="A1615" s="127"/>
      <c r="B1615" s="124"/>
      <c r="C1615" s="124"/>
      <c r="D1615" s="113"/>
      <c r="E1615" s="125"/>
      <c r="F1615" s="126"/>
      <c r="G1615" s="113"/>
      <c r="H1615" s="112"/>
      <c r="I1615" s="126"/>
      <c r="J1615" s="124"/>
      <c r="K1615" s="110"/>
      <c r="L1615" s="99" t="str">
        <f ca="1">_xlfn.LET(
    _xlpm.res_no, J1615,
    _xlpm.record_sheet, 'MatRes Record'!J:M,
    _xlpm.AllCellsFilled, COUNTA(A1615:K1615) = 11,
    _xlpm.QtyIsInt, AND(ISNUMBER(G1615), G1615=INT(G1615)),
    _xlpm.ReqDateIsValid, AND(ISNUMBER(H1615), H1615&gt;=TODAY()),
    _xlpm.EmailIsValid, RIGHT(I1615,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IF(A1615="", "", IF(_xlpm.error_messages = "", "Yes", _xlpm.error_messages))
)</f>
        <v/>
      </c>
    </row>
    <row r="1616" spans="1:12">
      <c r="A1616" s="128"/>
      <c r="B1616" s="120"/>
      <c r="C1616" s="120"/>
      <c r="D1616" s="118"/>
      <c r="E1616" s="121"/>
      <c r="F1616" s="122"/>
      <c r="G1616" s="118"/>
      <c r="H1616" s="117"/>
      <c r="I1616" s="122"/>
      <c r="J1616" s="120"/>
      <c r="K1616" s="115"/>
      <c r="L1616" s="99" t="str">
        <f ca="1">_xlfn.LET(
    _xlpm.res_no, J1616,
    _xlpm.record_sheet, 'MatRes Record'!J:M,
    _xlpm.AllCellsFilled, COUNTA(A1616:K1616) = 11,
    _xlpm.QtyIsInt, AND(ISNUMBER(G1616), G1616=INT(G1616)),
    _xlpm.ReqDateIsValid, AND(ISNUMBER(H1616), H1616&gt;=TODAY()),
    _xlpm.EmailIsValid, RIGHT(I1616,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IF(A1616="", "", IF(_xlpm.error_messages = "", "Yes", _xlpm.error_messages))
)</f>
        <v/>
      </c>
    </row>
    <row r="1617" spans="1:12">
      <c r="A1617" s="127"/>
      <c r="B1617" s="124"/>
      <c r="C1617" s="124"/>
      <c r="D1617" s="113"/>
      <c r="E1617" s="125"/>
      <c r="F1617" s="126"/>
      <c r="G1617" s="113"/>
      <c r="H1617" s="112"/>
      <c r="I1617" s="126"/>
      <c r="J1617" s="124"/>
      <c r="K1617" s="110"/>
      <c r="L1617" s="99" t="str">
        <f ca="1">_xlfn.LET(
    _xlpm.res_no, J1617,
    _xlpm.record_sheet, 'MatRes Record'!J:M,
    _xlpm.AllCellsFilled, COUNTA(A1617:K1617) = 11,
    _xlpm.QtyIsInt, AND(ISNUMBER(G1617), G1617=INT(G1617)),
    _xlpm.ReqDateIsValid, AND(ISNUMBER(H1617), H1617&gt;=TODAY()),
    _xlpm.EmailIsValid, RIGHT(I1617,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IF(A1617="", "", IF(_xlpm.error_messages = "", "Yes", _xlpm.error_messages))
)</f>
        <v/>
      </c>
    </row>
    <row r="1618" spans="1:12">
      <c r="A1618" s="128"/>
      <c r="B1618" s="120"/>
      <c r="C1618" s="120"/>
      <c r="D1618" s="118"/>
      <c r="E1618" s="121"/>
      <c r="F1618" s="122"/>
      <c r="G1618" s="118"/>
      <c r="H1618" s="117"/>
      <c r="I1618" s="122"/>
      <c r="J1618" s="120"/>
      <c r="K1618" s="115"/>
      <c r="L1618" s="99" t="str">
        <f ca="1">_xlfn.LET(
    _xlpm.res_no, J1618,
    _xlpm.record_sheet, 'MatRes Record'!J:M,
    _xlpm.AllCellsFilled, COUNTA(A1618:K1618) = 11,
    _xlpm.QtyIsInt, AND(ISNUMBER(G1618), G1618=INT(G1618)),
    _xlpm.ReqDateIsValid, AND(ISNUMBER(H1618), H1618&gt;=TODAY()),
    _xlpm.EmailIsValid, RIGHT(I1618,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IF(A1618="", "", IF(_xlpm.error_messages = "", "Yes", _xlpm.error_messages))
)</f>
        <v/>
      </c>
    </row>
    <row r="1619" spans="1:12">
      <c r="A1619" s="127"/>
      <c r="B1619" s="124"/>
      <c r="C1619" s="124"/>
      <c r="D1619" s="113"/>
      <c r="E1619" s="125"/>
      <c r="F1619" s="126"/>
      <c r="G1619" s="113"/>
      <c r="H1619" s="112"/>
      <c r="I1619" s="126"/>
      <c r="J1619" s="124"/>
      <c r="K1619" s="110"/>
      <c r="L1619" s="99" t="str">
        <f ca="1">_xlfn.LET(
    _xlpm.res_no, J1619,
    _xlpm.record_sheet, 'MatRes Record'!J:M,
    _xlpm.AllCellsFilled, COUNTA(A1619:K1619) = 11,
    _xlpm.QtyIsInt, AND(ISNUMBER(G1619), G1619=INT(G1619)),
    _xlpm.ReqDateIsValid, AND(ISNUMBER(H1619), H1619&gt;=TODAY()),
    _xlpm.EmailIsValid, RIGHT(I1619,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IF(A1619="", "", IF(_xlpm.error_messages = "", "Yes", _xlpm.error_messages))
)</f>
        <v/>
      </c>
    </row>
    <row r="1620" spans="1:12">
      <c r="A1620" s="128"/>
      <c r="B1620" s="120"/>
      <c r="C1620" s="120"/>
      <c r="D1620" s="118"/>
      <c r="E1620" s="121"/>
      <c r="F1620" s="122"/>
      <c r="G1620" s="118"/>
      <c r="H1620" s="117"/>
      <c r="I1620" s="122"/>
      <c r="J1620" s="120"/>
      <c r="K1620" s="115"/>
      <c r="L1620" s="99" t="str">
        <f ca="1">_xlfn.LET(
    _xlpm.res_no, J1620,
    _xlpm.record_sheet, 'MatRes Record'!J:M,
    _xlpm.AllCellsFilled, COUNTA(A1620:K1620) = 11,
    _xlpm.QtyIsInt, AND(ISNUMBER(G1620), G1620=INT(G1620)),
    _xlpm.ReqDateIsValid, AND(ISNUMBER(H1620), H1620&gt;=TODAY()),
    _xlpm.EmailIsValid, RIGHT(I1620,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IF(A1620="", "", IF(_xlpm.error_messages = "", "Yes", _xlpm.error_messages))
)</f>
        <v/>
      </c>
    </row>
    <row r="1621" spans="1:12">
      <c r="A1621" s="129"/>
      <c r="B1621" s="130"/>
      <c r="C1621" s="130"/>
      <c r="D1621" s="131"/>
      <c r="E1621" s="132"/>
      <c r="F1621" s="133"/>
      <c r="G1621" s="131"/>
      <c r="H1621" s="112"/>
      <c r="I1621" s="133"/>
      <c r="J1621" s="130"/>
      <c r="K1621" s="110"/>
      <c r="L1621" s="99" t="str">
        <f ca="1">_xlfn.LET(
    _xlpm.res_no, J1621,
    _xlpm.record_sheet, 'MatRes Record'!J:M,
    _xlpm.AllCellsFilled, COUNTA(A1621:K1621) = 11,
    _xlpm.QtyIsInt, AND(ISNUMBER(G1621), G1621=INT(G1621)),
    _xlpm.ReqDateIsValid, AND(ISNUMBER(H1621), H1621&gt;=TODAY()),
    _xlpm.EmailIsValid, RIGHT(I1621,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IF(A1621="", "", IF(_xlpm.error_messages = "", "Yes", _xlpm.error_messages))
)</f>
        <v/>
      </c>
    </row>
    <row r="1622" spans="1:12">
      <c r="A1622" s="128"/>
      <c r="B1622" s="120"/>
      <c r="C1622" s="120"/>
      <c r="D1622" s="118"/>
      <c r="E1622" s="121"/>
      <c r="F1622" s="122"/>
      <c r="G1622" s="118"/>
      <c r="H1622" s="117"/>
      <c r="I1622" s="122"/>
      <c r="J1622" s="120"/>
      <c r="K1622" s="115"/>
      <c r="L1622" s="99" t="str">
        <f ca="1">_xlfn.LET(
    _xlpm.res_no, J1622,
    _xlpm.record_sheet, 'MatRes Record'!J:M,
    _xlpm.AllCellsFilled, COUNTA(A1622:K1622) = 11,
    _xlpm.QtyIsInt, AND(ISNUMBER(G1622), G1622=INT(G1622)),
    _xlpm.ReqDateIsValid, AND(ISNUMBER(H1622), H1622&gt;=TODAY()),
    _xlpm.EmailIsValid, RIGHT(I1622,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IF(A1622="", "", IF(_xlpm.error_messages = "", "Yes", _xlpm.error_messages))
)</f>
        <v/>
      </c>
    </row>
    <row r="1623" spans="1:12">
      <c r="A1623" s="127"/>
      <c r="B1623" s="124"/>
      <c r="C1623" s="124"/>
      <c r="D1623" s="113"/>
      <c r="E1623" s="125"/>
      <c r="F1623" s="126"/>
      <c r="G1623" s="113"/>
      <c r="H1623" s="112"/>
      <c r="I1623" s="126"/>
      <c r="J1623" s="124"/>
      <c r="K1623" s="110"/>
      <c r="L1623" s="99" t="str">
        <f ca="1">_xlfn.LET(
    _xlpm.res_no, J1623,
    _xlpm.record_sheet, 'MatRes Record'!J:M,
    _xlpm.AllCellsFilled, COUNTA(A1623:K1623) = 11,
    _xlpm.QtyIsInt, AND(ISNUMBER(G1623), G1623=INT(G1623)),
    _xlpm.ReqDateIsValid, AND(ISNUMBER(H1623), H1623&gt;=TODAY()),
    _xlpm.EmailIsValid, RIGHT(I1623,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IF(A1623="", "", IF(_xlpm.error_messages = "", "Yes", _xlpm.error_messages))
)</f>
        <v/>
      </c>
    </row>
    <row r="1624" spans="1:12">
      <c r="A1624" s="128"/>
      <c r="B1624" s="120"/>
      <c r="C1624" s="120"/>
      <c r="D1624" s="118"/>
      <c r="E1624" s="121"/>
      <c r="F1624" s="122"/>
      <c r="G1624" s="118"/>
      <c r="H1624" s="117"/>
      <c r="I1624" s="122"/>
      <c r="J1624" s="120"/>
      <c r="K1624" s="115"/>
      <c r="L1624" s="99" t="str">
        <f ca="1">_xlfn.LET(
    _xlpm.res_no, J1624,
    _xlpm.record_sheet, 'MatRes Record'!J:M,
    _xlpm.AllCellsFilled, COUNTA(A1624:K1624) = 11,
    _xlpm.QtyIsInt, AND(ISNUMBER(G1624), G1624=INT(G1624)),
    _xlpm.ReqDateIsValid, AND(ISNUMBER(H1624), H1624&gt;=TODAY()),
    _xlpm.EmailIsValid, RIGHT(I1624,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IF(A1624="", "", IF(_xlpm.error_messages = "", "Yes", _xlpm.error_messages))
)</f>
        <v/>
      </c>
    </row>
    <row r="1625" spans="1:12">
      <c r="A1625" s="127"/>
      <c r="B1625" s="124"/>
      <c r="C1625" s="124"/>
      <c r="D1625" s="113"/>
      <c r="E1625" s="125"/>
      <c r="F1625" s="126"/>
      <c r="G1625" s="113"/>
      <c r="H1625" s="112"/>
      <c r="I1625" s="126"/>
      <c r="J1625" s="124"/>
      <c r="K1625" s="110"/>
      <c r="L1625" s="99" t="str">
        <f ca="1">_xlfn.LET(
    _xlpm.res_no, J1625,
    _xlpm.record_sheet, 'MatRes Record'!J:M,
    _xlpm.AllCellsFilled, COUNTA(A1625:K1625) = 11,
    _xlpm.QtyIsInt, AND(ISNUMBER(G1625), G1625=INT(G1625)),
    _xlpm.ReqDateIsValid, AND(ISNUMBER(H1625), H1625&gt;=TODAY()),
    _xlpm.EmailIsValid, RIGHT(I1625,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IF(A1625="", "", IF(_xlpm.error_messages = "", "Yes", _xlpm.error_messages))
)</f>
        <v/>
      </c>
    </row>
    <row r="1626" spans="1:12">
      <c r="A1626" s="134"/>
      <c r="B1626" s="135"/>
      <c r="C1626" s="135"/>
      <c r="D1626" s="136"/>
      <c r="E1626" s="137"/>
      <c r="F1626" s="138"/>
      <c r="G1626" s="136"/>
      <c r="H1626" s="139"/>
      <c r="I1626" s="138"/>
      <c r="J1626" s="135"/>
      <c r="K1626" s="115"/>
      <c r="L1626" s="99" t="str">
        <f ca="1">_xlfn.LET(
    _xlpm.res_no, J1626,
    _xlpm.record_sheet, 'MatRes Record'!J:M,
    _xlpm.AllCellsFilled, COUNTA(A1626:K1626) = 11,
    _xlpm.QtyIsInt, AND(ISNUMBER(G1626), G1626=INT(G1626)),
    _xlpm.ReqDateIsValid, AND(ISNUMBER(H1626), H1626&gt;=TODAY()),
    _xlpm.EmailIsValid, RIGHT(I1626,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IF(A1626="", "", IF(_xlpm.error_messages = "", "Yes", _xlpm.error_messages))
)</f>
        <v/>
      </c>
    </row>
    <row r="1627" spans="1:12">
      <c r="A1627" s="94"/>
      <c r="B1627" s="95"/>
      <c r="C1627" s="95"/>
      <c r="D1627" s="94"/>
      <c r="E1627" s="94"/>
      <c r="F1627" s="96"/>
      <c r="G1627" s="94"/>
      <c r="H1627" s="96"/>
      <c r="I1627" s="96"/>
      <c r="J1627" s="92"/>
      <c r="K1627" s="97"/>
      <c r="L1627" s="99" t="str">
        <f ca="1">_xlfn.LET(
    _xlpm.res_no, J1627,
    _xlpm.record_sheet, 'MatRes Record'!J:M,
    _xlpm.AllCellsFilled, COUNTA(A1627:K1627) = 11,
    _xlpm.QtyIsInt, AND(ISNUMBER(G1627), G1627=INT(G1627)),
    _xlpm.ReqDateIsValid, AND(ISNUMBER(H1627), H1627&gt;=TODAY()),
    _xlpm.EmailIsValid, RIGHT(I1627,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IF(A1627="", "", IF(_xlpm.error_messages = "", "Yes", _xlpm.error_messages))
)</f>
        <v/>
      </c>
    </row>
    <row r="1628" spans="1:12">
      <c r="A1628" s="94"/>
      <c r="B1628" s="95"/>
      <c r="C1628" s="95"/>
      <c r="D1628" s="94"/>
      <c r="E1628" s="94"/>
      <c r="F1628" s="96"/>
      <c r="G1628" s="94"/>
      <c r="H1628" s="96"/>
      <c r="I1628" s="96"/>
      <c r="J1628" s="92"/>
      <c r="K1628" s="97"/>
      <c r="L1628" s="99" t="str">
        <f ca="1">_xlfn.LET(
    _xlpm.res_no, J1628,
    _xlpm.record_sheet, 'MatRes Record'!J:M,
    _xlpm.AllCellsFilled, COUNTA(A1628:K1628) = 11,
    _xlpm.QtyIsInt, AND(ISNUMBER(G1628), G1628=INT(G1628)),
    _xlpm.ReqDateIsValid, AND(ISNUMBER(H1628), H1628&gt;=TODAY()),
    _xlpm.EmailIsValid, RIGHT(I1628,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IF(A1628="", "", IF(_xlpm.error_messages = "", "Yes", _xlpm.error_messages))
)</f>
        <v/>
      </c>
    </row>
    <row r="1629" spans="1:12">
      <c r="A1629" s="94"/>
      <c r="B1629" s="95"/>
      <c r="C1629" s="95"/>
      <c r="D1629" s="94"/>
      <c r="E1629" s="94"/>
      <c r="F1629" s="96"/>
      <c r="G1629" s="94"/>
      <c r="H1629" s="96"/>
      <c r="I1629" s="96"/>
      <c r="J1629" s="92"/>
      <c r="K1629" s="97"/>
      <c r="L1629" s="99" t="str">
        <f ca="1">_xlfn.LET(
    _xlpm.res_no, J1629,
    _xlpm.record_sheet, 'MatRes Record'!J:M,
    _xlpm.AllCellsFilled, COUNTA(A1629:K1629) = 11,
    _xlpm.QtyIsInt, AND(ISNUMBER(G1629), G1629=INT(G1629)),
    _xlpm.ReqDateIsValid, AND(ISNUMBER(H1629), H1629&gt;=TODAY()),
    _xlpm.EmailIsValid, RIGHT(I1629,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IF(A1629="", "", IF(_xlpm.error_messages = "", "Yes", _xlpm.error_messages))
)</f>
        <v/>
      </c>
    </row>
    <row r="1630" spans="1:12">
      <c r="A1630" s="94"/>
      <c r="B1630" s="95"/>
      <c r="C1630" s="95"/>
      <c r="D1630" s="94"/>
      <c r="E1630" s="94"/>
      <c r="F1630" s="96"/>
      <c r="G1630" s="94"/>
      <c r="H1630" s="96"/>
      <c r="I1630" s="96"/>
      <c r="J1630" s="92"/>
      <c r="K1630" s="97"/>
      <c r="L1630" s="99" t="str">
        <f ca="1">_xlfn.LET(
    _xlpm.res_no, J1630,
    _xlpm.record_sheet, 'MatRes Record'!J:M,
    _xlpm.AllCellsFilled, COUNTA(A1630:K1630) = 11,
    _xlpm.QtyIsInt, AND(ISNUMBER(G1630), G1630=INT(G1630)),
    _xlpm.ReqDateIsValid, AND(ISNUMBER(H1630), H1630&gt;=TODAY()),
    _xlpm.EmailIsValid, RIGHT(I1630,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IF(A1630="", "", IF(_xlpm.error_messages = "", "Yes", _xlpm.error_messages))
)</f>
        <v/>
      </c>
    </row>
    <row r="1631" spans="1:12">
      <c r="A1631" s="94"/>
      <c r="B1631" s="95"/>
      <c r="C1631" s="95"/>
      <c r="D1631" s="94"/>
      <c r="E1631" s="94"/>
      <c r="F1631" s="96"/>
      <c r="G1631" s="94"/>
      <c r="H1631" s="96"/>
      <c r="I1631" s="96"/>
      <c r="J1631" s="92"/>
      <c r="K1631" s="97"/>
      <c r="L1631" s="99" t="str">
        <f ca="1">_xlfn.LET(
    _xlpm.res_no, J1631,
    _xlpm.record_sheet, 'MatRes Record'!J:M,
    _xlpm.AllCellsFilled, COUNTA(A1631:K1631) = 11,
    _xlpm.QtyIsInt, AND(ISNUMBER(G1631), G1631=INT(G1631)),
    _xlpm.ReqDateIsValid, AND(ISNUMBER(H1631), H1631&gt;=TODAY()),
    _xlpm.EmailIsValid, RIGHT(I1631,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IF(A1631="", "", IF(_xlpm.error_messages = "", "Yes", _xlpm.error_messages))
)</f>
        <v/>
      </c>
    </row>
    <row r="1632" spans="1:12">
      <c r="A1632" s="94"/>
      <c r="B1632" s="95"/>
      <c r="C1632" s="95"/>
      <c r="D1632" s="94"/>
      <c r="E1632" s="94"/>
      <c r="F1632" s="96"/>
      <c r="G1632" s="94"/>
      <c r="H1632" s="96"/>
      <c r="I1632" s="96"/>
      <c r="J1632" s="92"/>
      <c r="K1632" s="97"/>
      <c r="L1632" s="99" t="str">
        <f ca="1">_xlfn.LET(
    _xlpm.res_no, J1632,
    _xlpm.record_sheet, 'MatRes Record'!J:M,
    _xlpm.AllCellsFilled, COUNTA(A1632:K1632) = 11,
    _xlpm.QtyIsInt, AND(ISNUMBER(G1632), G1632=INT(G1632)),
    _xlpm.ReqDateIsValid, AND(ISNUMBER(H1632), H1632&gt;=TODAY()),
    _xlpm.EmailIsValid, RIGHT(I1632,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IF(A1632="", "", IF(_xlpm.error_messages = "", "Yes", _xlpm.error_messages))
)</f>
        <v/>
      </c>
    </row>
    <row r="1633" spans="1:12">
      <c r="A1633" s="94"/>
      <c r="B1633" s="95"/>
      <c r="C1633" s="95"/>
      <c r="D1633" s="94"/>
      <c r="E1633" s="94"/>
      <c r="F1633" s="96"/>
      <c r="G1633" s="94"/>
      <c r="H1633" s="96"/>
      <c r="I1633" s="96"/>
      <c r="J1633" s="92"/>
      <c r="K1633" s="97"/>
      <c r="L1633" s="99" t="str">
        <f ca="1">_xlfn.LET(
    _xlpm.res_no, J1633,
    _xlpm.record_sheet, 'MatRes Record'!J:M,
    _xlpm.AllCellsFilled, COUNTA(A1633:K1633) = 11,
    _xlpm.QtyIsInt, AND(ISNUMBER(G1633), G1633=INT(G1633)),
    _xlpm.ReqDateIsValid, AND(ISNUMBER(H1633), H1633&gt;=TODAY()),
    _xlpm.EmailIsValid, RIGHT(I1633,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IF(A1633="", "", IF(_xlpm.error_messages = "", "Yes", _xlpm.error_messages))
)</f>
        <v/>
      </c>
    </row>
    <row r="1634" spans="1:12">
      <c r="A1634" s="94"/>
      <c r="B1634" s="95"/>
      <c r="C1634" s="95"/>
      <c r="D1634" s="94"/>
      <c r="E1634" s="94"/>
      <c r="F1634" s="96"/>
      <c r="G1634" s="94"/>
      <c r="H1634" s="96"/>
      <c r="I1634" s="96"/>
      <c r="J1634" s="92"/>
      <c r="K1634" s="97"/>
      <c r="L1634" s="99" t="str">
        <f ca="1">_xlfn.LET(
    _xlpm.res_no, J1634,
    _xlpm.record_sheet, 'MatRes Record'!J:M,
    _xlpm.AllCellsFilled, COUNTA(A1634:K1634) = 11,
    _xlpm.QtyIsInt, AND(ISNUMBER(G1634), G1634=INT(G1634)),
    _xlpm.ReqDateIsValid, AND(ISNUMBER(H1634), H1634&gt;=TODAY()),
    _xlpm.EmailIsValid, RIGHT(I1634,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IF(A1634="", "", IF(_xlpm.error_messages = "", "Yes", _xlpm.error_messages))
)</f>
        <v/>
      </c>
    </row>
    <row r="1635" spans="1:12">
      <c r="A1635" s="94"/>
      <c r="B1635" s="95"/>
      <c r="C1635" s="95"/>
      <c r="D1635" s="94"/>
      <c r="E1635" s="94"/>
      <c r="F1635" s="96"/>
      <c r="G1635" s="94"/>
      <c r="H1635" s="96"/>
      <c r="I1635" s="96"/>
      <c r="J1635" s="92"/>
      <c r="K1635" s="97"/>
      <c r="L1635" s="99" t="str">
        <f ca="1">_xlfn.LET(
    _xlpm.res_no, J1635,
    _xlpm.record_sheet, 'MatRes Record'!J:M,
    _xlpm.AllCellsFilled, COUNTA(A1635:K1635) = 11,
    _xlpm.QtyIsInt, AND(ISNUMBER(G1635), G1635=INT(G1635)),
    _xlpm.ReqDateIsValid, AND(ISNUMBER(H1635), H1635&gt;=TODAY()),
    _xlpm.EmailIsValid, RIGHT(I1635,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IF(A1635="", "", IF(_xlpm.error_messages = "", "Yes", _xlpm.error_messages))
)</f>
        <v/>
      </c>
    </row>
    <row r="1636" spans="1:12">
      <c r="A1636" s="94"/>
      <c r="B1636" s="95"/>
      <c r="C1636" s="95"/>
      <c r="D1636" s="94"/>
      <c r="E1636" s="94"/>
      <c r="F1636" s="96"/>
      <c r="G1636" s="94"/>
      <c r="H1636" s="96"/>
      <c r="I1636" s="96"/>
      <c r="J1636" s="92"/>
      <c r="K1636" s="97"/>
      <c r="L1636" s="99" t="str">
        <f ca="1">_xlfn.LET(
    _xlpm.res_no, J1636,
    _xlpm.record_sheet, 'MatRes Record'!J:M,
    _xlpm.AllCellsFilled, COUNTA(A1636:K1636) = 11,
    _xlpm.QtyIsInt, AND(ISNUMBER(G1636), G1636=INT(G1636)),
    _xlpm.ReqDateIsValid, AND(ISNUMBER(H1636), H1636&gt;=TODAY()),
    _xlpm.EmailIsValid, RIGHT(I1636,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IF(A1636="", "", IF(_xlpm.error_messages = "", "Yes", _xlpm.error_messages))
)</f>
        <v/>
      </c>
    </row>
    <row r="1637" spans="1:12">
      <c r="A1637" s="94"/>
      <c r="B1637" s="95"/>
      <c r="C1637" s="95"/>
      <c r="D1637" s="94"/>
      <c r="E1637" s="94"/>
      <c r="F1637" s="96"/>
      <c r="G1637" s="94"/>
      <c r="H1637" s="96"/>
      <c r="I1637" s="96"/>
      <c r="J1637" s="92"/>
      <c r="K1637" s="97"/>
      <c r="L1637" s="99" t="str">
        <f ca="1">_xlfn.LET(
    _xlpm.res_no, J1637,
    _xlpm.record_sheet, 'MatRes Record'!J:M,
    _xlpm.AllCellsFilled, COUNTA(A1637:K1637) = 11,
    _xlpm.QtyIsInt, AND(ISNUMBER(G1637), G1637=INT(G1637)),
    _xlpm.ReqDateIsValid, AND(ISNUMBER(H1637), H1637&gt;=TODAY()),
    _xlpm.EmailIsValid, RIGHT(I1637,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IF(A1637="", "", IF(_xlpm.error_messages = "", "Yes", _xlpm.error_messages))
)</f>
        <v/>
      </c>
    </row>
    <row r="1638" spans="1:12">
      <c r="A1638" s="94"/>
      <c r="B1638" s="95"/>
      <c r="C1638" s="95"/>
      <c r="D1638" s="94"/>
      <c r="E1638" s="94"/>
      <c r="F1638" s="96"/>
      <c r="G1638" s="94"/>
      <c r="H1638" s="96"/>
      <c r="I1638" s="96"/>
      <c r="J1638" s="92"/>
      <c r="K1638" s="97"/>
      <c r="L1638" s="99" t="str">
        <f ca="1">_xlfn.LET(
    _xlpm.res_no, J1638,
    _xlpm.record_sheet, 'MatRes Record'!J:M,
    _xlpm.AllCellsFilled, COUNTA(A1638:K1638) = 11,
    _xlpm.QtyIsInt, AND(ISNUMBER(G1638), G1638=INT(G1638)),
    _xlpm.ReqDateIsValid, AND(ISNUMBER(H1638), H1638&gt;=TODAY()),
    _xlpm.EmailIsValid, RIGHT(I1638,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IF(A1638="", "", IF(_xlpm.error_messages = "", "Yes", _xlpm.error_messages))
)</f>
        <v/>
      </c>
    </row>
    <row r="1639" spans="1:12">
      <c r="A1639" s="94"/>
      <c r="B1639" s="95"/>
      <c r="C1639" s="95"/>
      <c r="D1639" s="94"/>
      <c r="E1639" s="94"/>
      <c r="F1639" s="96"/>
      <c r="G1639" s="94"/>
      <c r="H1639" s="96"/>
      <c r="I1639" s="96"/>
      <c r="J1639" s="92"/>
      <c r="K1639" s="97"/>
      <c r="L1639" s="99" t="str">
        <f ca="1">_xlfn.LET(
    _xlpm.res_no, J1639,
    _xlpm.record_sheet, 'MatRes Record'!J:M,
    _xlpm.AllCellsFilled, COUNTA(A1639:K1639) = 11,
    _xlpm.QtyIsInt, AND(ISNUMBER(G1639), G1639=INT(G1639)),
    _xlpm.ReqDateIsValid, AND(ISNUMBER(H1639), H1639&gt;=TODAY()),
    _xlpm.EmailIsValid, RIGHT(I1639,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IF(A1639="", "", IF(_xlpm.error_messages = "", "Yes", _xlpm.error_messages))
)</f>
        <v/>
      </c>
    </row>
    <row r="1640" spans="1:12">
      <c r="A1640" s="94"/>
      <c r="B1640" s="95"/>
      <c r="C1640" s="95"/>
      <c r="D1640" s="94"/>
      <c r="E1640" s="94"/>
      <c r="F1640" s="96"/>
      <c r="G1640" s="94"/>
      <c r="H1640" s="96"/>
      <c r="I1640" s="96"/>
      <c r="J1640" s="92"/>
      <c r="K1640" s="97"/>
      <c r="L1640" s="99" t="str">
        <f ca="1">_xlfn.LET(
    _xlpm.res_no, J1640,
    _xlpm.record_sheet, 'MatRes Record'!J:M,
    _xlpm.AllCellsFilled, COUNTA(A1640:K1640) = 11,
    _xlpm.QtyIsInt, AND(ISNUMBER(G1640), G1640=INT(G1640)),
    _xlpm.ReqDateIsValid, AND(ISNUMBER(H1640), H1640&gt;=TODAY()),
    _xlpm.EmailIsValid, RIGHT(I1640,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IF(A1640="", "", IF(_xlpm.error_messages = "", "Yes", _xlpm.error_messages))
)</f>
        <v/>
      </c>
    </row>
    <row r="1641" spans="1:12">
      <c r="A1641" s="94"/>
      <c r="B1641" s="95"/>
      <c r="C1641" s="95"/>
      <c r="D1641" s="94"/>
      <c r="E1641" s="94"/>
      <c r="F1641" s="96"/>
      <c r="G1641" s="94"/>
      <c r="H1641" s="96"/>
      <c r="I1641" s="96"/>
      <c r="J1641" s="92"/>
      <c r="K1641" s="97"/>
      <c r="L1641" s="99" t="str">
        <f ca="1">_xlfn.LET(
    _xlpm.res_no, J1641,
    _xlpm.record_sheet, 'MatRes Record'!J:M,
    _xlpm.AllCellsFilled, COUNTA(A1641:K1641) = 11,
    _xlpm.QtyIsInt, AND(ISNUMBER(G1641), G1641=INT(G1641)),
    _xlpm.ReqDateIsValid, AND(ISNUMBER(H1641), H1641&gt;=TODAY()),
    _xlpm.EmailIsValid, RIGHT(I1641,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IF(A1641="", "", IF(_xlpm.error_messages = "", "Yes", _xlpm.error_messages))
)</f>
        <v/>
      </c>
    </row>
    <row r="1642" spans="1:12">
      <c r="A1642" s="94"/>
      <c r="B1642" s="95"/>
      <c r="C1642" s="95"/>
      <c r="D1642" s="94"/>
      <c r="E1642" s="94"/>
      <c r="F1642" s="96"/>
      <c r="G1642" s="94"/>
      <c r="H1642" s="96"/>
      <c r="I1642" s="96"/>
      <c r="J1642" s="92"/>
      <c r="K1642" s="97"/>
      <c r="L1642" s="99" t="str">
        <f ca="1">_xlfn.LET(
    _xlpm.res_no, J1642,
    _xlpm.record_sheet, 'MatRes Record'!J:M,
    _xlpm.AllCellsFilled, COUNTA(A1642:K1642) = 11,
    _xlpm.QtyIsInt, AND(ISNUMBER(G1642), G1642=INT(G1642)),
    _xlpm.ReqDateIsValid, AND(ISNUMBER(H1642), H1642&gt;=TODAY()),
    _xlpm.EmailIsValid, RIGHT(I1642,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IF(A1642="", "", IF(_xlpm.error_messages = "", "Yes", _xlpm.error_messages))
)</f>
        <v/>
      </c>
    </row>
    <row r="1643" spans="1:12">
      <c r="A1643" s="94"/>
      <c r="B1643" s="95"/>
      <c r="C1643" s="95"/>
      <c r="D1643" s="94"/>
      <c r="E1643" s="94"/>
      <c r="F1643" s="96"/>
      <c r="G1643" s="94"/>
      <c r="H1643" s="96"/>
      <c r="I1643" s="96"/>
      <c r="J1643" s="92"/>
      <c r="K1643" s="97"/>
      <c r="L1643" s="99" t="str">
        <f ca="1">_xlfn.LET(
    _xlpm.res_no, J1643,
    _xlpm.record_sheet, 'MatRes Record'!J:M,
    _xlpm.AllCellsFilled, COUNTA(A1643:K1643) = 11,
    _xlpm.QtyIsInt, AND(ISNUMBER(G1643), G1643=INT(G1643)),
    _xlpm.ReqDateIsValid, AND(ISNUMBER(H1643), H1643&gt;=TODAY()),
    _xlpm.EmailIsValid, RIGHT(I1643,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IF(A1643="", "", IF(_xlpm.error_messages = "", "Yes", _xlpm.error_messages))
)</f>
        <v/>
      </c>
    </row>
    <row r="1644" spans="1:12">
      <c r="A1644" s="94"/>
      <c r="B1644" s="95"/>
      <c r="C1644" s="95"/>
      <c r="D1644" s="94"/>
      <c r="E1644" s="94"/>
      <c r="F1644" s="96"/>
      <c r="G1644" s="94"/>
      <c r="H1644" s="96"/>
      <c r="I1644" s="96"/>
      <c r="J1644" s="92"/>
      <c r="K1644" s="97"/>
      <c r="L1644" s="99" t="str">
        <f ca="1">_xlfn.LET(
    _xlpm.res_no, J1644,
    _xlpm.record_sheet, 'MatRes Record'!J:M,
    _xlpm.AllCellsFilled, COUNTA(A1644:K1644) = 11,
    _xlpm.QtyIsInt, AND(ISNUMBER(G1644), G1644=INT(G1644)),
    _xlpm.ReqDateIsValid, AND(ISNUMBER(H1644), H1644&gt;=TODAY()),
    _xlpm.EmailIsValid, RIGHT(I1644,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IF(A1644="", "", IF(_xlpm.error_messages = "", "Yes", _xlpm.error_messages))
)</f>
        <v/>
      </c>
    </row>
    <row r="1645" spans="1:12">
      <c r="A1645" s="94"/>
      <c r="B1645" s="95"/>
      <c r="C1645" s="95"/>
      <c r="D1645" s="94"/>
      <c r="E1645" s="94"/>
      <c r="F1645" s="96"/>
      <c r="G1645" s="94"/>
      <c r="H1645" s="96"/>
      <c r="I1645" s="96"/>
      <c r="J1645" s="92"/>
      <c r="K1645" s="97"/>
      <c r="L1645" s="99" t="str">
        <f ca="1">_xlfn.LET(
    _xlpm.res_no, J1645,
    _xlpm.record_sheet, 'MatRes Record'!J:M,
    _xlpm.AllCellsFilled, COUNTA(A1645:K1645) = 11,
    _xlpm.QtyIsInt, AND(ISNUMBER(G1645), G1645=INT(G1645)),
    _xlpm.ReqDateIsValid, AND(ISNUMBER(H1645), H1645&gt;=TODAY()),
    _xlpm.EmailIsValid, RIGHT(I1645,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IF(A1645="", "", IF(_xlpm.error_messages = "", "Yes", _xlpm.error_messages))
)</f>
        <v/>
      </c>
    </row>
    <row r="1646" spans="1:12">
      <c r="A1646" s="94"/>
      <c r="B1646" s="95"/>
      <c r="C1646" s="95"/>
      <c r="D1646" s="94"/>
      <c r="E1646" s="94"/>
      <c r="F1646" s="96"/>
      <c r="G1646" s="94"/>
      <c r="H1646" s="96"/>
      <c r="I1646" s="96"/>
      <c r="J1646" s="92"/>
      <c r="K1646" s="97"/>
      <c r="L1646" s="99" t="str">
        <f ca="1">_xlfn.LET(
    _xlpm.res_no, J1646,
    _xlpm.record_sheet, 'MatRes Record'!J:M,
    _xlpm.AllCellsFilled, COUNTA(A1646:K1646) = 11,
    _xlpm.QtyIsInt, AND(ISNUMBER(G1646), G1646=INT(G1646)),
    _xlpm.ReqDateIsValid, AND(ISNUMBER(H1646), H1646&gt;=TODAY()),
    _xlpm.EmailIsValid, RIGHT(I1646,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IF(A1646="", "", IF(_xlpm.error_messages = "", "Yes", _xlpm.error_messages))
)</f>
        <v/>
      </c>
    </row>
    <row r="1647" spans="1:12">
      <c r="A1647" s="94"/>
      <c r="B1647" s="95"/>
      <c r="C1647" s="95"/>
      <c r="D1647" s="94"/>
      <c r="E1647" s="94"/>
      <c r="F1647" s="96"/>
      <c r="G1647" s="94"/>
      <c r="H1647" s="96"/>
      <c r="I1647" s="96"/>
      <c r="J1647" s="92"/>
      <c r="K1647" s="97"/>
      <c r="L1647" s="99" t="str">
        <f ca="1">_xlfn.LET(
    _xlpm.res_no, J1647,
    _xlpm.record_sheet, 'MatRes Record'!J:M,
    _xlpm.AllCellsFilled, COUNTA(A1647:K1647) = 11,
    _xlpm.QtyIsInt, AND(ISNUMBER(G1647), G1647=INT(G1647)),
    _xlpm.ReqDateIsValid, AND(ISNUMBER(H1647), H1647&gt;=TODAY()),
    _xlpm.EmailIsValid, RIGHT(I1647,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IF(A1647="", "", IF(_xlpm.error_messages = "", "Yes", _xlpm.error_messages))
)</f>
        <v/>
      </c>
    </row>
    <row r="1648" spans="1:12">
      <c r="A1648" s="94"/>
      <c r="B1648" s="95"/>
      <c r="C1648" s="95"/>
      <c r="D1648" s="94"/>
      <c r="E1648" s="94"/>
      <c r="F1648" s="96"/>
      <c r="G1648" s="94"/>
      <c r="H1648" s="96"/>
      <c r="I1648" s="96"/>
      <c r="J1648" s="92"/>
      <c r="K1648" s="97"/>
      <c r="L1648" s="99" t="str">
        <f ca="1">_xlfn.LET(
    _xlpm.res_no, J1648,
    _xlpm.record_sheet, 'MatRes Record'!J:M,
    _xlpm.AllCellsFilled, COUNTA(A1648:K1648) = 11,
    _xlpm.QtyIsInt, AND(ISNUMBER(G1648), G1648=INT(G1648)),
    _xlpm.ReqDateIsValid, AND(ISNUMBER(H1648), H1648&gt;=TODAY()),
    _xlpm.EmailIsValid, RIGHT(I1648,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IF(A1648="", "", IF(_xlpm.error_messages = "", "Yes", _xlpm.error_messages))
)</f>
        <v/>
      </c>
    </row>
    <row r="1649" spans="1:12">
      <c r="A1649" s="94"/>
      <c r="B1649" s="95"/>
      <c r="C1649" s="95"/>
      <c r="D1649" s="94"/>
      <c r="E1649" s="94"/>
      <c r="F1649" s="96"/>
      <c r="G1649" s="94"/>
      <c r="H1649" s="96"/>
      <c r="I1649" s="96"/>
      <c r="J1649" s="92"/>
      <c r="K1649" s="97"/>
      <c r="L1649" s="99" t="str">
        <f ca="1">_xlfn.LET(
    _xlpm.res_no, J1649,
    _xlpm.record_sheet, 'MatRes Record'!J:M,
    _xlpm.AllCellsFilled, COUNTA(A1649:K1649) = 11,
    _xlpm.QtyIsInt, AND(ISNUMBER(G1649), G1649=INT(G1649)),
    _xlpm.ReqDateIsValid, AND(ISNUMBER(H1649), H1649&gt;=TODAY()),
    _xlpm.EmailIsValid, RIGHT(I1649,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IF(A1649="", "", IF(_xlpm.error_messages = "", "Yes", _xlpm.error_messages))
)</f>
        <v/>
      </c>
    </row>
    <row r="1650" spans="1:12">
      <c r="A1650" s="94"/>
      <c r="B1650" s="95"/>
      <c r="C1650" s="95"/>
      <c r="D1650" s="94"/>
      <c r="E1650" s="94"/>
      <c r="F1650" s="96"/>
      <c r="G1650" s="94"/>
      <c r="H1650" s="96"/>
      <c r="I1650" s="96"/>
      <c r="J1650" s="92"/>
      <c r="K1650" s="97"/>
      <c r="L1650" s="99" t="str">
        <f ca="1">_xlfn.LET(
    _xlpm.res_no, J1650,
    _xlpm.record_sheet, 'MatRes Record'!J:M,
    _xlpm.AllCellsFilled, COUNTA(A1650:K1650) = 11,
    _xlpm.QtyIsInt, AND(ISNUMBER(G1650), G1650=INT(G1650)),
    _xlpm.ReqDateIsValid, AND(ISNUMBER(H1650), H1650&gt;=TODAY()),
    _xlpm.EmailIsValid, RIGHT(I1650,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IF(A1650="", "", IF(_xlpm.error_messages = "", "Yes", _xlpm.error_messages))
)</f>
        <v/>
      </c>
    </row>
    <row r="1651" spans="1:12">
      <c r="A1651" s="94"/>
      <c r="B1651" s="95"/>
      <c r="C1651" s="95"/>
      <c r="D1651" s="94"/>
      <c r="E1651" s="94"/>
      <c r="F1651" s="96"/>
      <c r="G1651" s="94"/>
      <c r="H1651" s="96"/>
      <c r="I1651" s="96"/>
      <c r="J1651" s="92"/>
      <c r="K1651" s="97"/>
      <c r="L1651" s="99" t="str">
        <f ca="1">_xlfn.LET(
    _xlpm.res_no, J1651,
    _xlpm.record_sheet, 'MatRes Record'!J:M,
    _xlpm.AllCellsFilled, COUNTA(A1651:K1651) = 11,
    _xlpm.QtyIsInt, AND(ISNUMBER(G1651), G1651=INT(G1651)),
    _xlpm.ReqDateIsValid, AND(ISNUMBER(H1651), H1651&gt;=TODAY()),
    _xlpm.EmailIsValid, RIGHT(I1651,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IF(A1651="", "", IF(_xlpm.error_messages = "", "Yes", _xlpm.error_messages))
)</f>
        <v/>
      </c>
    </row>
    <row r="1652" spans="1:12">
      <c r="A1652" s="94"/>
      <c r="B1652" s="95"/>
      <c r="C1652" s="95"/>
      <c r="D1652" s="94"/>
      <c r="E1652" s="94"/>
      <c r="F1652" s="96"/>
      <c r="G1652" s="94"/>
      <c r="H1652" s="96"/>
      <c r="I1652" s="96"/>
      <c r="J1652" s="92"/>
      <c r="K1652" s="97"/>
      <c r="L1652" s="99" t="str">
        <f ca="1">_xlfn.LET(
    _xlpm.res_no, J1652,
    _xlpm.record_sheet, 'MatRes Record'!J:M,
    _xlpm.AllCellsFilled, COUNTA(A1652:K1652) = 11,
    _xlpm.QtyIsInt, AND(ISNUMBER(G1652), G1652=INT(G1652)),
    _xlpm.ReqDateIsValid, AND(ISNUMBER(H1652), H1652&gt;=TODAY()),
    _xlpm.EmailIsValid, RIGHT(I1652,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IF(A1652="", "", IF(_xlpm.error_messages = "", "Yes", _xlpm.error_messages))
)</f>
        <v/>
      </c>
    </row>
    <row r="1653" spans="1:12">
      <c r="A1653" s="94"/>
      <c r="B1653" s="95"/>
      <c r="C1653" s="95"/>
      <c r="D1653" s="94"/>
      <c r="E1653" s="94"/>
      <c r="F1653" s="96"/>
      <c r="G1653" s="94"/>
      <c r="H1653" s="96"/>
      <c r="I1653" s="96"/>
      <c r="J1653" s="92"/>
      <c r="K1653" s="97"/>
      <c r="L1653" s="99" t="str">
        <f ca="1">_xlfn.LET(
    _xlpm.res_no, J1653,
    _xlpm.record_sheet, 'MatRes Record'!J:M,
    _xlpm.AllCellsFilled, COUNTA(A1653:K1653) = 11,
    _xlpm.QtyIsInt, AND(ISNUMBER(G1653), G1653=INT(G1653)),
    _xlpm.ReqDateIsValid, AND(ISNUMBER(H1653), H1653&gt;=TODAY()),
    _xlpm.EmailIsValid, RIGHT(I1653,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IF(A1653="", "", IF(_xlpm.error_messages = "", "Yes", _xlpm.error_messages))
)</f>
        <v/>
      </c>
    </row>
    <row r="1654" spans="1:12">
      <c r="A1654" s="94"/>
      <c r="B1654" s="95"/>
      <c r="C1654" s="95"/>
      <c r="D1654" s="94"/>
      <c r="E1654" s="94"/>
      <c r="F1654" s="96"/>
      <c r="G1654" s="94"/>
      <c r="H1654" s="96"/>
      <c r="I1654" s="96"/>
      <c r="J1654" s="92"/>
      <c r="K1654" s="97"/>
      <c r="L1654" s="99" t="str">
        <f ca="1">_xlfn.LET(
    _xlpm.res_no, J1654,
    _xlpm.record_sheet, 'MatRes Record'!J:M,
    _xlpm.AllCellsFilled, COUNTA(A1654:K1654) = 11,
    _xlpm.QtyIsInt, AND(ISNUMBER(G1654), G1654=INT(G1654)),
    _xlpm.ReqDateIsValid, AND(ISNUMBER(H1654), H1654&gt;=TODAY()),
    _xlpm.EmailIsValid, RIGHT(I1654,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IF(A1654="", "", IF(_xlpm.error_messages = "", "Yes", _xlpm.error_messages))
)</f>
        <v/>
      </c>
    </row>
    <row r="1655" spans="1:12">
      <c r="A1655" s="94"/>
      <c r="B1655" s="95"/>
      <c r="C1655" s="95"/>
      <c r="D1655" s="94"/>
      <c r="E1655" s="94"/>
      <c r="F1655" s="96"/>
      <c r="G1655" s="94"/>
      <c r="H1655" s="96"/>
      <c r="I1655" s="96"/>
      <c r="J1655" s="92"/>
      <c r="K1655" s="97"/>
      <c r="L1655" s="99" t="str">
        <f ca="1">_xlfn.LET(
    _xlpm.res_no, J1655,
    _xlpm.record_sheet, 'MatRes Record'!J:M,
    _xlpm.AllCellsFilled, COUNTA(A1655:K1655) = 11,
    _xlpm.QtyIsInt, AND(ISNUMBER(G1655), G1655=INT(G1655)),
    _xlpm.ReqDateIsValid, AND(ISNUMBER(H1655), H1655&gt;=TODAY()),
    _xlpm.EmailIsValid, RIGHT(I1655,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IF(A1655="", "", IF(_xlpm.error_messages = "", "Yes", _xlpm.error_messages))
)</f>
        <v/>
      </c>
    </row>
    <row r="1656" spans="1:12">
      <c r="A1656" s="94"/>
      <c r="B1656" s="95"/>
      <c r="C1656" s="95"/>
      <c r="D1656" s="94"/>
      <c r="E1656" s="94"/>
      <c r="F1656" s="96"/>
      <c r="G1656" s="94"/>
      <c r="H1656" s="96"/>
      <c r="I1656" s="96"/>
      <c r="J1656" s="92"/>
      <c r="K1656" s="97"/>
      <c r="L1656" s="99" t="str">
        <f ca="1">_xlfn.LET(
    _xlpm.res_no, J1656,
    _xlpm.record_sheet, 'MatRes Record'!J:M,
    _xlpm.AllCellsFilled, COUNTA(A1656:K1656) = 11,
    _xlpm.QtyIsInt, AND(ISNUMBER(G1656), G1656=INT(G1656)),
    _xlpm.ReqDateIsValid, AND(ISNUMBER(H1656), H1656&gt;=TODAY()),
    _xlpm.EmailIsValid, RIGHT(I1656,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IF(A1656="", "", IF(_xlpm.error_messages = "", "Yes", _xlpm.error_messages))
)</f>
        <v/>
      </c>
    </row>
    <row r="1657" spans="1:12">
      <c r="A1657" s="94"/>
      <c r="B1657" s="95"/>
      <c r="C1657" s="95"/>
      <c r="D1657" s="94"/>
      <c r="E1657" s="94"/>
      <c r="F1657" s="96"/>
      <c r="G1657" s="94"/>
      <c r="H1657" s="96"/>
      <c r="I1657" s="96"/>
      <c r="J1657" s="92"/>
      <c r="K1657" s="97"/>
      <c r="L1657" s="99" t="str">
        <f ca="1">_xlfn.LET(
    _xlpm.res_no, J1657,
    _xlpm.record_sheet, 'MatRes Record'!J:M,
    _xlpm.AllCellsFilled, COUNTA(A1657:K1657) = 11,
    _xlpm.QtyIsInt, AND(ISNUMBER(G1657), G1657=INT(G1657)),
    _xlpm.ReqDateIsValid, AND(ISNUMBER(H1657), H1657&gt;=TODAY()),
    _xlpm.EmailIsValid, RIGHT(I1657,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IF(A1657="", "", IF(_xlpm.error_messages = "", "Yes", _xlpm.error_messages))
)</f>
        <v/>
      </c>
    </row>
    <row r="1658" spans="1:12">
      <c r="A1658" s="94"/>
      <c r="B1658" s="95"/>
      <c r="C1658" s="95"/>
      <c r="D1658" s="94"/>
      <c r="E1658" s="94"/>
      <c r="F1658" s="96"/>
      <c r="G1658" s="94"/>
      <c r="H1658" s="96"/>
      <c r="I1658" s="96"/>
      <c r="J1658" s="92"/>
      <c r="K1658" s="97"/>
      <c r="L1658" s="99" t="str">
        <f ca="1">_xlfn.LET(
    _xlpm.res_no, J1658,
    _xlpm.record_sheet, 'MatRes Record'!J:M,
    _xlpm.AllCellsFilled, COUNTA(A1658:K1658) = 11,
    _xlpm.QtyIsInt, AND(ISNUMBER(G1658), G1658=INT(G1658)),
    _xlpm.ReqDateIsValid, AND(ISNUMBER(H1658), H1658&gt;=TODAY()),
    _xlpm.EmailIsValid, RIGHT(I1658,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IF(A1658="", "", IF(_xlpm.error_messages = "", "Yes", _xlpm.error_messages))
)</f>
        <v/>
      </c>
    </row>
    <row r="1659" spans="1:12">
      <c r="A1659" s="94"/>
      <c r="B1659" s="95"/>
      <c r="C1659" s="95"/>
      <c r="D1659" s="94"/>
      <c r="E1659" s="94"/>
      <c r="F1659" s="96"/>
      <c r="G1659" s="94"/>
      <c r="H1659" s="96"/>
      <c r="I1659" s="96"/>
      <c r="J1659" s="92"/>
      <c r="K1659" s="97"/>
      <c r="L1659" s="99" t="str">
        <f ca="1">_xlfn.LET(
    _xlpm.res_no, J1659,
    _xlpm.record_sheet, 'MatRes Record'!J:M,
    _xlpm.AllCellsFilled, COUNTA(A1659:K1659) = 11,
    _xlpm.QtyIsInt, AND(ISNUMBER(G1659), G1659=INT(G1659)),
    _xlpm.ReqDateIsValid, AND(ISNUMBER(H1659), H1659&gt;=TODAY()),
    _xlpm.EmailIsValid, RIGHT(I1659,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IF(A1659="", "", IF(_xlpm.error_messages = "", "Yes", _xlpm.error_messages))
)</f>
        <v/>
      </c>
    </row>
    <row r="1660" spans="1:12">
      <c r="A1660" s="94"/>
      <c r="B1660" s="95"/>
      <c r="C1660" s="95"/>
      <c r="D1660" s="94"/>
      <c r="E1660" s="94"/>
      <c r="F1660" s="96"/>
      <c r="G1660" s="94"/>
      <c r="H1660" s="96"/>
      <c r="I1660" s="96"/>
      <c r="J1660" s="92"/>
      <c r="K1660" s="97"/>
      <c r="L1660" s="99" t="str">
        <f ca="1">_xlfn.LET(
    _xlpm.res_no, J1660,
    _xlpm.record_sheet, 'MatRes Record'!J:M,
    _xlpm.AllCellsFilled, COUNTA(A1660:K1660) = 11,
    _xlpm.QtyIsInt, AND(ISNUMBER(G1660), G1660=INT(G1660)),
    _xlpm.ReqDateIsValid, AND(ISNUMBER(H1660), H1660&gt;=TODAY()),
    _xlpm.EmailIsValid, RIGHT(I1660,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IF(A1660="", "", IF(_xlpm.error_messages = "", "Yes", _xlpm.error_messages))
)</f>
        <v/>
      </c>
    </row>
    <row r="1661" spans="1:12">
      <c r="A1661" s="94"/>
      <c r="B1661" s="95"/>
      <c r="C1661" s="95"/>
      <c r="D1661" s="94"/>
      <c r="E1661" s="94"/>
      <c r="F1661" s="96"/>
      <c r="G1661" s="94"/>
      <c r="H1661" s="96"/>
      <c r="I1661" s="96"/>
      <c r="J1661" s="92"/>
      <c r="K1661" s="97"/>
      <c r="L1661" s="99" t="str">
        <f ca="1">_xlfn.LET(
    _xlpm.res_no, J1661,
    _xlpm.record_sheet, 'MatRes Record'!J:M,
    _xlpm.AllCellsFilled, COUNTA(A1661:K1661) = 11,
    _xlpm.QtyIsInt, AND(ISNUMBER(G1661), G1661=INT(G1661)),
    _xlpm.ReqDateIsValid, AND(ISNUMBER(H1661), H1661&gt;=TODAY()),
    _xlpm.EmailIsValid, RIGHT(I1661,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IF(A1661="", "", IF(_xlpm.error_messages = "", "Yes", _xlpm.error_messages))
)</f>
        <v/>
      </c>
    </row>
    <row r="1662" spans="1:12">
      <c r="A1662" s="94"/>
      <c r="B1662" s="95"/>
      <c r="C1662" s="95"/>
      <c r="D1662" s="94"/>
      <c r="E1662" s="94"/>
      <c r="F1662" s="96"/>
      <c r="G1662" s="94"/>
      <c r="H1662" s="96"/>
      <c r="I1662" s="96"/>
      <c r="J1662" s="92"/>
      <c r="K1662" s="97"/>
      <c r="L1662" s="99" t="str">
        <f ca="1">_xlfn.LET(
    _xlpm.res_no, J1662,
    _xlpm.record_sheet, 'MatRes Record'!J:M,
    _xlpm.AllCellsFilled, COUNTA(A1662:K1662) = 11,
    _xlpm.QtyIsInt, AND(ISNUMBER(G1662), G1662=INT(G1662)),
    _xlpm.ReqDateIsValid, AND(ISNUMBER(H1662), H1662&gt;=TODAY()),
    _xlpm.EmailIsValid, RIGHT(I1662,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IF(A1662="", "", IF(_xlpm.error_messages = "", "Yes", _xlpm.error_messages))
)</f>
        <v/>
      </c>
    </row>
    <row r="1663" spans="1:12">
      <c r="A1663" s="94"/>
      <c r="B1663" s="95"/>
      <c r="C1663" s="95"/>
      <c r="D1663" s="94"/>
      <c r="E1663" s="94"/>
      <c r="F1663" s="96"/>
      <c r="G1663" s="94"/>
      <c r="H1663" s="96"/>
      <c r="I1663" s="96"/>
      <c r="J1663" s="92"/>
      <c r="K1663" s="97"/>
      <c r="L1663" s="99" t="str">
        <f ca="1">_xlfn.LET(
    _xlpm.res_no, J1663,
    _xlpm.record_sheet, 'MatRes Record'!J:M,
    _xlpm.AllCellsFilled, COUNTA(A1663:K1663) = 11,
    _xlpm.QtyIsInt, AND(ISNUMBER(G1663), G1663=INT(G1663)),
    _xlpm.ReqDateIsValid, AND(ISNUMBER(H1663), H1663&gt;=TODAY()),
    _xlpm.EmailIsValid, RIGHT(I1663,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IF(A1663="", "", IF(_xlpm.error_messages = "", "Yes", _xlpm.error_messages))
)</f>
        <v/>
      </c>
    </row>
    <row r="1664" spans="1:12">
      <c r="A1664" s="94"/>
      <c r="B1664" s="95"/>
      <c r="C1664" s="95"/>
      <c r="D1664" s="94"/>
      <c r="E1664" s="94"/>
      <c r="F1664" s="96"/>
      <c r="G1664" s="94"/>
      <c r="H1664" s="96"/>
      <c r="I1664" s="96"/>
      <c r="J1664" s="92"/>
      <c r="K1664" s="97"/>
      <c r="L1664" s="99" t="str">
        <f ca="1">_xlfn.LET(
    _xlpm.res_no, J1664,
    _xlpm.record_sheet, 'MatRes Record'!J:M,
    _xlpm.AllCellsFilled, COUNTA(A1664:K1664) = 11,
    _xlpm.QtyIsInt, AND(ISNUMBER(G1664), G1664=INT(G1664)),
    _xlpm.ReqDateIsValid, AND(ISNUMBER(H1664), H1664&gt;=TODAY()),
    _xlpm.EmailIsValid, RIGHT(I1664,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IF(A1664="", "", IF(_xlpm.error_messages = "", "Yes", _xlpm.error_messages))
)</f>
        <v/>
      </c>
    </row>
    <row r="1665" spans="1:12">
      <c r="A1665" s="94"/>
      <c r="B1665" s="95"/>
      <c r="C1665" s="95"/>
      <c r="D1665" s="94"/>
      <c r="E1665" s="94"/>
      <c r="F1665" s="96"/>
      <c r="G1665" s="94"/>
      <c r="H1665" s="96"/>
      <c r="I1665" s="96"/>
      <c r="J1665" s="92"/>
      <c r="K1665" s="97"/>
      <c r="L1665" s="99" t="str">
        <f ca="1">_xlfn.LET(
    _xlpm.res_no, J1665,
    _xlpm.record_sheet, 'MatRes Record'!J:M,
    _xlpm.AllCellsFilled, COUNTA(A1665:K1665) = 11,
    _xlpm.QtyIsInt, AND(ISNUMBER(G1665), G1665=INT(G1665)),
    _xlpm.ReqDateIsValid, AND(ISNUMBER(H1665), H1665&gt;=TODAY()),
    _xlpm.EmailIsValid, RIGHT(I1665,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IF(A1665="", "", IF(_xlpm.error_messages = "", "Yes", _xlpm.error_messages))
)</f>
        <v/>
      </c>
    </row>
    <row r="1666" spans="1:12">
      <c r="A1666" s="94"/>
      <c r="B1666" s="95"/>
      <c r="C1666" s="95"/>
      <c r="D1666" s="94"/>
      <c r="E1666" s="94"/>
      <c r="F1666" s="96"/>
      <c r="G1666" s="94"/>
      <c r="H1666" s="96"/>
      <c r="I1666" s="96"/>
      <c r="J1666" s="92"/>
      <c r="K1666" s="97"/>
      <c r="L1666" s="99" t="str">
        <f ca="1">_xlfn.LET(
    _xlpm.res_no, J1666,
    _xlpm.record_sheet, 'MatRes Record'!J:M,
    _xlpm.AllCellsFilled, COUNTA(A1666:K1666) = 11,
    _xlpm.QtyIsInt, AND(ISNUMBER(G1666), G1666=INT(G1666)),
    _xlpm.ReqDateIsValid, AND(ISNUMBER(H1666), H1666&gt;=TODAY()),
    _xlpm.EmailIsValid, RIGHT(I1666,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IF(A1666="", "", IF(_xlpm.error_messages = "", "Yes", _xlpm.error_messages))
)</f>
        <v/>
      </c>
    </row>
    <row r="1667" spans="1:12">
      <c r="A1667" s="94"/>
      <c r="B1667" s="95"/>
      <c r="C1667" s="95"/>
      <c r="D1667" s="94"/>
      <c r="E1667" s="94"/>
      <c r="F1667" s="96"/>
      <c r="G1667" s="94"/>
      <c r="H1667" s="96"/>
      <c r="I1667" s="96"/>
      <c r="J1667" s="92"/>
      <c r="K1667" s="97"/>
      <c r="L1667" s="99" t="str">
        <f ca="1">_xlfn.LET(
    _xlpm.res_no, J1667,
    _xlpm.record_sheet, 'MatRes Record'!J:M,
    _xlpm.AllCellsFilled, COUNTA(A1667:K1667) = 11,
    _xlpm.QtyIsInt, AND(ISNUMBER(G1667), G1667=INT(G1667)),
    _xlpm.ReqDateIsValid, AND(ISNUMBER(H1667), H1667&gt;=TODAY()),
    _xlpm.EmailIsValid, RIGHT(I1667,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IF(A1667="", "", IF(_xlpm.error_messages = "", "Yes", _xlpm.error_messages))
)</f>
        <v/>
      </c>
    </row>
    <row r="1668" spans="1:12">
      <c r="A1668" s="94"/>
      <c r="B1668" s="95"/>
      <c r="C1668" s="95"/>
      <c r="D1668" s="94"/>
      <c r="E1668" s="94"/>
      <c r="F1668" s="96"/>
      <c r="G1668" s="94"/>
      <c r="H1668" s="96"/>
      <c r="I1668" s="96"/>
      <c r="J1668" s="92"/>
      <c r="K1668" s="97"/>
      <c r="L1668" s="99" t="str">
        <f ca="1">_xlfn.LET(
    _xlpm.res_no, J1668,
    _xlpm.record_sheet, 'MatRes Record'!J:M,
    _xlpm.AllCellsFilled, COUNTA(A1668:K1668) = 11,
    _xlpm.QtyIsInt, AND(ISNUMBER(G1668), G1668=INT(G1668)),
    _xlpm.ReqDateIsValid, AND(ISNUMBER(H1668), H1668&gt;=TODAY()),
    _xlpm.EmailIsValid, RIGHT(I1668,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IF(A1668="", "", IF(_xlpm.error_messages = "", "Yes", _xlpm.error_messages))
)</f>
        <v/>
      </c>
    </row>
    <row r="1669" spans="1:12">
      <c r="A1669" s="94"/>
      <c r="B1669" s="95"/>
      <c r="C1669" s="95"/>
      <c r="D1669" s="94"/>
      <c r="E1669" s="94"/>
      <c r="F1669" s="96"/>
      <c r="G1669" s="94"/>
      <c r="H1669" s="96"/>
      <c r="I1669" s="96"/>
      <c r="J1669" s="92"/>
      <c r="K1669" s="97"/>
      <c r="L1669" s="99" t="str">
        <f ca="1">_xlfn.LET(
    _xlpm.res_no, J1669,
    _xlpm.record_sheet, 'MatRes Record'!J:M,
    _xlpm.AllCellsFilled, COUNTA(A1669:K1669) = 11,
    _xlpm.QtyIsInt, AND(ISNUMBER(G1669), G1669=INT(G1669)),
    _xlpm.ReqDateIsValid, AND(ISNUMBER(H1669), H1669&gt;=TODAY()),
    _xlpm.EmailIsValid, RIGHT(I1669,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IF(A1669="", "", IF(_xlpm.error_messages = "", "Yes", _xlpm.error_messages))
)</f>
        <v/>
      </c>
    </row>
    <row r="1670" spans="1:12">
      <c r="A1670" s="94"/>
      <c r="B1670" s="95"/>
      <c r="C1670" s="95"/>
      <c r="D1670" s="94"/>
      <c r="E1670" s="94"/>
      <c r="F1670" s="96"/>
      <c r="G1670" s="94"/>
      <c r="H1670" s="96"/>
      <c r="I1670" s="96"/>
      <c r="J1670" s="92"/>
      <c r="K1670" s="97"/>
      <c r="L1670" s="99" t="str">
        <f ca="1">_xlfn.LET(
    _xlpm.res_no, J1670,
    _xlpm.record_sheet, 'MatRes Record'!J:M,
    _xlpm.AllCellsFilled, COUNTA(A1670:K1670) = 11,
    _xlpm.QtyIsInt, AND(ISNUMBER(G1670), G1670=INT(G1670)),
    _xlpm.ReqDateIsValid, AND(ISNUMBER(H1670), H1670&gt;=TODAY()),
    _xlpm.EmailIsValid, RIGHT(I1670,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IF(A1670="", "", IF(_xlpm.error_messages = "", "Yes", _xlpm.error_messages))
)</f>
        <v/>
      </c>
    </row>
    <row r="1671" spans="1:12">
      <c r="A1671" s="94"/>
      <c r="B1671" s="95"/>
      <c r="C1671" s="95"/>
      <c r="D1671" s="94"/>
      <c r="E1671" s="94"/>
      <c r="F1671" s="96"/>
      <c r="G1671" s="94"/>
      <c r="H1671" s="96"/>
      <c r="I1671" s="96"/>
      <c r="J1671" s="92"/>
      <c r="K1671" s="97"/>
      <c r="L1671" s="99" t="str">
        <f ca="1">_xlfn.LET(
    _xlpm.res_no, J1671,
    _xlpm.record_sheet, 'MatRes Record'!J:M,
    _xlpm.AllCellsFilled, COUNTA(A1671:K1671) = 11,
    _xlpm.QtyIsInt, AND(ISNUMBER(G1671), G1671=INT(G1671)),
    _xlpm.ReqDateIsValid, AND(ISNUMBER(H1671), H1671&gt;=TODAY()),
    _xlpm.EmailIsValid, RIGHT(I1671,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IF(A1671="", "", IF(_xlpm.error_messages = "", "Yes", _xlpm.error_messages))
)</f>
        <v/>
      </c>
    </row>
    <row r="1672" spans="1:12">
      <c r="A1672" s="94"/>
      <c r="B1672" s="95"/>
      <c r="C1672" s="95"/>
      <c r="D1672" s="94"/>
      <c r="E1672" s="94"/>
      <c r="F1672" s="96"/>
      <c r="G1672" s="94"/>
      <c r="H1672" s="96"/>
      <c r="I1672" s="96"/>
      <c r="J1672" s="92"/>
      <c r="K1672" s="97"/>
      <c r="L1672" s="99" t="str">
        <f ca="1">_xlfn.LET(
    _xlpm.res_no, J1672,
    _xlpm.record_sheet, 'MatRes Record'!J:M,
    _xlpm.AllCellsFilled, COUNTA(A1672:K1672) = 11,
    _xlpm.QtyIsInt, AND(ISNUMBER(G1672), G1672=INT(G1672)),
    _xlpm.ReqDateIsValid, AND(ISNUMBER(H1672), H1672&gt;=TODAY()),
    _xlpm.EmailIsValid, RIGHT(I1672,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IF(A1672="", "", IF(_xlpm.error_messages = "", "Yes", _xlpm.error_messages))
)</f>
        <v/>
      </c>
    </row>
    <row r="1673" spans="1:12">
      <c r="A1673" s="94"/>
      <c r="B1673" s="95"/>
      <c r="C1673" s="95"/>
      <c r="D1673" s="94"/>
      <c r="E1673" s="94"/>
      <c r="F1673" s="96"/>
      <c r="G1673" s="94"/>
      <c r="H1673" s="96"/>
      <c r="I1673" s="96"/>
      <c r="J1673" s="92"/>
      <c r="K1673" s="97"/>
      <c r="L1673" s="99" t="str">
        <f ca="1">_xlfn.LET(
    _xlpm.res_no, J1673,
    _xlpm.record_sheet, 'MatRes Record'!J:M,
    _xlpm.AllCellsFilled, COUNTA(A1673:K1673) = 11,
    _xlpm.QtyIsInt, AND(ISNUMBER(G1673), G1673=INT(G1673)),
    _xlpm.ReqDateIsValid, AND(ISNUMBER(H1673), H1673&gt;=TODAY()),
    _xlpm.EmailIsValid, RIGHT(I1673,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IF(A1673="", "", IF(_xlpm.error_messages = "", "Yes", _xlpm.error_messages))
)</f>
        <v/>
      </c>
    </row>
    <row r="1674" spans="1:12">
      <c r="A1674" s="94"/>
      <c r="B1674" s="95"/>
      <c r="C1674" s="95"/>
      <c r="D1674" s="94"/>
      <c r="E1674" s="94"/>
      <c r="F1674" s="96"/>
      <c r="G1674" s="94"/>
      <c r="H1674" s="96"/>
      <c r="I1674" s="96"/>
      <c r="J1674" s="92"/>
      <c r="K1674" s="97"/>
      <c r="L1674" s="99" t="str">
        <f ca="1">_xlfn.LET(
    _xlpm.res_no, J1674,
    _xlpm.record_sheet, 'MatRes Record'!J:M,
    _xlpm.AllCellsFilled, COUNTA(A1674:K1674) = 11,
    _xlpm.QtyIsInt, AND(ISNUMBER(G1674), G1674=INT(G1674)),
    _xlpm.ReqDateIsValid, AND(ISNUMBER(H1674), H1674&gt;=TODAY()),
    _xlpm.EmailIsValid, RIGHT(I1674,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IF(A1674="", "", IF(_xlpm.error_messages = "", "Yes", _xlpm.error_messages))
)</f>
        <v/>
      </c>
    </row>
    <row r="1675" spans="1:12">
      <c r="A1675" s="94"/>
      <c r="B1675" s="95"/>
      <c r="C1675" s="95"/>
      <c r="D1675" s="94"/>
      <c r="E1675" s="94"/>
      <c r="F1675" s="96"/>
      <c r="G1675" s="94"/>
      <c r="H1675" s="96"/>
      <c r="I1675" s="96"/>
      <c r="J1675" s="92"/>
      <c r="K1675" s="97"/>
      <c r="L1675" s="99" t="str">
        <f ca="1">_xlfn.LET(
    _xlpm.res_no, J1675,
    _xlpm.record_sheet, 'MatRes Record'!J:M,
    _xlpm.AllCellsFilled, COUNTA(A1675:K1675) = 11,
    _xlpm.QtyIsInt, AND(ISNUMBER(G1675), G1675=INT(G1675)),
    _xlpm.ReqDateIsValid, AND(ISNUMBER(H1675), H1675&gt;=TODAY()),
    _xlpm.EmailIsValid, RIGHT(I1675,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IF(A1675="", "", IF(_xlpm.error_messages = "", "Yes", _xlpm.error_messages))
)</f>
        <v/>
      </c>
    </row>
    <row r="1676" spans="1:12">
      <c r="A1676" s="94"/>
      <c r="B1676" s="95"/>
      <c r="C1676" s="95"/>
      <c r="D1676" s="94"/>
      <c r="E1676" s="94"/>
      <c r="F1676" s="96"/>
      <c r="G1676" s="94"/>
      <c r="H1676" s="96"/>
      <c r="I1676" s="96"/>
      <c r="J1676" s="92"/>
      <c r="K1676" s="97"/>
      <c r="L1676" s="99" t="str">
        <f ca="1">_xlfn.LET(
    _xlpm.res_no, J1676,
    _xlpm.record_sheet, 'MatRes Record'!J:M,
    _xlpm.AllCellsFilled, COUNTA(A1676:K1676) = 11,
    _xlpm.QtyIsInt, AND(ISNUMBER(G1676), G1676=INT(G1676)),
    _xlpm.ReqDateIsValid, AND(ISNUMBER(H1676), H1676&gt;=TODAY()),
    _xlpm.EmailIsValid, RIGHT(I1676,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IF(A1676="", "", IF(_xlpm.error_messages = "", "Yes", _xlpm.error_messages))
)</f>
        <v/>
      </c>
    </row>
    <row r="1677" spans="1:12">
      <c r="A1677" s="94"/>
      <c r="B1677" s="95"/>
      <c r="C1677" s="95"/>
      <c r="D1677" s="94"/>
      <c r="E1677" s="94"/>
      <c r="F1677" s="96"/>
      <c r="G1677" s="94"/>
      <c r="H1677" s="96"/>
      <c r="I1677" s="96"/>
      <c r="J1677" s="92"/>
      <c r="K1677" s="97"/>
      <c r="L1677" s="99" t="str">
        <f ca="1">_xlfn.LET(
    _xlpm.res_no, J1677,
    _xlpm.record_sheet, 'MatRes Record'!J:M,
    _xlpm.AllCellsFilled, COUNTA(A1677:K1677) = 11,
    _xlpm.QtyIsInt, AND(ISNUMBER(G1677), G1677=INT(G1677)),
    _xlpm.ReqDateIsValid, AND(ISNUMBER(H1677), H1677&gt;=TODAY()),
    _xlpm.EmailIsValid, RIGHT(I1677,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IF(A1677="", "", IF(_xlpm.error_messages = "", "Yes", _xlpm.error_messages))
)</f>
        <v/>
      </c>
    </row>
    <row r="1678" spans="1:12">
      <c r="A1678" s="94"/>
      <c r="B1678" s="95"/>
      <c r="C1678" s="95"/>
      <c r="D1678" s="94"/>
      <c r="E1678" s="94"/>
      <c r="F1678" s="96"/>
      <c r="G1678" s="94"/>
      <c r="H1678" s="96"/>
      <c r="I1678" s="96"/>
      <c r="J1678" s="92"/>
      <c r="K1678" s="97"/>
      <c r="L1678" s="99" t="str">
        <f ca="1">_xlfn.LET(
    _xlpm.res_no, J1678,
    _xlpm.record_sheet, 'MatRes Record'!J:M,
    _xlpm.AllCellsFilled, COUNTA(A1678:K1678) = 11,
    _xlpm.QtyIsInt, AND(ISNUMBER(G1678), G1678=INT(G1678)),
    _xlpm.ReqDateIsValid, AND(ISNUMBER(H1678), H1678&gt;=TODAY()),
    _xlpm.EmailIsValid, RIGHT(I1678,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IF(A1678="", "", IF(_xlpm.error_messages = "", "Yes", _xlpm.error_messages))
)</f>
        <v/>
      </c>
    </row>
    <row r="1679" spans="1:12">
      <c r="A1679" s="94"/>
      <c r="B1679" s="95"/>
      <c r="C1679" s="95"/>
      <c r="D1679" s="94"/>
      <c r="E1679" s="94"/>
      <c r="F1679" s="96"/>
      <c r="G1679" s="94"/>
      <c r="H1679" s="96"/>
      <c r="I1679" s="96"/>
      <c r="J1679" s="92"/>
      <c r="K1679" s="97"/>
      <c r="L1679" s="99" t="str">
        <f ca="1">_xlfn.LET(
    _xlpm.res_no, J1679,
    _xlpm.record_sheet, 'MatRes Record'!J:M,
    _xlpm.AllCellsFilled, COUNTA(A1679:K1679) = 11,
    _xlpm.QtyIsInt, AND(ISNUMBER(G1679), G1679=INT(G1679)),
    _xlpm.ReqDateIsValid, AND(ISNUMBER(H1679), H1679&gt;=TODAY()),
    _xlpm.EmailIsValid, RIGHT(I1679,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IF(A1679="", "", IF(_xlpm.error_messages = "", "Yes", _xlpm.error_messages))
)</f>
        <v/>
      </c>
    </row>
    <row r="1680" spans="1:12">
      <c r="A1680" s="94"/>
      <c r="B1680" s="95"/>
      <c r="C1680" s="95"/>
      <c r="D1680" s="94"/>
      <c r="E1680" s="94"/>
      <c r="F1680" s="96"/>
      <c r="G1680" s="94"/>
      <c r="H1680" s="96"/>
      <c r="I1680" s="96"/>
      <c r="J1680" s="92"/>
      <c r="K1680" s="97"/>
      <c r="L1680" s="99" t="str">
        <f ca="1">_xlfn.LET(
    _xlpm.res_no, J1680,
    _xlpm.record_sheet, 'MatRes Record'!J:M,
    _xlpm.AllCellsFilled, COUNTA(A1680:K1680) = 11,
    _xlpm.QtyIsInt, AND(ISNUMBER(G1680), G1680=INT(G1680)),
    _xlpm.ReqDateIsValid, AND(ISNUMBER(H1680), H1680&gt;=TODAY()),
    _xlpm.EmailIsValid, RIGHT(I1680,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IF(A1680="", "", IF(_xlpm.error_messages = "", "Yes", _xlpm.error_messages))
)</f>
        <v/>
      </c>
    </row>
    <row r="1681" spans="1:12">
      <c r="A1681" s="94"/>
      <c r="B1681" s="95"/>
      <c r="C1681" s="95"/>
      <c r="D1681" s="94"/>
      <c r="E1681" s="94"/>
      <c r="F1681" s="96"/>
      <c r="G1681" s="94"/>
      <c r="H1681" s="96"/>
      <c r="I1681" s="96"/>
      <c r="J1681" s="92"/>
      <c r="K1681" s="97"/>
      <c r="L1681" s="99" t="str">
        <f ca="1">_xlfn.LET(
    _xlpm.res_no, J1681,
    _xlpm.record_sheet, 'MatRes Record'!J:M,
    _xlpm.AllCellsFilled, COUNTA(A1681:K1681) = 11,
    _xlpm.QtyIsInt, AND(ISNUMBER(G1681), G1681=INT(G1681)),
    _xlpm.ReqDateIsValid, AND(ISNUMBER(H1681), H1681&gt;=TODAY()),
    _xlpm.EmailIsValid, RIGHT(I1681,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IF(A1681="", "", IF(_xlpm.error_messages = "", "Yes", _xlpm.error_messages))
)</f>
        <v/>
      </c>
    </row>
    <row r="1682" spans="1:12">
      <c r="A1682" s="94"/>
      <c r="B1682" s="95"/>
      <c r="C1682" s="95"/>
      <c r="D1682" s="94"/>
      <c r="E1682" s="94"/>
      <c r="F1682" s="96"/>
      <c r="G1682" s="94"/>
      <c r="H1682" s="96"/>
      <c r="I1682" s="96"/>
      <c r="J1682" s="92"/>
      <c r="K1682" s="97"/>
      <c r="L1682" s="99" t="str">
        <f ca="1">_xlfn.LET(
    _xlpm.res_no, J1682,
    _xlpm.record_sheet, 'MatRes Record'!J:M,
    _xlpm.AllCellsFilled, COUNTA(A1682:K1682) = 11,
    _xlpm.QtyIsInt, AND(ISNUMBER(G1682), G1682=INT(G1682)),
    _xlpm.ReqDateIsValid, AND(ISNUMBER(H1682), H1682&gt;=TODAY()),
    _xlpm.EmailIsValid, RIGHT(I1682,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IF(A1682="", "", IF(_xlpm.error_messages = "", "Yes", _xlpm.error_messages))
)</f>
        <v/>
      </c>
    </row>
    <row r="1683" spans="1:12">
      <c r="A1683" s="94"/>
      <c r="B1683" s="95"/>
      <c r="C1683" s="95"/>
      <c r="D1683" s="94"/>
      <c r="E1683" s="94"/>
      <c r="F1683" s="96"/>
      <c r="G1683" s="94"/>
      <c r="H1683" s="96"/>
      <c r="I1683" s="96"/>
      <c r="J1683" s="92"/>
      <c r="K1683" s="97"/>
      <c r="L1683" s="99" t="str">
        <f ca="1">_xlfn.LET(
    _xlpm.res_no, J1683,
    _xlpm.record_sheet, 'MatRes Record'!J:M,
    _xlpm.AllCellsFilled, COUNTA(A1683:K1683) = 11,
    _xlpm.QtyIsInt, AND(ISNUMBER(G1683), G1683=INT(G1683)),
    _xlpm.ReqDateIsValid, AND(ISNUMBER(H1683), H1683&gt;=TODAY()),
    _xlpm.EmailIsValid, RIGHT(I1683,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IF(A1683="", "", IF(_xlpm.error_messages = "", "Yes", _xlpm.error_messages))
)</f>
        <v/>
      </c>
    </row>
    <row r="1684" spans="1:12">
      <c r="A1684" s="94"/>
      <c r="B1684" s="95"/>
      <c r="C1684" s="95"/>
      <c r="D1684" s="94"/>
      <c r="E1684" s="94"/>
      <c r="F1684" s="96"/>
      <c r="G1684" s="94"/>
      <c r="H1684" s="96"/>
      <c r="I1684" s="96"/>
      <c r="J1684" s="92"/>
      <c r="K1684" s="97"/>
      <c r="L1684" s="99" t="str">
        <f ca="1">_xlfn.LET(
    _xlpm.res_no, J1684,
    _xlpm.record_sheet, 'MatRes Record'!J:M,
    _xlpm.AllCellsFilled, COUNTA(A1684:K1684) = 11,
    _xlpm.QtyIsInt, AND(ISNUMBER(G1684), G1684=INT(G1684)),
    _xlpm.ReqDateIsValid, AND(ISNUMBER(H1684), H1684&gt;=TODAY()),
    _xlpm.EmailIsValid, RIGHT(I1684,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IF(A1684="", "", IF(_xlpm.error_messages = "", "Yes", _xlpm.error_messages))
)</f>
        <v/>
      </c>
    </row>
    <row r="1685" spans="1:12">
      <c r="A1685" s="94"/>
      <c r="B1685" s="95"/>
      <c r="C1685" s="95"/>
      <c r="D1685" s="94"/>
      <c r="E1685" s="94"/>
      <c r="F1685" s="96"/>
      <c r="G1685" s="94"/>
      <c r="H1685" s="96"/>
      <c r="I1685" s="96"/>
      <c r="J1685" s="92"/>
      <c r="K1685" s="97"/>
      <c r="L1685" s="99" t="str">
        <f ca="1">_xlfn.LET(
    _xlpm.res_no, J1685,
    _xlpm.record_sheet, 'MatRes Record'!J:M,
    _xlpm.AllCellsFilled, COUNTA(A1685:K1685) = 11,
    _xlpm.QtyIsInt, AND(ISNUMBER(G1685), G1685=INT(G1685)),
    _xlpm.ReqDateIsValid, AND(ISNUMBER(H1685), H1685&gt;=TODAY()),
    _xlpm.EmailIsValid, RIGHT(I1685,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IF(A1685="", "", IF(_xlpm.error_messages = "", "Yes", _xlpm.error_messages))
)</f>
        <v/>
      </c>
    </row>
    <row r="1686" spans="1:12">
      <c r="A1686" s="94"/>
      <c r="B1686" s="95"/>
      <c r="C1686" s="95"/>
      <c r="D1686" s="94"/>
      <c r="E1686" s="94"/>
      <c r="F1686" s="96"/>
      <c r="G1686" s="94"/>
      <c r="H1686" s="96"/>
      <c r="I1686" s="96"/>
      <c r="J1686" s="92"/>
      <c r="K1686" s="97"/>
      <c r="L1686" s="99" t="str">
        <f ca="1">_xlfn.LET(
    _xlpm.res_no, J1686,
    _xlpm.record_sheet, 'MatRes Record'!J:M,
    _xlpm.AllCellsFilled, COUNTA(A1686:K1686) = 11,
    _xlpm.QtyIsInt, AND(ISNUMBER(G1686), G1686=INT(G1686)),
    _xlpm.ReqDateIsValid, AND(ISNUMBER(H1686), H1686&gt;=TODAY()),
    _xlpm.EmailIsValid, RIGHT(I1686,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IF(A1686="", "", IF(_xlpm.error_messages = "", "Yes", _xlpm.error_messages))
)</f>
        <v/>
      </c>
    </row>
    <row r="1687" spans="1:12">
      <c r="A1687" s="94"/>
      <c r="B1687" s="95"/>
      <c r="C1687" s="95"/>
      <c r="D1687" s="94"/>
      <c r="E1687" s="94"/>
      <c r="F1687" s="96"/>
      <c r="G1687" s="94"/>
      <c r="H1687" s="96"/>
      <c r="I1687" s="96"/>
      <c r="J1687" s="92"/>
      <c r="K1687" s="97"/>
      <c r="L1687" s="99" t="str">
        <f ca="1">_xlfn.LET(
    _xlpm.res_no, J1687,
    _xlpm.record_sheet, 'MatRes Record'!J:M,
    _xlpm.AllCellsFilled, COUNTA(A1687:K1687) = 11,
    _xlpm.QtyIsInt, AND(ISNUMBER(G1687), G1687=INT(G1687)),
    _xlpm.ReqDateIsValid, AND(ISNUMBER(H1687), H1687&gt;=TODAY()),
    _xlpm.EmailIsValid, RIGHT(I1687,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IF(A1687="", "", IF(_xlpm.error_messages = "", "Yes", _xlpm.error_messages))
)</f>
        <v/>
      </c>
    </row>
    <row r="1688" spans="1:12">
      <c r="A1688" s="94"/>
      <c r="B1688" s="95"/>
      <c r="C1688" s="95"/>
      <c r="D1688" s="94"/>
      <c r="E1688" s="94"/>
      <c r="F1688" s="96"/>
      <c r="G1688" s="94"/>
      <c r="H1688" s="96"/>
      <c r="I1688" s="96"/>
      <c r="J1688" s="92"/>
      <c r="K1688" s="97"/>
      <c r="L1688" s="99" t="str">
        <f ca="1">_xlfn.LET(
    _xlpm.res_no, J1688,
    _xlpm.record_sheet, 'MatRes Record'!J:M,
    _xlpm.AllCellsFilled, COUNTA(A1688:K1688) = 11,
    _xlpm.QtyIsInt, AND(ISNUMBER(G1688), G1688=INT(G1688)),
    _xlpm.ReqDateIsValid, AND(ISNUMBER(H1688), H1688&gt;=TODAY()),
    _xlpm.EmailIsValid, RIGHT(I1688,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IF(A1688="", "", IF(_xlpm.error_messages = "", "Yes", _xlpm.error_messages))
)</f>
        <v/>
      </c>
    </row>
    <row r="1689" spans="1:12">
      <c r="A1689" s="94"/>
      <c r="B1689" s="95"/>
      <c r="C1689" s="95"/>
      <c r="D1689" s="94"/>
      <c r="E1689" s="94"/>
      <c r="F1689" s="96"/>
      <c r="G1689" s="94"/>
      <c r="H1689" s="96"/>
      <c r="I1689" s="96"/>
      <c r="J1689" s="92"/>
      <c r="K1689" s="97"/>
      <c r="L1689" s="99" t="str">
        <f ca="1">_xlfn.LET(
    _xlpm.res_no, J1689,
    _xlpm.record_sheet, 'MatRes Record'!J:M,
    _xlpm.AllCellsFilled, COUNTA(A1689:K1689) = 11,
    _xlpm.QtyIsInt, AND(ISNUMBER(G1689), G1689=INT(G1689)),
    _xlpm.ReqDateIsValid, AND(ISNUMBER(H1689), H1689&gt;=TODAY()),
    _xlpm.EmailIsValid, RIGHT(I1689,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IF(A1689="", "", IF(_xlpm.error_messages = "", "Yes", _xlpm.error_messages))
)</f>
        <v/>
      </c>
    </row>
    <row r="1690" spans="1:12">
      <c r="A1690" s="94"/>
      <c r="B1690" s="95"/>
      <c r="C1690" s="95"/>
      <c r="D1690" s="94"/>
      <c r="E1690" s="94"/>
      <c r="F1690" s="96"/>
      <c r="G1690" s="94"/>
      <c r="H1690" s="96"/>
      <c r="I1690" s="96"/>
      <c r="J1690" s="92"/>
      <c r="K1690" s="97"/>
      <c r="L1690" s="99" t="str">
        <f ca="1">_xlfn.LET(
    _xlpm.res_no, J1690,
    _xlpm.record_sheet, 'MatRes Record'!J:M,
    _xlpm.AllCellsFilled, COUNTA(A1690:K1690) = 11,
    _xlpm.QtyIsInt, AND(ISNUMBER(G1690), G1690=INT(G1690)),
    _xlpm.ReqDateIsValid, AND(ISNUMBER(H1690), H1690&gt;=TODAY()),
    _xlpm.EmailIsValid, RIGHT(I1690,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IF(A1690="", "", IF(_xlpm.error_messages = "", "Yes", _xlpm.error_messages))
)</f>
        <v/>
      </c>
    </row>
    <row r="1691" spans="1:12">
      <c r="A1691" s="94"/>
      <c r="B1691" s="95"/>
      <c r="C1691" s="95"/>
      <c r="D1691" s="94"/>
      <c r="E1691" s="94"/>
      <c r="F1691" s="96"/>
      <c r="G1691" s="94"/>
      <c r="H1691" s="96"/>
      <c r="I1691" s="96"/>
      <c r="J1691" s="92"/>
      <c r="K1691" s="97"/>
      <c r="L1691" s="99" t="str">
        <f ca="1">_xlfn.LET(
    _xlpm.res_no, J1691,
    _xlpm.record_sheet, 'MatRes Record'!J:M,
    _xlpm.AllCellsFilled, COUNTA(A1691:K1691) = 11,
    _xlpm.QtyIsInt, AND(ISNUMBER(G1691), G1691=INT(G1691)),
    _xlpm.ReqDateIsValid, AND(ISNUMBER(H1691), H1691&gt;=TODAY()),
    _xlpm.EmailIsValid, RIGHT(I1691,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IF(A1691="", "", IF(_xlpm.error_messages = "", "Yes", _xlpm.error_messages))
)</f>
        <v/>
      </c>
    </row>
    <row r="1692" spans="1:12">
      <c r="A1692" s="94"/>
      <c r="B1692" s="95"/>
      <c r="C1692" s="95"/>
      <c r="D1692" s="94"/>
      <c r="E1692" s="94"/>
      <c r="F1692" s="96"/>
      <c r="G1692" s="94"/>
      <c r="H1692" s="96"/>
      <c r="I1692" s="96"/>
      <c r="J1692" s="92"/>
      <c r="K1692" s="97"/>
      <c r="L1692" s="99" t="str">
        <f ca="1">_xlfn.LET(
    _xlpm.res_no, J1692,
    _xlpm.record_sheet, 'MatRes Record'!J:M,
    _xlpm.AllCellsFilled, COUNTA(A1692:K1692) = 11,
    _xlpm.QtyIsInt, AND(ISNUMBER(G1692), G1692=INT(G1692)),
    _xlpm.ReqDateIsValid, AND(ISNUMBER(H1692), H1692&gt;=TODAY()),
    _xlpm.EmailIsValid, RIGHT(I1692,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IF(A1692="", "", IF(_xlpm.error_messages = "", "Yes", _xlpm.error_messages))
)</f>
        <v/>
      </c>
    </row>
    <row r="1693" spans="1:12">
      <c r="A1693" s="94"/>
      <c r="B1693" s="95"/>
      <c r="C1693" s="95"/>
      <c r="D1693" s="94"/>
      <c r="E1693" s="94"/>
      <c r="F1693" s="96"/>
      <c r="G1693" s="94"/>
      <c r="H1693" s="96"/>
      <c r="I1693" s="96"/>
      <c r="J1693" s="92"/>
      <c r="K1693" s="97"/>
      <c r="L1693" s="99" t="str">
        <f ca="1">_xlfn.LET(
    _xlpm.res_no, J1693,
    _xlpm.record_sheet, 'MatRes Record'!J:M,
    _xlpm.AllCellsFilled, COUNTA(A1693:K1693) = 11,
    _xlpm.QtyIsInt, AND(ISNUMBER(G1693), G1693=INT(G1693)),
    _xlpm.ReqDateIsValid, AND(ISNUMBER(H1693), H1693&gt;=TODAY()),
    _xlpm.EmailIsValid, RIGHT(I1693,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IF(A1693="", "", IF(_xlpm.error_messages = "", "Yes", _xlpm.error_messages))
)</f>
        <v/>
      </c>
    </row>
    <row r="1694" spans="1:12">
      <c r="A1694" s="94"/>
      <c r="B1694" s="95"/>
      <c r="C1694" s="95"/>
      <c r="D1694" s="94"/>
      <c r="E1694" s="94"/>
      <c r="F1694" s="96"/>
      <c r="G1694" s="94"/>
      <c r="H1694" s="96"/>
      <c r="I1694" s="96"/>
      <c r="J1694" s="92"/>
      <c r="K1694" s="97"/>
      <c r="L1694" s="99" t="str">
        <f ca="1">_xlfn.LET(
    _xlpm.res_no, J1694,
    _xlpm.record_sheet, 'MatRes Record'!J:M,
    _xlpm.AllCellsFilled, COUNTA(A1694:K1694) = 11,
    _xlpm.QtyIsInt, AND(ISNUMBER(G1694), G1694=INT(G1694)),
    _xlpm.ReqDateIsValid, AND(ISNUMBER(H1694), H1694&gt;=TODAY()),
    _xlpm.EmailIsValid, RIGHT(I1694,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IF(A1694="", "", IF(_xlpm.error_messages = "", "Yes", _xlpm.error_messages))
)</f>
        <v/>
      </c>
    </row>
    <row r="1695" spans="1:12">
      <c r="A1695" s="94"/>
      <c r="B1695" s="95"/>
      <c r="C1695" s="95"/>
      <c r="D1695" s="94"/>
      <c r="E1695" s="94"/>
      <c r="F1695" s="96"/>
      <c r="G1695" s="94"/>
      <c r="H1695" s="96"/>
      <c r="I1695" s="96"/>
      <c r="J1695" s="92"/>
      <c r="K1695" s="97"/>
      <c r="L1695" s="99" t="str">
        <f ca="1">_xlfn.LET(
    _xlpm.res_no, J1695,
    _xlpm.record_sheet, 'MatRes Record'!J:M,
    _xlpm.AllCellsFilled, COUNTA(A1695:K1695) = 11,
    _xlpm.QtyIsInt, AND(ISNUMBER(G1695), G1695=INT(G1695)),
    _xlpm.ReqDateIsValid, AND(ISNUMBER(H1695), H1695&gt;=TODAY()),
    _xlpm.EmailIsValid, RIGHT(I1695,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IF(A1695="", "", IF(_xlpm.error_messages = "", "Yes", _xlpm.error_messages))
)</f>
        <v/>
      </c>
    </row>
    <row r="1696" spans="1:12">
      <c r="A1696" s="94"/>
      <c r="B1696" s="95"/>
      <c r="C1696" s="95"/>
      <c r="D1696" s="94"/>
      <c r="E1696" s="94"/>
      <c r="F1696" s="96"/>
      <c r="G1696" s="94"/>
      <c r="H1696" s="96"/>
      <c r="I1696" s="96"/>
      <c r="J1696" s="92"/>
      <c r="K1696" s="97"/>
      <c r="L1696" s="99" t="str">
        <f ca="1">_xlfn.LET(
    _xlpm.res_no, J1696,
    _xlpm.record_sheet, 'MatRes Record'!J:M,
    _xlpm.AllCellsFilled, COUNTA(A1696:K1696) = 11,
    _xlpm.QtyIsInt, AND(ISNUMBER(G1696), G1696=INT(G1696)),
    _xlpm.ReqDateIsValid, AND(ISNUMBER(H1696), H1696&gt;=TODAY()),
    _xlpm.EmailIsValid, RIGHT(I1696,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IF(A1696="", "", IF(_xlpm.error_messages = "", "Yes", _xlpm.error_messages))
)</f>
        <v/>
      </c>
    </row>
    <row r="1697" spans="1:12">
      <c r="A1697" s="94"/>
      <c r="B1697" s="95"/>
      <c r="C1697" s="95"/>
      <c r="D1697" s="94"/>
      <c r="E1697" s="94"/>
      <c r="F1697" s="96"/>
      <c r="G1697" s="94"/>
      <c r="H1697" s="96"/>
      <c r="I1697" s="96"/>
      <c r="J1697" s="92"/>
      <c r="K1697" s="97"/>
      <c r="L1697" s="99" t="str">
        <f ca="1">_xlfn.LET(
    _xlpm.res_no, J1697,
    _xlpm.record_sheet, 'MatRes Record'!J:M,
    _xlpm.AllCellsFilled, COUNTA(A1697:K1697) = 11,
    _xlpm.QtyIsInt, AND(ISNUMBER(G1697), G1697=INT(G1697)),
    _xlpm.ReqDateIsValid, AND(ISNUMBER(H1697), H1697&gt;=TODAY()),
    _xlpm.EmailIsValid, RIGHT(I1697,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IF(A1697="", "", IF(_xlpm.error_messages = "", "Yes", _xlpm.error_messages))
)</f>
        <v/>
      </c>
    </row>
    <row r="1698" spans="1:12">
      <c r="A1698" s="94"/>
      <c r="B1698" s="95"/>
      <c r="C1698" s="95"/>
      <c r="D1698" s="94"/>
      <c r="E1698" s="94"/>
      <c r="F1698" s="96"/>
      <c r="G1698" s="94"/>
      <c r="H1698" s="96"/>
      <c r="I1698" s="96"/>
      <c r="J1698" s="92"/>
      <c r="K1698" s="97"/>
      <c r="L1698" s="99" t="str">
        <f ca="1">_xlfn.LET(
    _xlpm.res_no, J1698,
    _xlpm.record_sheet, 'MatRes Record'!J:M,
    _xlpm.AllCellsFilled, COUNTA(A1698:K1698) = 11,
    _xlpm.QtyIsInt, AND(ISNUMBER(G1698), G1698=INT(G1698)),
    _xlpm.ReqDateIsValid, AND(ISNUMBER(H1698), H1698&gt;=TODAY()),
    _xlpm.EmailIsValid, RIGHT(I1698,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IF(A1698="", "", IF(_xlpm.error_messages = "", "Yes", _xlpm.error_messages))
)</f>
        <v/>
      </c>
    </row>
    <row r="1699" spans="1:12">
      <c r="A1699" s="94"/>
      <c r="B1699" s="95"/>
      <c r="C1699" s="95"/>
      <c r="D1699" s="94"/>
      <c r="E1699" s="94"/>
      <c r="F1699" s="96"/>
      <c r="G1699" s="94"/>
      <c r="H1699" s="96"/>
      <c r="I1699" s="96"/>
      <c r="J1699" s="92"/>
      <c r="K1699" s="97"/>
      <c r="L1699" s="99" t="str">
        <f ca="1">_xlfn.LET(
    _xlpm.res_no, J1699,
    _xlpm.record_sheet, 'MatRes Record'!J:M,
    _xlpm.AllCellsFilled, COUNTA(A1699:K1699) = 11,
    _xlpm.QtyIsInt, AND(ISNUMBER(G1699), G1699=INT(G1699)),
    _xlpm.ReqDateIsValid, AND(ISNUMBER(H1699), H1699&gt;=TODAY()),
    _xlpm.EmailIsValid, RIGHT(I1699,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IF(A1699="", "", IF(_xlpm.error_messages = "", "Yes", _xlpm.error_messages))
)</f>
        <v/>
      </c>
    </row>
    <row r="1700" spans="1:12">
      <c r="A1700" s="94"/>
      <c r="B1700" s="95"/>
      <c r="C1700" s="95"/>
      <c r="D1700" s="94"/>
      <c r="E1700" s="94"/>
      <c r="F1700" s="96"/>
      <c r="G1700" s="94"/>
      <c r="H1700" s="96"/>
      <c r="I1700" s="96"/>
      <c r="J1700" s="92"/>
      <c r="K1700" s="97"/>
      <c r="L1700" s="99" t="str">
        <f ca="1">_xlfn.LET(
    _xlpm.res_no, J1700,
    _xlpm.record_sheet, 'MatRes Record'!J:M,
    _xlpm.AllCellsFilled, COUNTA(A1700:K1700) = 11,
    _xlpm.QtyIsInt, AND(ISNUMBER(G1700), G1700=INT(G1700)),
    _xlpm.ReqDateIsValid, AND(ISNUMBER(H1700), H1700&gt;=TODAY()),
    _xlpm.EmailIsValid, RIGHT(I1700,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IF(A1700="", "", IF(_xlpm.error_messages = "", "Yes", _xlpm.error_messages))
)</f>
        <v/>
      </c>
    </row>
    <row r="1701" spans="1:12">
      <c r="A1701" s="94"/>
      <c r="B1701" s="95"/>
      <c r="C1701" s="95"/>
      <c r="D1701" s="94"/>
      <c r="E1701" s="94"/>
      <c r="F1701" s="96"/>
      <c r="G1701" s="94"/>
      <c r="H1701" s="96"/>
      <c r="I1701" s="96"/>
      <c r="J1701" s="92"/>
      <c r="K1701" s="97"/>
      <c r="L1701" s="99" t="str">
        <f ca="1">_xlfn.LET(
    _xlpm.res_no, J1701,
    _xlpm.record_sheet, 'MatRes Record'!J:M,
    _xlpm.AllCellsFilled, COUNTA(A1701:K1701) = 11,
    _xlpm.QtyIsInt, AND(ISNUMBER(G1701), G1701=INT(G1701)),
    _xlpm.ReqDateIsValid, AND(ISNUMBER(H1701), H1701&gt;=TODAY()),
    _xlpm.EmailIsValid, RIGHT(I1701,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IF(A1701="", "", IF(_xlpm.error_messages = "", "Yes", _xlpm.error_messages))
)</f>
        <v/>
      </c>
    </row>
    <row r="1702" spans="1:12">
      <c r="A1702" s="94"/>
      <c r="B1702" s="95"/>
      <c r="C1702" s="95"/>
      <c r="D1702" s="94"/>
      <c r="E1702" s="94"/>
      <c r="F1702" s="96"/>
      <c r="G1702" s="94"/>
      <c r="H1702" s="96"/>
      <c r="I1702" s="96"/>
      <c r="J1702" s="92"/>
      <c r="K1702" s="97"/>
      <c r="L1702" s="99" t="str">
        <f ca="1">_xlfn.LET(
    _xlpm.res_no, J1702,
    _xlpm.record_sheet, 'MatRes Record'!J:M,
    _xlpm.AllCellsFilled, COUNTA(A1702:K1702) = 11,
    _xlpm.QtyIsInt, AND(ISNUMBER(G1702), G1702=INT(G1702)),
    _xlpm.ReqDateIsValid, AND(ISNUMBER(H1702), H1702&gt;=TODAY()),
    _xlpm.EmailIsValid, RIGHT(I1702,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IF(A1702="", "", IF(_xlpm.error_messages = "", "Yes", _xlpm.error_messages))
)</f>
        <v/>
      </c>
    </row>
    <row r="1703" spans="1:12">
      <c r="A1703" s="94"/>
      <c r="B1703" s="95"/>
      <c r="C1703" s="95"/>
      <c r="D1703" s="94"/>
      <c r="E1703" s="94"/>
      <c r="F1703" s="96"/>
      <c r="G1703" s="94"/>
      <c r="H1703" s="96"/>
      <c r="I1703" s="96"/>
      <c r="J1703" s="92"/>
      <c r="K1703" s="97"/>
      <c r="L1703" s="99" t="str">
        <f ca="1">_xlfn.LET(
    _xlpm.res_no, J1703,
    _xlpm.record_sheet, 'MatRes Record'!J:M,
    _xlpm.AllCellsFilled, COUNTA(A1703:K1703) = 11,
    _xlpm.QtyIsInt, AND(ISNUMBER(G1703), G1703=INT(G1703)),
    _xlpm.ReqDateIsValid, AND(ISNUMBER(H1703), H1703&gt;=TODAY()),
    _xlpm.EmailIsValid, RIGHT(I1703,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IF(A1703="", "", IF(_xlpm.error_messages = "", "Yes", _xlpm.error_messages))
)</f>
        <v/>
      </c>
    </row>
    <row r="1704" spans="1:12">
      <c r="A1704" s="94"/>
      <c r="B1704" s="95"/>
      <c r="C1704" s="95"/>
      <c r="D1704" s="94"/>
      <c r="E1704" s="94"/>
      <c r="F1704" s="96"/>
      <c r="G1704" s="94"/>
      <c r="H1704" s="96"/>
      <c r="I1704" s="96"/>
      <c r="J1704" s="92"/>
      <c r="K1704" s="97"/>
      <c r="L1704" s="99" t="str">
        <f ca="1">_xlfn.LET(
    _xlpm.res_no, J1704,
    _xlpm.record_sheet, 'MatRes Record'!J:M,
    _xlpm.AllCellsFilled, COUNTA(A1704:K1704) = 11,
    _xlpm.QtyIsInt, AND(ISNUMBER(G1704), G1704=INT(G1704)),
    _xlpm.ReqDateIsValid, AND(ISNUMBER(H1704), H1704&gt;=TODAY()),
    _xlpm.EmailIsValid, RIGHT(I1704,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IF(A1704="", "", IF(_xlpm.error_messages = "", "Yes", _xlpm.error_messages))
)</f>
        <v/>
      </c>
    </row>
    <row r="1705" spans="1:12">
      <c r="A1705" s="94"/>
      <c r="B1705" s="95"/>
      <c r="C1705" s="95"/>
      <c r="D1705" s="94"/>
      <c r="E1705" s="94"/>
      <c r="F1705" s="96"/>
      <c r="G1705" s="94"/>
      <c r="H1705" s="96"/>
      <c r="I1705" s="96"/>
      <c r="J1705" s="92"/>
      <c r="K1705" s="97"/>
      <c r="L1705" s="99" t="str">
        <f ca="1">_xlfn.LET(
    _xlpm.res_no, J1705,
    _xlpm.record_sheet, 'MatRes Record'!J:M,
    _xlpm.AllCellsFilled, COUNTA(A1705:K1705) = 11,
    _xlpm.QtyIsInt, AND(ISNUMBER(G1705), G1705=INT(G1705)),
    _xlpm.ReqDateIsValid, AND(ISNUMBER(H1705), H1705&gt;=TODAY()),
    _xlpm.EmailIsValid, RIGHT(I1705,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IF(A1705="", "", IF(_xlpm.error_messages = "", "Yes", _xlpm.error_messages))
)</f>
        <v/>
      </c>
    </row>
    <row r="1706" spans="1:12">
      <c r="A1706" s="94"/>
      <c r="B1706" s="95"/>
      <c r="C1706" s="95"/>
      <c r="D1706" s="94"/>
      <c r="E1706" s="94"/>
      <c r="F1706" s="96"/>
      <c r="G1706" s="94"/>
      <c r="H1706" s="96"/>
      <c r="I1706" s="96"/>
      <c r="J1706" s="92"/>
      <c r="K1706" s="97"/>
      <c r="L1706" s="99" t="str">
        <f ca="1">_xlfn.LET(
    _xlpm.res_no, J1706,
    _xlpm.record_sheet, 'MatRes Record'!J:M,
    _xlpm.AllCellsFilled, COUNTA(A1706:K1706) = 11,
    _xlpm.QtyIsInt, AND(ISNUMBER(G1706), G1706=INT(G1706)),
    _xlpm.ReqDateIsValid, AND(ISNUMBER(H1706), H1706&gt;=TODAY()),
    _xlpm.EmailIsValid, RIGHT(I1706,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IF(A1706="", "", IF(_xlpm.error_messages = "", "Yes", _xlpm.error_messages))
)</f>
        <v/>
      </c>
    </row>
    <row r="1707" spans="1:12">
      <c r="A1707" s="94"/>
      <c r="B1707" s="95"/>
      <c r="C1707" s="95"/>
      <c r="D1707" s="94"/>
      <c r="E1707" s="94"/>
      <c r="F1707" s="96"/>
      <c r="G1707" s="94"/>
      <c r="H1707" s="96"/>
      <c r="I1707" s="96"/>
      <c r="J1707" s="92"/>
      <c r="K1707" s="97"/>
      <c r="L1707" s="99" t="str">
        <f ca="1">_xlfn.LET(
    _xlpm.res_no, J1707,
    _xlpm.record_sheet, 'MatRes Record'!J:M,
    _xlpm.AllCellsFilled, COUNTA(A1707:K1707) = 11,
    _xlpm.QtyIsInt, AND(ISNUMBER(G1707), G1707=INT(G1707)),
    _xlpm.ReqDateIsValid, AND(ISNUMBER(H1707), H1707&gt;=TODAY()),
    _xlpm.EmailIsValid, RIGHT(I1707,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IF(A1707="", "", IF(_xlpm.error_messages = "", "Yes", _xlpm.error_messages))
)</f>
        <v/>
      </c>
    </row>
    <row r="1708" spans="1:12">
      <c r="A1708" s="94"/>
      <c r="B1708" s="95"/>
      <c r="C1708" s="95"/>
      <c r="D1708" s="94"/>
      <c r="E1708" s="94"/>
      <c r="F1708" s="96"/>
      <c r="G1708" s="94"/>
      <c r="H1708" s="96"/>
      <c r="I1708" s="96"/>
      <c r="J1708" s="92"/>
      <c r="K1708" s="97"/>
      <c r="L1708" s="99" t="str">
        <f ca="1">_xlfn.LET(
    _xlpm.res_no, J1708,
    _xlpm.record_sheet, 'MatRes Record'!J:M,
    _xlpm.AllCellsFilled, COUNTA(A1708:K1708) = 11,
    _xlpm.QtyIsInt, AND(ISNUMBER(G1708), G1708=INT(G1708)),
    _xlpm.ReqDateIsValid, AND(ISNUMBER(H1708), H1708&gt;=TODAY()),
    _xlpm.EmailIsValid, RIGHT(I1708,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IF(A1708="", "", IF(_xlpm.error_messages = "", "Yes", _xlpm.error_messages))
)</f>
        <v/>
      </c>
    </row>
    <row r="1709" spans="1:12">
      <c r="A1709" s="94"/>
      <c r="B1709" s="95"/>
      <c r="C1709" s="95"/>
      <c r="D1709" s="94"/>
      <c r="E1709" s="94"/>
      <c r="F1709" s="96"/>
      <c r="G1709" s="94"/>
      <c r="H1709" s="96"/>
      <c r="I1709" s="96"/>
      <c r="J1709" s="92"/>
      <c r="K1709" s="97"/>
      <c r="L1709" s="99" t="str">
        <f ca="1">_xlfn.LET(
    _xlpm.res_no, J1709,
    _xlpm.record_sheet, 'MatRes Record'!J:M,
    _xlpm.AllCellsFilled, COUNTA(A1709:K1709) = 11,
    _xlpm.QtyIsInt, AND(ISNUMBER(G1709), G1709=INT(G1709)),
    _xlpm.ReqDateIsValid, AND(ISNUMBER(H1709), H1709&gt;=TODAY()),
    _xlpm.EmailIsValid, RIGHT(I1709,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IF(A1709="", "", IF(_xlpm.error_messages = "", "Yes", _xlpm.error_messages))
)</f>
        <v/>
      </c>
    </row>
    <row r="1710" spans="1:12">
      <c r="A1710" s="94"/>
      <c r="B1710" s="95"/>
      <c r="C1710" s="95"/>
      <c r="D1710" s="94"/>
      <c r="E1710" s="94"/>
      <c r="F1710" s="96"/>
      <c r="G1710" s="94"/>
      <c r="H1710" s="96"/>
      <c r="I1710" s="96"/>
      <c r="J1710" s="92"/>
      <c r="K1710" s="97"/>
      <c r="L1710" s="99" t="str">
        <f ca="1">_xlfn.LET(
    _xlpm.res_no, J1710,
    _xlpm.record_sheet, 'MatRes Record'!J:M,
    _xlpm.AllCellsFilled, COUNTA(A1710:K1710) = 11,
    _xlpm.QtyIsInt, AND(ISNUMBER(G1710), G1710=INT(G1710)),
    _xlpm.ReqDateIsValid, AND(ISNUMBER(H1710), H1710&gt;=TODAY()),
    _xlpm.EmailIsValid, RIGHT(I1710,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IF(A1710="", "", IF(_xlpm.error_messages = "", "Yes", _xlpm.error_messages))
)</f>
        <v/>
      </c>
    </row>
    <row r="1711" spans="1:12">
      <c r="A1711" s="94"/>
      <c r="B1711" s="95"/>
      <c r="C1711" s="95"/>
      <c r="D1711" s="94"/>
      <c r="E1711" s="94"/>
      <c r="F1711" s="96"/>
      <c r="G1711" s="94"/>
      <c r="H1711" s="96"/>
      <c r="I1711" s="96"/>
      <c r="J1711" s="92"/>
      <c r="K1711" s="97"/>
      <c r="L1711" s="99" t="str">
        <f ca="1">_xlfn.LET(
    _xlpm.res_no, J1711,
    _xlpm.record_sheet, 'MatRes Record'!J:M,
    _xlpm.AllCellsFilled, COUNTA(A1711:K1711) = 11,
    _xlpm.QtyIsInt, AND(ISNUMBER(G1711), G1711=INT(G1711)),
    _xlpm.ReqDateIsValid, AND(ISNUMBER(H1711), H1711&gt;=TODAY()),
    _xlpm.EmailIsValid, RIGHT(I1711,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IF(A1711="", "", IF(_xlpm.error_messages = "", "Yes", _xlpm.error_messages))
)</f>
        <v/>
      </c>
    </row>
    <row r="1712" spans="1:12">
      <c r="A1712" s="94"/>
      <c r="B1712" s="95"/>
      <c r="C1712" s="95"/>
      <c r="D1712" s="94"/>
      <c r="E1712" s="94"/>
      <c r="F1712" s="96"/>
      <c r="G1712" s="94"/>
      <c r="H1712" s="96"/>
      <c r="I1712" s="96"/>
      <c r="J1712" s="92"/>
      <c r="K1712" s="97"/>
      <c r="L1712" s="99" t="str">
        <f ca="1">_xlfn.LET(
    _xlpm.res_no, J1712,
    _xlpm.record_sheet, 'MatRes Record'!J:M,
    _xlpm.AllCellsFilled, COUNTA(A1712:K1712) = 11,
    _xlpm.QtyIsInt, AND(ISNUMBER(G1712), G1712=INT(G1712)),
    _xlpm.ReqDateIsValid, AND(ISNUMBER(H1712), H1712&gt;=TODAY()),
    _xlpm.EmailIsValid, RIGHT(I1712,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IF(A1712="", "", IF(_xlpm.error_messages = "", "Yes", _xlpm.error_messages))
)</f>
        <v/>
      </c>
    </row>
    <row r="1713" spans="1:12">
      <c r="A1713" s="94"/>
      <c r="B1713" s="95"/>
      <c r="C1713" s="95"/>
      <c r="D1713" s="94"/>
      <c r="E1713" s="94"/>
      <c r="F1713" s="96"/>
      <c r="G1713" s="94"/>
      <c r="H1713" s="96"/>
      <c r="I1713" s="96"/>
      <c r="J1713" s="92"/>
      <c r="K1713" s="97"/>
      <c r="L1713" s="99" t="str">
        <f ca="1">_xlfn.LET(
    _xlpm.res_no, J1713,
    _xlpm.record_sheet, 'MatRes Record'!J:M,
    _xlpm.AllCellsFilled, COUNTA(A1713:K1713) = 11,
    _xlpm.QtyIsInt, AND(ISNUMBER(G1713), G1713=INT(G1713)),
    _xlpm.ReqDateIsValid, AND(ISNUMBER(H1713), H1713&gt;=TODAY()),
    _xlpm.EmailIsValid, RIGHT(I1713,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IF(A1713="", "", IF(_xlpm.error_messages = "", "Yes", _xlpm.error_messages))
)</f>
        <v/>
      </c>
    </row>
    <row r="1714" spans="1:12">
      <c r="A1714" s="94"/>
      <c r="B1714" s="95"/>
      <c r="C1714" s="95"/>
      <c r="D1714" s="94"/>
      <c r="E1714" s="94"/>
      <c r="F1714" s="96"/>
      <c r="G1714" s="94"/>
      <c r="H1714" s="96"/>
      <c r="I1714" s="96"/>
      <c r="J1714" s="92"/>
      <c r="K1714" s="97"/>
      <c r="L1714" s="99" t="str">
        <f ca="1">_xlfn.LET(
    _xlpm.res_no, J1714,
    _xlpm.record_sheet, 'MatRes Record'!J:M,
    _xlpm.AllCellsFilled, COUNTA(A1714:K1714) = 11,
    _xlpm.QtyIsInt, AND(ISNUMBER(G1714), G1714=INT(G1714)),
    _xlpm.ReqDateIsValid, AND(ISNUMBER(H1714), H1714&gt;=TODAY()),
    _xlpm.EmailIsValid, RIGHT(I1714,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IF(A1714="", "", IF(_xlpm.error_messages = "", "Yes", _xlpm.error_messages))
)</f>
        <v/>
      </c>
    </row>
    <row r="1715" spans="1:12">
      <c r="A1715" s="94"/>
      <c r="B1715" s="95"/>
      <c r="C1715" s="95"/>
      <c r="D1715" s="94"/>
      <c r="E1715" s="94"/>
      <c r="F1715" s="96"/>
      <c r="G1715" s="94"/>
      <c r="H1715" s="96"/>
      <c r="I1715" s="96"/>
      <c r="J1715" s="92"/>
      <c r="K1715" s="97"/>
      <c r="L1715" s="99" t="str">
        <f ca="1">_xlfn.LET(
    _xlpm.res_no, J1715,
    _xlpm.record_sheet, 'MatRes Record'!J:M,
    _xlpm.AllCellsFilled, COUNTA(A1715:K1715) = 11,
    _xlpm.QtyIsInt, AND(ISNUMBER(G1715), G1715=INT(G1715)),
    _xlpm.ReqDateIsValid, AND(ISNUMBER(H1715), H1715&gt;=TODAY()),
    _xlpm.EmailIsValid, RIGHT(I1715,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IF(A1715="", "", IF(_xlpm.error_messages = "", "Yes", _xlpm.error_messages))
)</f>
        <v/>
      </c>
    </row>
    <row r="1716" spans="1:12">
      <c r="A1716" s="94"/>
      <c r="B1716" s="95"/>
      <c r="C1716" s="95"/>
      <c r="D1716" s="94"/>
      <c r="E1716" s="94"/>
      <c r="F1716" s="96"/>
      <c r="G1716" s="94"/>
      <c r="H1716" s="96"/>
      <c r="I1716" s="96"/>
      <c r="J1716" s="92"/>
      <c r="K1716" s="97"/>
      <c r="L1716" s="99" t="str">
        <f ca="1">_xlfn.LET(
    _xlpm.res_no, J1716,
    _xlpm.record_sheet, 'MatRes Record'!J:M,
    _xlpm.AllCellsFilled, COUNTA(A1716:K1716) = 11,
    _xlpm.QtyIsInt, AND(ISNUMBER(G1716), G1716=INT(G1716)),
    _xlpm.ReqDateIsValid, AND(ISNUMBER(H1716), H1716&gt;=TODAY()),
    _xlpm.EmailIsValid, RIGHT(I1716,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IF(A1716="", "", IF(_xlpm.error_messages = "", "Yes", _xlpm.error_messages))
)</f>
        <v/>
      </c>
    </row>
    <row r="1717" spans="1:12">
      <c r="A1717" s="94"/>
      <c r="B1717" s="95"/>
      <c r="C1717" s="95"/>
      <c r="D1717" s="94"/>
      <c r="E1717" s="94"/>
      <c r="F1717" s="96"/>
      <c r="G1717" s="94"/>
      <c r="H1717" s="96"/>
      <c r="I1717" s="96"/>
      <c r="J1717" s="92"/>
      <c r="K1717" s="97"/>
      <c r="L1717" s="99" t="str">
        <f ca="1">_xlfn.LET(
    _xlpm.res_no, J1717,
    _xlpm.record_sheet, 'MatRes Record'!J:M,
    _xlpm.AllCellsFilled, COUNTA(A1717:K1717) = 11,
    _xlpm.QtyIsInt, AND(ISNUMBER(G1717), G1717=INT(G1717)),
    _xlpm.ReqDateIsValid, AND(ISNUMBER(H1717), H1717&gt;=TODAY()),
    _xlpm.EmailIsValid, RIGHT(I1717,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IF(A1717="", "", IF(_xlpm.error_messages = "", "Yes", _xlpm.error_messages))
)</f>
        <v/>
      </c>
    </row>
    <row r="1718" spans="1:12">
      <c r="A1718" s="94"/>
      <c r="B1718" s="95"/>
      <c r="C1718" s="95"/>
      <c r="D1718" s="94"/>
      <c r="E1718" s="94"/>
      <c r="F1718" s="96"/>
      <c r="G1718" s="94"/>
      <c r="H1718" s="96"/>
      <c r="I1718" s="96"/>
      <c r="J1718" s="92"/>
      <c r="K1718" s="97"/>
      <c r="L1718" s="99" t="str">
        <f ca="1">_xlfn.LET(
    _xlpm.res_no, J1718,
    _xlpm.record_sheet, 'MatRes Record'!J:M,
    _xlpm.AllCellsFilled, COUNTA(A1718:K1718) = 11,
    _xlpm.QtyIsInt, AND(ISNUMBER(G1718), G1718=INT(G1718)),
    _xlpm.ReqDateIsValid, AND(ISNUMBER(H1718), H1718&gt;=TODAY()),
    _xlpm.EmailIsValid, RIGHT(I1718,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IF(A1718="", "", IF(_xlpm.error_messages = "", "Yes", _xlpm.error_messages))
)</f>
        <v/>
      </c>
    </row>
    <row r="1719" spans="1:12">
      <c r="A1719" s="94"/>
      <c r="B1719" s="95"/>
      <c r="C1719" s="95"/>
      <c r="D1719" s="94"/>
      <c r="E1719" s="94"/>
      <c r="F1719" s="96"/>
      <c r="G1719" s="94"/>
      <c r="H1719" s="96"/>
      <c r="I1719" s="96"/>
      <c r="J1719" s="92"/>
      <c r="K1719" s="97"/>
      <c r="L1719" s="99" t="str">
        <f ca="1">_xlfn.LET(
    _xlpm.res_no, J1719,
    _xlpm.record_sheet, 'MatRes Record'!J:M,
    _xlpm.AllCellsFilled, COUNTA(A1719:K1719) = 11,
    _xlpm.QtyIsInt, AND(ISNUMBER(G1719), G1719=INT(G1719)),
    _xlpm.ReqDateIsValid, AND(ISNUMBER(H1719), H1719&gt;=TODAY()),
    _xlpm.EmailIsValid, RIGHT(I1719,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IF(A1719="", "", IF(_xlpm.error_messages = "", "Yes", _xlpm.error_messages))
)</f>
        <v/>
      </c>
    </row>
    <row r="1720" spans="1:12">
      <c r="A1720" s="94"/>
      <c r="B1720" s="95"/>
      <c r="C1720" s="95"/>
      <c r="D1720" s="94"/>
      <c r="E1720" s="94"/>
      <c r="F1720" s="96"/>
      <c r="G1720" s="94"/>
      <c r="H1720" s="96"/>
      <c r="I1720" s="96"/>
      <c r="J1720" s="92"/>
      <c r="K1720" s="97"/>
      <c r="L1720" s="99" t="str">
        <f ca="1">_xlfn.LET(
    _xlpm.res_no, J1720,
    _xlpm.record_sheet, 'MatRes Record'!J:M,
    _xlpm.AllCellsFilled, COUNTA(A1720:K1720) = 11,
    _xlpm.QtyIsInt, AND(ISNUMBER(G1720), G1720=INT(G1720)),
    _xlpm.ReqDateIsValid, AND(ISNUMBER(H1720), H1720&gt;=TODAY()),
    _xlpm.EmailIsValid, RIGHT(I1720,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IF(A1720="", "", IF(_xlpm.error_messages = "", "Yes", _xlpm.error_messages))
)</f>
        <v/>
      </c>
    </row>
    <row r="1721" spans="1:12">
      <c r="A1721" s="94"/>
      <c r="B1721" s="95"/>
      <c r="C1721" s="95"/>
      <c r="D1721" s="94"/>
      <c r="E1721" s="94"/>
      <c r="F1721" s="96"/>
      <c r="G1721" s="94"/>
      <c r="H1721" s="96"/>
      <c r="I1721" s="96"/>
      <c r="J1721" s="92"/>
      <c r="K1721" s="97"/>
      <c r="L1721" s="99" t="str">
        <f ca="1">_xlfn.LET(
    _xlpm.res_no, J1721,
    _xlpm.record_sheet, 'MatRes Record'!J:M,
    _xlpm.AllCellsFilled, COUNTA(A1721:K1721) = 11,
    _xlpm.QtyIsInt, AND(ISNUMBER(G1721), G1721=INT(G1721)),
    _xlpm.ReqDateIsValid, AND(ISNUMBER(H1721), H1721&gt;=TODAY()),
    _xlpm.EmailIsValid, RIGHT(I1721,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IF(A1721="", "", IF(_xlpm.error_messages = "", "Yes", _xlpm.error_messages))
)</f>
        <v/>
      </c>
    </row>
    <row r="1722" spans="1:12">
      <c r="A1722" s="94"/>
      <c r="B1722" s="95"/>
      <c r="C1722" s="95"/>
      <c r="D1722" s="94"/>
      <c r="E1722" s="94"/>
      <c r="F1722" s="96"/>
      <c r="G1722" s="94"/>
      <c r="H1722" s="96"/>
      <c r="I1722" s="96"/>
      <c r="J1722" s="92"/>
      <c r="K1722" s="97"/>
      <c r="L1722" s="99" t="str">
        <f ca="1">_xlfn.LET(
    _xlpm.res_no, J1722,
    _xlpm.record_sheet, 'MatRes Record'!J:M,
    _xlpm.AllCellsFilled, COUNTA(A1722:K1722) = 11,
    _xlpm.QtyIsInt, AND(ISNUMBER(G1722), G1722=INT(G1722)),
    _xlpm.ReqDateIsValid, AND(ISNUMBER(H1722), H1722&gt;=TODAY()),
    _xlpm.EmailIsValid, RIGHT(I1722,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IF(A1722="", "", IF(_xlpm.error_messages = "", "Yes", _xlpm.error_messages))
)</f>
        <v/>
      </c>
    </row>
    <row r="1723" spans="1:12">
      <c r="A1723" s="94"/>
      <c r="B1723" s="95"/>
      <c r="C1723" s="95"/>
      <c r="D1723" s="94"/>
      <c r="E1723" s="94"/>
      <c r="F1723" s="96"/>
      <c r="G1723" s="94"/>
      <c r="H1723" s="96"/>
      <c r="I1723" s="96"/>
      <c r="J1723" s="92"/>
      <c r="K1723" s="97"/>
      <c r="L1723" s="99" t="str">
        <f ca="1">_xlfn.LET(
    _xlpm.res_no, J1723,
    _xlpm.record_sheet, 'MatRes Record'!J:M,
    _xlpm.AllCellsFilled, COUNTA(A1723:K1723) = 11,
    _xlpm.QtyIsInt, AND(ISNUMBER(G1723), G1723=INT(G1723)),
    _xlpm.ReqDateIsValid, AND(ISNUMBER(H1723), H1723&gt;=TODAY()),
    _xlpm.EmailIsValid, RIGHT(I1723,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IF(A1723="", "", IF(_xlpm.error_messages = "", "Yes", _xlpm.error_messages))
)</f>
        <v/>
      </c>
    </row>
    <row r="1724" spans="1:12">
      <c r="A1724" s="94"/>
      <c r="B1724" s="95"/>
      <c r="C1724" s="95"/>
      <c r="D1724" s="94"/>
      <c r="E1724" s="94"/>
      <c r="F1724" s="96"/>
      <c r="G1724" s="94"/>
      <c r="H1724" s="96"/>
      <c r="I1724" s="96"/>
      <c r="J1724" s="92"/>
      <c r="K1724" s="97"/>
      <c r="L1724" s="99" t="str">
        <f ca="1">_xlfn.LET(
    _xlpm.res_no, J1724,
    _xlpm.record_sheet, 'MatRes Record'!J:M,
    _xlpm.AllCellsFilled, COUNTA(A1724:K1724) = 11,
    _xlpm.QtyIsInt, AND(ISNUMBER(G1724), G1724=INT(G1724)),
    _xlpm.ReqDateIsValid, AND(ISNUMBER(H1724), H1724&gt;=TODAY()),
    _xlpm.EmailIsValid, RIGHT(I1724,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IF(A1724="", "", IF(_xlpm.error_messages = "", "Yes", _xlpm.error_messages))
)</f>
        <v/>
      </c>
    </row>
    <row r="1725" spans="1:12">
      <c r="A1725" s="94"/>
      <c r="B1725" s="95"/>
      <c r="C1725" s="95"/>
      <c r="D1725" s="94"/>
      <c r="E1725" s="94"/>
      <c r="F1725" s="96"/>
      <c r="G1725" s="94"/>
      <c r="H1725" s="96"/>
      <c r="I1725" s="96"/>
      <c r="J1725" s="92"/>
      <c r="K1725" s="97"/>
      <c r="L1725" s="99" t="str">
        <f ca="1">_xlfn.LET(
    _xlpm.res_no, J1725,
    _xlpm.record_sheet, 'MatRes Record'!J:M,
    _xlpm.AllCellsFilled, COUNTA(A1725:K1725) = 11,
    _xlpm.QtyIsInt, AND(ISNUMBER(G1725), G1725=INT(G1725)),
    _xlpm.ReqDateIsValid, AND(ISNUMBER(H1725), H1725&gt;=TODAY()),
    _xlpm.EmailIsValid, RIGHT(I1725,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IF(A1725="", "", IF(_xlpm.error_messages = "", "Yes", _xlpm.error_messages))
)</f>
        <v/>
      </c>
    </row>
    <row r="1726" spans="1:12">
      <c r="A1726" s="94"/>
      <c r="B1726" s="95"/>
      <c r="C1726" s="95"/>
      <c r="D1726" s="94"/>
      <c r="E1726" s="94"/>
      <c r="F1726" s="96"/>
      <c r="G1726" s="94"/>
      <c r="H1726" s="96"/>
      <c r="I1726" s="96"/>
      <c r="J1726" s="92"/>
      <c r="K1726" s="97"/>
      <c r="L1726" s="99" t="str">
        <f ca="1">_xlfn.LET(
    _xlpm.res_no, J1726,
    _xlpm.record_sheet, 'MatRes Record'!J:M,
    _xlpm.AllCellsFilled, COUNTA(A1726:K1726) = 11,
    _xlpm.QtyIsInt, AND(ISNUMBER(G1726), G1726=INT(G1726)),
    _xlpm.ReqDateIsValid, AND(ISNUMBER(H1726), H1726&gt;=TODAY()),
    _xlpm.EmailIsValid, RIGHT(I1726,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IF(A1726="", "", IF(_xlpm.error_messages = "", "Yes", _xlpm.error_messages))
)</f>
        <v/>
      </c>
    </row>
    <row r="1727" spans="1:12">
      <c r="A1727" s="94"/>
      <c r="B1727" s="95"/>
      <c r="C1727" s="95"/>
      <c r="D1727" s="94"/>
      <c r="E1727" s="94"/>
      <c r="F1727" s="96"/>
      <c r="G1727" s="94"/>
      <c r="H1727" s="96"/>
      <c r="I1727" s="96"/>
      <c r="J1727" s="92"/>
      <c r="K1727" s="97"/>
      <c r="L1727" s="99" t="str">
        <f ca="1">_xlfn.LET(
    _xlpm.res_no, J1727,
    _xlpm.record_sheet, 'MatRes Record'!J:M,
    _xlpm.AllCellsFilled, COUNTA(A1727:K1727) = 11,
    _xlpm.QtyIsInt, AND(ISNUMBER(G1727), G1727=INT(G1727)),
    _xlpm.ReqDateIsValid, AND(ISNUMBER(H1727), H1727&gt;=TODAY()),
    _xlpm.EmailIsValid, RIGHT(I1727,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IF(A1727="", "", IF(_xlpm.error_messages = "", "Yes", _xlpm.error_messages))
)</f>
        <v/>
      </c>
    </row>
    <row r="1728" spans="1:12">
      <c r="A1728" s="94"/>
      <c r="B1728" s="95"/>
      <c r="C1728" s="95"/>
      <c r="D1728" s="94"/>
      <c r="E1728" s="94"/>
      <c r="F1728" s="96"/>
      <c r="G1728" s="94"/>
      <c r="H1728" s="96"/>
      <c r="I1728" s="96"/>
      <c r="J1728" s="92"/>
      <c r="K1728" s="97"/>
      <c r="L1728" s="99" t="str">
        <f ca="1">_xlfn.LET(
    _xlpm.res_no, J1728,
    _xlpm.record_sheet, 'MatRes Record'!J:M,
    _xlpm.AllCellsFilled, COUNTA(A1728:K1728) = 11,
    _xlpm.QtyIsInt, AND(ISNUMBER(G1728), G1728=INT(G1728)),
    _xlpm.ReqDateIsValid, AND(ISNUMBER(H1728), H1728&gt;=TODAY()),
    _xlpm.EmailIsValid, RIGHT(I1728,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IF(A1728="", "", IF(_xlpm.error_messages = "", "Yes", _xlpm.error_messages))
)</f>
        <v/>
      </c>
    </row>
    <row r="1729" spans="1:12">
      <c r="A1729" s="94"/>
      <c r="B1729" s="95"/>
      <c r="C1729" s="95"/>
      <c r="D1729" s="94"/>
      <c r="E1729" s="94"/>
      <c r="F1729" s="96"/>
      <c r="G1729" s="94"/>
      <c r="H1729" s="96"/>
      <c r="I1729" s="96"/>
      <c r="J1729" s="92"/>
      <c r="K1729" s="97"/>
      <c r="L1729" s="99" t="str">
        <f ca="1">_xlfn.LET(
    _xlpm.res_no, J1729,
    _xlpm.record_sheet, 'MatRes Record'!J:M,
    _xlpm.AllCellsFilled, COUNTA(A1729:K1729) = 11,
    _xlpm.QtyIsInt, AND(ISNUMBER(G1729), G1729=INT(G1729)),
    _xlpm.ReqDateIsValid, AND(ISNUMBER(H1729), H1729&gt;=TODAY()),
    _xlpm.EmailIsValid, RIGHT(I1729,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IF(A1729="", "", IF(_xlpm.error_messages = "", "Yes", _xlpm.error_messages))
)</f>
        <v/>
      </c>
    </row>
    <row r="1730" spans="1:12">
      <c r="A1730" s="94"/>
      <c r="B1730" s="95"/>
      <c r="C1730" s="95"/>
      <c r="D1730" s="94"/>
      <c r="E1730" s="94"/>
      <c r="F1730" s="96"/>
      <c r="G1730" s="94"/>
      <c r="H1730" s="96"/>
      <c r="I1730" s="96"/>
      <c r="J1730" s="92"/>
      <c r="K1730" s="97"/>
      <c r="L1730" s="99" t="str">
        <f ca="1">_xlfn.LET(
    _xlpm.res_no, J1730,
    _xlpm.record_sheet, 'MatRes Record'!J:M,
    _xlpm.AllCellsFilled, COUNTA(A1730:K1730) = 11,
    _xlpm.QtyIsInt, AND(ISNUMBER(G1730), G1730=INT(G1730)),
    _xlpm.ReqDateIsValid, AND(ISNUMBER(H1730), H1730&gt;=TODAY()),
    _xlpm.EmailIsValid, RIGHT(I1730,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IF(A1730="", "", IF(_xlpm.error_messages = "", "Yes", _xlpm.error_messages))
)</f>
        <v/>
      </c>
    </row>
    <row r="1731" spans="1:12">
      <c r="A1731" s="94"/>
      <c r="B1731" s="95"/>
      <c r="C1731" s="95"/>
      <c r="D1731" s="94"/>
      <c r="E1731" s="94"/>
      <c r="F1731" s="96"/>
      <c r="G1731" s="94"/>
      <c r="H1731" s="96"/>
      <c r="I1731" s="96"/>
      <c r="J1731" s="92"/>
      <c r="K1731" s="97"/>
      <c r="L1731" s="99" t="str">
        <f ca="1">_xlfn.LET(
    _xlpm.res_no, J1731,
    _xlpm.record_sheet, 'MatRes Record'!J:M,
    _xlpm.AllCellsFilled, COUNTA(A1731:K1731) = 11,
    _xlpm.QtyIsInt, AND(ISNUMBER(G1731), G1731=INT(G1731)),
    _xlpm.ReqDateIsValid, AND(ISNUMBER(H1731), H1731&gt;=TODAY()),
    _xlpm.EmailIsValid, RIGHT(I1731,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IF(A1731="", "", IF(_xlpm.error_messages = "", "Yes", _xlpm.error_messages))
)</f>
        <v/>
      </c>
    </row>
    <row r="1732" spans="1:12">
      <c r="A1732" s="94"/>
      <c r="B1732" s="95"/>
      <c r="C1732" s="95"/>
      <c r="D1732" s="94"/>
      <c r="E1732" s="94"/>
      <c r="F1732" s="96"/>
      <c r="G1732" s="94"/>
      <c r="H1732" s="96"/>
      <c r="I1732" s="96"/>
      <c r="J1732" s="92"/>
      <c r="K1732" s="97"/>
      <c r="L1732" s="99" t="str">
        <f ca="1">_xlfn.LET(
    _xlpm.res_no, J1732,
    _xlpm.record_sheet, 'MatRes Record'!J:M,
    _xlpm.AllCellsFilled, COUNTA(A1732:K1732) = 11,
    _xlpm.QtyIsInt, AND(ISNUMBER(G1732), G1732=INT(G1732)),
    _xlpm.ReqDateIsValid, AND(ISNUMBER(H1732), H1732&gt;=TODAY()),
    _xlpm.EmailIsValid, RIGHT(I1732,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IF(A1732="", "", IF(_xlpm.error_messages = "", "Yes", _xlpm.error_messages))
)</f>
        <v/>
      </c>
    </row>
    <row r="1733" spans="1:12">
      <c r="A1733" s="94"/>
      <c r="B1733" s="95"/>
      <c r="C1733" s="95"/>
      <c r="D1733" s="94"/>
      <c r="E1733" s="94"/>
      <c r="F1733" s="96"/>
      <c r="G1733" s="94"/>
      <c r="H1733" s="96"/>
      <c r="I1733" s="96"/>
      <c r="J1733" s="92"/>
      <c r="K1733" s="97"/>
      <c r="L1733" s="99" t="str">
        <f ca="1">_xlfn.LET(
    _xlpm.res_no, J1733,
    _xlpm.record_sheet, 'MatRes Record'!J:M,
    _xlpm.AllCellsFilled, COUNTA(A1733:K1733) = 11,
    _xlpm.QtyIsInt, AND(ISNUMBER(G1733), G1733=INT(G1733)),
    _xlpm.ReqDateIsValid, AND(ISNUMBER(H1733), H1733&gt;=TODAY()),
    _xlpm.EmailIsValid, RIGHT(I1733,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IF(A1733="", "", IF(_xlpm.error_messages = "", "Yes", _xlpm.error_messages))
)</f>
        <v/>
      </c>
    </row>
    <row r="1734" spans="1:12">
      <c r="A1734" s="94"/>
      <c r="B1734" s="95"/>
      <c r="C1734" s="95"/>
      <c r="D1734" s="94"/>
      <c r="E1734" s="94"/>
      <c r="F1734" s="96"/>
      <c r="G1734" s="94"/>
      <c r="H1734" s="96"/>
      <c r="I1734" s="96"/>
      <c r="J1734" s="92"/>
      <c r="K1734" s="97"/>
      <c r="L1734" s="99" t="str">
        <f ca="1">_xlfn.LET(
    _xlpm.res_no, J1734,
    _xlpm.record_sheet, 'MatRes Record'!J:M,
    _xlpm.AllCellsFilled, COUNTA(A1734:K1734) = 11,
    _xlpm.QtyIsInt, AND(ISNUMBER(G1734), G1734=INT(G1734)),
    _xlpm.ReqDateIsValid, AND(ISNUMBER(H1734), H1734&gt;=TODAY()),
    _xlpm.EmailIsValid, RIGHT(I1734,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IF(A1734="", "", IF(_xlpm.error_messages = "", "Yes", _xlpm.error_messages))
)</f>
        <v/>
      </c>
    </row>
    <row r="1735" spans="1:12">
      <c r="A1735" s="94"/>
      <c r="B1735" s="95"/>
      <c r="C1735" s="95"/>
      <c r="D1735" s="94"/>
      <c r="E1735" s="94"/>
      <c r="F1735" s="96"/>
      <c r="G1735" s="94"/>
      <c r="H1735" s="96"/>
      <c r="I1735" s="96"/>
      <c r="J1735" s="92"/>
      <c r="K1735" s="97"/>
      <c r="L1735" s="99" t="str">
        <f ca="1">_xlfn.LET(
    _xlpm.res_no, J1735,
    _xlpm.record_sheet, 'MatRes Record'!J:M,
    _xlpm.AllCellsFilled, COUNTA(A1735:K1735) = 11,
    _xlpm.QtyIsInt, AND(ISNUMBER(G1735), G1735=INT(G1735)),
    _xlpm.ReqDateIsValid, AND(ISNUMBER(H1735), H1735&gt;=TODAY()),
    _xlpm.EmailIsValid, RIGHT(I1735,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IF(A1735="", "", IF(_xlpm.error_messages = "", "Yes", _xlpm.error_messages))
)</f>
        <v/>
      </c>
    </row>
    <row r="1736" spans="1:12">
      <c r="A1736" s="94"/>
      <c r="B1736" s="95"/>
      <c r="C1736" s="95"/>
      <c r="D1736" s="94"/>
      <c r="E1736" s="94"/>
      <c r="F1736" s="96"/>
      <c r="G1736" s="94"/>
      <c r="H1736" s="96"/>
      <c r="I1736" s="96"/>
      <c r="J1736" s="92"/>
      <c r="K1736" s="97"/>
      <c r="L1736" s="99" t="str">
        <f ca="1">_xlfn.LET(
    _xlpm.res_no, J1736,
    _xlpm.record_sheet, 'MatRes Record'!J:M,
    _xlpm.AllCellsFilled, COUNTA(A1736:K1736) = 11,
    _xlpm.QtyIsInt, AND(ISNUMBER(G1736), G1736=INT(G1736)),
    _xlpm.ReqDateIsValid, AND(ISNUMBER(H1736), H1736&gt;=TODAY()),
    _xlpm.EmailIsValid, RIGHT(I1736,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IF(A1736="", "", IF(_xlpm.error_messages = "", "Yes", _xlpm.error_messages))
)</f>
        <v/>
      </c>
    </row>
    <row r="1737" spans="1:12">
      <c r="A1737" s="94"/>
      <c r="B1737" s="95"/>
      <c r="C1737" s="95"/>
      <c r="D1737" s="94"/>
      <c r="E1737" s="94"/>
      <c r="F1737" s="96"/>
      <c r="G1737" s="94"/>
      <c r="H1737" s="96"/>
      <c r="I1737" s="96"/>
      <c r="J1737" s="92"/>
      <c r="K1737" s="97"/>
      <c r="L1737" s="99" t="str">
        <f ca="1">_xlfn.LET(
    _xlpm.res_no, J1737,
    _xlpm.record_sheet, 'MatRes Record'!J:M,
    _xlpm.AllCellsFilled, COUNTA(A1737:K1737) = 11,
    _xlpm.QtyIsInt, AND(ISNUMBER(G1737), G1737=INT(G1737)),
    _xlpm.ReqDateIsValid, AND(ISNUMBER(H1737), H1737&gt;=TODAY()),
    _xlpm.EmailIsValid, RIGHT(I1737,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IF(A1737="", "", IF(_xlpm.error_messages = "", "Yes", _xlpm.error_messages))
)</f>
        <v/>
      </c>
    </row>
    <row r="1738" spans="1:12">
      <c r="A1738" s="94"/>
      <c r="B1738" s="95"/>
      <c r="C1738" s="95"/>
      <c r="D1738" s="94"/>
      <c r="E1738" s="94"/>
      <c r="F1738" s="96"/>
      <c r="G1738" s="94"/>
      <c r="H1738" s="96"/>
      <c r="I1738" s="96"/>
      <c r="J1738" s="92"/>
      <c r="K1738" s="97"/>
      <c r="L1738" s="99" t="str">
        <f ca="1">_xlfn.LET(
    _xlpm.res_no, J1738,
    _xlpm.record_sheet, 'MatRes Record'!J:M,
    _xlpm.AllCellsFilled, COUNTA(A1738:K1738) = 11,
    _xlpm.QtyIsInt, AND(ISNUMBER(G1738), G1738=INT(G1738)),
    _xlpm.ReqDateIsValid, AND(ISNUMBER(H1738), H1738&gt;=TODAY()),
    _xlpm.EmailIsValid, RIGHT(I1738,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IF(A1738="", "", IF(_xlpm.error_messages = "", "Yes", _xlpm.error_messages))
)</f>
        <v/>
      </c>
    </row>
    <row r="1739" spans="1:12">
      <c r="A1739" s="94"/>
      <c r="B1739" s="95"/>
      <c r="C1739" s="95"/>
      <c r="D1739" s="94"/>
      <c r="E1739" s="94"/>
      <c r="F1739" s="96"/>
      <c r="G1739" s="94"/>
      <c r="H1739" s="96"/>
      <c r="I1739" s="96"/>
      <c r="J1739" s="92"/>
      <c r="K1739" s="97"/>
      <c r="L1739" s="99" t="str">
        <f ca="1">_xlfn.LET(
    _xlpm.res_no, J1739,
    _xlpm.record_sheet, 'MatRes Record'!J:M,
    _xlpm.AllCellsFilled, COUNTA(A1739:K1739) = 11,
    _xlpm.QtyIsInt, AND(ISNUMBER(G1739), G1739=INT(G1739)),
    _xlpm.ReqDateIsValid, AND(ISNUMBER(H1739), H1739&gt;=TODAY()),
    _xlpm.EmailIsValid, RIGHT(I1739,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IF(A1739="", "", IF(_xlpm.error_messages = "", "Yes", _xlpm.error_messages))
)</f>
        <v/>
      </c>
    </row>
    <row r="1740" spans="1:12">
      <c r="A1740" s="94"/>
      <c r="B1740" s="95"/>
      <c r="C1740" s="95"/>
      <c r="D1740" s="94"/>
      <c r="E1740" s="94"/>
      <c r="F1740" s="96"/>
      <c r="G1740" s="94"/>
      <c r="H1740" s="96"/>
      <c r="I1740" s="96"/>
      <c r="J1740" s="92"/>
      <c r="K1740" s="97"/>
      <c r="L1740" s="99" t="str">
        <f ca="1">_xlfn.LET(
    _xlpm.res_no, J1740,
    _xlpm.record_sheet, 'MatRes Record'!J:M,
    _xlpm.AllCellsFilled, COUNTA(A1740:K1740) = 11,
    _xlpm.QtyIsInt, AND(ISNUMBER(G1740), G1740=INT(G1740)),
    _xlpm.ReqDateIsValid, AND(ISNUMBER(H1740), H1740&gt;=TODAY()),
    _xlpm.EmailIsValid, RIGHT(I1740,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IF(A1740="", "", IF(_xlpm.error_messages = "", "Yes", _xlpm.error_messages))
)</f>
        <v/>
      </c>
    </row>
    <row r="1741" spans="1:12">
      <c r="A1741" s="94"/>
      <c r="B1741" s="95"/>
      <c r="C1741" s="95"/>
      <c r="D1741" s="94"/>
      <c r="E1741" s="94"/>
      <c r="F1741" s="96"/>
      <c r="G1741" s="94"/>
      <c r="H1741" s="96"/>
      <c r="I1741" s="96"/>
      <c r="J1741" s="92"/>
      <c r="K1741" s="97"/>
      <c r="L1741" s="99" t="str">
        <f ca="1">_xlfn.LET(
    _xlpm.res_no, J1741,
    _xlpm.record_sheet, 'MatRes Record'!J:M,
    _xlpm.AllCellsFilled, COUNTA(A1741:K1741) = 11,
    _xlpm.QtyIsInt, AND(ISNUMBER(G1741), G1741=INT(G1741)),
    _xlpm.ReqDateIsValid, AND(ISNUMBER(H1741), H1741&gt;=TODAY()),
    _xlpm.EmailIsValid, RIGHT(I1741,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IF(A1741="", "", IF(_xlpm.error_messages = "", "Yes", _xlpm.error_messages))
)</f>
        <v/>
      </c>
    </row>
    <row r="1742" spans="1:12">
      <c r="A1742" s="94"/>
      <c r="B1742" s="95"/>
      <c r="C1742" s="95"/>
      <c r="D1742" s="94"/>
      <c r="E1742" s="94"/>
      <c r="F1742" s="96"/>
      <c r="G1742" s="94"/>
      <c r="H1742" s="96"/>
      <c r="I1742" s="96"/>
      <c r="J1742" s="92"/>
      <c r="K1742" s="97"/>
      <c r="L1742" s="99" t="str">
        <f ca="1">_xlfn.LET(
    _xlpm.res_no, J1742,
    _xlpm.record_sheet, 'MatRes Record'!J:M,
    _xlpm.AllCellsFilled, COUNTA(A1742:K1742) = 11,
    _xlpm.QtyIsInt, AND(ISNUMBER(G1742), G1742=INT(G1742)),
    _xlpm.ReqDateIsValid, AND(ISNUMBER(H1742), H1742&gt;=TODAY()),
    _xlpm.EmailIsValid, RIGHT(I1742,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IF(A1742="", "", IF(_xlpm.error_messages = "", "Yes", _xlpm.error_messages))
)</f>
        <v/>
      </c>
    </row>
    <row r="1743" spans="1:12">
      <c r="A1743" s="94"/>
      <c r="B1743" s="95"/>
      <c r="C1743" s="95"/>
      <c r="D1743" s="94"/>
      <c r="E1743" s="94"/>
      <c r="F1743" s="96"/>
      <c r="G1743" s="94"/>
      <c r="H1743" s="96"/>
      <c r="I1743" s="96"/>
      <c r="J1743" s="92"/>
      <c r="K1743" s="97"/>
      <c r="L1743" s="99" t="str">
        <f ca="1">_xlfn.LET(
    _xlpm.res_no, J1743,
    _xlpm.record_sheet, 'MatRes Record'!J:M,
    _xlpm.AllCellsFilled, COUNTA(A1743:K1743) = 11,
    _xlpm.QtyIsInt, AND(ISNUMBER(G1743), G1743=INT(G1743)),
    _xlpm.ReqDateIsValid, AND(ISNUMBER(H1743), H1743&gt;=TODAY()),
    _xlpm.EmailIsValid, RIGHT(I1743,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IF(A1743="", "", IF(_xlpm.error_messages = "", "Yes", _xlpm.error_messages))
)</f>
        <v/>
      </c>
    </row>
    <row r="1744" spans="1:12">
      <c r="A1744" s="94"/>
      <c r="B1744" s="95"/>
      <c r="C1744" s="95"/>
      <c r="D1744" s="94"/>
      <c r="E1744" s="94"/>
      <c r="F1744" s="96"/>
      <c r="G1744" s="94"/>
      <c r="H1744" s="96"/>
      <c r="I1744" s="96"/>
      <c r="J1744" s="92"/>
      <c r="K1744" s="97"/>
      <c r="L1744" s="99" t="str">
        <f ca="1">_xlfn.LET(
    _xlpm.res_no, J1744,
    _xlpm.record_sheet, 'MatRes Record'!J:M,
    _xlpm.AllCellsFilled, COUNTA(A1744:K1744) = 11,
    _xlpm.QtyIsInt, AND(ISNUMBER(G1744), G1744=INT(G1744)),
    _xlpm.ReqDateIsValid, AND(ISNUMBER(H1744), H1744&gt;=TODAY()),
    _xlpm.EmailIsValid, RIGHT(I1744,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IF(A1744="", "", IF(_xlpm.error_messages = "", "Yes", _xlpm.error_messages))
)</f>
        <v/>
      </c>
    </row>
    <row r="1745" spans="1:12">
      <c r="A1745" s="94"/>
      <c r="B1745" s="95"/>
      <c r="C1745" s="95"/>
      <c r="D1745" s="94"/>
      <c r="E1745" s="94"/>
      <c r="F1745" s="96"/>
      <c r="G1745" s="94"/>
      <c r="H1745" s="96"/>
      <c r="I1745" s="96"/>
      <c r="J1745" s="92"/>
      <c r="K1745" s="97"/>
      <c r="L1745" s="99" t="str">
        <f ca="1">_xlfn.LET(
    _xlpm.res_no, J1745,
    _xlpm.record_sheet, 'MatRes Record'!J:M,
    _xlpm.AllCellsFilled, COUNTA(A1745:K1745) = 11,
    _xlpm.QtyIsInt, AND(ISNUMBER(G1745), G1745=INT(G1745)),
    _xlpm.ReqDateIsValid, AND(ISNUMBER(H1745), H1745&gt;=TODAY()),
    _xlpm.EmailIsValid, RIGHT(I1745,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IF(A1745="", "", IF(_xlpm.error_messages = "", "Yes", _xlpm.error_messages))
)</f>
        <v/>
      </c>
    </row>
    <row r="1746" spans="1:12">
      <c r="A1746" s="94"/>
      <c r="B1746" s="95"/>
      <c r="C1746" s="95"/>
      <c r="D1746" s="94"/>
      <c r="E1746" s="94"/>
      <c r="F1746" s="96"/>
      <c r="G1746" s="94"/>
      <c r="H1746" s="96"/>
      <c r="I1746" s="96"/>
      <c r="J1746" s="92"/>
      <c r="K1746" s="97"/>
      <c r="L1746" s="99" t="str">
        <f ca="1">_xlfn.LET(
    _xlpm.res_no, J1746,
    _xlpm.record_sheet, 'MatRes Record'!J:M,
    _xlpm.AllCellsFilled, COUNTA(A1746:K1746) = 11,
    _xlpm.QtyIsInt, AND(ISNUMBER(G1746), G1746=INT(G1746)),
    _xlpm.ReqDateIsValid, AND(ISNUMBER(H1746), H1746&gt;=TODAY()),
    _xlpm.EmailIsValid, RIGHT(I1746,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IF(A1746="", "", IF(_xlpm.error_messages = "", "Yes", _xlpm.error_messages))
)</f>
        <v/>
      </c>
    </row>
    <row r="1747" spans="1:12">
      <c r="A1747" s="94"/>
      <c r="B1747" s="95"/>
      <c r="C1747" s="95"/>
      <c r="D1747" s="94"/>
      <c r="E1747" s="94"/>
      <c r="F1747" s="96"/>
      <c r="G1747" s="94"/>
      <c r="H1747" s="96"/>
      <c r="I1747" s="96"/>
      <c r="J1747" s="92"/>
      <c r="K1747" s="97"/>
      <c r="L1747" s="99" t="str">
        <f ca="1">_xlfn.LET(
    _xlpm.res_no, J1747,
    _xlpm.record_sheet, 'MatRes Record'!J:M,
    _xlpm.AllCellsFilled, COUNTA(A1747:K1747) = 11,
    _xlpm.QtyIsInt, AND(ISNUMBER(G1747), G1747=INT(G1747)),
    _xlpm.ReqDateIsValid, AND(ISNUMBER(H1747), H1747&gt;=TODAY()),
    _xlpm.EmailIsValid, RIGHT(I1747,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IF(A1747="", "", IF(_xlpm.error_messages = "", "Yes", _xlpm.error_messages))
)</f>
        <v/>
      </c>
    </row>
    <row r="1748" spans="1:12">
      <c r="A1748" s="94"/>
      <c r="B1748" s="95"/>
      <c r="C1748" s="95"/>
      <c r="D1748" s="94"/>
      <c r="E1748" s="94"/>
      <c r="F1748" s="96"/>
      <c r="G1748" s="94"/>
      <c r="H1748" s="96"/>
      <c r="I1748" s="96"/>
      <c r="J1748" s="92"/>
      <c r="K1748" s="97"/>
      <c r="L1748" s="99" t="str">
        <f ca="1">_xlfn.LET(
    _xlpm.res_no, J1748,
    _xlpm.record_sheet, 'MatRes Record'!J:M,
    _xlpm.AllCellsFilled, COUNTA(A1748:K1748) = 11,
    _xlpm.QtyIsInt, AND(ISNUMBER(G1748), G1748=INT(G1748)),
    _xlpm.ReqDateIsValid, AND(ISNUMBER(H1748), H1748&gt;=TODAY()),
    _xlpm.EmailIsValid, RIGHT(I1748,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IF(A1748="", "", IF(_xlpm.error_messages = "", "Yes", _xlpm.error_messages))
)</f>
        <v/>
      </c>
    </row>
    <row r="1749" spans="1:12">
      <c r="A1749" s="94"/>
      <c r="B1749" s="95"/>
      <c r="C1749" s="95"/>
      <c r="D1749" s="94"/>
      <c r="E1749" s="94"/>
      <c r="F1749" s="96"/>
      <c r="G1749" s="94"/>
      <c r="H1749" s="96"/>
      <c r="I1749" s="96"/>
      <c r="J1749" s="92"/>
      <c r="K1749" s="97"/>
      <c r="L1749" s="99" t="str">
        <f ca="1">_xlfn.LET(
    _xlpm.res_no, J1749,
    _xlpm.record_sheet, 'MatRes Record'!J:M,
    _xlpm.AllCellsFilled, COUNTA(A1749:K1749) = 11,
    _xlpm.QtyIsInt, AND(ISNUMBER(G1749), G1749=INT(G1749)),
    _xlpm.ReqDateIsValid, AND(ISNUMBER(H1749), H1749&gt;=TODAY()),
    _xlpm.EmailIsValid, RIGHT(I1749,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IF(A1749="", "", IF(_xlpm.error_messages = "", "Yes", _xlpm.error_messages))
)</f>
        <v/>
      </c>
    </row>
    <row r="1750" spans="1:12">
      <c r="A1750" s="94"/>
      <c r="B1750" s="95"/>
      <c r="C1750" s="95"/>
      <c r="D1750" s="94"/>
      <c r="E1750" s="94"/>
      <c r="F1750" s="96"/>
      <c r="G1750" s="94"/>
      <c r="H1750" s="96"/>
      <c r="I1750" s="96"/>
      <c r="J1750" s="92"/>
      <c r="K1750" s="97"/>
      <c r="L1750" s="99" t="str">
        <f ca="1">_xlfn.LET(
    _xlpm.res_no, J1750,
    _xlpm.record_sheet, 'MatRes Record'!J:M,
    _xlpm.AllCellsFilled, COUNTA(A1750:K1750) = 11,
    _xlpm.QtyIsInt, AND(ISNUMBER(G1750), G1750=INT(G1750)),
    _xlpm.ReqDateIsValid, AND(ISNUMBER(H1750), H1750&gt;=TODAY()),
    _xlpm.EmailIsValid, RIGHT(I1750,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IF(A1750="", "", IF(_xlpm.error_messages = "", "Yes", _xlpm.error_messages))
)</f>
        <v/>
      </c>
    </row>
    <row r="1751" spans="1:12">
      <c r="A1751" s="94"/>
      <c r="B1751" s="95"/>
      <c r="C1751" s="95"/>
      <c r="D1751" s="94"/>
      <c r="E1751" s="94"/>
      <c r="F1751" s="96"/>
      <c r="G1751" s="94"/>
      <c r="H1751" s="96"/>
      <c r="I1751" s="96"/>
      <c r="J1751" s="92"/>
      <c r="K1751" s="97"/>
      <c r="L1751" s="99" t="str">
        <f ca="1">_xlfn.LET(
    _xlpm.res_no, J1751,
    _xlpm.record_sheet, 'MatRes Record'!J:M,
    _xlpm.AllCellsFilled, COUNTA(A1751:K1751) = 11,
    _xlpm.QtyIsInt, AND(ISNUMBER(G1751), G1751=INT(G1751)),
    _xlpm.ReqDateIsValid, AND(ISNUMBER(H1751), H1751&gt;=TODAY()),
    _xlpm.EmailIsValid, RIGHT(I1751,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IF(A1751="", "", IF(_xlpm.error_messages = "", "Yes", _xlpm.error_messages))
)</f>
        <v/>
      </c>
    </row>
    <row r="1752" spans="1:12">
      <c r="A1752" s="94"/>
      <c r="B1752" s="95"/>
      <c r="C1752" s="95"/>
      <c r="D1752" s="94"/>
      <c r="E1752" s="94"/>
      <c r="F1752" s="96"/>
      <c r="G1752" s="94"/>
      <c r="H1752" s="96"/>
      <c r="I1752" s="96"/>
      <c r="J1752" s="92"/>
      <c r="K1752" s="97"/>
      <c r="L1752" s="99" t="str">
        <f ca="1">_xlfn.LET(
    _xlpm.res_no, J1752,
    _xlpm.record_sheet, 'MatRes Record'!J:M,
    _xlpm.AllCellsFilled, COUNTA(A1752:K1752) = 11,
    _xlpm.QtyIsInt, AND(ISNUMBER(G1752), G1752=INT(G1752)),
    _xlpm.ReqDateIsValid, AND(ISNUMBER(H1752), H1752&gt;=TODAY()),
    _xlpm.EmailIsValid, RIGHT(I1752,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IF(A1752="", "", IF(_xlpm.error_messages = "", "Yes", _xlpm.error_messages))
)</f>
        <v/>
      </c>
    </row>
    <row r="1753" spans="1:12">
      <c r="A1753" s="94"/>
      <c r="B1753" s="95"/>
      <c r="C1753" s="95"/>
      <c r="D1753" s="94"/>
      <c r="E1753" s="94"/>
      <c r="F1753" s="96"/>
      <c r="G1753" s="94"/>
      <c r="H1753" s="96"/>
      <c r="I1753" s="96"/>
      <c r="J1753" s="92"/>
      <c r="K1753" s="97"/>
      <c r="L1753" s="99" t="str">
        <f ca="1">_xlfn.LET(
    _xlpm.res_no, J1753,
    _xlpm.record_sheet, 'MatRes Record'!J:M,
    _xlpm.AllCellsFilled, COUNTA(A1753:K1753) = 11,
    _xlpm.QtyIsInt, AND(ISNUMBER(G1753), G1753=INT(G1753)),
    _xlpm.ReqDateIsValid, AND(ISNUMBER(H1753), H1753&gt;=TODAY()),
    _xlpm.EmailIsValid, RIGHT(I1753,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IF(A1753="", "", IF(_xlpm.error_messages = "", "Yes", _xlpm.error_messages))
)</f>
        <v/>
      </c>
    </row>
    <row r="1754" spans="1:12">
      <c r="A1754" s="94"/>
      <c r="B1754" s="95"/>
      <c r="C1754" s="95"/>
      <c r="D1754" s="94"/>
      <c r="E1754" s="94"/>
      <c r="F1754" s="96"/>
      <c r="G1754" s="94"/>
      <c r="H1754" s="96"/>
      <c r="I1754" s="96"/>
      <c r="J1754" s="92"/>
      <c r="K1754" s="97"/>
      <c r="L1754" s="99" t="str">
        <f ca="1">_xlfn.LET(
    _xlpm.res_no, J1754,
    _xlpm.record_sheet, 'MatRes Record'!J:M,
    _xlpm.AllCellsFilled, COUNTA(A1754:K1754) = 11,
    _xlpm.QtyIsInt, AND(ISNUMBER(G1754), G1754=INT(G1754)),
    _xlpm.ReqDateIsValid, AND(ISNUMBER(H1754), H1754&gt;=TODAY()),
    _xlpm.EmailIsValid, RIGHT(I1754,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IF(A1754="", "", IF(_xlpm.error_messages = "", "Yes", _xlpm.error_messages))
)</f>
        <v/>
      </c>
    </row>
    <row r="1755" spans="1:12">
      <c r="A1755" s="94"/>
      <c r="B1755" s="95"/>
      <c r="C1755" s="95"/>
      <c r="D1755" s="94"/>
      <c r="E1755" s="94"/>
      <c r="F1755" s="96"/>
      <c r="G1755" s="94"/>
      <c r="H1755" s="96"/>
      <c r="I1755" s="96"/>
      <c r="J1755" s="92"/>
      <c r="K1755" s="97"/>
      <c r="L1755" s="99" t="str">
        <f ca="1">_xlfn.LET(
    _xlpm.res_no, J1755,
    _xlpm.record_sheet, 'MatRes Record'!J:M,
    _xlpm.AllCellsFilled, COUNTA(A1755:K1755) = 11,
    _xlpm.QtyIsInt, AND(ISNUMBER(G1755), G1755=INT(G1755)),
    _xlpm.ReqDateIsValid, AND(ISNUMBER(H1755), H1755&gt;=TODAY()),
    _xlpm.EmailIsValid, RIGHT(I1755,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IF(A1755="", "", IF(_xlpm.error_messages = "", "Yes", _xlpm.error_messages))
)</f>
        <v/>
      </c>
    </row>
    <row r="1756" spans="1:12">
      <c r="A1756" s="94"/>
      <c r="B1756" s="95"/>
      <c r="C1756" s="95"/>
      <c r="D1756" s="94"/>
      <c r="E1756" s="94"/>
      <c r="F1756" s="96"/>
      <c r="G1756" s="94"/>
      <c r="H1756" s="96"/>
      <c r="I1756" s="96"/>
      <c r="J1756" s="92"/>
      <c r="K1756" s="97"/>
      <c r="L1756" s="99" t="str">
        <f ca="1">_xlfn.LET(
    _xlpm.res_no, J1756,
    _xlpm.record_sheet, 'MatRes Record'!J:M,
    _xlpm.AllCellsFilled, COUNTA(A1756:K1756) = 11,
    _xlpm.QtyIsInt, AND(ISNUMBER(G1756), G1756=INT(G1756)),
    _xlpm.ReqDateIsValid, AND(ISNUMBER(H1756), H1756&gt;=TODAY()),
    _xlpm.EmailIsValid, RIGHT(I1756,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IF(A1756="", "", IF(_xlpm.error_messages = "", "Yes", _xlpm.error_messages))
)</f>
        <v/>
      </c>
    </row>
    <row r="1757" spans="1:12">
      <c r="A1757" s="94"/>
      <c r="B1757" s="95"/>
      <c r="C1757" s="95"/>
      <c r="D1757" s="94"/>
      <c r="E1757" s="94"/>
      <c r="F1757" s="96"/>
      <c r="G1757" s="94"/>
      <c r="H1757" s="96"/>
      <c r="I1757" s="96"/>
      <c r="J1757" s="92"/>
      <c r="K1757" s="97"/>
      <c r="L1757" s="99" t="str">
        <f ca="1">_xlfn.LET(
    _xlpm.res_no, J1757,
    _xlpm.record_sheet, 'MatRes Record'!J:M,
    _xlpm.AllCellsFilled, COUNTA(A1757:K1757) = 11,
    _xlpm.QtyIsInt, AND(ISNUMBER(G1757), G1757=INT(G1757)),
    _xlpm.ReqDateIsValid, AND(ISNUMBER(H1757), H1757&gt;=TODAY()),
    _xlpm.EmailIsValid, RIGHT(I1757,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IF(A1757="", "", IF(_xlpm.error_messages = "", "Yes", _xlpm.error_messages))
)</f>
        <v/>
      </c>
    </row>
    <row r="1758" spans="1:12">
      <c r="A1758" s="94"/>
      <c r="B1758" s="95"/>
      <c r="C1758" s="95"/>
      <c r="D1758" s="94"/>
      <c r="E1758" s="94"/>
      <c r="F1758" s="96"/>
      <c r="G1758" s="94"/>
      <c r="H1758" s="96"/>
      <c r="I1758" s="96"/>
      <c r="J1758" s="92"/>
      <c r="K1758" s="97"/>
      <c r="L1758" s="99" t="str">
        <f ca="1">_xlfn.LET(
    _xlpm.res_no, J1758,
    _xlpm.record_sheet, 'MatRes Record'!J:M,
    _xlpm.AllCellsFilled, COUNTA(A1758:K1758) = 11,
    _xlpm.QtyIsInt, AND(ISNUMBER(G1758), G1758=INT(G1758)),
    _xlpm.ReqDateIsValid, AND(ISNUMBER(H1758), H1758&gt;=TODAY()),
    _xlpm.EmailIsValid, RIGHT(I1758,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IF(A1758="", "", IF(_xlpm.error_messages = "", "Yes", _xlpm.error_messages))
)</f>
        <v/>
      </c>
    </row>
    <row r="1759" spans="1:12">
      <c r="A1759" s="94"/>
      <c r="B1759" s="95"/>
      <c r="C1759" s="95"/>
      <c r="D1759" s="94"/>
      <c r="E1759" s="94"/>
      <c r="F1759" s="96"/>
      <c r="G1759" s="94"/>
      <c r="H1759" s="96"/>
      <c r="I1759" s="96"/>
      <c r="J1759" s="92"/>
      <c r="K1759" s="97"/>
      <c r="L1759" s="99" t="str">
        <f ca="1">_xlfn.LET(
    _xlpm.res_no, J1759,
    _xlpm.record_sheet, 'MatRes Record'!J:M,
    _xlpm.AllCellsFilled, COUNTA(A1759:K1759) = 11,
    _xlpm.QtyIsInt, AND(ISNUMBER(G1759), G1759=INT(G1759)),
    _xlpm.ReqDateIsValid, AND(ISNUMBER(H1759), H1759&gt;=TODAY()),
    _xlpm.EmailIsValid, RIGHT(I1759,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IF(A1759="", "", IF(_xlpm.error_messages = "", "Yes", _xlpm.error_messages))
)</f>
        <v/>
      </c>
    </row>
    <row r="1760" spans="1:12">
      <c r="A1760" s="94"/>
      <c r="B1760" s="95"/>
      <c r="C1760" s="95"/>
      <c r="D1760" s="94"/>
      <c r="E1760" s="94"/>
      <c r="F1760" s="96"/>
      <c r="G1760" s="94"/>
      <c r="H1760" s="96"/>
      <c r="I1760" s="96"/>
      <c r="J1760" s="92"/>
      <c r="K1760" s="97"/>
      <c r="L1760" s="99" t="str">
        <f ca="1">_xlfn.LET(
    _xlpm.res_no, J1760,
    _xlpm.record_sheet, 'MatRes Record'!J:M,
    _xlpm.AllCellsFilled, COUNTA(A1760:K1760) = 11,
    _xlpm.QtyIsInt, AND(ISNUMBER(G1760), G1760=INT(G1760)),
    _xlpm.ReqDateIsValid, AND(ISNUMBER(H1760), H1760&gt;=TODAY()),
    _xlpm.EmailIsValid, RIGHT(I1760,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IF(A1760="", "", IF(_xlpm.error_messages = "", "Yes", _xlpm.error_messages))
)</f>
        <v/>
      </c>
    </row>
    <row r="1761" spans="1:12">
      <c r="A1761" s="94"/>
      <c r="B1761" s="95"/>
      <c r="C1761" s="95"/>
      <c r="D1761" s="94"/>
      <c r="E1761" s="94"/>
      <c r="F1761" s="96"/>
      <c r="G1761" s="94"/>
      <c r="H1761" s="96"/>
      <c r="I1761" s="96"/>
      <c r="J1761" s="92"/>
      <c r="K1761" s="97"/>
      <c r="L1761" s="99" t="str">
        <f ca="1">_xlfn.LET(
    _xlpm.res_no, J1761,
    _xlpm.record_sheet, 'MatRes Record'!J:M,
    _xlpm.AllCellsFilled, COUNTA(A1761:K1761) = 11,
    _xlpm.QtyIsInt, AND(ISNUMBER(G1761), G1761=INT(G1761)),
    _xlpm.ReqDateIsValid, AND(ISNUMBER(H1761), H1761&gt;=TODAY()),
    _xlpm.EmailIsValid, RIGHT(I1761,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IF(A1761="", "", IF(_xlpm.error_messages = "", "Yes", _xlpm.error_messages))
)</f>
        <v/>
      </c>
    </row>
    <row r="1762" spans="1:12">
      <c r="A1762" s="94"/>
      <c r="B1762" s="95"/>
      <c r="C1762" s="95"/>
      <c r="D1762" s="94"/>
      <c r="E1762" s="94"/>
      <c r="F1762" s="96"/>
      <c r="G1762" s="94"/>
      <c r="H1762" s="96"/>
      <c r="I1762" s="96"/>
      <c r="J1762" s="92"/>
      <c r="K1762" s="97"/>
      <c r="L1762" s="99" t="str">
        <f ca="1">_xlfn.LET(
    _xlpm.res_no, J1762,
    _xlpm.record_sheet, 'MatRes Record'!J:M,
    _xlpm.AllCellsFilled, COUNTA(A1762:K1762) = 11,
    _xlpm.QtyIsInt, AND(ISNUMBER(G1762), G1762=INT(G1762)),
    _xlpm.ReqDateIsValid, AND(ISNUMBER(H1762), H1762&gt;=TODAY()),
    _xlpm.EmailIsValid, RIGHT(I1762,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IF(A1762="", "", IF(_xlpm.error_messages = "", "Yes", _xlpm.error_messages))
)</f>
        <v/>
      </c>
    </row>
    <row r="1763" spans="1:12">
      <c r="A1763" s="94"/>
      <c r="B1763" s="95"/>
      <c r="C1763" s="95"/>
      <c r="D1763" s="94"/>
      <c r="E1763" s="94"/>
      <c r="F1763" s="96"/>
      <c r="G1763" s="94"/>
      <c r="H1763" s="96"/>
      <c r="I1763" s="96"/>
      <c r="J1763" s="92"/>
      <c r="K1763" s="97"/>
      <c r="L1763" s="99" t="str">
        <f ca="1">_xlfn.LET(
    _xlpm.res_no, J1763,
    _xlpm.record_sheet, 'MatRes Record'!J:M,
    _xlpm.AllCellsFilled, COUNTA(A1763:K1763) = 11,
    _xlpm.QtyIsInt, AND(ISNUMBER(G1763), G1763=INT(G1763)),
    _xlpm.ReqDateIsValid, AND(ISNUMBER(H1763), H1763&gt;=TODAY()),
    _xlpm.EmailIsValid, RIGHT(I1763,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IF(A1763="", "", IF(_xlpm.error_messages = "", "Yes", _xlpm.error_messages))
)</f>
        <v/>
      </c>
    </row>
    <row r="1764" spans="1:12">
      <c r="A1764" s="94"/>
      <c r="B1764" s="95"/>
      <c r="C1764" s="95"/>
      <c r="D1764" s="94"/>
      <c r="E1764" s="94"/>
      <c r="F1764" s="96"/>
      <c r="G1764" s="94"/>
      <c r="H1764" s="96"/>
      <c r="I1764" s="96"/>
      <c r="J1764" s="92"/>
      <c r="K1764" s="97"/>
      <c r="L1764" s="99" t="str">
        <f ca="1">_xlfn.LET(
    _xlpm.res_no, J1764,
    _xlpm.record_sheet, 'MatRes Record'!J:M,
    _xlpm.AllCellsFilled, COUNTA(A1764:K1764) = 11,
    _xlpm.QtyIsInt, AND(ISNUMBER(G1764), G1764=INT(G1764)),
    _xlpm.ReqDateIsValid, AND(ISNUMBER(H1764), H1764&gt;=TODAY()),
    _xlpm.EmailIsValid, RIGHT(I1764,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IF(A1764="", "", IF(_xlpm.error_messages = "", "Yes", _xlpm.error_messages))
)</f>
        <v/>
      </c>
    </row>
    <row r="1765" spans="1:12">
      <c r="A1765" s="94"/>
      <c r="B1765" s="95"/>
      <c r="C1765" s="95"/>
      <c r="D1765" s="94"/>
      <c r="E1765" s="94"/>
      <c r="F1765" s="96"/>
      <c r="G1765" s="94"/>
      <c r="H1765" s="96"/>
      <c r="I1765" s="96"/>
      <c r="J1765" s="92"/>
      <c r="K1765" s="97"/>
      <c r="L1765" s="99" t="str">
        <f ca="1">_xlfn.LET(
    _xlpm.res_no, J1765,
    _xlpm.record_sheet, 'MatRes Record'!J:M,
    _xlpm.AllCellsFilled, COUNTA(A1765:K1765) = 11,
    _xlpm.QtyIsInt, AND(ISNUMBER(G1765), G1765=INT(G1765)),
    _xlpm.ReqDateIsValid, AND(ISNUMBER(H1765), H1765&gt;=TODAY()),
    _xlpm.EmailIsValid, RIGHT(I1765,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IF(A1765="", "", IF(_xlpm.error_messages = "", "Yes", _xlpm.error_messages))
)</f>
        <v/>
      </c>
    </row>
    <row r="1766" spans="1:12">
      <c r="A1766" s="94"/>
      <c r="B1766" s="95"/>
      <c r="C1766" s="95"/>
      <c r="D1766" s="94"/>
      <c r="E1766" s="94"/>
      <c r="F1766" s="96"/>
      <c r="G1766" s="94"/>
      <c r="H1766" s="96"/>
      <c r="I1766" s="96"/>
      <c r="J1766" s="92"/>
      <c r="K1766" s="97"/>
      <c r="L1766" s="99" t="str">
        <f ca="1">_xlfn.LET(
    _xlpm.res_no, J1766,
    _xlpm.record_sheet, 'MatRes Record'!J:M,
    _xlpm.AllCellsFilled, COUNTA(A1766:K1766) = 11,
    _xlpm.QtyIsInt, AND(ISNUMBER(G1766), G1766=INT(G1766)),
    _xlpm.ReqDateIsValid, AND(ISNUMBER(H1766), H1766&gt;=TODAY()),
    _xlpm.EmailIsValid, RIGHT(I1766,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IF(A1766="", "", IF(_xlpm.error_messages = "", "Yes", _xlpm.error_messages))
)</f>
        <v/>
      </c>
    </row>
    <row r="1767" spans="1:12">
      <c r="A1767" s="94"/>
      <c r="B1767" s="95"/>
      <c r="C1767" s="95"/>
      <c r="D1767" s="94"/>
      <c r="E1767" s="94"/>
      <c r="F1767" s="96"/>
      <c r="G1767" s="94"/>
      <c r="H1767" s="96"/>
      <c r="I1767" s="96"/>
      <c r="J1767" s="92"/>
      <c r="K1767" s="97"/>
      <c r="L1767" s="99" t="str">
        <f ca="1">_xlfn.LET(
    _xlpm.res_no, J1767,
    _xlpm.record_sheet, 'MatRes Record'!J:M,
    _xlpm.AllCellsFilled, COUNTA(A1767:K1767) = 11,
    _xlpm.QtyIsInt, AND(ISNUMBER(G1767), G1767=INT(G1767)),
    _xlpm.ReqDateIsValid, AND(ISNUMBER(H1767), H1767&gt;=TODAY()),
    _xlpm.EmailIsValid, RIGHT(I1767,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IF(A1767="", "", IF(_xlpm.error_messages = "", "Yes", _xlpm.error_messages))
)</f>
        <v/>
      </c>
    </row>
    <row r="1768" spans="1:12">
      <c r="A1768" s="94"/>
      <c r="B1768" s="95"/>
      <c r="C1768" s="95"/>
      <c r="D1768" s="94"/>
      <c r="E1768" s="94"/>
      <c r="F1768" s="96"/>
      <c r="G1768" s="94"/>
      <c r="H1768" s="96"/>
      <c r="I1768" s="96"/>
      <c r="J1768" s="92"/>
      <c r="K1768" s="97"/>
      <c r="L1768" s="99" t="str">
        <f ca="1">_xlfn.LET(
    _xlpm.res_no, J1768,
    _xlpm.record_sheet, 'MatRes Record'!J:M,
    _xlpm.AllCellsFilled, COUNTA(A1768:K1768) = 11,
    _xlpm.QtyIsInt, AND(ISNUMBER(G1768), G1768=INT(G1768)),
    _xlpm.ReqDateIsValid, AND(ISNUMBER(H1768), H1768&gt;=TODAY()),
    _xlpm.EmailIsValid, RIGHT(I1768,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IF(A1768="", "", IF(_xlpm.error_messages = "", "Yes", _xlpm.error_messages))
)</f>
        <v/>
      </c>
    </row>
    <row r="1769" spans="1:12">
      <c r="A1769" s="94"/>
      <c r="B1769" s="95"/>
      <c r="C1769" s="95"/>
      <c r="D1769" s="94"/>
      <c r="E1769" s="94"/>
      <c r="F1769" s="96"/>
      <c r="G1769" s="94"/>
      <c r="H1769" s="96"/>
      <c r="I1769" s="96"/>
      <c r="J1769" s="92"/>
      <c r="K1769" s="97"/>
      <c r="L1769" s="99" t="str">
        <f ca="1">_xlfn.LET(
    _xlpm.res_no, J1769,
    _xlpm.record_sheet, 'MatRes Record'!J:M,
    _xlpm.AllCellsFilled, COUNTA(A1769:K1769) = 11,
    _xlpm.QtyIsInt, AND(ISNUMBER(G1769), G1769=INT(G1769)),
    _xlpm.ReqDateIsValid, AND(ISNUMBER(H1769), H1769&gt;=TODAY()),
    _xlpm.EmailIsValid, RIGHT(I1769,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IF(A1769="", "", IF(_xlpm.error_messages = "", "Yes", _xlpm.error_messages))
)</f>
        <v/>
      </c>
    </row>
    <row r="1770" spans="1:12">
      <c r="A1770" s="94"/>
      <c r="B1770" s="95"/>
      <c r="C1770" s="95"/>
      <c r="D1770" s="94"/>
      <c r="E1770" s="94"/>
      <c r="F1770" s="96"/>
      <c r="G1770" s="94"/>
      <c r="H1770" s="96"/>
      <c r="I1770" s="96"/>
      <c r="J1770" s="92"/>
      <c r="K1770" s="97"/>
      <c r="L1770" s="99" t="str">
        <f ca="1">_xlfn.LET(
    _xlpm.res_no, J1770,
    _xlpm.record_sheet, 'MatRes Record'!J:M,
    _xlpm.AllCellsFilled, COUNTA(A1770:K1770) = 11,
    _xlpm.QtyIsInt, AND(ISNUMBER(G1770), G1770=INT(G1770)),
    _xlpm.ReqDateIsValid, AND(ISNUMBER(H1770), H1770&gt;=TODAY()),
    _xlpm.EmailIsValid, RIGHT(I1770,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IF(A1770="", "", IF(_xlpm.error_messages = "", "Yes", _xlpm.error_messages))
)</f>
        <v/>
      </c>
    </row>
    <row r="1771" spans="1:12">
      <c r="A1771" s="94"/>
      <c r="B1771" s="95"/>
      <c r="C1771" s="95"/>
      <c r="D1771" s="94"/>
      <c r="E1771" s="94"/>
      <c r="F1771" s="96"/>
      <c r="G1771" s="94"/>
      <c r="H1771" s="96"/>
      <c r="I1771" s="96"/>
      <c r="J1771" s="92"/>
      <c r="K1771" s="97"/>
      <c r="L1771" s="99" t="str">
        <f ca="1">_xlfn.LET(
    _xlpm.res_no, J1771,
    _xlpm.record_sheet, 'MatRes Record'!J:M,
    _xlpm.AllCellsFilled, COUNTA(A1771:K1771) = 11,
    _xlpm.QtyIsInt, AND(ISNUMBER(G1771), G1771=INT(G1771)),
    _xlpm.ReqDateIsValid, AND(ISNUMBER(H1771), H1771&gt;=TODAY()),
    _xlpm.EmailIsValid, RIGHT(I1771,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IF(A1771="", "", IF(_xlpm.error_messages = "", "Yes", _xlpm.error_messages))
)</f>
        <v/>
      </c>
    </row>
    <row r="1772" spans="1:12">
      <c r="A1772" s="94"/>
      <c r="B1772" s="95"/>
      <c r="C1772" s="95"/>
      <c r="D1772" s="94"/>
      <c r="E1772" s="94"/>
      <c r="F1772" s="96"/>
      <c r="G1772" s="94"/>
      <c r="H1772" s="96"/>
      <c r="I1772" s="96"/>
      <c r="J1772" s="92"/>
      <c r="K1772" s="97"/>
      <c r="L1772" s="99" t="str">
        <f ca="1">_xlfn.LET(
    _xlpm.res_no, J1772,
    _xlpm.record_sheet, 'MatRes Record'!J:M,
    _xlpm.AllCellsFilled, COUNTA(A1772:K1772) = 11,
    _xlpm.QtyIsInt, AND(ISNUMBER(G1772), G1772=INT(G1772)),
    _xlpm.ReqDateIsValid, AND(ISNUMBER(H1772), H1772&gt;=TODAY()),
    _xlpm.EmailIsValid, RIGHT(I1772,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IF(A1772="", "", IF(_xlpm.error_messages = "", "Yes", _xlpm.error_messages))
)</f>
        <v/>
      </c>
    </row>
    <row r="1773" spans="1:12">
      <c r="A1773" s="94"/>
      <c r="B1773" s="95"/>
      <c r="C1773" s="95"/>
      <c r="D1773" s="94"/>
      <c r="E1773" s="94"/>
      <c r="F1773" s="96"/>
      <c r="G1773" s="94"/>
      <c r="H1773" s="96"/>
      <c r="I1773" s="96"/>
      <c r="J1773" s="92"/>
      <c r="K1773" s="97"/>
      <c r="L1773" s="99" t="str">
        <f ca="1">_xlfn.LET(
    _xlpm.res_no, J1773,
    _xlpm.record_sheet, 'MatRes Record'!J:M,
    _xlpm.AllCellsFilled, COUNTA(A1773:K1773) = 11,
    _xlpm.QtyIsInt, AND(ISNUMBER(G1773), G1773=INT(G1773)),
    _xlpm.ReqDateIsValid, AND(ISNUMBER(H1773), H1773&gt;=TODAY()),
    _xlpm.EmailIsValid, RIGHT(I1773,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IF(A1773="", "", IF(_xlpm.error_messages = "", "Yes", _xlpm.error_messages))
)</f>
        <v/>
      </c>
    </row>
    <row r="1774" spans="1:12">
      <c r="A1774" s="94"/>
      <c r="B1774" s="95"/>
      <c r="C1774" s="95"/>
      <c r="D1774" s="94"/>
      <c r="E1774" s="94"/>
      <c r="F1774" s="96"/>
      <c r="G1774" s="94"/>
      <c r="H1774" s="96"/>
      <c r="I1774" s="96"/>
      <c r="J1774" s="92"/>
      <c r="K1774" s="97"/>
      <c r="L1774" s="99" t="str">
        <f ca="1">_xlfn.LET(
    _xlpm.res_no, J1774,
    _xlpm.record_sheet, 'MatRes Record'!J:M,
    _xlpm.AllCellsFilled, COUNTA(A1774:K1774) = 11,
    _xlpm.QtyIsInt, AND(ISNUMBER(G1774), G1774=INT(G1774)),
    _xlpm.ReqDateIsValid, AND(ISNUMBER(H1774), H1774&gt;=TODAY()),
    _xlpm.EmailIsValid, RIGHT(I1774,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IF(A1774="", "", IF(_xlpm.error_messages = "", "Yes", _xlpm.error_messages))
)</f>
        <v/>
      </c>
    </row>
    <row r="1775" spans="1:12">
      <c r="A1775" s="94"/>
      <c r="B1775" s="95"/>
      <c r="C1775" s="95"/>
      <c r="D1775" s="94"/>
      <c r="E1775" s="94"/>
      <c r="F1775" s="96"/>
      <c r="G1775" s="94"/>
      <c r="H1775" s="96"/>
      <c r="I1775" s="96"/>
      <c r="J1775" s="92"/>
      <c r="K1775" s="97"/>
      <c r="L1775" s="99" t="str">
        <f ca="1">_xlfn.LET(
    _xlpm.res_no, J1775,
    _xlpm.record_sheet, 'MatRes Record'!J:M,
    _xlpm.AllCellsFilled, COUNTA(A1775:K1775) = 11,
    _xlpm.QtyIsInt, AND(ISNUMBER(G1775), G1775=INT(G1775)),
    _xlpm.ReqDateIsValid, AND(ISNUMBER(H1775), H1775&gt;=TODAY()),
    _xlpm.EmailIsValid, RIGHT(I1775,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IF(A1775="", "", IF(_xlpm.error_messages = "", "Yes", _xlpm.error_messages))
)</f>
        <v/>
      </c>
    </row>
    <row r="1776" spans="1:12">
      <c r="A1776" s="94"/>
      <c r="B1776" s="95"/>
      <c r="C1776" s="95"/>
      <c r="D1776" s="94"/>
      <c r="E1776" s="94"/>
      <c r="F1776" s="96"/>
      <c r="G1776" s="94"/>
      <c r="H1776" s="96"/>
      <c r="I1776" s="96"/>
      <c r="J1776" s="92"/>
      <c r="K1776" s="97"/>
      <c r="L1776" s="99" t="str">
        <f ca="1">_xlfn.LET(
    _xlpm.res_no, J1776,
    _xlpm.record_sheet, 'MatRes Record'!J:M,
    _xlpm.AllCellsFilled, COUNTA(A1776:K1776) = 11,
    _xlpm.QtyIsInt, AND(ISNUMBER(G1776), G1776=INT(G1776)),
    _xlpm.ReqDateIsValid, AND(ISNUMBER(H1776), H1776&gt;=TODAY()),
    _xlpm.EmailIsValid, RIGHT(I1776,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IF(A1776="", "", IF(_xlpm.error_messages = "", "Yes", _xlpm.error_messages))
)</f>
        <v/>
      </c>
    </row>
    <row r="1777" spans="1:12">
      <c r="A1777" s="94"/>
      <c r="B1777" s="95"/>
      <c r="C1777" s="95"/>
      <c r="D1777" s="94"/>
      <c r="E1777" s="94"/>
      <c r="F1777" s="96"/>
      <c r="G1777" s="94"/>
      <c r="H1777" s="96"/>
      <c r="I1777" s="96"/>
      <c r="J1777" s="92"/>
      <c r="K1777" s="97"/>
      <c r="L1777" s="99" t="str">
        <f ca="1">_xlfn.LET(
    _xlpm.res_no, J1777,
    _xlpm.record_sheet, 'MatRes Record'!J:M,
    _xlpm.AllCellsFilled, COUNTA(A1777:K1777) = 11,
    _xlpm.QtyIsInt, AND(ISNUMBER(G1777), G1777=INT(G1777)),
    _xlpm.ReqDateIsValid, AND(ISNUMBER(H1777), H1777&gt;=TODAY()),
    _xlpm.EmailIsValid, RIGHT(I1777,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IF(A1777="", "", IF(_xlpm.error_messages = "", "Yes", _xlpm.error_messages))
)</f>
        <v/>
      </c>
    </row>
    <row r="1778" spans="1:12">
      <c r="A1778" s="94"/>
      <c r="B1778" s="95"/>
      <c r="C1778" s="95"/>
      <c r="D1778" s="94"/>
      <c r="E1778" s="94"/>
      <c r="F1778" s="96"/>
      <c r="G1778" s="94"/>
      <c r="H1778" s="96"/>
      <c r="I1778" s="96"/>
      <c r="J1778" s="92"/>
      <c r="K1778" s="97"/>
      <c r="L1778" s="99" t="str">
        <f ca="1">_xlfn.LET(
    _xlpm.res_no, J1778,
    _xlpm.record_sheet, 'MatRes Record'!J:M,
    _xlpm.AllCellsFilled, COUNTA(A1778:K1778) = 11,
    _xlpm.QtyIsInt, AND(ISNUMBER(G1778), G1778=INT(G1778)),
    _xlpm.ReqDateIsValid, AND(ISNUMBER(H1778), H1778&gt;=TODAY()),
    _xlpm.EmailIsValid, RIGHT(I1778,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IF(A1778="", "", IF(_xlpm.error_messages = "", "Yes", _xlpm.error_messages))
)</f>
        <v/>
      </c>
    </row>
    <row r="1779" spans="1:12">
      <c r="A1779" s="94"/>
      <c r="B1779" s="95"/>
      <c r="C1779" s="95"/>
      <c r="D1779" s="94"/>
      <c r="E1779" s="94"/>
      <c r="F1779" s="96"/>
      <c r="G1779" s="94"/>
      <c r="H1779" s="96"/>
      <c r="I1779" s="96"/>
      <c r="J1779" s="92"/>
      <c r="K1779" s="97"/>
      <c r="L1779" s="99" t="str">
        <f ca="1">_xlfn.LET(
    _xlpm.res_no, J1779,
    _xlpm.record_sheet, 'MatRes Record'!J:M,
    _xlpm.AllCellsFilled, COUNTA(A1779:K1779) = 11,
    _xlpm.QtyIsInt, AND(ISNUMBER(G1779), G1779=INT(G1779)),
    _xlpm.ReqDateIsValid, AND(ISNUMBER(H1779), H1779&gt;=TODAY()),
    _xlpm.EmailIsValid, RIGHT(I1779,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IF(A1779="", "", IF(_xlpm.error_messages = "", "Yes", _xlpm.error_messages))
)</f>
        <v/>
      </c>
    </row>
    <row r="1780" spans="1:12">
      <c r="A1780" s="94"/>
      <c r="B1780" s="95"/>
      <c r="C1780" s="95"/>
      <c r="D1780" s="94"/>
      <c r="E1780" s="94"/>
      <c r="F1780" s="96"/>
      <c r="G1780" s="94"/>
      <c r="H1780" s="96"/>
      <c r="I1780" s="96"/>
      <c r="J1780" s="92"/>
      <c r="K1780" s="97"/>
      <c r="L1780" s="99" t="str">
        <f ca="1">_xlfn.LET(
    _xlpm.res_no, J1780,
    _xlpm.record_sheet, 'MatRes Record'!J:M,
    _xlpm.AllCellsFilled, COUNTA(A1780:K1780) = 11,
    _xlpm.QtyIsInt, AND(ISNUMBER(G1780), G1780=INT(G1780)),
    _xlpm.ReqDateIsValid, AND(ISNUMBER(H1780), H1780&gt;=TODAY()),
    _xlpm.EmailIsValid, RIGHT(I1780,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IF(A1780="", "", IF(_xlpm.error_messages = "", "Yes", _xlpm.error_messages))
)</f>
        <v/>
      </c>
    </row>
    <row r="1781" spans="1:12">
      <c r="A1781" s="94"/>
      <c r="B1781" s="95"/>
      <c r="C1781" s="95"/>
      <c r="D1781" s="94"/>
      <c r="E1781" s="94"/>
      <c r="F1781" s="96"/>
      <c r="G1781" s="94"/>
      <c r="H1781" s="96"/>
      <c r="I1781" s="96"/>
      <c r="J1781" s="92"/>
      <c r="K1781" s="97"/>
      <c r="L1781" s="99" t="str">
        <f ca="1">_xlfn.LET(
    _xlpm.res_no, J1781,
    _xlpm.record_sheet, 'MatRes Record'!J:M,
    _xlpm.AllCellsFilled, COUNTA(A1781:K1781) = 11,
    _xlpm.QtyIsInt, AND(ISNUMBER(G1781), G1781=INT(G1781)),
    _xlpm.ReqDateIsValid, AND(ISNUMBER(H1781), H1781&gt;=TODAY()),
    _xlpm.EmailIsValid, RIGHT(I1781,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IF(A1781="", "", IF(_xlpm.error_messages = "", "Yes", _xlpm.error_messages))
)</f>
        <v/>
      </c>
    </row>
    <row r="1782" spans="1:12">
      <c r="A1782" s="94"/>
      <c r="B1782" s="95"/>
      <c r="C1782" s="95"/>
      <c r="D1782" s="94"/>
      <c r="E1782" s="94"/>
      <c r="F1782" s="96"/>
      <c r="G1782" s="94"/>
      <c r="H1782" s="96"/>
      <c r="I1782" s="96"/>
      <c r="J1782" s="92"/>
      <c r="K1782" s="97"/>
      <c r="L1782" s="99" t="str">
        <f ca="1">_xlfn.LET(
    _xlpm.res_no, J1782,
    _xlpm.record_sheet, 'MatRes Record'!J:M,
    _xlpm.AllCellsFilled, COUNTA(A1782:K1782) = 11,
    _xlpm.QtyIsInt, AND(ISNUMBER(G1782), G1782=INT(G1782)),
    _xlpm.ReqDateIsValid, AND(ISNUMBER(H1782), H1782&gt;=TODAY()),
    _xlpm.EmailIsValid, RIGHT(I1782,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IF(A1782="", "", IF(_xlpm.error_messages = "", "Yes", _xlpm.error_messages))
)</f>
        <v/>
      </c>
    </row>
    <row r="1783" spans="1:12">
      <c r="A1783" s="94"/>
      <c r="B1783" s="95"/>
      <c r="C1783" s="95"/>
      <c r="D1783" s="94"/>
      <c r="E1783" s="94"/>
      <c r="F1783" s="96"/>
      <c r="G1783" s="94"/>
      <c r="H1783" s="96"/>
      <c r="I1783" s="96"/>
      <c r="J1783" s="92"/>
      <c r="K1783" s="97"/>
      <c r="L1783" s="99" t="str">
        <f ca="1">_xlfn.LET(
    _xlpm.res_no, J1783,
    _xlpm.record_sheet, 'MatRes Record'!J:M,
    _xlpm.AllCellsFilled, COUNTA(A1783:K1783) = 11,
    _xlpm.QtyIsInt, AND(ISNUMBER(G1783), G1783=INT(G1783)),
    _xlpm.ReqDateIsValid, AND(ISNUMBER(H1783), H1783&gt;=TODAY()),
    _xlpm.EmailIsValid, RIGHT(I1783,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IF(A1783="", "", IF(_xlpm.error_messages = "", "Yes", _xlpm.error_messages))
)</f>
        <v/>
      </c>
    </row>
    <row r="1784" spans="1:12">
      <c r="A1784" s="94"/>
      <c r="B1784" s="95"/>
      <c r="C1784" s="95"/>
      <c r="D1784" s="94"/>
      <c r="E1784" s="94"/>
      <c r="F1784" s="96"/>
      <c r="G1784" s="94"/>
      <c r="H1784" s="96"/>
      <c r="I1784" s="96"/>
      <c r="J1784" s="92"/>
      <c r="K1784" s="97"/>
      <c r="L1784" s="99" t="str">
        <f ca="1">_xlfn.LET(
    _xlpm.res_no, J1784,
    _xlpm.record_sheet, 'MatRes Record'!J:M,
    _xlpm.AllCellsFilled, COUNTA(A1784:K1784) = 11,
    _xlpm.QtyIsInt, AND(ISNUMBER(G1784), G1784=INT(G1784)),
    _xlpm.ReqDateIsValid, AND(ISNUMBER(H1784), H1784&gt;=TODAY()),
    _xlpm.EmailIsValid, RIGHT(I1784,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IF(A1784="", "", IF(_xlpm.error_messages = "", "Yes", _xlpm.error_messages))
)</f>
        <v/>
      </c>
    </row>
    <row r="1785" spans="1:12">
      <c r="A1785" s="94"/>
      <c r="B1785" s="95"/>
      <c r="C1785" s="95"/>
      <c r="D1785" s="94"/>
      <c r="E1785" s="94"/>
      <c r="F1785" s="96"/>
      <c r="G1785" s="94"/>
      <c r="H1785" s="96"/>
      <c r="I1785" s="96"/>
      <c r="J1785" s="92"/>
      <c r="K1785" s="97"/>
      <c r="L1785" s="99" t="str">
        <f ca="1">_xlfn.LET(
    _xlpm.res_no, J1785,
    _xlpm.record_sheet, 'MatRes Record'!J:M,
    _xlpm.AllCellsFilled, COUNTA(A1785:K1785) = 11,
    _xlpm.QtyIsInt, AND(ISNUMBER(G1785), G1785=INT(G1785)),
    _xlpm.ReqDateIsValid, AND(ISNUMBER(H1785), H1785&gt;=TODAY()),
    _xlpm.EmailIsValid, RIGHT(I1785,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IF(A1785="", "", IF(_xlpm.error_messages = "", "Yes", _xlpm.error_messages))
)</f>
        <v/>
      </c>
    </row>
    <row r="1786" spans="1:12">
      <c r="A1786" s="94"/>
      <c r="B1786" s="95"/>
      <c r="C1786" s="95"/>
      <c r="D1786" s="94"/>
      <c r="E1786" s="94"/>
      <c r="F1786" s="96"/>
      <c r="G1786" s="94"/>
      <c r="H1786" s="96"/>
      <c r="I1786" s="96"/>
      <c r="J1786" s="92"/>
      <c r="K1786" s="97"/>
      <c r="L1786" s="99" t="str">
        <f ca="1">_xlfn.LET(
    _xlpm.res_no, J1786,
    _xlpm.record_sheet, 'MatRes Record'!J:M,
    _xlpm.AllCellsFilled, COUNTA(A1786:K1786) = 11,
    _xlpm.QtyIsInt, AND(ISNUMBER(G1786), G1786=INT(G1786)),
    _xlpm.ReqDateIsValid, AND(ISNUMBER(H1786), H1786&gt;=TODAY()),
    _xlpm.EmailIsValid, RIGHT(I1786,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IF(A1786="", "", IF(_xlpm.error_messages = "", "Yes", _xlpm.error_messages))
)</f>
        <v/>
      </c>
    </row>
    <row r="1787" spans="1:12">
      <c r="A1787" s="94"/>
      <c r="B1787" s="95"/>
      <c r="C1787" s="95"/>
      <c r="D1787" s="94"/>
      <c r="E1787" s="94"/>
      <c r="F1787" s="96"/>
      <c r="G1787" s="94"/>
      <c r="H1787" s="96"/>
      <c r="I1787" s="96"/>
      <c r="J1787" s="92"/>
      <c r="K1787" s="97"/>
      <c r="L1787" s="99" t="str">
        <f ca="1">_xlfn.LET(
    _xlpm.res_no, J1787,
    _xlpm.record_sheet, 'MatRes Record'!J:M,
    _xlpm.AllCellsFilled, COUNTA(A1787:K1787) = 11,
    _xlpm.QtyIsInt, AND(ISNUMBER(G1787), G1787=INT(G1787)),
    _xlpm.ReqDateIsValid, AND(ISNUMBER(H1787), H1787&gt;=TODAY()),
    _xlpm.EmailIsValid, RIGHT(I1787,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IF(A1787="", "", IF(_xlpm.error_messages = "", "Yes", _xlpm.error_messages))
)</f>
        <v/>
      </c>
    </row>
    <row r="1788" spans="1:12">
      <c r="A1788" s="94"/>
      <c r="B1788" s="95"/>
      <c r="C1788" s="95"/>
      <c r="D1788" s="94"/>
      <c r="E1788" s="94"/>
      <c r="F1788" s="96"/>
      <c r="G1788" s="94"/>
      <c r="H1788" s="96"/>
      <c r="I1788" s="96"/>
      <c r="J1788" s="92"/>
      <c r="K1788" s="97"/>
      <c r="L1788" s="99" t="str">
        <f ca="1">_xlfn.LET(
    _xlpm.res_no, J1788,
    _xlpm.record_sheet, 'MatRes Record'!J:M,
    _xlpm.AllCellsFilled, COUNTA(A1788:K1788) = 11,
    _xlpm.QtyIsInt, AND(ISNUMBER(G1788), G1788=INT(G1788)),
    _xlpm.ReqDateIsValid, AND(ISNUMBER(H1788), H1788&gt;=TODAY()),
    _xlpm.EmailIsValid, RIGHT(I1788,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IF(A1788="", "", IF(_xlpm.error_messages = "", "Yes", _xlpm.error_messages))
)</f>
        <v/>
      </c>
    </row>
    <row r="1789" spans="1:12">
      <c r="A1789" s="94"/>
      <c r="B1789" s="95"/>
      <c r="C1789" s="95"/>
      <c r="D1789" s="94"/>
      <c r="E1789" s="94"/>
      <c r="F1789" s="96"/>
      <c r="G1789" s="94"/>
      <c r="H1789" s="96"/>
      <c r="I1789" s="96"/>
      <c r="J1789" s="92"/>
      <c r="K1789" s="97"/>
      <c r="L1789" s="99" t="str">
        <f ca="1">_xlfn.LET(
    _xlpm.res_no, J1789,
    _xlpm.record_sheet, 'MatRes Record'!J:M,
    _xlpm.AllCellsFilled, COUNTA(A1789:K1789) = 11,
    _xlpm.QtyIsInt, AND(ISNUMBER(G1789), G1789=INT(G1789)),
    _xlpm.ReqDateIsValid, AND(ISNUMBER(H1789), H1789&gt;=TODAY()),
    _xlpm.EmailIsValid, RIGHT(I1789,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IF(A1789="", "", IF(_xlpm.error_messages = "", "Yes", _xlpm.error_messages))
)</f>
        <v/>
      </c>
    </row>
    <row r="1790" spans="1:12">
      <c r="A1790" s="94"/>
      <c r="B1790" s="95"/>
      <c r="C1790" s="95"/>
      <c r="D1790" s="94"/>
      <c r="E1790" s="94"/>
      <c r="F1790" s="96"/>
      <c r="G1790" s="94"/>
      <c r="H1790" s="96"/>
      <c r="I1790" s="96"/>
      <c r="J1790" s="92"/>
      <c r="K1790" s="97"/>
      <c r="L1790" s="99" t="str">
        <f ca="1">_xlfn.LET(
    _xlpm.res_no, J1790,
    _xlpm.record_sheet, 'MatRes Record'!J:M,
    _xlpm.AllCellsFilled, COUNTA(A1790:K1790) = 11,
    _xlpm.QtyIsInt, AND(ISNUMBER(G1790), G1790=INT(G1790)),
    _xlpm.ReqDateIsValid, AND(ISNUMBER(H1790), H1790&gt;=TODAY()),
    _xlpm.EmailIsValid, RIGHT(I1790,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IF(A1790="", "", IF(_xlpm.error_messages = "", "Yes", _xlpm.error_messages))
)</f>
        <v/>
      </c>
    </row>
    <row r="1791" spans="1:12">
      <c r="A1791" s="94"/>
      <c r="B1791" s="95"/>
      <c r="C1791" s="95"/>
      <c r="D1791" s="94"/>
      <c r="E1791" s="94"/>
      <c r="F1791" s="96"/>
      <c r="G1791" s="94"/>
      <c r="H1791" s="96"/>
      <c r="I1791" s="96"/>
      <c r="J1791" s="92"/>
      <c r="K1791" s="97"/>
      <c r="L1791" s="99" t="str">
        <f ca="1">_xlfn.LET(
    _xlpm.res_no, J1791,
    _xlpm.record_sheet, 'MatRes Record'!J:M,
    _xlpm.AllCellsFilled, COUNTA(A1791:K1791) = 11,
    _xlpm.QtyIsInt, AND(ISNUMBER(G1791), G1791=INT(G1791)),
    _xlpm.ReqDateIsValid, AND(ISNUMBER(H1791), H1791&gt;=TODAY()),
    _xlpm.EmailIsValid, RIGHT(I1791,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IF(A1791="", "", IF(_xlpm.error_messages = "", "Yes", _xlpm.error_messages))
)</f>
        <v/>
      </c>
    </row>
    <row r="1792" spans="1:12">
      <c r="A1792" s="94"/>
      <c r="B1792" s="95"/>
      <c r="C1792" s="95"/>
      <c r="D1792" s="94"/>
      <c r="E1792" s="94"/>
      <c r="F1792" s="96"/>
      <c r="G1792" s="94"/>
      <c r="H1792" s="96"/>
      <c r="I1792" s="96"/>
      <c r="J1792" s="92"/>
      <c r="K1792" s="97"/>
      <c r="L1792" s="99" t="str">
        <f ca="1">_xlfn.LET(
    _xlpm.res_no, J1792,
    _xlpm.record_sheet, 'MatRes Record'!J:M,
    _xlpm.AllCellsFilled, COUNTA(A1792:K1792) = 11,
    _xlpm.QtyIsInt, AND(ISNUMBER(G1792), G1792=INT(G1792)),
    _xlpm.ReqDateIsValid, AND(ISNUMBER(H1792), H1792&gt;=TODAY()),
    _xlpm.EmailIsValid, RIGHT(I1792,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IF(A1792="", "", IF(_xlpm.error_messages = "", "Yes", _xlpm.error_messages))
)</f>
        <v/>
      </c>
    </row>
    <row r="1793" spans="1:12">
      <c r="A1793" s="94"/>
      <c r="B1793" s="95"/>
      <c r="C1793" s="95"/>
      <c r="D1793" s="94"/>
      <c r="E1793" s="94"/>
      <c r="F1793" s="96"/>
      <c r="G1793" s="94"/>
      <c r="H1793" s="96"/>
      <c r="I1793" s="96"/>
      <c r="J1793" s="92"/>
      <c r="K1793" s="97"/>
      <c r="L1793" s="99" t="str">
        <f ca="1">_xlfn.LET(
    _xlpm.res_no, J1793,
    _xlpm.record_sheet, 'MatRes Record'!J:M,
    _xlpm.AllCellsFilled, COUNTA(A1793:K1793) = 11,
    _xlpm.QtyIsInt, AND(ISNUMBER(G1793), G1793=INT(G1793)),
    _xlpm.ReqDateIsValid, AND(ISNUMBER(H1793), H1793&gt;=TODAY()),
    _xlpm.EmailIsValid, RIGHT(I1793,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IF(A1793="", "", IF(_xlpm.error_messages = "", "Yes", _xlpm.error_messages))
)</f>
        <v/>
      </c>
    </row>
    <row r="1794" spans="1:12">
      <c r="A1794" s="94"/>
      <c r="B1794" s="95"/>
      <c r="C1794" s="95"/>
      <c r="D1794" s="94"/>
      <c r="E1794" s="94"/>
      <c r="F1794" s="96"/>
      <c r="G1794" s="94"/>
      <c r="H1794" s="96"/>
      <c r="I1794" s="96"/>
      <c r="J1794" s="92"/>
      <c r="K1794" s="97"/>
      <c r="L1794" s="99" t="str">
        <f ca="1">_xlfn.LET(
    _xlpm.res_no, J1794,
    _xlpm.record_sheet, 'MatRes Record'!J:M,
    _xlpm.AllCellsFilled, COUNTA(A1794:K1794) = 11,
    _xlpm.QtyIsInt, AND(ISNUMBER(G1794), G1794=INT(G1794)),
    _xlpm.ReqDateIsValid, AND(ISNUMBER(H1794), H1794&gt;=TODAY()),
    _xlpm.EmailIsValid, RIGHT(I1794,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IF(A1794="", "", IF(_xlpm.error_messages = "", "Yes", _xlpm.error_messages))
)</f>
        <v/>
      </c>
    </row>
    <row r="1795" spans="1:12">
      <c r="A1795" s="94"/>
      <c r="B1795" s="95"/>
      <c r="C1795" s="95"/>
      <c r="D1795" s="94"/>
      <c r="E1795" s="94"/>
      <c r="F1795" s="96"/>
      <c r="G1795" s="94"/>
      <c r="H1795" s="96"/>
      <c r="I1795" s="96"/>
      <c r="J1795" s="92"/>
      <c r="K1795" s="97"/>
      <c r="L1795" s="99" t="str">
        <f ca="1">_xlfn.LET(
    _xlpm.res_no, J1795,
    _xlpm.record_sheet, 'MatRes Record'!J:M,
    _xlpm.AllCellsFilled, COUNTA(A1795:K1795) = 11,
    _xlpm.QtyIsInt, AND(ISNUMBER(G1795), G1795=INT(G1795)),
    _xlpm.ReqDateIsValid, AND(ISNUMBER(H1795), H1795&gt;=TODAY()),
    _xlpm.EmailIsValid, RIGHT(I1795,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IF(A1795="", "", IF(_xlpm.error_messages = "", "Yes", _xlpm.error_messages))
)</f>
        <v/>
      </c>
    </row>
    <row r="1796" spans="1:12">
      <c r="A1796" s="94"/>
      <c r="B1796" s="95"/>
      <c r="C1796" s="95"/>
      <c r="D1796" s="94"/>
      <c r="E1796" s="94"/>
      <c r="F1796" s="96"/>
      <c r="G1796" s="94"/>
      <c r="H1796" s="96"/>
      <c r="I1796" s="96"/>
      <c r="J1796" s="92"/>
      <c r="K1796" s="97"/>
      <c r="L1796" s="99" t="str">
        <f ca="1">_xlfn.LET(
    _xlpm.res_no, J1796,
    _xlpm.record_sheet, 'MatRes Record'!J:M,
    _xlpm.AllCellsFilled, COUNTA(A1796:K1796) = 11,
    _xlpm.QtyIsInt, AND(ISNUMBER(G1796), G1796=INT(G1796)),
    _xlpm.ReqDateIsValid, AND(ISNUMBER(H1796), H1796&gt;=TODAY()),
    _xlpm.EmailIsValid, RIGHT(I1796,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IF(A1796="", "", IF(_xlpm.error_messages = "", "Yes", _xlpm.error_messages))
)</f>
        <v/>
      </c>
    </row>
    <row r="1797" spans="1:12">
      <c r="A1797" s="94"/>
      <c r="B1797" s="95"/>
      <c r="C1797" s="95"/>
      <c r="D1797" s="94"/>
      <c r="E1797" s="94"/>
      <c r="F1797" s="96"/>
      <c r="G1797" s="94"/>
      <c r="H1797" s="96"/>
      <c r="I1797" s="96"/>
      <c r="J1797" s="92"/>
      <c r="K1797" s="97"/>
      <c r="L1797" s="99" t="str">
        <f ca="1">_xlfn.LET(
    _xlpm.res_no, J1797,
    _xlpm.record_sheet, 'MatRes Record'!J:M,
    _xlpm.AllCellsFilled, COUNTA(A1797:K1797) = 11,
    _xlpm.QtyIsInt, AND(ISNUMBER(G1797), G1797=INT(G1797)),
    _xlpm.ReqDateIsValid, AND(ISNUMBER(H1797), H1797&gt;=TODAY()),
    _xlpm.EmailIsValid, RIGHT(I1797,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IF(A1797="", "", IF(_xlpm.error_messages = "", "Yes", _xlpm.error_messages))
)</f>
        <v/>
      </c>
    </row>
    <row r="1798" spans="1:12">
      <c r="A1798" s="94"/>
      <c r="B1798" s="95"/>
      <c r="C1798" s="95"/>
      <c r="D1798" s="94"/>
      <c r="E1798" s="94"/>
      <c r="F1798" s="96"/>
      <c r="G1798" s="94"/>
      <c r="H1798" s="96"/>
      <c r="I1798" s="96"/>
      <c r="J1798" s="92"/>
      <c r="K1798" s="97"/>
      <c r="L1798" s="99" t="str">
        <f ca="1">_xlfn.LET(
    _xlpm.res_no, J1798,
    _xlpm.record_sheet, 'MatRes Record'!J:M,
    _xlpm.AllCellsFilled, COUNTA(A1798:K1798) = 11,
    _xlpm.QtyIsInt, AND(ISNUMBER(G1798), G1798=INT(G1798)),
    _xlpm.ReqDateIsValid, AND(ISNUMBER(H1798), H1798&gt;=TODAY()),
    _xlpm.EmailIsValid, RIGHT(I1798,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IF(A1798="", "", IF(_xlpm.error_messages = "", "Yes", _xlpm.error_messages))
)</f>
        <v/>
      </c>
    </row>
    <row r="1799" spans="1:12">
      <c r="A1799" s="94"/>
      <c r="B1799" s="95"/>
      <c r="C1799" s="95"/>
      <c r="D1799" s="94"/>
      <c r="E1799" s="94"/>
      <c r="F1799" s="96"/>
      <c r="G1799" s="94"/>
      <c r="H1799" s="96"/>
      <c r="I1799" s="96"/>
      <c r="J1799" s="92"/>
      <c r="K1799" s="97"/>
      <c r="L1799" s="99" t="str">
        <f ca="1">_xlfn.LET(
    _xlpm.res_no, J1799,
    _xlpm.record_sheet, 'MatRes Record'!J:M,
    _xlpm.AllCellsFilled, COUNTA(A1799:K1799) = 11,
    _xlpm.QtyIsInt, AND(ISNUMBER(G1799), G1799=INT(G1799)),
    _xlpm.ReqDateIsValid, AND(ISNUMBER(H1799), H1799&gt;=TODAY()),
    _xlpm.EmailIsValid, RIGHT(I1799,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IF(A1799="", "", IF(_xlpm.error_messages = "", "Yes", _xlpm.error_messages))
)</f>
        <v/>
      </c>
    </row>
    <row r="1800" spans="1:12">
      <c r="A1800" s="94"/>
      <c r="B1800" s="95"/>
      <c r="C1800" s="95"/>
      <c r="D1800" s="94"/>
      <c r="E1800" s="94"/>
      <c r="F1800" s="96"/>
      <c r="G1800" s="94"/>
      <c r="H1800" s="96"/>
      <c r="I1800" s="96"/>
      <c r="J1800" s="92"/>
      <c r="K1800" s="97"/>
      <c r="L1800" s="99" t="str">
        <f ca="1">_xlfn.LET(
    _xlpm.res_no, J1800,
    _xlpm.record_sheet, 'MatRes Record'!J:M,
    _xlpm.AllCellsFilled, COUNTA(A1800:K1800) = 11,
    _xlpm.QtyIsInt, AND(ISNUMBER(G1800), G1800=INT(G1800)),
    _xlpm.ReqDateIsValid, AND(ISNUMBER(H1800), H1800&gt;=TODAY()),
    _xlpm.EmailIsValid, RIGHT(I1800,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IF(A1800="", "", IF(_xlpm.error_messages = "", "Yes", _xlpm.error_messages))
)</f>
        <v/>
      </c>
    </row>
    <row r="1801" spans="1:12">
      <c r="A1801" s="94"/>
      <c r="B1801" s="95"/>
      <c r="C1801" s="95"/>
      <c r="D1801" s="94"/>
      <c r="E1801" s="94"/>
      <c r="F1801" s="96"/>
      <c r="G1801" s="94"/>
      <c r="H1801" s="96"/>
      <c r="I1801" s="96"/>
      <c r="J1801" s="92"/>
      <c r="K1801" s="97"/>
      <c r="L1801" s="99" t="str">
        <f ca="1">_xlfn.LET(
    _xlpm.res_no, J1801,
    _xlpm.record_sheet, 'MatRes Record'!J:M,
    _xlpm.AllCellsFilled, COUNTA(A1801:K1801) = 11,
    _xlpm.QtyIsInt, AND(ISNUMBER(G1801), G1801=INT(G1801)),
    _xlpm.ReqDateIsValid, AND(ISNUMBER(H1801), H1801&gt;=TODAY()),
    _xlpm.EmailIsValid, RIGHT(I1801,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IF(A1801="", "", IF(_xlpm.error_messages = "", "Yes", _xlpm.error_messages))
)</f>
        <v/>
      </c>
    </row>
    <row r="1802" spans="1:12">
      <c r="A1802" s="94"/>
      <c r="B1802" s="95"/>
      <c r="C1802" s="95"/>
      <c r="D1802" s="94"/>
      <c r="E1802" s="94"/>
      <c r="F1802" s="96"/>
      <c r="G1802" s="94"/>
      <c r="H1802" s="96"/>
      <c r="I1802" s="96"/>
      <c r="J1802" s="92"/>
      <c r="K1802" s="97"/>
      <c r="L1802" s="99" t="str">
        <f ca="1">_xlfn.LET(
    _xlpm.res_no, J1802,
    _xlpm.record_sheet, 'MatRes Record'!J:M,
    _xlpm.AllCellsFilled, COUNTA(A1802:K1802) = 11,
    _xlpm.QtyIsInt, AND(ISNUMBER(G1802), G1802=INT(G1802)),
    _xlpm.ReqDateIsValid, AND(ISNUMBER(H1802), H1802&gt;=TODAY()),
    _xlpm.EmailIsValid, RIGHT(I1802,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IF(A1802="", "", IF(_xlpm.error_messages = "", "Yes", _xlpm.error_messages))
)</f>
        <v/>
      </c>
    </row>
    <row r="1803" spans="1:12">
      <c r="A1803" s="94"/>
      <c r="B1803" s="95"/>
      <c r="C1803" s="95"/>
      <c r="D1803" s="94"/>
      <c r="E1803" s="94"/>
      <c r="F1803" s="96"/>
      <c r="G1803" s="94"/>
      <c r="H1803" s="96"/>
      <c r="I1803" s="96"/>
      <c r="J1803" s="92"/>
      <c r="K1803" s="97"/>
      <c r="L1803" s="99" t="str">
        <f ca="1">_xlfn.LET(
    _xlpm.res_no, J1803,
    _xlpm.record_sheet, 'MatRes Record'!J:M,
    _xlpm.AllCellsFilled, COUNTA(A1803:K1803) = 11,
    _xlpm.QtyIsInt, AND(ISNUMBER(G1803), G1803=INT(G1803)),
    _xlpm.ReqDateIsValid, AND(ISNUMBER(H1803), H1803&gt;=TODAY()),
    _xlpm.EmailIsValid, RIGHT(I1803,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IF(A1803="", "", IF(_xlpm.error_messages = "", "Yes", _xlpm.error_messages))
)</f>
        <v/>
      </c>
    </row>
    <row r="1804" spans="1:12">
      <c r="A1804" s="94"/>
      <c r="B1804" s="95"/>
      <c r="C1804" s="95"/>
      <c r="D1804" s="94"/>
      <c r="E1804" s="94"/>
      <c r="F1804" s="96"/>
      <c r="G1804" s="94"/>
      <c r="H1804" s="96"/>
      <c r="I1804" s="96"/>
      <c r="J1804" s="92"/>
      <c r="K1804" s="97"/>
      <c r="L1804" s="99" t="str">
        <f ca="1">_xlfn.LET(
    _xlpm.res_no, J1804,
    _xlpm.record_sheet, 'MatRes Record'!J:M,
    _xlpm.AllCellsFilled, COUNTA(A1804:K1804) = 11,
    _xlpm.QtyIsInt, AND(ISNUMBER(G1804), G1804=INT(G1804)),
    _xlpm.ReqDateIsValid, AND(ISNUMBER(H1804), H1804&gt;=TODAY()),
    _xlpm.EmailIsValid, RIGHT(I1804,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IF(A1804="", "", IF(_xlpm.error_messages = "", "Yes", _xlpm.error_messages))
)</f>
        <v/>
      </c>
    </row>
    <row r="1805" spans="1:12">
      <c r="A1805" s="94"/>
      <c r="B1805" s="95"/>
      <c r="C1805" s="95"/>
      <c r="D1805" s="94"/>
      <c r="E1805" s="94"/>
      <c r="F1805" s="96"/>
      <c r="G1805" s="94"/>
      <c r="H1805" s="96"/>
      <c r="I1805" s="96"/>
      <c r="J1805" s="92"/>
      <c r="K1805" s="97"/>
      <c r="L1805" s="99" t="str">
        <f ca="1">_xlfn.LET(
    _xlpm.res_no, J1805,
    _xlpm.record_sheet, 'MatRes Record'!J:M,
    _xlpm.AllCellsFilled, COUNTA(A1805:K1805) = 11,
    _xlpm.QtyIsInt, AND(ISNUMBER(G1805), G1805=INT(G1805)),
    _xlpm.ReqDateIsValid, AND(ISNUMBER(H1805), H1805&gt;=TODAY()),
    _xlpm.EmailIsValid, RIGHT(I1805,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IF(A1805="", "", IF(_xlpm.error_messages = "", "Yes", _xlpm.error_messages))
)</f>
        <v/>
      </c>
    </row>
    <row r="1806" spans="1:12">
      <c r="A1806" s="94"/>
      <c r="B1806" s="95"/>
      <c r="C1806" s="95"/>
      <c r="D1806" s="94"/>
      <c r="E1806" s="94"/>
      <c r="F1806" s="96"/>
      <c r="G1806" s="94"/>
      <c r="H1806" s="96"/>
      <c r="I1806" s="96"/>
      <c r="J1806" s="92"/>
      <c r="K1806" s="97"/>
      <c r="L1806" s="99" t="str">
        <f ca="1">_xlfn.LET(
    _xlpm.res_no, J1806,
    _xlpm.record_sheet, 'MatRes Record'!J:M,
    _xlpm.AllCellsFilled, COUNTA(A1806:K1806) = 11,
    _xlpm.QtyIsInt, AND(ISNUMBER(G1806), G1806=INT(G1806)),
    _xlpm.ReqDateIsValid, AND(ISNUMBER(H1806), H1806&gt;=TODAY()),
    _xlpm.EmailIsValid, RIGHT(I1806,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IF(A1806="", "", IF(_xlpm.error_messages = "", "Yes", _xlpm.error_messages))
)</f>
        <v/>
      </c>
    </row>
    <row r="1807" spans="1:12">
      <c r="A1807" s="94"/>
      <c r="B1807" s="95"/>
      <c r="C1807" s="95"/>
      <c r="D1807" s="94"/>
      <c r="E1807" s="94"/>
      <c r="F1807" s="96"/>
      <c r="G1807" s="94"/>
      <c r="H1807" s="96"/>
      <c r="I1807" s="96"/>
      <c r="J1807" s="92"/>
      <c r="K1807" s="97"/>
      <c r="L1807" s="99" t="str">
        <f ca="1">_xlfn.LET(
    _xlpm.res_no, J1807,
    _xlpm.record_sheet, 'MatRes Record'!J:M,
    _xlpm.AllCellsFilled, COUNTA(A1807:K1807) = 11,
    _xlpm.QtyIsInt, AND(ISNUMBER(G1807), G1807=INT(G1807)),
    _xlpm.ReqDateIsValid, AND(ISNUMBER(H1807), H1807&gt;=TODAY()),
    _xlpm.EmailIsValid, RIGHT(I1807,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IF(A1807="", "", IF(_xlpm.error_messages = "", "Yes", _xlpm.error_messages))
)</f>
        <v/>
      </c>
    </row>
    <row r="1808" spans="1:12">
      <c r="A1808" s="94"/>
      <c r="B1808" s="95"/>
      <c r="C1808" s="95"/>
      <c r="D1808" s="94"/>
      <c r="E1808" s="94"/>
      <c r="F1808" s="96"/>
      <c r="G1808" s="94"/>
      <c r="H1808" s="96"/>
      <c r="I1808" s="96"/>
      <c r="J1808" s="92"/>
      <c r="K1808" s="97"/>
      <c r="L1808" s="99" t="str">
        <f ca="1">_xlfn.LET(
    _xlpm.res_no, J1808,
    _xlpm.record_sheet, 'MatRes Record'!J:M,
    _xlpm.AllCellsFilled, COUNTA(A1808:K1808) = 11,
    _xlpm.QtyIsInt, AND(ISNUMBER(G1808), G1808=INT(G1808)),
    _xlpm.ReqDateIsValid, AND(ISNUMBER(H1808), H1808&gt;=TODAY()),
    _xlpm.EmailIsValid, RIGHT(I1808,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IF(A1808="", "", IF(_xlpm.error_messages = "", "Yes", _xlpm.error_messages))
)</f>
        <v/>
      </c>
    </row>
    <row r="1809" spans="1:12">
      <c r="A1809" s="94"/>
      <c r="B1809" s="95"/>
      <c r="C1809" s="95"/>
      <c r="D1809" s="94"/>
      <c r="E1809" s="94"/>
      <c r="F1809" s="96"/>
      <c r="G1809" s="94"/>
      <c r="H1809" s="96"/>
      <c r="I1809" s="96"/>
      <c r="J1809" s="92"/>
      <c r="K1809" s="97"/>
      <c r="L1809" s="99" t="str">
        <f ca="1">_xlfn.LET(
    _xlpm.res_no, J1809,
    _xlpm.record_sheet, 'MatRes Record'!J:M,
    _xlpm.AllCellsFilled, COUNTA(A1809:K1809) = 11,
    _xlpm.QtyIsInt, AND(ISNUMBER(G1809), G1809=INT(G1809)),
    _xlpm.ReqDateIsValid, AND(ISNUMBER(H1809), H1809&gt;=TODAY()),
    _xlpm.EmailIsValid, RIGHT(I1809,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IF(A1809="", "", IF(_xlpm.error_messages = "", "Yes", _xlpm.error_messages))
)</f>
        <v/>
      </c>
    </row>
    <row r="1810" spans="1:12">
      <c r="A1810" s="94"/>
      <c r="B1810" s="95"/>
      <c r="C1810" s="95"/>
      <c r="D1810" s="94"/>
      <c r="E1810" s="94"/>
      <c r="F1810" s="96"/>
      <c r="G1810" s="94"/>
      <c r="H1810" s="96"/>
      <c r="I1810" s="96"/>
      <c r="J1810" s="92"/>
      <c r="K1810" s="97"/>
      <c r="L1810" s="99" t="str">
        <f ca="1">_xlfn.LET(
    _xlpm.res_no, J1810,
    _xlpm.record_sheet, 'MatRes Record'!J:M,
    _xlpm.AllCellsFilled, COUNTA(A1810:K1810) = 11,
    _xlpm.QtyIsInt, AND(ISNUMBER(G1810), G1810=INT(G1810)),
    _xlpm.ReqDateIsValid, AND(ISNUMBER(H1810), H1810&gt;=TODAY()),
    _xlpm.EmailIsValid, RIGHT(I1810,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IF(A1810="", "", IF(_xlpm.error_messages = "", "Yes", _xlpm.error_messages))
)</f>
        <v/>
      </c>
    </row>
    <row r="1811" spans="1:12">
      <c r="A1811" s="94"/>
      <c r="B1811" s="95"/>
      <c r="C1811" s="95"/>
      <c r="D1811" s="94"/>
      <c r="E1811" s="94"/>
      <c r="F1811" s="96"/>
      <c r="G1811" s="94"/>
      <c r="H1811" s="96"/>
      <c r="I1811" s="96"/>
      <c r="J1811" s="92"/>
      <c r="K1811" s="97"/>
      <c r="L1811" s="99" t="str">
        <f ca="1">_xlfn.LET(
    _xlpm.res_no, J1811,
    _xlpm.record_sheet, 'MatRes Record'!J:M,
    _xlpm.AllCellsFilled, COUNTA(A1811:K1811) = 11,
    _xlpm.QtyIsInt, AND(ISNUMBER(G1811), G1811=INT(G1811)),
    _xlpm.ReqDateIsValid, AND(ISNUMBER(H1811), H1811&gt;=TODAY()),
    _xlpm.EmailIsValid, RIGHT(I1811,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IF(A1811="", "", IF(_xlpm.error_messages = "", "Yes", _xlpm.error_messages))
)</f>
        <v/>
      </c>
    </row>
    <row r="1812" spans="1:12">
      <c r="A1812" s="94"/>
      <c r="B1812" s="95"/>
      <c r="C1812" s="95"/>
      <c r="D1812" s="94"/>
      <c r="E1812" s="94"/>
      <c r="F1812" s="96"/>
      <c r="G1812" s="94"/>
      <c r="H1812" s="96"/>
      <c r="I1812" s="96"/>
      <c r="J1812" s="92"/>
      <c r="K1812" s="97"/>
      <c r="L1812" s="99" t="str">
        <f ca="1">_xlfn.LET(
    _xlpm.res_no, J1812,
    _xlpm.record_sheet, 'MatRes Record'!J:M,
    _xlpm.AllCellsFilled, COUNTA(A1812:K1812) = 11,
    _xlpm.QtyIsInt, AND(ISNUMBER(G1812), G1812=INT(G1812)),
    _xlpm.ReqDateIsValid, AND(ISNUMBER(H1812), H1812&gt;=TODAY()),
    _xlpm.EmailIsValid, RIGHT(I1812,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IF(A1812="", "", IF(_xlpm.error_messages = "", "Yes", _xlpm.error_messages))
)</f>
        <v/>
      </c>
    </row>
    <row r="1813" spans="1:12">
      <c r="A1813" s="94"/>
      <c r="B1813" s="95"/>
      <c r="C1813" s="95"/>
      <c r="D1813" s="94"/>
      <c r="E1813" s="94"/>
      <c r="F1813" s="96"/>
      <c r="G1813" s="94"/>
      <c r="H1813" s="96"/>
      <c r="I1813" s="96"/>
      <c r="J1813" s="92"/>
      <c r="K1813" s="97"/>
      <c r="L1813" s="99" t="str">
        <f ca="1">_xlfn.LET(
    _xlpm.res_no, J1813,
    _xlpm.record_sheet, 'MatRes Record'!J:M,
    _xlpm.AllCellsFilled, COUNTA(A1813:K1813) = 11,
    _xlpm.QtyIsInt, AND(ISNUMBER(G1813), G1813=INT(G1813)),
    _xlpm.ReqDateIsValid, AND(ISNUMBER(H1813), H1813&gt;=TODAY()),
    _xlpm.EmailIsValid, RIGHT(I1813,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IF(A1813="", "", IF(_xlpm.error_messages = "", "Yes", _xlpm.error_messages))
)</f>
        <v/>
      </c>
    </row>
    <row r="1814" spans="1:12">
      <c r="A1814" s="94"/>
      <c r="B1814" s="95"/>
      <c r="C1814" s="95"/>
      <c r="D1814" s="94"/>
      <c r="E1814" s="94"/>
      <c r="F1814" s="96"/>
      <c r="G1814" s="94"/>
      <c r="H1814" s="96"/>
      <c r="I1814" s="96"/>
      <c r="J1814" s="92"/>
      <c r="K1814" s="97"/>
      <c r="L1814" s="99" t="str">
        <f ca="1">_xlfn.LET(
    _xlpm.res_no, J1814,
    _xlpm.record_sheet, 'MatRes Record'!J:M,
    _xlpm.AllCellsFilled, COUNTA(A1814:K1814) = 11,
    _xlpm.QtyIsInt, AND(ISNUMBER(G1814), G1814=INT(G1814)),
    _xlpm.ReqDateIsValid, AND(ISNUMBER(H1814), H1814&gt;=TODAY()),
    _xlpm.EmailIsValid, RIGHT(I1814,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IF(A1814="", "", IF(_xlpm.error_messages = "", "Yes", _xlpm.error_messages))
)</f>
        <v/>
      </c>
    </row>
    <row r="1815" spans="1:12">
      <c r="A1815" s="94"/>
      <c r="B1815" s="95"/>
      <c r="C1815" s="95"/>
      <c r="D1815" s="94"/>
      <c r="E1815" s="94"/>
      <c r="F1815" s="96"/>
      <c r="G1815" s="94"/>
      <c r="H1815" s="96"/>
      <c r="I1815" s="96"/>
      <c r="J1815" s="92"/>
      <c r="K1815" s="97"/>
      <c r="L1815" s="99" t="str">
        <f ca="1">_xlfn.LET(
    _xlpm.res_no, J1815,
    _xlpm.record_sheet, 'MatRes Record'!J:M,
    _xlpm.AllCellsFilled, COUNTA(A1815:K1815) = 11,
    _xlpm.QtyIsInt, AND(ISNUMBER(G1815), G1815=INT(G1815)),
    _xlpm.ReqDateIsValid, AND(ISNUMBER(H1815), H1815&gt;=TODAY()),
    _xlpm.EmailIsValid, RIGHT(I1815,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IF(A1815="", "", IF(_xlpm.error_messages = "", "Yes", _xlpm.error_messages))
)</f>
        <v/>
      </c>
    </row>
    <row r="1816" spans="1:12">
      <c r="A1816" s="94"/>
      <c r="B1816" s="95"/>
      <c r="C1816" s="95"/>
      <c r="D1816" s="94"/>
      <c r="E1816" s="94"/>
      <c r="F1816" s="96"/>
      <c r="G1816" s="94"/>
      <c r="H1816" s="96"/>
      <c r="I1816" s="96"/>
      <c r="J1816" s="92"/>
      <c r="K1816" s="97"/>
      <c r="L1816" s="99" t="str">
        <f ca="1">_xlfn.LET(
    _xlpm.res_no, J1816,
    _xlpm.record_sheet, 'MatRes Record'!J:M,
    _xlpm.AllCellsFilled, COUNTA(A1816:K1816) = 11,
    _xlpm.QtyIsInt, AND(ISNUMBER(G1816), G1816=INT(G1816)),
    _xlpm.ReqDateIsValid, AND(ISNUMBER(H1816), H1816&gt;=TODAY()),
    _xlpm.EmailIsValid, RIGHT(I1816,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IF(A1816="", "", IF(_xlpm.error_messages = "", "Yes", _xlpm.error_messages))
)</f>
        <v/>
      </c>
    </row>
    <row r="1817" spans="1:12">
      <c r="A1817" s="94"/>
      <c r="B1817" s="95"/>
      <c r="C1817" s="95"/>
      <c r="D1817" s="94"/>
      <c r="E1817" s="94"/>
      <c r="F1817" s="96"/>
      <c r="G1817" s="94"/>
      <c r="H1817" s="96"/>
      <c r="I1817" s="96"/>
      <c r="J1817" s="92"/>
      <c r="K1817" s="97"/>
      <c r="L1817" s="99" t="str">
        <f ca="1">_xlfn.LET(
    _xlpm.res_no, J1817,
    _xlpm.record_sheet, 'MatRes Record'!J:M,
    _xlpm.AllCellsFilled, COUNTA(A1817:K1817) = 11,
    _xlpm.QtyIsInt, AND(ISNUMBER(G1817), G1817=INT(G1817)),
    _xlpm.ReqDateIsValid, AND(ISNUMBER(H1817), H1817&gt;=TODAY()),
    _xlpm.EmailIsValid, RIGHT(I1817,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IF(A1817="", "", IF(_xlpm.error_messages = "", "Yes", _xlpm.error_messages))
)</f>
        <v/>
      </c>
    </row>
    <row r="1818" spans="1:12">
      <c r="A1818" s="94"/>
      <c r="B1818" s="95"/>
      <c r="C1818" s="95"/>
      <c r="D1818" s="94"/>
      <c r="E1818" s="94"/>
      <c r="F1818" s="96"/>
      <c r="G1818" s="94"/>
      <c r="H1818" s="96"/>
      <c r="I1818" s="96"/>
      <c r="J1818" s="92"/>
      <c r="K1818" s="97"/>
      <c r="L1818" s="99" t="str">
        <f ca="1">_xlfn.LET(
    _xlpm.res_no, J1818,
    _xlpm.record_sheet, 'MatRes Record'!J:M,
    _xlpm.AllCellsFilled, COUNTA(A1818:K1818) = 11,
    _xlpm.QtyIsInt, AND(ISNUMBER(G1818), G1818=INT(G1818)),
    _xlpm.ReqDateIsValid, AND(ISNUMBER(H1818), H1818&gt;=TODAY()),
    _xlpm.EmailIsValid, RIGHT(I1818,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IF(A1818="", "", IF(_xlpm.error_messages = "", "Yes", _xlpm.error_messages))
)</f>
        <v/>
      </c>
    </row>
    <row r="1819" spans="1:12">
      <c r="A1819" s="94"/>
      <c r="B1819" s="95"/>
      <c r="C1819" s="95"/>
      <c r="D1819" s="94"/>
      <c r="E1819" s="94"/>
      <c r="F1819" s="96"/>
      <c r="G1819" s="94"/>
      <c r="H1819" s="96"/>
      <c r="I1819" s="96"/>
      <c r="J1819" s="92"/>
      <c r="K1819" s="97"/>
      <c r="L1819" s="99" t="str">
        <f ca="1">_xlfn.LET(
    _xlpm.res_no, J1819,
    _xlpm.record_sheet, 'MatRes Record'!J:M,
    _xlpm.AllCellsFilled, COUNTA(A1819:K1819) = 11,
    _xlpm.QtyIsInt, AND(ISNUMBER(G1819), G1819=INT(G1819)),
    _xlpm.ReqDateIsValid, AND(ISNUMBER(H1819), H1819&gt;=TODAY()),
    _xlpm.EmailIsValid, RIGHT(I1819,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IF(A1819="", "", IF(_xlpm.error_messages = "", "Yes", _xlpm.error_messages))
)</f>
        <v/>
      </c>
    </row>
    <row r="1820" spans="1:12">
      <c r="A1820" s="94"/>
      <c r="B1820" s="95"/>
      <c r="C1820" s="95"/>
      <c r="D1820" s="94"/>
      <c r="E1820" s="94"/>
      <c r="F1820" s="96"/>
      <c r="G1820" s="94"/>
      <c r="H1820" s="96"/>
      <c r="I1820" s="96"/>
      <c r="J1820" s="92"/>
      <c r="K1820" s="97"/>
      <c r="L1820" s="99" t="str">
        <f ca="1">_xlfn.LET(
    _xlpm.res_no, J1820,
    _xlpm.record_sheet, 'MatRes Record'!J:M,
    _xlpm.AllCellsFilled, COUNTA(A1820:K1820) = 11,
    _xlpm.QtyIsInt, AND(ISNUMBER(G1820), G1820=INT(G1820)),
    _xlpm.ReqDateIsValid, AND(ISNUMBER(H1820), H1820&gt;=TODAY()),
    _xlpm.EmailIsValid, RIGHT(I1820,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IF(A1820="", "", IF(_xlpm.error_messages = "", "Yes", _xlpm.error_messages))
)</f>
        <v/>
      </c>
    </row>
    <row r="1821" spans="1:12">
      <c r="A1821" s="94"/>
      <c r="B1821" s="95"/>
      <c r="C1821" s="95"/>
      <c r="D1821" s="94"/>
      <c r="E1821" s="94"/>
      <c r="F1821" s="96"/>
      <c r="G1821" s="94"/>
      <c r="H1821" s="96"/>
      <c r="I1821" s="96"/>
      <c r="J1821" s="92"/>
      <c r="K1821" s="97"/>
      <c r="L1821" s="99" t="str">
        <f ca="1">_xlfn.LET(
    _xlpm.res_no, J1821,
    _xlpm.record_sheet, 'MatRes Record'!J:M,
    _xlpm.AllCellsFilled, COUNTA(A1821:K1821) = 11,
    _xlpm.QtyIsInt, AND(ISNUMBER(G1821), G1821=INT(G1821)),
    _xlpm.ReqDateIsValid, AND(ISNUMBER(H1821), H1821&gt;=TODAY()),
    _xlpm.EmailIsValid, RIGHT(I1821,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IF(A1821="", "", IF(_xlpm.error_messages = "", "Yes", _xlpm.error_messages))
)</f>
        <v/>
      </c>
    </row>
    <row r="1822" spans="1:12">
      <c r="A1822" s="94"/>
      <c r="B1822" s="95"/>
      <c r="C1822" s="95"/>
      <c r="D1822" s="94"/>
      <c r="E1822" s="94"/>
      <c r="F1822" s="96"/>
      <c r="G1822" s="94"/>
      <c r="H1822" s="96"/>
      <c r="I1822" s="96"/>
      <c r="J1822" s="92"/>
      <c r="K1822" s="97"/>
      <c r="L1822" s="99" t="str">
        <f ca="1">_xlfn.LET(
    _xlpm.res_no, J1822,
    _xlpm.record_sheet, 'MatRes Record'!J:M,
    _xlpm.AllCellsFilled, COUNTA(A1822:K1822) = 11,
    _xlpm.QtyIsInt, AND(ISNUMBER(G1822), G1822=INT(G1822)),
    _xlpm.ReqDateIsValid, AND(ISNUMBER(H1822), H1822&gt;=TODAY()),
    _xlpm.EmailIsValid, RIGHT(I1822,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IF(A1822="", "", IF(_xlpm.error_messages = "", "Yes", _xlpm.error_messages))
)</f>
        <v/>
      </c>
    </row>
    <row r="1823" spans="1:12">
      <c r="A1823" s="94"/>
      <c r="B1823" s="95"/>
      <c r="C1823" s="95"/>
      <c r="D1823" s="94"/>
      <c r="E1823" s="94"/>
      <c r="F1823" s="96"/>
      <c r="G1823" s="94"/>
      <c r="H1823" s="96"/>
      <c r="I1823" s="96"/>
      <c r="J1823" s="92"/>
      <c r="K1823" s="97"/>
      <c r="L1823" s="99" t="str">
        <f ca="1">_xlfn.LET(
    _xlpm.res_no, J1823,
    _xlpm.record_sheet, 'MatRes Record'!J:M,
    _xlpm.AllCellsFilled, COUNTA(A1823:K1823) = 11,
    _xlpm.QtyIsInt, AND(ISNUMBER(G1823), G1823=INT(G1823)),
    _xlpm.ReqDateIsValid, AND(ISNUMBER(H1823), H1823&gt;=TODAY()),
    _xlpm.EmailIsValid, RIGHT(I1823,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IF(A1823="", "", IF(_xlpm.error_messages = "", "Yes", _xlpm.error_messages))
)</f>
        <v/>
      </c>
    </row>
    <row r="1824" spans="1:12">
      <c r="A1824" s="94"/>
      <c r="B1824" s="95"/>
      <c r="C1824" s="95"/>
      <c r="D1824" s="94"/>
      <c r="E1824" s="94"/>
      <c r="F1824" s="96"/>
      <c r="G1824" s="94"/>
      <c r="H1824" s="96"/>
      <c r="I1824" s="96"/>
      <c r="J1824" s="92"/>
      <c r="K1824" s="97"/>
      <c r="L1824" s="99" t="str">
        <f ca="1">_xlfn.LET(
    _xlpm.res_no, J1824,
    _xlpm.record_sheet, 'MatRes Record'!J:M,
    _xlpm.AllCellsFilled, COUNTA(A1824:K1824) = 11,
    _xlpm.QtyIsInt, AND(ISNUMBER(G1824), G1824=INT(G1824)),
    _xlpm.ReqDateIsValid, AND(ISNUMBER(H1824), H1824&gt;=TODAY()),
    _xlpm.EmailIsValid, RIGHT(I1824,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IF(A1824="", "", IF(_xlpm.error_messages = "", "Yes", _xlpm.error_messages))
)</f>
        <v/>
      </c>
    </row>
    <row r="1825" spans="1:12">
      <c r="A1825" s="94"/>
      <c r="B1825" s="95"/>
      <c r="C1825" s="95"/>
      <c r="D1825" s="94"/>
      <c r="E1825" s="94"/>
      <c r="F1825" s="96"/>
      <c r="G1825" s="94"/>
      <c r="H1825" s="96"/>
      <c r="I1825" s="96"/>
      <c r="J1825" s="92"/>
      <c r="K1825" s="97"/>
      <c r="L1825" s="99" t="str">
        <f ca="1">_xlfn.LET(
    _xlpm.res_no, J1825,
    _xlpm.record_sheet, 'MatRes Record'!J:M,
    _xlpm.AllCellsFilled, COUNTA(A1825:K1825) = 11,
    _xlpm.QtyIsInt, AND(ISNUMBER(G1825), G1825=INT(G1825)),
    _xlpm.ReqDateIsValid, AND(ISNUMBER(H1825), H1825&gt;=TODAY()),
    _xlpm.EmailIsValid, RIGHT(I1825,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IF(A1825="", "", IF(_xlpm.error_messages = "", "Yes", _xlpm.error_messages))
)</f>
        <v/>
      </c>
    </row>
    <row r="1826" spans="1:12">
      <c r="A1826" s="94"/>
      <c r="B1826" s="95"/>
      <c r="C1826" s="95"/>
      <c r="D1826" s="94"/>
      <c r="E1826" s="94"/>
      <c r="F1826" s="96"/>
      <c r="G1826" s="94"/>
      <c r="H1826" s="96"/>
      <c r="I1826" s="96"/>
      <c r="J1826" s="92"/>
      <c r="K1826" s="97"/>
      <c r="L1826" s="99" t="str">
        <f ca="1">_xlfn.LET(
    _xlpm.res_no, J1826,
    _xlpm.record_sheet, 'MatRes Record'!J:M,
    _xlpm.AllCellsFilled, COUNTA(A1826:K1826) = 11,
    _xlpm.QtyIsInt, AND(ISNUMBER(G1826), G1826=INT(G1826)),
    _xlpm.ReqDateIsValid, AND(ISNUMBER(H1826), H1826&gt;=TODAY()),
    _xlpm.EmailIsValid, RIGHT(I1826,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IF(A1826="", "", IF(_xlpm.error_messages = "", "Yes", _xlpm.error_messages))
)</f>
        <v/>
      </c>
    </row>
    <row r="1827" spans="1:12">
      <c r="A1827" s="94"/>
      <c r="B1827" s="95"/>
      <c r="C1827" s="95"/>
      <c r="D1827" s="94"/>
      <c r="E1827" s="94"/>
      <c r="F1827" s="96"/>
      <c r="G1827" s="94"/>
      <c r="H1827" s="96"/>
      <c r="I1827" s="96"/>
      <c r="J1827" s="92"/>
      <c r="K1827" s="97"/>
      <c r="L1827" s="99" t="str">
        <f ca="1">_xlfn.LET(
    _xlpm.res_no, J1827,
    _xlpm.record_sheet, 'MatRes Record'!J:M,
    _xlpm.AllCellsFilled, COUNTA(A1827:K1827) = 11,
    _xlpm.QtyIsInt, AND(ISNUMBER(G1827), G1827=INT(G1827)),
    _xlpm.ReqDateIsValid, AND(ISNUMBER(H1827), H1827&gt;=TODAY()),
    _xlpm.EmailIsValid, RIGHT(I1827,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IF(A1827="", "", IF(_xlpm.error_messages = "", "Yes", _xlpm.error_messages))
)</f>
        <v/>
      </c>
    </row>
    <row r="1828" spans="1:12">
      <c r="A1828" s="94"/>
      <c r="B1828" s="95"/>
      <c r="C1828" s="95"/>
      <c r="D1828" s="94"/>
      <c r="E1828" s="94"/>
      <c r="F1828" s="96"/>
      <c r="G1828" s="94"/>
      <c r="H1828" s="96"/>
      <c r="I1828" s="96"/>
      <c r="J1828" s="92"/>
      <c r="K1828" s="97"/>
      <c r="L1828" s="99" t="str">
        <f ca="1">_xlfn.LET(
    _xlpm.res_no, J1828,
    _xlpm.record_sheet, 'MatRes Record'!J:M,
    _xlpm.AllCellsFilled, COUNTA(A1828:K1828) = 11,
    _xlpm.QtyIsInt, AND(ISNUMBER(G1828), G1828=INT(G1828)),
    _xlpm.ReqDateIsValid, AND(ISNUMBER(H1828), H1828&gt;=TODAY()),
    _xlpm.EmailIsValid, RIGHT(I1828,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IF(A1828="", "", IF(_xlpm.error_messages = "", "Yes", _xlpm.error_messages))
)</f>
        <v/>
      </c>
    </row>
    <row r="1829" spans="1:12">
      <c r="A1829" s="94"/>
      <c r="B1829" s="95"/>
      <c r="C1829" s="95"/>
      <c r="D1829" s="94"/>
      <c r="E1829" s="94"/>
      <c r="F1829" s="96"/>
      <c r="G1829" s="94"/>
      <c r="H1829" s="96"/>
      <c r="I1829" s="96"/>
      <c r="J1829" s="92"/>
      <c r="K1829" s="97"/>
      <c r="L1829" s="99" t="str">
        <f ca="1">_xlfn.LET(
    _xlpm.res_no, J1829,
    _xlpm.record_sheet, 'MatRes Record'!J:M,
    _xlpm.AllCellsFilled, COUNTA(A1829:K1829) = 11,
    _xlpm.QtyIsInt, AND(ISNUMBER(G1829), G1829=INT(G1829)),
    _xlpm.ReqDateIsValid, AND(ISNUMBER(H1829), H1829&gt;=TODAY()),
    _xlpm.EmailIsValid, RIGHT(I1829,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IF(A1829="", "", IF(_xlpm.error_messages = "", "Yes", _xlpm.error_messages))
)</f>
        <v/>
      </c>
    </row>
    <row r="1830" spans="1:12">
      <c r="A1830" s="94"/>
      <c r="B1830" s="95"/>
      <c r="C1830" s="95"/>
      <c r="D1830" s="94"/>
      <c r="E1830" s="94"/>
      <c r="F1830" s="96"/>
      <c r="G1830" s="94"/>
      <c r="H1830" s="96"/>
      <c r="I1830" s="96"/>
      <c r="J1830" s="92"/>
      <c r="K1830" s="97"/>
      <c r="L1830" s="99" t="str">
        <f ca="1">_xlfn.LET(
    _xlpm.res_no, J1830,
    _xlpm.record_sheet, 'MatRes Record'!J:M,
    _xlpm.AllCellsFilled, COUNTA(A1830:K1830) = 11,
    _xlpm.QtyIsInt, AND(ISNUMBER(G1830), G1830=INT(G1830)),
    _xlpm.ReqDateIsValid, AND(ISNUMBER(H1830), H1830&gt;=TODAY()),
    _xlpm.EmailIsValid, RIGHT(I1830,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IF(A1830="", "", IF(_xlpm.error_messages = "", "Yes", _xlpm.error_messages))
)</f>
        <v/>
      </c>
    </row>
    <row r="1831" spans="1:12">
      <c r="A1831" s="94"/>
      <c r="B1831" s="95"/>
      <c r="C1831" s="95"/>
      <c r="D1831" s="94"/>
      <c r="E1831" s="94"/>
      <c r="F1831" s="96"/>
      <c r="G1831" s="94"/>
      <c r="H1831" s="96"/>
      <c r="I1831" s="96"/>
      <c r="J1831" s="92"/>
      <c r="K1831" s="97"/>
      <c r="L1831" s="99" t="str">
        <f ca="1">_xlfn.LET(
    _xlpm.res_no, J1831,
    _xlpm.record_sheet, 'MatRes Record'!J:M,
    _xlpm.AllCellsFilled, COUNTA(A1831:K1831) = 11,
    _xlpm.QtyIsInt, AND(ISNUMBER(G1831), G1831=INT(G1831)),
    _xlpm.ReqDateIsValid, AND(ISNUMBER(H1831), H1831&gt;=TODAY()),
    _xlpm.EmailIsValid, RIGHT(I1831,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IF(A1831="", "", IF(_xlpm.error_messages = "", "Yes", _xlpm.error_messages))
)</f>
        <v/>
      </c>
    </row>
    <row r="1832" spans="1:12">
      <c r="A1832" s="94"/>
      <c r="B1832" s="95"/>
      <c r="C1832" s="95"/>
      <c r="D1832" s="94"/>
      <c r="E1832" s="94"/>
      <c r="F1832" s="96"/>
      <c r="G1832" s="94"/>
      <c r="H1832" s="96"/>
      <c r="I1832" s="96"/>
      <c r="J1832" s="92"/>
      <c r="K1832" s="97"/>
      <c r="L1832" s="99" t="str">
        <f ca="1">_xlfn.LET(
    _xlpm.res_no, J1832,
    _xlpm.record_sheet, 'MatRes Record'!J:M,
    _xlpm.AllCellsFilled, COUNTA(A1832:K1832) = 11,
    _xlpm.QtyIsInt, AND(ISNUMBER(G1832), G1832=INT(G1832)),
    _xlpm.ReqDateIsValid, AND(ISNUMBER(H1832), H1832&gt;=TODAY()),
    _xlpm.EmailIsValid, RIGHT(I1832,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IF(A1832="", "", IF(_xlpm.error_messages = "", "Yes", _xlpm.error_messages))
)</f>
        <v/>
      </c>
    </row>
    <row r="1833" spans="1:12">
      <c r="A1833" s="94"/>
      <c r="B1833" s="95"/>
      <c r="C1833" s="95"/>
      <c r="D1833" s="94"/>
      <c r="E1833" s="94"/>
      <c r="F1833" s="96"/>
      <c r="G1833" s="94"/>
      <c r="H1833" s="96"/>
      <c r="I1833" s="96"/>
      <c r="J1833" s="92"/>
      <c r="K1833" s="97"/>
      <c r="L1833" s="99" t="str">
        <f ca="1">_xlfn.LET(
    _xlpm.res_no, J1833,
    _xlpm.record_sheet, 'MatRes Record'!J:M,
    _xlpm.AllCellsFilled, COUNTA(A1833:K1833) = 11,
    _xlpm.QtyIsInt, AND(ISNUMBER(G1833), G1833=INT(G1833)),
    _xlpm.ReqDateIsValid, AND(ISNUMBER(H1833), H1833&gt;=TODAY()),
    _xlpm.EmailIsValid, RIGHT(I1833,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IF(A1833="", "", IF(_xlpm.error_messages = "", "Yes", _xlpm.error_messages))
)</f>
        <v/>
      </c>
    </row>
    <row r="1834" spans="1:12">
      <c r="A1834" s="94"/>
      <c r="B1834" s="95"/>
      <c r="C1834" s="95"/>
      <c r="D1834" s="94"/>
      <c r="E1834" s="94"/>
      <c r="F1834" s="96"/>
      <c r="G1834" s="94"/>
      <c r="H1834" s="96"/>
      <c r="I1834" s="96"/>
      <c r="J1834" s="92"/>
      <c r="K1834" s="97"/>
      <c r="L1834" s="99" t="str">
        <f ca="1">_xlfn.LET(
    _xlpm.res_no, J1834,
    _xlpm.record_sheet, 'MatRes Record'!J:M,
    _xlpm.AllCellsFilled, COUNTA(A1834:K1834) = 11,
    _xlpm.QtyIsInt, AND(ISNUMBER(G1834), G1834=INT(G1834)),
    _xlpm.ReqDateIsValid, AND(ISNUMBER(H1834), H1834&gt;=TODAY()),
    _xlpm.EmailIsValid, RIGHT(I1834,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IF(A1834="", "", IF(_xlpm.error_messages = "", "Yes", _xlpm.error_messages))
)</f>
        <v/>
      </c>
    </row>
    <row r="1835" spans="1:12">
      <c r="A1835" s="94"/>
      <c r="B1835" s="95"/>
      <c r="C1835" s="95"/>
      <c r="D1835" s="94"/>
      <c r="E1835" s="94"/>
      <c r="F1835" s="96"/>
      <c r="G1835" s="94"/>
      <c r="H1835" s="96"/>
      <c r="I1835" s="96"/>
      <c r="J1835" s="92"/>
      <c r="K1835" s="97"/>
      <c r="L1835" s="99" t="str">
        <f ca="1">_xlfn.LET(
    _xlpm.res_no, J1835,
    _xlpm.record_sheet, 'MatRes Record'!J:M,
    _xlpm.AllCellsFilled, COUNTA(A1835:K1835) = 11,
    _xlpm.QtyIsInt, AND(ISNUMBER(G1835), G1835=INT(G1835)),
    _xlpm.ReqDateIsValid, AND(ISNUMBER(H1835), H1835&gt;=TODAY()),
    _xlpm.EmailIsValid, RIGHT(I1835,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IF(A1835="", "", IF(_xlpm.error_messages = "", "Yes", _xlpm.error_messages))
)</f>
        <v/>
      </c>
    </row>
    <row r="1836" spans="1:12">
      <c r="A1836" s="94"/>
      <c r="B1836" s="95"/>
      <c r="C1836" s="95"/>
      <c r="D1836" s="94"/>
      <c r="E1836" s="94"/>
      <c r="F1836" s="96"/>
      <c r="G1836" s="94"/>
      <c r="H1836" s="96"/>
      <c r="I1836" s="96"/>
      <c r="J1836" s="92"/>
      <c r="K1836" s="97"/>
      <c r="L1836" s="99" t="str">
        <f ca="1">_xlfn.LET(
    _xlpm.res_no, J1836,
    _xlpm.record_sheet, 'MatRes Record'!J:M,
    _xlpm.AllCellsFilled, COUNTA(A1836:K1836) = 11,
    _xlpm.QtyIsInt, AND(ISNUMBER(G1836), G1836=INT(G1836)),
    _xlpm.ReqDateIsValid, AND(ISNUMBER(H1836), H1836&gt;=TODAY()),
    _xlpm.EmailIsValid, RIGHT(I1836,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IF(A1836="", "", IF(_xlpm.error_messages = "", "Yes", _xlpm.error_messages))
)</f>
        <v/>
      </c>
    </row>
    <row r="1837" spans="1:12">
      <c r="A1837" s="94"/>
      <c r="B1837" s="95"/>
      <c r="C1837" s="95"/>
      <c r="D1837" s="94"/>
      <c r="E1837" s="94"/>
      <c r="F1837" s="96"/>
      <c r="G1837" s="94"/>
      <c r="H1837" s="96"/>
      <c r="I1837" s="96"/>
      <c r="J1837" s="92"/>
      <c r="K1837" s="97"/>
      <c r="L1837" s="99" t="str">
        <f ca="1">_xlfn.LET(
    _xlpm.res_no, J1837,
    _xlpm.record_sheet, 'MatRes Record'!J:M,
    _xlpm.AllCellsFilled, COUNTA(A1837:K1837) = 11,
    _xlpm.QtyIsInt, AND(ISNUMBER(G1837), G1837=INT(G1837)),
    _xlpm.ReqDateIsValid, AND(ISNUMBER(H1837), H1837&gt;=TODAY()),
    _xlpm.EmailIsValid, RIGHT(I1837,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IF(A1837="", "", IF(_xlpm.error_messages = "", "Yes", _xlpm.error_messages))
)</f>
        <v/>
      </c>
    </row>
    <row r="1838" spans="1:12">
      <c r="A1838" s="94"/>
      <c r="B1838" s="95"/>
      <c r="C1838" s="95"/>
      <c r="D1838" s="94"/>
      <c r="E1838" s="94"/>
      <c r="F1838" s="96"/>
      <c r="G1838" s="94"/>
      <c r="H1838" s="96"/>
      <c r="I1838" s="96"/>
      <c r="J1838" s="92"/>
      <c r="K1838" s="97"/>
      <c r="L1838" s="99" t="str">
        <f ca="1">_xlfn.LET(
    _xlpm.res_no, J1838,
    _xlpm.record_sheet, 'MatRes Record'!J:M,
    _xlpm.AllCellsFilled, COUNTA(A1838:K1838) = 11,
    _xlpm.QtyIsInt, AND(ISNUMBER(G1838), G1838=INT(G1838)),
    _xlpm.ReqDateIsValid, AND(ISNUMBER(H1838), H1838&gt;=TODAY()),
    _xlpm.EmailIsValid, RIGHT(I1838,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IF(A1838="", "", IF(_xlpm.error_messages = "", "Yes", _xlpm.error_messages))
)</f>
        <v/>
      </c>
    </row>
    <row r="1839" spans="1:12">
      <c r="A1839" s="94"/>
      <c r="B1839" s="95"/>
      <c r="C1839" s="95"/>
      <c r="D1839" s="94"/>
      <c r="E1839" s="94"/>
      <c r="F1839" s="96"/>
      <c r="G1839" s="94"/>
      <c r="H1839" s="96"/>
      <c r="I1839" s="96"/>
      <c r="J1839" s="92"/>
      <c r="K1839" s="97"/>
      <c r="L1839" s="99" t="str">
        <f ca="1">_xlfn.LET(
    _xlpm.res_no, J1839,
    _xlpm.record_sheet, 'MatRes Record'!J:M,
    _xlpm.AllCellsFilled, COUNTA(A1839:K1839) = 11,
    _xlpm.QtyIsInt, AND(ISNUMBER(G1839), G1839=INT(G1839)),
    _xlpm.ReqDateIsValid, AND(ISNUMBER(H1839), H1839&gt;=TODAY()),
    _xlpm.EmailIsValid, RIGHT(I1839,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IF(A1839="", "", IF(_xlpm.error_messages = "", "Yes", _xlpm.error_messages))
)</f>
        <v/>
      </c>
    </row>
    <row r="1840" spans="1:12">
      <c r="A1840" s="94"/>
      <c r="B1840" s="95"/>
      <c r="C1840" s="95"/>
      <c r="D1840" s="94"/>
      <c r="E1840" s="94"/>
      <c r="F1840" s="96"/>
      <c r="G1840" s="94"/>
      <c r="H1840" s="96"/>
      <c r="I1840" s="96"/>
      <c r="J1840" s="92"/>
      <c r="K1840" s="97"/>
      <c r="L1840" s="99" t="str">
        <f ca="1">_xlfn.LET(
    _xlpm.res_no, J1840,
    _xlpm.record_sheet, 'MatRes Record'!J:M,
    _xlpm.AllCellsFilled, COUNTA(A1840:K1840) = 11,
    _xlpm.QtyIsInt, AND(ISNUMBER(G1840), G1840=INT(G1840)),
    _xlpm.ReqDateIsValid, AND(ISNUMBER(H1840), H1840&gt;=TODAY()),
    _xlpm.EmailIsValid, RIGHT(I1840,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IF(A1840="", "", IF(_xlpm.error_messages = "", "Yes", _xlpm.error_messages))
)</f>
        <v/>
      </c>
    </row>
    <row r="1841" spans="1:12">
      <c r="A1841" s="94"/>
      <c r="B1841" s="95"/>
      <c r="C1841" s="95"/>
      <c r="D1841" s="94"/>
      <c r="E1841" s="94"/>
      <c r="F1841" s="96"/>
      <c r="G1841" s="94"/>
      <c r="H1841" s="96"/>
      <c r="I1841" s="96"/>
      <c r="J1841" s="92"/>
      <c r="K1841" s="97"/>
      <c r="L1841" s="99" t="str">
        <f ca="1">_xlfn.LET(
    _xlpm.res_no, J1841,
    _xlpm.record_sheet, 'MatRes Record'!J:M,
    _xlpm.AllCellsFilled, COUNTA(A1841:K1841) = 11,
    _xlpm.QtyIsInt, AND(ISNUMBER(G1841), G1841=INT(G1841)),
    _xlpm.ReqDateIsValid, AND(ISNUMBER(H1841), H1841&gt;=TODAY()),
    _xlpm.EmailIsValid, RIGHT(I1841,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IF(A1841="", "", IF(_xlpm.error_messages = "", "Yes", _xlpm.error_messages))
)</f>
        <v/>
      </c>
    </row>
    <row r="1842" spans="1:12">
      <c r="A1842" s="94"/>
      <c r="B1842" s="95"/>
      <c r="C1842" s="95"/>
      <c r="D1842" s="94"/>
      <c r="E1842" s="94"/>
      <c r="F1842" s="96"/>
      <c r="G1842" s="94"/>
      <c r="H1842" s="96"/>
      <c r="I1842" s="96"/>
      <c r="J1842" s="92"/>
      <c r="K1842" s="97"/>
      <c r="L1842" s="99" t="str">
        <f ca="1">_xlfn.LET(
    _xlpm.res_no, J1842,
    _xlpm.record_sheet, 'MatRes Record'!J:M,
    _xlpm.AllCellsFilled, COUNTA(A1842:K1842) = 11,
    _xlpm.QtyIsInt, AND(ISNUMBER(G1842), G1842=INT(G1842)),
    _xlpm.ReqDateIsValid, AND(ISNUMBER(H1842), H1842&gt;=TODAY()),
    _xlpm.EmailIsValid, RIGHT(I1842,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IF(A1842="", "", IF(_xlpm.error_messages = "", "Yes", _xlpm.error_messages))
)</f>
        <v/>
      </c>
    </row>
    <row r="1843" spans="1:12">
      <c r="A1843" s="94"/>
      <c r="B1843" s="95"/>
      <c r="C1843" s="95"/>
      <c r="D1843" s="94"/>
      <c r="E1843" s="94"/>
      <c r="F1843" s="96"/>
      <c r="G1843" s="94"/>
      <c r="H1843" s="96"/>
      <c r="I1843" s="96"/>
      <c r="J1843" s="92"/>
      <c r="K1843" s="97"/>
      <c r="L1843" s="99" t="str">
        <f ca="1">_xlfn.LET(
    _xlpm.res_no, J1843,
    _xlpm.record_sheet, 'MatRes Record'!J:M,
    _xlpm.AllCellsFilled, COUNTA(A1843:K1843) = 11,
    _xlpm.QtyIsInt, AND(ISNUMBER(G1843), G1843=INT(G1843)),
    _xlpm.ReqDateIsValid, AND(ISNUMBER(H1843), H1843&gt;=TODAY()),
    _xlpm.EmailIsValid, RIGHT(I1843,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IF(A1843="", "", IF(_xlpm.error_messages = "", "Yes", _xlpm.error_messages))
)</f>
        <v/>
      </c>
    </row>
    <row r="1844" spans="1:12">
      <c r="A1844" s="94"/>
      <c r="B1844" s="95"/>
      <c r="C1844" s="95"/>
      <c r="D1844" s="94"/>
      <c r="E1844" s="94"/>
      <c r="F1844" s="96"/>
      <c r="G1844" s="94"/>
      <c r="H1844" s="96"/>
      <c r="I1844" s="96"/>
      <c r="J1844" s="92"/>
      <c r="K1844" s="97"/>
      <c r="L1844" s="99" t="str">
        <f ca="1">_xlfn.LET(
    _xlpm.res_no, J1844,
    _xlpm.record_sheet, 'MatRes Record'!J:M,
    _xlpm.AllCellsFilled, COUNTA(A1844:K1844) = 11,
    _xlpm.QtyIsInt, AND(ISNUMBER(G1844), G1844=INT(G1844)),
    _xlpm.ReqDateIsValid, AND(ISNUMBER(H1844), H1844&gt;=TODAY()),
    _xlpm.EmailIsValid, RIGHT(I1844,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IF(A1844="", "", IF(_xlpm.error_messages = "", "Yes", _xlpm.error_messages))
)</f>
        <v/>
      </c>
    </row>
    <row r="1845" spans="1:12">
      <c r="A1845" s="94"/>
      <c r="B1845" s="95"/>
      <c r="C1845" s="95"/>
      <c r="D1845" s="94"/>
      <c r="E1845" s="94"/>
      <c r="F1845" s="96"/>
      <c r="G1845" s="94"/>
      <c r="H1845" s="96"/>
      <c r="I1845" s="96"/>
      <c r="J1845" s="92"/>
      <c r="K1845" s="97"/>
      <c r="L1845" s="99" t="str">
        <f ca="1">_xlfn.LET(
    _xlpm.res_no, J1845,
    _xlpm.record_sheet, 'MatRes Record'!J:M,
    _xlpm.AllCellsFilled, COUNTA(A1845:K1845) = 11,
    _xlpm.QtyIsInt, AND(ISNUMBER(G1845), G1845=INT(G1845)),
    _xlpm.ReqDateIsValid, AND(ISNUMBER(H1845), H1845&gt;=TODAY()),
    _xlpm.EmailIsValid, RIGHT(I1845,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IF(A1845="", "", IF(_xlpm.error_messages = "", "Yes", _xlpm.error_messages))
)</f>
        <v/>
      </c>
    </row>
    <row r="1846" spans="1:12">
      <c r="A1846" s="94"/>
      <c r="B1846" s="95"/>
      <c r="C1846" s="95"/>
      <c r="D1846" s="94"/>
      <c r="E1846" s="94"/>
      <c r="F1846" s="96"/>
      <c r="G1846" s="94"/>
      <c r="H1846" s="96"/>
      <c r="I1846" s="96"/>
      <c r="J1846" s="92"/>
      <c r="K1846" s="97"/>
      <c r="L1846" s="99" t="str">
        <f ca="1">_xlfn.LET(
    _xlpm.res_no, J1846,
    _xlpm.record_sheet, 'MatRes Record'!J:M,
    _xlpm.AllCellsFilled, COUNTA(A1846:K1846) = 11,
    _xlpm.QtyIsInt, AND(ISNUMBER(G1846), G1846=INT(G1846)),
    _xlpm.ReqDateIsValid, AND(ISNUMBER(H1846), H1846&gt;=TODAY()),
    _xlpm.EmailIsValid, RIGHT(I1846,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IF(A1846="", "", IF(_xlpm.error_messages = "", "Yes", _xlpm.error_messages))
)</f>
        <v/>
      </c>
    </row>
    <row r="1847" spans="1:12">
      <c r="A1847" s="94"/>
      <c r="B1847" s="95"/>
      <c r="C1847" s="95"/>
      <c r="D1847" s="94"/>
      <c r="E1847" s="94"/>
      <c r="F1847" s="96"/>
      <c r="G1847" s="94"/>
      <c r="H1847" s="96"/>
      <c r="I1847" s="96"/>
      <c r="J1847" s="92"/>
      <c r="K1847" s="97"/>
      <c r="L1847" s="99" t="str">
        <f ca="1">_xlfn.LET(
    _xlpm.res_no, J1847,
    _xlpm.record_sheet, 'MatRes Record'!J:M,
    _xlpm.AllCellsFilled, COUNTA(A1847:K1847) = 11,
    _xlpm.QtyIsInt, AND(ISNUMBER(G1847), G1847=INT(G1847)),
    _xlpm.ReqDateIsValid, AND(ISNUMBER(H1847), H1847&gt;=TODAY()),
    _xlpm.EmailIsValid, RIGHT(I1847,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IF(A1847="", "", IF(_xlpm.error_messages = "", "Yes", _xlpm.error_messages))
)</f>
        <v/>
      </c>
    </row>
    <row r="1848" spans="1:12">
      <c r="A1848" s="94"/>
      <c r="B1848" s="95"/>
      <c r="C1848" s="95"/>
      <c r="D1848" s="94"/>
      <c r="E1848" s="94"/>
      <c r="F1848" s="96"/>
      <c r="G1848" s="94"/>
      <c r="H1848" s="96"/>
      <c r="I1848" s="96"/>
      <c r="J1848" s="92"/>
      <c r="K1848" s="97"/>
      <c r="L1848" s="99" t="str">
        <f ca="1">_xlfn.LET(
    _xlpm.res_no, J1848,
    _xlpm.record_sheet, 'MatRes Record'!J:M,
    _xlpm.AllCellsFilled, COUNTA(A1848:K1848) = 11,
    _xlpm.QtyIsInt, AND(ISNUMBER(G1848), G1848=INT(G1848)),
    _xlpm.ReqDateIsValid, AND(ISNUMBER(H1848), H1848&gt;=TODAY()),
    _xlpm.EmailIsValid, RIGHT(I1848,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IF(A1848="", "", IF(_xlpm.error_messages = "", "Yes", _xlpm.error_messages))
)</f>
        <v/>
      </c>
    </row>
    <row r="1849" spans="1:12">
      <c r="A1849" s="94"/>
      <c r="B1849" s="95"/>
      <c r="C1849" s="95"/>
      <c r="D1849" s="94"/>
      <c r="E1849" s="94"/>
      <c r="F1849" s="96"/>
      <c r="G1849" s="94"/>
      <c r="H1849" s="96"/>
      <c r="I1849" s="96"/>
      <c r="J1849" s="92"/>
      <c r="K1849" s="97"/>
      <c r="L1849" s="99" t="str">
        <f ca="1">_xlfn.LET(
    _xlpm.res_no, J1849,
    _xlpm.record_sheet, 'MatRes Record'!J:M,
    _xlpm.AllCellsFilled, COUNTA(A1849:K1849) = 11,
    _xlpm.QtyIsInt, AND(ISNUMBER(G1849), G1849=INT(G1849)),
    _xlpm.ReqDateIsValid, AND(ISNUMBER(H1849), H1849&gt;=TODAY()),
    _xlpm.EmailIsValid, RIGHT(I1849,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IF(A1849="", "", IF(_xlpm.error_messages = "", "Yes", _xlpm.error_messages))
)</f>
        <v/>
      </c>
    </row>
    <row r="1850" spans="1:12">
      <c r="A1850" s="94"/>
      <c r="B1850" s="95"/>
      <c r="C1850" s="95"/>
      <c r="D1850" s="94"/>
      <c r="E1850" s="94"/>
      <c r="F1850" s="96"/>
      <c r="G1850" s="94"/>
      <c r="H1850" s="96"/>
      <c r="I1850" s="96"/>
      <c r="J1850" s="92"/>
      <c r="K1850" s="97"/>
      <c r="L1850" s="99" t="str">
        <f ca="1">_xlfn.LET(
    _xlpm.res_no, J1850,
    _xlpm.record_sheet, 'MatRes Record'!J:M,
    _xlpm.AllCellsFilled, COUNTA(A1850:K1850) = 11,
    _xlpm.QtyIsInt, AND(ISNUMBER(G1850), G1850=INT(G1850)),
    _xlpm.ReqDateIsValid, AND(ISNUMBER(H1850), H1850&gt;=TODAY()),
    _xlpm.EmailIsValid, RIGHT(I1850,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IF(A1850="", "", IF(_xlpm.error_messages = "", "Yes", _xlpm.error_messages))
)</f>
        <v/>
      </c>
    </row>
    <row r="1851" spans="1:12">
      <c r="A1851" s="94"/>
      <c r="B1851" s="95"/>
      <c r="C1851" s="95"/>
      <c r="D1851" s="94"/>
      <c r="E1851" s="94"/>
      <c r="F1851" s="96"/>
      <c r="G1851" s="94"/>
      <c r="H1851" s="96"/>
      <c r="I1851" s="96"/>
      <c r="J1851" s="92"/>
      <c r="K1851" s="97"/>
      <c r="L1851" s="99" t="str">
        <f ca="1">_xlfn.LET(
    _xlpm.res_no, J1851,
    _xlpm.record_sheet, 'MatRes Record'!J:M,
    _xlpm.AllCellsFilled, COUNTA(A1851:K1851) = 11,
    _xlpm.QtyIsInt, AND(ISNUMBER(G1851), G1851=INT(G1851)),
    _xlpm.ReqDateIsValid, AND(ISNUMBER(H1851), H1851&gt;=TODAY()),
    _xlpm.EmailIsValid, RIGHT(I1851,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IF(A1851="", "", IF(_xlpm.error_messages = "", "Yes", _xlpm.error_messages))
)</f>
        <v/>
      </c>
    </row>
    <row r="1852" spans="1:12">
      <c r="A1852" s="94"/>
      <c r="B1852" s="95"/>
      <c r="C1852" s="95"/>
      <c r="D1852" s="94"/>
      <c r="E1852" s="94"/>
      <c r="F1852" s="96"/>
      <c r="G1852" s="94"/>
      <c r="H1852" s="96"/>
      <c r="I1852" s="96"/>
      <c r="J1852" s="92"/>
      <c r="K1852" s="97"/>
      <c r="L1852" s="99" t="str">
        <f ca="1">_xlfn.LET(
    _xlpm.res_no, J1852,
    _xlpm.record_sheet, 'MatRes Record'!J:M,
    _xlpm.AllCellsFilled, COUNTA(A1852:K1852) = 11,
    _xlpm.QtyIsInt, AND(ISNUMBER(G1852), G1852=INT(G1852)),
    _xlpm.ReqDateIsValid, AND(ISNUMBER(H1852), H1852&gt;=TODAY()),
    _xlpm.EmailIsValid, RIGHT(I1852,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IF(A1852="", "", IF(_xlpm.error_messages = "", "Yes", _xlpm.error_messages))
)</f>
        <v/>
      </c>
    </row>
    <row r="1853" spans="1:12">
      <c r="A1853" s="94"/>
      <c r="B1853" s="95"/>
      <c r="C1853" s="95"/>
      <c r="D1853" s="94"/>
      <c r="E1853" s="94"/>
      <c r="F1853" s="96"/>
      <c r="G1853" s="94"/>
      <c r="H1853" s="96"/>
      <c r="I1853" s="96"/>
      <c r="J1853" s="92"/>
      <c r="K1853" s="97"/>
      <c r="L1853" s="99" t="str">
        <f ca="1">_xlfn.LET(
    _xlpm.res_no, J1853,
    _xlpm.record_sheet, 'MatRes Record'!J:M,
    _xlpm.AllCellsFilled, COUNTA(A1853:K1853) = 11,
    _xlpm.QtyIsInt, AND(ISNUMBER(G1853), G1853=INT(G1853)),
    _xlpm.ReqDateIsValid, AND(ISNUMBER(H1853), H1853&gt;=TODAY()),
    _xlpm.EmailIsValid, RIGHT(I1853,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IF(A1853="", "", IF(_xlpm.error_messages = "", "Yes", _xlpm.error_messages))
)</f>
        <v/>
      </c>
    </row>
    <row r="1854" spans="1:12">
      <c r="A1854" s="94"/>
      <c r="B1854" s="95"/>
      <c r="C1854" s="95"/>
      <c r="D1854" s="94"/>
      <c r="E1854" s="94"/>
      <c r="F1854" s="96"/>
      <c r="G1854" s="94"/>
      <c r="H1854" s="96"/>
      <c r="I1854" s="96"/>
      <c r="J1854" s="92"/>
      <c r="K1854" s="97"/>
      <c r="L1854" s="99" t="str">
        <f ca="1">_xlfn.LET(
    _xlpm.res_no, J1854,
    _xlpm.record_sheet, 'MatRes Record'!J:M,
    _xlpm.AllCellsFilled, COUNTA(A1854:K1854) = 11,
    _xlpm.QtyIsInt, AND(ISNUMBER(G1854), G1854=INT(G1854)),
    _xlpm.ReqDateIsValid, AND(ISNUMBER(H1854), H1854&gt;=TODAY()),
    _xlpm.EmailIsValid, RIGHT(I1854,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IF(A1854="", "", IF(_xlpm.error_messages = "", "Yes", _xlpm.error_messages))
)</f>
        <v/>
      </c>
    </row>
    <row r="1855" spans="1:12">
      <c r="A1855" s="94"/>
      <c r="B1855" s="95"/>
      <c r="C1855" s="95"/>
      <c r="D1855" s="94"/>
      <c r="E1855" s="94"/>
      <c r="F1855" s="96"/>
      <c r="G1855" s="94"/>
      <c r="H1855" s="96"/>
      <c r="I1855" s="96"/>
      <c r="J1855" s="92"/>
      <c r="K1855" s="97"/>
      <c r="L1855" s="99" t="str">
        <f ca="1">_xlfn.LET(
    _xlpm.res_no, J1855,
    _xlpm.record_sheet, 'MatRes Record'!J:M,
    _xlpm.AllCellsFilled, COUNTA(A1855:K1855) = 11,
    _xlpm.QtyIsInt, AND(ISNUMBER(G1855), G1855=INT(G1855)),
    _xlpm.ReqDateIsValid, AND(ISNUMBER(H1855), H1855&gt;=TODAY()),
    _xlpm.EmailIsValid, RIGHT(I1855,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IF(A1855="", "", IF(_xlpm.error_messages = "", "Yes", _xlpm.error_messages))
)</f>
        <v/>
      </c>
    </row>
    <row r="1856" spans="1:12">
      <c r="A1856" s="94"/>
      <c r="B1856" s="95"/>
      <c r="C1856" s="95"/>
      <c r="D1856" s="94"/>
      <c r="E1856" s="94"/>
      <c r="F1856" s="96"/>
      <c r="G1856" s="94"/>
      <c r="H1856" s="96"/>
      <c r="I1856" s="96"/>
      <c r="J1856" s="92"/>
      <c r="K1856" s="97"/>
      <c r="L1856" s="99" t="str">
        <f ca="1">_xlfn.LET(
    _xlpm.res_no, J1856,
    _xlpm.record_sheet, 'MatRes Record'!J:M,
    _xlpm.AllCellsFilled, COUNTA(A1856:K1856) = 11,
    _xlpm.QtyIsInt, AND(ISNUMBER(G1856), G1856=INT(G1856)),
    _xlpm.ReqDateIsValid, AND(ISNUMBER(H1856), H1856&gt;=TODAY()),
    _xlpm.EmailIsValid, RIGHT(I1856,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IF(A1856="", "", IF(_xlpm.error_messages = "", "Yes", _xlpm.error_messages))
)</f>
        <v/>
      </c>
    </row>
    <row r="1857" spans="1:12">
      <c r="A1857" s="94"/>
      <c r="B1857" s="95"/>
      <c r="C1857" s="95"/>
      <c r="D1857" s="94"/>
      <c r="E1857" s="94"/>
      <c r="F1857" s="96"/>
      <c r="G1857" s="94"/>
      <c r="H1857" s="96"/>
      <c r="I1857" s="96"/>
      <c r="J1857" s="92"/>
      <c r="K1857" s="97"/>
      <c r="L1857" s="99" t="str">
        <f ca="1">_xlfn.LET(
    _xlpm.res_no, J1857,
    _xlpm.record_sheet, 'MatRes Record'!J:M,
    _xlpm.AllCellsFilled, COUNTA(A1857:K1857) = 11,
    _xlpm.QtyIsInt, AND(ISNUMBER(G1857), G1857=INT(G1857)),
    _xlpm.ReqDateIsValid, AND(ISNUMBER(H1857), H1857&gt;=TODAY()),
    _xlpm.EmailIsValid, RIGHT(I1857,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IF(A1857="", "", IF(_xlpm.error_messages = "", "Yes", _xlpm.error_messages))
)</f>
        <v/>
      </c>
    </row>
    <row r="1858" spans="1:12">
      <c r="A1858" s="94"/>
      <c r="B1858" s="95"/>
      <c r="C1858" s="95"/>
      <c r="D1858" s="94"/>
      <c r="E1858" s="94"/>
      <c r="F1858" s="96"/>
      <c r="G1858" s="94"/>
      <c r="H1858" s="96"/>
      <c r="I1858" s="96"/>
      <c r="J1858" s="92"/>
      <c r="K1858" s="97"/>
      <c r="L1858" s="99" t="str">
        <f ca="1">_xlfn.LET(
    _xlpm.res_no, J1858,
    _xlpm.record_sheet, 'MatRes Record'!J:M,
    _xlpm.AllCellsFilled, COUNTA(A1858:K1858) = 11,
    _xlpm.QtyIsInt, AND(ISNUMBER(G1858), G1858=INT(G1858)),
    _xlpm.ReqDateIsValid, AND(ISNUMBER(H1858), H1858&gt;=TODAY()),
    _xlpm.EmailIsValid, RIGHT(I1858,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IF(A1858="", "", IF(_xlpm.error_messages = "", "Yes", _xlpm.error_messages))
)</f>
        <v/>
      </c>
    </row>
    <row r="1859" spans="1:12">
      <c r="A1859" s="94"/>
      <c r="B1859" s="95"/>
      <c r="C1859" s="95"/>
      <c r="D1859" s="94"/>
      <c r="E1859" s="94"/>
      <c r="F1859" s="96"/>
      <c r="G1859" s="94"/>
      <c r="H1859" s="96"/>
      <c r="I1859" s="96"/>
      <c r="J1859" s="92"/>
      <c r="K1859" s="97"/>
      <c r="L1859" s="99" t="str">
        <f ca="1">_xlfn.LET(
    _xlpm.res_no, J1859,
    _xlpm.record_sheet, 'MatRes Record'!J:M,
    _xlpm.AllCellsFilled, COUNTA(A1859:K1859) = 11,
    _xlpm.QtyIsInt, AND(ISNUMBER(G1859), G1859=INT(G1859)),
    _xlpm.ReqDateIsValid, AND(ISNUMBER(H1859), H1859&gt;=TODAY()),
    _xlpm.EmailIsValid, RIGHT(I1859,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IF(A1859="", "", IF(_xlpm.error_messages = "", "Yes", _xlpm.error_messages))
)</f>
        <v/>
      </c>
    </row>
    <row r="1860" spans="1:12">
      <c r="A1860" s="94"/>
      <c r="B1860" s="95"/>
      <c r="C1860" s="95"/>
      <c r="D1860" s="94"/>
      <c r="E1860" s="94"/>
      <c r="F1860" s="96"/>
      <c r="G1860" s="94"/>
      <c r="H1860" s="96"/>
      <c r="I1860" s="96"/>
      <c r="J1860" s="92"/>
      <c r="K1860" s="97"/>
      <c r="L1860" s="99" t="str">
        <f ca="1">_xlfn.LET(
    _xlpm.res_no, J1860,
    _xlpm.record_sheet, 'MatRes Record'!J:M,
    _xlpm.AllCellsFilled, COUNTA(A1860:K1860) = 11,
    _xlpm.QtyIsInt, AND(ISNUMBER(G1860), G1860=INT(G1860)),
    _xlpm.ReqDateIsValid, AND(ISNUMBER(H1860), H1860&gt;=TODAY()),
    _xlpm.EmailIsValid, RIGHT(I1860,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IF(A1860="", "", IF(_xlpm.error_messages = "", "Yes", _xlpm.error_messages))
)</f>
        <v/>
      </c>
    </row>
    <row r="1861" spans="1:12">
      <c r="A1861" s="94"/>
      <c r="B1861" s="95"/>
      <c r="C1861" s="95"/>
      <c r="D1861" s="94"/>
      <c r="E1861" s="94"/>
      <c r="F1861" s="96"/>
      <c r="G1861" s="94"/>
      <c r="H1861" s="96"/>
      <c r="I1861" s="96"/>
      <c r="J1861" s="92"/>
      <c r="K1861" s="97"/>
      <c r="L1861" s="99" t="str">
        <f ca="1">_xlfn.LET(
    _xlpm.res_no, J1861,
    _xlpm.record_sheet, 'MatRes Record'!J:M,
    _xlpm.AllCellsFilled, COUNTA(A1861:K1861) = 11,
    _xlpm.QtyIsInt, AND(ISNUMBER(G1861), G1861=INT(G1861)),
    _xlpm.ReqDateIsValid, AND(ISNUMBER(H1861), H1861&gt;=TODAY()),
    _xlpm.EmailIsValid, RIGHT(I1861,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IF(A1861="", "", IF(_xlpm.error_messages = "", "Yes", _xlpm.error_messages))
)</f>
        <v/>
      </c>
    </row>
    <row r="1862" spans="1:12">
      <c r="A1862" s="94"/>
      <c r="B1862" s="95"/>
      <c r="C1862" s="95"/>
      <c r="D1862" s="94"/>
      <c r="E1862" s="94"/>
      <c r="F1862" s="96"/>
      <c r="G1862" s="94"/>
      <c r="H1862" s="96"/>
      <c r="I1862" s="96"/>
      <c r="J1862" s="92"/>
      <c r="K1862" s="97"/>
      <c r="L1862" s="99" t="str">
        <f ca="1">_xlfn.LET(
    _xlpm.res_no, J1862,
    _xlpm.record_sheet, 'MatRes Record'!J:M,
    _xlpm.AllCellsFilled, COUNTA(A1862:K1862) = 11,
    _xlpm.QtyIsInt, AND(ISNUMBER(G1862), G1862=INT(G1862)),
    _xlpm.ReqDateIsValid, AND(ISNUMBER(H1862), H1862&gt;=TODAY()),
    _xlpm.EmailIsValid, RIGHT(I1862,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IF(A1862="", "", IF(_xlpm.error_messages = "", "Yes", _xlpm.error_messages))
)</f>
        <v/>
      </c>
    </row>
    <row r="1863" spans="1:12">
      <c r="A1863" s="94"/>
      <c r="B1863" s="95"/>
      <c r="C1863" s="95"/>
      <c r="D1863" s="94"/>
      <c r="E1863" s="94"/>
      <c r="F1863" s="96"/>
      <c r="G1863" s="94"/>
      <c r="H1863" s="96"/>
      <c r="I1863" s="96"/>
      <c r="J1863" s="92"/>
      <c r="K1863" s="97"/>
      <c r="L1863" s="99" t="str">
        <f ca="1">_xlfn.LET(
    _xlpm.res_no, J1863,
    _xlpm.record_sheet, 'MatRes Record'!J:M,
    _xlpm.AllCellsFilled, COUNTA(A1863:K1863) = 11,
    _xlpm.QtyIsInt, AND(ISNUMBER(G1863), G1863=INT(G1863)),
    _xlpm.ReqDateIsValid, AND(ISNUMBER(H1863), H1863&gt;=TODAY()),
    _xlpm.EmailIsValid, RIGHT(I1863,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IF(A1863="", "", IF(_xlpm.error_messages = "", "Yes", _xlpm.error_messages))
)</f>
        <v/>
      </c>
    </row>
    <row r="1864" spans="1:12">
      <c r="A1864" s="94"/>
      <c r="B1864" s="95"/>
      <c r="C1864" s="95"/>
      <c r="D1864" s="94"/>
      <c r="E1864" s="94"/>
      <c r="F1864" s="96"/>
      <c r="G1864" s="94"/>
      <c r="H1864" s="96"/>
      <c r="I1864" s="96"/>
      <c r="J1864" s="92"/>
      <c r="K1864" s="97"/>
      <c r="L1864" s="99" t="str">
        <f ca="1">_xlfn.LET(
    _xlpm.res_no, J1864,
    _xlpm.record_sheet, 'MatRes Record'!J:M,
    _xlpm.AllCellsFilled, COUNTA(A1864:K1864) = 11,
    _xlpm.QtyIsInt, AND(ISNUMBER(G1864), G1864=INT(G1864)),
    _xlpm.ReqDateIsValid, AND(ISNUMBER(H1864), H1864&gt;=TODAY()),
    _xlpm.EmailIsValid, RIGHT(I1864,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IF(A1864="", "", IF(_xlpm.error_messages = "", "Yes", _xlpm.error_messages))
)</f>
        <v/>
      </c>
    </row>
    <row r="1865" spans="1:12">
      <c r="A1865" s="94"/>
      <c r="B1865" s="95"/>
      <c r="C1865" s="95"/>
      <c r="D1865" s="94"/>
      <c r="E1865" s="94"/>
      <c r="F1865" s="96"/>
      <c r="G1865" s="94"/>
      <c r="H1865" s="96"/>
      <c r="I1865" s="96"/>
      <c r="J1865" s="92"/>
      <c r="K1865" s="97"/>
      <c r="L1865" s="99" t="str">
        <f ca="1">_xlfn.LET(
    _xlpm.res_no, J1865,
    _xlpm.record_sheet, 'MatRes Record'!J:M,
    _xlpm.AllCellsFilled, COUNTA(A1865:K1865) = 11,
    _xlpm.QtyIsInt, AND(ISNUMBER(G1865), G1865=INT(G1865)),
    _xlpm.ReqDateIsValid, AND(ISNUMBER(H1865), H1865&gt;=TODAY()),
    _xlpm.EmailIsValid, RIGHT(I1865,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IF(A1865="", "", IF(_xlpm.error_messages = "", "Yes", _xlpm.error_messages))
)</f>
        <v/>
      </c>
    </row>
    <row r="1866" spans="1:12">
      <c r="A1866" s="94"/>
      <c r="B1866" s="95"/>
      <c r="C1866" s="95"/>
      <c r="D1866" s="94"/>
      <c r="E1866" s="94"/>
      <c r="F1866" s="96"/>
      <c r="G1866" s="94"/>
      <c r="H1866" s="96"/>
      <c r="I1866" s="96"/>
      <c r="J1866" s="92"/>
      <c r="K1866" s="97"/>
      <c r="L1866" s="99" t="str">
        <f ca="1">_xlfn.LET(
    _xlpm.res_no, J1866,
    _xlpm.record_sheet, 'MatRes Record'!J:M,
    _xlpm.AllCellsFilled, COUNTA(A1866:K1866) = 11,
    _xlpm.QtyIsInt, AND(ISNUMBER(G1866), G1866=INT(G1866)),
    _xlpm.ReqDateIsValid, AND(ISNUMBER(H1866), H1866&gt;=TODAY()),
    _xlpm.EmailIsValid, RIGHT(I1866,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IF(A1866="", "", IF(_xlpm.error_messages = "", "Yes", _xlpm.error_messages))
)</f>
        <v/>
      </c>
    </row>
    <row r="1867" spans="1:12">
      <c r="A1867" s="94"/>
      <c r="B1867" s="95"/>
      <c r="C1867" s="95"/>
      <c r="D1867" s="94"/>
      <c r="E1867" s="94"/>
      <c r="F1867" s="96"/>
      <c r="G1867" s="94"/>
      <c r="H1867" s="96"/>
      <c r="I1867" s="96"/>
      <c r="J1867" s="92"/>
      <c r="K1867" s="97"/>
      <c r="L1867" s="99" t="str">
        <f ca="1">_xlfn.LET(
    _xlpm.res_no, J1867,
    _xlpm.record_sheet, 'MatRes Record'!J:M,
    _xlpm.AllCellsFilled, COUNTA(A1867:K1867) = 11,
    _xlpm.QtyIsInt, AND(ISNUMBER(G1867), G1867=INT(G1867)),
    _xlpm.ReqDateIsValid, AND(ISNUMBER(H1867), H1867&gt;=TODAY()),
    _xlpm.EmailIsValid, RIGHT(I1867,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IF(A1867="", "", IF(_xlpm.error_messages = "", "Yes", _xlpm.error_messages))
)</f>
        <v/>
      </c>
    </row>
    <row r="1868" spans="1:12">
      <c r="A1868" s="94"/>
      <c r="B1868" s="95"/>
      <c r="C1868" s="95"/>
      <c r="D1868" s="94"/>
      <c r="E1868" s="94"/>
      <c r="F1868" s="96"/>
      <c r="G1868" s="94"/>
      <c r="H1868" s="96"/>
      <c r="I1868" s="96"/>
      <c r="J1868" s="92"/>
      <c r="K1868" s="97"/>
      <c r="L1868" s="99" t="str">
        <f ca="1">_xlfn.LET(
    _xlpm.res_no, J1868,
    _xlpm.record_sheet, 'MatRes Record'!J:M,
    _xlpm.AllCellsFilled, COUNTA(A1868:K1868) = 11,
    _xlpm.QtyIsInt, AND(ISNUMBER(G1868), G1868=INT(G1868)),
    _xlpm.ReqDateIsValid, AND(ISNUMBER(H1868), H1868&gt;=TODAY()),
    _xlpm.EmailIsValid, RIGHT(I1868,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IF(A1868="", "", IF(_xlpm.error_messages = "", "Yes", _xlpm.error_messages))
)</f>
        <v/>
      </c>
    </row>
    <row r="1869" spans="1:12">
      <c r="A1869" s="94"/>
      <c r="B1869" s="95"/>
      <c r="C1869" s="95"/>
      <c r="D1869" s="94"/>
      <c r="E1869" s="94"/>
      <c r="F1869" s="96"/>
      <c r="G1869" s="94"/>
      <c r="H1869" s="96"/>
      <c r="I1869" s="96"/>
      <c r="J1869" s="92"/>
      <c r="K1869" s="97"/>
      <c r="L1869" s="99" t="str">
        <f ca="1">_xlfn.LET(
    _xlpm.res_no, J1869,
    _xlpm.record_sheet, 'MatRes Record'!J:M,
    _xlpm.AllCellsFilled, COUNTA(A1869:K1869) = 11,
    _xlpm.QtyIsInt, AND(ISNUMBER(G1869), G1869=INT(G1869)),
    _xlpm.ReqDateIsValid, AND(ISNUMBER(H1869), H1869&gt;=TODAY()),
    _xlpm.EmailIsValid, RIGHT(I1869,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IF(A1869="", "", IF(_xlpm.error_messages = "", "Yes", _xlpm.error_messages))
)</f>
        <v/>
      </c>
    </row>
    <row r="1870" spans="1:12">
      <c r="A1870" s="94"/>
      <c r="B1870" s="95"/>
      <c r="C1870" s="95"/>
      <c r="D1870" s="94"/>
      <c r="E1870" s="94"/>
      <c r="F1870" s="96"/>
      <c r="G1870" s="94"/>
      <c r="H1870" s="96"/>
      <c r="I1870" s="96"/>
      <c r="J1870" s="92"/>
      <c r="K1870" s="97"/>
      <c r="L1870" s="99" t="str">
        <f ca="1">_xlfn.LET(
    _xlpm.res_no, J1870,
    _xlpm.record_sheet, 'MatRes Record'!J:M,
    _xlpm.AllCellsFilled, COUNTA(A1870:K1870) = 11,
    _xlpm.QtyIsInt, AND(ISNUMBER(G1870), G1870=INT(G1870)),
    _xlpm.ReqDateIsValid, AND(ISNUMBER(H1870), H1870&gt;=TODAY()),
    _xlpm.EmailIsValid, RIGHT(I1870,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IF(A1870="", "", IF(_xlpm.error_messages = "", "Yes", _xlpm.error_messages))
)</f>
        <v/>
      </c>
    </row>
    <row r="1871" spans="1:12">
      <c r="A1871" s="94"/>
      <c r="B1871" s="95"/>
      <c r="C1871" s="95"/>
      <c r="D1871" s="94"/>
      <c r="E1871" s="94"/>
      <c r="F1871" s="96"/>
      <c r="G1871" s="94"/>
      <c r="H1871" s="96"/>
      <c r="I1871" s="96"/>
      <c r="J1871" s="92"/>
      <c r="K1871" s="97"/>
      <c r="L1871" s="99" t="str">
        <f ca="1">_xlfn.LET(
    _xlpm.res_no, J1871,
    _xlpm.record_sheet, 'MatRes Record'!J:M,
    _xlpm.AllCellsFilled, COUNTA(A1871:K1871) = 11,
    _xlpm.QtyIsInt, AND(ISNUMBER(G1871), G1871=INT(G1871)),
    _xlpm.ReqDateIsValid, AND(ISNUMBER(H1871), H1871&gt;=TODAY()),
    _xlpm.EmailIsValid, RIGHT(I1871,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IF(A1871="", "", IF(_xlpm.error_messages = "", "Yes", _xlpm.error_messages))
)</f>
        <v/>
      </c>
    </row>
    <row r="1872" spans="1:12">
      <c r="A1872" s="94"/>
      <c r="B1872" s="95"/>
      <c r="C1872" s="95"/>
      <c r="D1872" s="94"/>
      <c r="E1872" s="94"/>
      <c r="F1872" s="96"/>
      <c r="G1872" s="94"/>
      <c r="H1872" s="96"/>
      <c r="I1872" s="96"/>
      <c r="J1872" s="92"/>
      <c r="K1872" s="97"/>
      <c r="L1872" s="99" t="str">
        <f ca="1">_xlfn.LET(
    _xlpm.res_no, J1872,
    _xlpm.record_sheet, 'MatRes Record'!J:M,
    _xlpm.AllCellsFilled, COUNTA(A1872:K1872) = 11,
    _xlpm.QtyIsInt, AND(ISNUMBER(G1872), G1872=INT(G1872)),
    _xlpm.ReqDateIsValid, AND(ISNUMBER(H1872), H1872&gt;=TODAY()),
    _xlpm.EmailIsValid, RIGHT(I1872,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IF(A1872="", "", IF(_xlpm.error_messages = "", "Yes", _xlpm.error_messages))
)</f>
        <v/>
      </c>
    </row>
    <row r="1873" spans="1:12">
      <c r="A1873" s="94"/>
      <c r="B1873" s="95"/>
      <c r="C1873" s="95"/>
      <c r="D1873" s="94"/>
      <c r="E1873" s="94"/>
      <c r="F1873" s="96"/>
      <c r="G1873" s="94"/>
      <c r="H1873" s="96"/>
      <c r="I1873" s="96"/>
      <c r="J1873" s="92"/>
      <c r="K1873" s="97"/>
      <c r="L1873" s="99" t="str">
        <f ca="1">_xlfn.LET(
    _xlpm.res_no, J1873,
    _xlpm.record_sheet, 'MatRes Record'!J:M,
    _xlpm.AllCellsFilled, COUNTA(A1873:K1873) = 11,
    _xlpm.QtyIsInt, AND(ISNUMBER(G1873), G1873=INT(G1873)),
    _xlpm.ReqDateIsValid, AND(ISNUMBER(H1873), H1873&gt;=TODAY()),
    _xlpm.EmailIsValid, RIGHT(I1873,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IF(A1873="", "", IF(_xlpm.error_messages = "", "Yes", _xlpm.error_messages))
)</f>
        <v/>
      </c>
    </row>
    <row r="1874" spans="1:12">
      <c r="A1874" s="94"/>
      <c r="B1874" s="95"/>
      <c r="C1874" s="95"/>
      <c r="D1874" s="94"/>
      <c r="E1874" s="94"/>
      <c r="F1874" s="96"/>
      <c r="G1874" s="94"/>
      <c r="H1874" s="96"/>
      <c r="I1874" s="96"/>
      <c r="J1874" s="92"/>
      <c r="K1874" s="97"/>
      <c r="L1874" s="99" t="str">
        <f ca="1">_xlfn.LET(
    _xlpm.res_no, J1874,
    _xlpm.record_sheet, 'MatRes Record'!J:M,
    _xlpm.AllCellsFilled, COUNTA(A1874:K1874) = 11,
    _xlpm.QtyIsInt, AND(ISNUMBER(G1874), G1874=INT(G1874)),
    _xlpm.ReqDateIsValid, AND(ISNUMBER(H1874), H1874&gt;=TODAY()),
    _xlpm.EmailIsValid, RIGHT(I1874,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IF(A1874="", "", IF(_xlpm.error_messages = "", "Yes", _xlpm.error_messages))
)</f>
        <v/>
      </c>
    </row>
    <row r="1875" spans="1:12">
      <c r="A1875" s="94"/>
      <c r="B1875" s="95"/>
      <c r="C1875" s="95"/>
      <c r="D1875" s="94"/>
      <c r="E1875" s="94"/>
      <c r="F1875" s="96"/>
      <c r="G1875" s="94"/>
      <c r="H1875" s="96"/>
      <c r="I1875" s="96"/>
      <c r="J1875" s="92"/>
      <c r="K1875" s="97"/>
      <c r="L1875" s="99" t="str">
        <f ca="1">_xlfn.LET(
    _xlpm.res_no, J1875,
    _xlpm.record_sheet, 'MatRes Record'!J:M,
    _xlpm.AllCellsFilled, COUNTA(A1875:K1875) = 11,
    _xlpm.QtyIsInt, AND(ISNUMBER(G1875), G1875=INT(G1875)),
    _xlpm.ReqDateIsValid, AND(ISNUMBER(H1875), H1875&gt;=TODAY()),
    _xlpm.EmailIsValid, RIGHT(I1875,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IF(A1875="", "", IF(_xlpm.error_messages = "", "Yes", _xlpm.error_messages))
)</f>
        <v/>
      </c>
    </row>
    <row r="1876" spans="1:12">
      <c r="A1876" s="94"/>
      <c r="B1876" s="95"/>
      <c r="C1876" s="95"/>
      <c r="D1876" s="94"/>
      <c r="E1876" s="94"/>
      <c r="F1876" s="96"/>
      <c r="G1876" s="94"/>
      <c r="H1876" s="96"/>
      <c r="I1876" s="96"/>
      <c r="J1876" s="92"/>
      <c r="K1876" s="97"/>
      <c r="L1876" s="99" t="str">
        <f ca="1">_xlfn.LET(
    _xlpm.res_no, J1876,
    _xlpm.record_sheet, 'MatRes Record'!J:M,
    _xlpm.AllCellsFilled, COUNTA(A1876:K1876) = 11,
    _xlpm.QtyIsInt, AND(ISNUMBER(G1876), G1876=INT(G1876)),
    _xlpm.ReqDateIsValid, AND(ISNUMBER(H1876), H1876&gt;=TODAY()),
    _xlpm.EmailIsValid, RIGHT(I1876,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IF(A1876="", "", IF(_xlpm.error_messages = "", "Yes", _xlpm.error_messages))
)</f>
        <v/>
      </c>
    </row>
    <row r="1877" spans="1:12">
      <c r="A1877" s="94"/>
      <c r="B1877" s="95"/>
      <c r="C1877" s="95"/>
      <c r="D1877" s="94"/>
      <c r="E1877" s="94"/>
      <c r="F1877" s="96"/>
      <c r="G1877" s="94"/>
      <c r="H1877" s="96"/>
      <c r="I1877" s="96"/>
      <c r="J1877" s="92"/>
      <c r="K1877" s="97"/>
      <c r="L1877" s="99" t="str">
        <f ca="1">_xlfn.LET(
    _xlpm.res_no, J1877,
    _xlpm.record_sheet, 'MatRes Record'!J:M,
    _xlpm.AllCellsFilled, COUNTA(A1877:K1877) = 11,
    _xlpm.QtyIsInt, AND(ISNUMBER(G1877), G1877=INT(G1877)),
    _xlpm.ReqDateIsValid, AND(ISNUMBER(H1877), H1877&gt;=TODAY()),
    _xlpm.EmailIsValid, RIGHT(I1877,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IF(A1877="", "", IF(_xlpm.error_messages = "", "Yes", _xlpm.error_messages))
)</f>
        <v/>
      </c>
    </row>
    <row r="1878" spans="1:12">
      <c r="A1878" s="94"/>
      <c r="B1878" s="95"/>
      <c r="C1878" s="95"/>
      <c r="D1878" s="94"/>
      <c r="E1878" s="94"/>
      <c r="F1878" s="96"/>
      <c r="G1878" s="94"/>
      <c r="H1878" s="96"/>
      <c r="I1878" s="96"/>
      <c r="J1878" s="92"/>
      <c r="K1878" s="97"/>
      <c r="L1878" s="99" t="str">
        <f ca="1">_xlfn.LET(
    _xlpm.res_no, J1878,
    _xlpm.record_sheet, 'MatRes Record'!J:M,
    _xlpm.AllCellsFilled, COUNTA(A1878:K1878) = 11,
    _xlpm.QtyIsInt, AND(ISNUMBER(G1878), G1878=INT(G1878)),
    _xlpm.ReqDateIsValid, AND(ISNUMBER(H1878), H1878&gt;=TODAY()),
    _xlpm.EmailIsValid, RIGHT(I1878,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IF(A1878="", "", IF(_xlpm.error_messages = "", "Yes", _xlpm.error_messages))
)</f>
        <v/>
      </c>
    </row>
    <row r="1879" spans="1:12">
      <c r="A1879" s="94"/>
      <c r="B1879" s="95"/>
      <c r="C1879" s="95"/>
      <c r="D1879" s="94"/>
      <c r="E1879" s="94"/>
      <c r="F1879" s="96"/>
      <c r="G1879" s="94"/>
      <c r="H1879" s="96"/>
      <c r="I1879" s="96"/>
      <c r="J1879" s="92"/>
      <c r="K1879" s="97"/>
      <c r="L1879" s="99" t="str">
        <f ca="1">_xlfn.LET(
    _xlpm.res_no, J1879,
    _xlpm.record_sheet, 'MatRes Record'!J:M,
    _xlpm.AllCellsFilled, COUNTA(A1879:K1879) = 11,
    _xlpm.QtyIsInt, AND(ISNUMBER(G1879), G1879=INT(G1879)),
    _xlpm.ReqDateIsValid, AND(ISNUMBER(H1879), H1879&gt;=TODAY()),
    _xlpm.EmailIsValid, RIGHT(I1879,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IF(A1879="", "", IF(_xlpm.error_messages = "", "Yes", _xlpm.error_messages))
)</f>
        <v/>
      </c>
    </row>
    <row r="1880" spans="1:12">
      <c r="A1880" s="94"/>
      <c r="B1880" s="95"/>
      <c r="C1880" s="95"/>
      <c r="D1880" s="94"/>
      <c r="E1880" s="94"/>
      <c r="F1880" s="96"/>
      <c r="G1880" s="94"/>
      <c r="H1880" s="96"/>
      <c r="I1880" s="96"/>
      <c r="J1880" s="92"/>
      <c r="K1880" s="97"/>
      <c r="L1880" s="99" t="str">
        <f ca="1">_xlfn.LET(
    _xlpm.res_no, J1880,
    _xlpm.record_sheet, 'MatRes Record'!J:M,
    _xlpm.AllCellsFilled, COUNTA(A1880:K1880) = 11,
    _xlpm.QtyIsInt, AND(ISNUMBER(G1880), G1880=INT(G1880)),
    _xlpm.ReqDateIsValid, AND(ISNUMBER(H1880), H1880&gt;=TODAY()),
    _xlpm.EmailIsValid, RIGHT(I1880,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IF(A1880="", "", IF(_xlpm.error_messages = "", "Yes", _xlpm.error_messages))
)</f>
        <v/>
      </c>
    </row>
    <row r="1881" spans="1:12">
      <c r="A1881" s="94"/>
      <c r="B1881" s="95"/>
      <c r="C1881" s="95"/>
      <c r="D1881" s="94"/>
      <c r="E1881" s="94"/>
      <c r="F1881" s="96"/>
      <c r="G1881" s="94"/>
      <c r="H1881" s="96"/>
      <c r="I1881" s="96"/>
      <c r="J1881" s="92"/>
      <c r="K1881" s="97"/>
      <c r="L1881" s="99" t="str">
        <f ca="1">_xlfn.LET(
    _xlpm.res_no, J1881,
    _xlpm.record_sheet, 'MatRes Record'!J:M,
    _xlpm.AllCellsFilled, COUNTA(A1881:K1881) = 11,
    _xlpm.QtyIsInt, AND(ISNUMBER(G1881), G1881=INT(G1881)),
    _xlpm.ReqDateIsValid, AND(ISNUMBER(H1881), H1881&gt;=TODAY()),
    _xlpm.EmailIsValid, RIGHT(I1881,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IF(A1881="", "", IF(_xlpm.error_messages = "", "Yes", _xlpm.error_messages))
)</f>
        <v/>
      </c>
    </row>
    <row r="1882" spans="1:12">
      <c r="A1882" s="94"/>
      <c r="B1882" s="95"/>
      <c r="C1882" s="95"/>
      <c r="D1882" s="94"/>
      <c r="E1882" s="94"/>
      <c r="F1882" s="96"/>
      <c r="G1882" s="94"/>
      <c r="H1882" s="96"/>
      <c r="I1882" s="96"/>
      <c r="J1882" s="92"/>
      <c r="K1882" s="97"/>
      <c r="L1882" s="99" t="str">
        <f ca="1">_xlfn.LET(
    _xlpm.res_no, J1882,
    _xlpm.record_sheet, 'MatRes Record'!J:M,
    _xlpm.AllCellsFilled, COUNTA(A1882:K1882) = 11,
    _xlpm.QtyIsInt, AND(ISNUMBER(G1882), G1882=INT(G1882)),
    _xlpm.ReqDateIsValid, AND(ISNUMBER(H1882), H1882&gt;=TODAY()),
    _xlpm.EmailIsValid, RIGHT(I1882,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IF(A1882="", "", IF(_xlpm.error_messages = "", "Yes", _xlpm.error_messages))
)</f>
        <v/>
      </c>
    </row>
    <row r="1883" spans="1:12">
      <c r="A1883" s="94"/>
      <c r="B1883" s="95"/>
      <c r="C1883" s="95"/>
      <c r="D1883" s="94"/>
      <c r="E1883" s="94"/>
      <c r="F1883" s="96"/>
      <c r="G1883" s="94"/>
      <c r="H1883" s="96"/>
      <c r="I1883" s="96"/>
      <c r="J1883" s="92"/>
      <c r="K1883" s="97"/>
      <c r="L1883" s="99" t="str">
        <f ca="1">_xlfn.LET(
    _xlpm.res_no, J1883,
    _xlpm.record_sheet, 'MatRes Record'!J:M,
    _xlpm.AllCellsFilled, COUNTA(A1883:K1883) = 11,
    _xlpm.QtyIsInt, AND(ISNUMBER(G1883), G1883=INT(G1883)),
    _xlpm.ReqDateIsValid, AND(ISNUMBER(H1883), H1883&gt;=TODAY()),
    _xlpm.EmailIsValid, RIGHT(I1883,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IF(A1883="", "", IF(_xlpm.error_messages = "", "Yes", _xlpm.error_messages))
)</f>
        <v/>
      </c>
    </row>
    <row r="1884" spans="1:12">
      <c r="A1884" s="94"/>
      <c r="B1884" s="95"/>
      <c r="C1884" s="95"/>
      <c r="D1884" s="94"/>
      <c r="E1884" s="94"/>
      <c r="F1884" s="96"/>
      <c r="G1884" s="94"/>
      <c r="H1884" s="96"/>
      <c r="I1884" s="96"/>
      <c r="J1884" s="92"/>
      <c r="K1884" s="97"/>
      <c r="L1884" s="99" t="str">
        <f ca="1">_xlfn.LET(
    _xlpm.res_no, J1884,
    _xlpm.record_sheet, 'MatRes Record'!J:M,
    _xlpm.AllCellsFilled, COUNTA(A1884:K1884) = 11,
    _xlpm.QtyIsInt, AND(ISNUMBER(G1884), G1884=INT(G1884)),
    _xlpm.ReqDateIsValid, AND(ISNUMBER(H1884), H1884&gt;=TODAY()),
    _xlpm.EmailIsValid, RIGHT(I1884,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IF(A1884="", "", IF(_xlpm.error_messages = "", "Yes", _xlpm.error_messages))
)</f>
        <v/>
      </c>
    </row>
    <row r="1885" spans="1:12">
      <c r="A1885" s="94"/>
      <c r="B1885" s="95"/>
      <c r="C1885" s="95"/>
      <c r="D1885" s="94"/>
      <c r="E1885" s="94"/>
      <c r="F1885" s="96"/>
      <c r="G1885" s="94"/>
      <c r="H1885" s="96"/>
      <c r="I1885" s="96"/>
      <c r="J1885" s="92"/>
      <c r="K1885" s="97"/>
      <c r="L1885" s="99" t="str">
        <f ca="1">_xlfn.LET(
    _xlpm.res_no, J1885,
    _xlpm.record_sheet, 'MatRes Record'!J:M,
    _xlpm.AllCellsFilled, COUNTA(A1885:K1885) = 11,
    _xlpm.QtyIsInt, AND(ISNUMBER(G1885), G1885=INT(G1885)),
    _xlpm.ReqDateIsValid, AND(ISNUMBER(H1885), H1885&gt;=TODAY()),
    _xlpm.EmailIsValid, RIGHT(I1885,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IF(A1885="", "", IF(_xlpm.error_messages = "", "Yes", _xlpm.error_messages))
)</f>
        <v/>
      </c>
    </row>
    <row r="1886" spans="1:12">
      <c r="A1886" s="94"/>
      <c r="B1886" s="95"/>
      <c r="C1886" s="95"/>
      <c r="D1886" s="94"/>
      <c r="E1886" s="94"/>
      <c r="F1886" s="96"/>
      <c r="G1886" s="94"/>
      <c r="H1886" s="96"/>
      <c r="I1886" s="96"/>
      <c r="J1886" s="92"/>
      <c r="K1886" s="97"/>
      <c r="L1886" s="99" t="str">
        <f ca="1">_xlfn.LET(
    _xlpm.res_no, J1886,
    _xlpm.record_sheet, 'MatRes Record'!J:M,
    _xlpm.AllCellsFilled, COUNTA(A1886:K1886) = 11,
    _xlpm.QtyIsInt, AND(ISNUMBER(G1886), G1886=INT(G1886)),
    _xlpm.ReqDateIsValid, AND(ISNUMBER(H1886), H1886&gt;=TODAY()),
    _xlpm.EmailIsValid, RIGHT(I1886,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IF(A1886="", "", IF(_xlpm.error_messages = "", "Yes", _xlpm.error_messages))
)</f>
        <v/>
      </c>
    </row>
    <row r="1887" spans="1:12">
      <c r="A1887" s="94"/>
      <c r="B1887" s="95"/>
      <c r="C1887" s="95"/>
      <c r="D1887" s="94"/>
      <c r="E1887" s="94"/>
      <c r="F1887" s="96"/>
      <c r="G1887" s="94"/>
      <c r="H1887" s="96"/>
      <c r="I1887" s="96"/>
      <c r="J1887" s="92"/>
      <c r="K1887" s="97"/>
      <c r="L1887" s="99" t="str">
        <f ca="1">_xlfn.LET(
    _xlpm.res_no, J1887,
    _xlpm.record_sheet, 'MatRes Record'!J:M,
    _xlpm.AllCellsFilled, COUNTA(A1887:K1887) = 11,
    _xlpm.QtyIsInt, AND(ISNUMBER(G1887), G1887=INT(G1887)),
    _xlpm.ReqDateIsValid, AND(ISNUMBER(H1887), H1887&gt;=TODAY()),
    _xlpm.EmailIsValid, RIGHT(I1887,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IF(A1887="", "", IF(_xlpm.error_messages = "", "Yes", _xlpm.error_messages))
)</f>
        <v/>
      </c>
    </row>
    <row r="1888" spans="1:12">
      <c r="A1888" s="94"/>
      <c r="B1888" s="95"/>
      <c r="C1888" s="95"/>
      <c r="D1888" s="94"/>
      <c r="E1888" s="94"/>
      <c r="F1888" s="96"/>
      <c r="G1888" s="94"/>
      <c r="H1888" s="96"/>
      <c r="I1888" s="96"/>
      <c r="J1888" s="92"/>
      <c r="K1888" s="97"/>
      <c r="L1888" s="99" t="str">
        <f ca="1">_xlfn.LET(
    _xlpm.res_no, J1888,
    _xlpm.record_sheet, 'MatRes Record'!J:M,
    _xlpm.AllCellsFilled, COUNTA(A1888:K1888) = 11,
    _xlpm.QtyIsInt, AND(ISNUMBER(G1888), G1888=INT(G1888)),
    _xlpm.ReqDateIsValid, AND(ISNUMBER(H1888), H1888&gt;=TODAY()),
    _xlpm.EmailIsValid, RIGHT(I1888,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IF(A1888="", "", IF(_xlpm.error_messages = "", "Yes", _xlpm.error_messages))
)</f>
        <v/>
      </c>
    </row>
    <row r="1889" spans="1:12">
      <c r="A1889" s="94"/>
      <c r="B1889" s="95"/>
      <c r="C1889" s="95"/>
      <c r="D1889" s="94"/>
      <c r="E1889" s="94"/>
      <c r="F1889" s="96"/>
      <c r="G1889" s="94"/>
      <c r="H1889" s="96"/>
      <c r="I1889" s="96"/>
      <c r="J1889" s="92"/>
      <c r="K1889" s="97"/>
      <c r="L1889" s="99" t="str">
        <f ca="1">_xlfn.LET(
    _xlpm.res_no, J1889,
    _xlpm.record_sheet, 'MatRes Record'!J:M,
    _xlpm.AllCellsFilled, COUNTA(A1889:K1889) = 11,
    _xlpm.QtyIsInt, AND(ISNUMBER(G1889), G1889=INT(G1889)),
    _xlpm.ReqDateIsValid, AND(ISNUMBER(H1889), H1889&gt;=TODAY()),
    _xlpm.EmailIsValid, RIGHT(I1889,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IF(A1889="", "", IF(_xlpm.error_messages = "", "Yes", _xlpm.error_messages))
)</f>
        <v/>
      </c>
    </row>
    <row r="1890" spans="1:12">
      <c r="A1890" s="94"/>
      <c r="B1890" s="95"/>
      <c r="C1890" s="95"/>
      <c r="D1890" s="94"/>
      <c r="E1890" s="94"/>
      <c r="F1890" s="96"/>
      <c r="G1890" s="94"/>
      <c r="H1890" s="96"/>
      <c r="I1890" s="96"/>
      <c r="J1890" s="92"/>
      <c r="K1890" s="97"/>
      <c r="L1890" s="99" t="str">
        <f ca="1">_xlfn.LET(
    _xlpm.res_no, J1890,
    _xlpm.record_sheet, 'MatRes Record'!J:M,
    _xlpm.AllCellsFilled, COUNTA(A1890:K1890) = 11,
    _xlpm.QtyIsInt, AND(ISNUMBER(G1890), G1890=INT(G1890)),
    _xlpm.ReqDateIsValid, AND(ISNUMBER(H1890), H1890&gt;=TODAY()),
    _xlpm.EmailIsValid, RIGHT(I1890,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IF(A1890="", "", IF(_xlpm.error_messages = "", "Yes", _xlpm.error_messages))
)</f>
        <v/>
      </c>
    </row>
    <row r="1891" spans="1:12">
      <c r="A1891" s="94"/>
      <c r="B1891" s="95"/>
      <c r="C1891" s="95"/>
      <c r="D1891" s="94"/>
      <c r="E1891" s="94"/>
      <c r="F1891" s="96"/>
      <c r="G1891" s="94"/>
      <c r="H1891" s="96"/>
      <c r="I1891" s="96"/>
      <c r="J1891" s="92"/>
      <c r="K1891" s="97"/>
      <c r="L1891" s="99" t="str">
        <f ca="1">_xlfn.LET(
    _xlpm.res_no, J1891,
    _xlpm.record_sheet, 'MatRes Record'!J:M,
    _xlpm.AllCellsFilled, COUNTA(A1891:K1891) = 11,
    _xlpm.QtyIsInt, AND(ISNUMBER(G1891), G1891=INT(G1891)),
    _xlpm.ReqDateIsValid, AND(ISNUMBER(H1891), H1891&gt;=TODAY()),
    _xlpm.EmailIsValid, RIGHT(I1891,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IF(A1891="", "", IF(_xlpm.error_messages = "", "Yes", _xlpm.error_messages))
)</f>
        <v/>
      </c>
    </row>
    <row r="1892" spans="1:12">
      <c r="A1892" s="94"/>
      <c r="B1892" s="95"/>
      <c r="C1892" s="95"/>
      <c r="D1892" s="94"/>
      <c r="E1892" s="94"/>
      <c r="F1892" s="96"/>
      <c r="G1892" s="94"/>
      <c r="H1892" s="96"/>
      <c r="I1892" s="96"/>
      <c r="J1892" s="92"/>
      <c r="K1892" s="97"/>
      <c r="L1892" s="99" t="str">
        <f ca="1">_xlfn.LET(
    _xlpm.res_no, J1892,
    _xlpm.record_sheet, 'MatRes Record'!J:M,
    _xlpm.AllCellsFilled, COUNTA(A1892:K1892) = 11,
    _xlpm.QtyIsInt, AND(ISNUMBER(G1892), G1892=INT(G1892)),
    _xlpm.ReqDateIsValid, AND(ISNUMBER(H1892), H1892&gt;=TODAY()),
    _xlpm.EmailIsValid, RIGHT(I1892,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IF(A1892="", "", IF(_xlpm.error_messages = "", "Yes", _xlpm.error_messages))
)</f>
        <v/>
      </c>
    </row>
    <row r="1893" spans="1:12">
      <c r="A1893" s="94"/>
      <c r="B1893" s="95"/>
      <c r="C1893" s="95"/>
      <c r="D1893" s="94"/>
      <c r="E1893" s="94"/>
      <c r="F1893" s="96"/>
      <c r="G1893" s="94"/>
      <c r="H1893" s="96"/>
      <c r="I1893" s="96"/>
      <c r="J1893" s="92"/>
      <c r="K1893" s="97"/>
      <c r="L1893" s="99" t="str">
        <f ca="1">_xlfn.LET(
    _xlpm.res_no, J1893,
    _xlpm.record_sheet, 'MatRes Record'!J:M,
    _xlpm.AllCellsFilled, COUNTA(A1893:K1893) = 11,
    _xlpm.QtyIsInt, AND(ISNUMBER(G1893), G1893=INT(G1893)),
    _xlpm.ReqDateIsValid, AND(ISNUMBER(H1893), H1893&gt;=TODAY()),
    _xlpm.EmailIsValid, RIGHT(I1893,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IF(A1893="", "", IF(_xlpm.error_messages = "", "Yes", _xlpm.error_messages))
)</f>
        <v/>
      </c>
    </row>
    <row r="1894" spans="1:12">
      <c r="A1894" s="94"/>
      <c r="B1894" s="95"/>
      <c r="C1894" s="95"/>
      <c r="D1894" s="94"/>
      <c r="E1894" s="94"/>
      <c r="F1894" s="96"/>
      <c r="G1894" s="94"/>
      <c r="H1894" s="96"/>
      <c r="I1894" s="96"/>
      <c r="J1894" s="92"/>
      <c r="K1894" s="97"/>
      <c r="L1894" s="99" t="str">
        <f ca="1">_xlfn.LET(
    _xlpm.res_no, J1894,
    _xlpm.record_sheet, 'MatRes Record'!J:M,
    _xlpm.AllCellsFilled, COUNTA(A1894:K1894) = 11,
    _xlpm.QtyIsInt, AND(ISNUMBER(G1894), G1894=INT(G1894)),
    _xlpm.ReqDateIsValid, AND(ISNUMBER(H1894), H1894&gt;=TODAY()),
    _xlpm.EmailIsValid, RIGHT(I1894,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IF(A1894="", "", IF(_xlpm.error_messages = "", "Yes", _xlpm.error_messages))
)</f>
        <v/>
      </c>
    </row>
    <row r="1895" spans="1:12">
      <c r="A1895" s="94"/>
      <c r="B1895" s="95"/>
      <c r="C1895" s="95"/>
      <c r="D1895" s="94"/>
      <c r="E1895" s="94"/>
      <c r="F1895" s="96"/>
      <c r="G1895" s="94"/>
      <c r="H1895" s="96"/>
      <c r="I1895" s="96"/>
      <c r="J1895" s="92"/>
      <c r="K1895" s="97"/>
      <c r="L1895" s="99" t="str">
        <f ca="1">_xlfn.LET(
    _xlpm.res_no, J1895,
    _xlpm.record_sheet, 'MatRes Record'!J:M,
    _xlpm.AllCellsFilled, COUNTA(A1895:K1895) = 11,
    _xlpm.QtyIsInt, AND(ISNUMBER(G1895), G1895=INT(G1895)),
    _xlpm.ReqDateIsValid, AND(ISNUMBER(H1895), H1895&gt;=TODAY()),
    _xlpm.EmailIsValid, RIGHT(I1895,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IF(A1895="", "", IF(_xlpm.error_messages = "", "Yes", _xlpm.error_messages))
)</f>
        <v/>
      </c>
    </row>
    <row r="1896" spans="1:12">
      <c r="A1896" s="94"/>
      <c r="B1896" s="95"/>
      <c r="C1896" s="95"/>
      <c r="D1896" s="94"/>
      <c r="E1896" s="94"/>
      <c r="F1896" s="96"/>
      <c r="G1896" s="94"/>
      <c r="H1896" s="96"/>
      <c r="I1896" s="96"/>
      <c r="J1896" s="92"/>
      <c r="K1896" s="97"/>
      <c r="L1896" s="99" t="str">
        <f ca="1">_xlfn.LET(
    _xlpm.res_no, J1896,
    _xlpm.record_sheet, 'MatRes Record'!J:M,
    _xlpm.AllCellsFilled, COUNTA(A1896:K1896) = 11,
    _xlpm.QtyIsInt, AND(ISNUMBER(G1896), G1896=INT(G1896)),
    _xlpm.ReqDateIsValid, AND(ISNUMBER(H1896), H1896&gt;=TODAY()),
    _xlpm.EmailIsValid, RIGHT(I1896,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IF(A1896="", "", IF(_xlpm.error_messages = "", "Yes", _xlpm.error_messages))
)</f>
        <v/>
      </c>
    </row>
    <row r="1897" spans="1:12">
      <c r="A1897" s="94"/>
      <c r="B1897" s="95"/>
      <c r="C1897" s="95"/>
      <c r="D1897" s="94"/>
      <c r="E1897" s="94"/>
      <c r="F1897" s="96"/>
      <c r="G1897" s="94"/>
      <c r="H1897" s="96"/>
      <c r="I1897" s="96"/>
      <c r="J1897" s="92"/>
      <c r="K1897" s="97"/>
      <c r="L1897" s="99" t="str">
        <f ca="1">_xlfn.LET(
    _xlpm.res_no, J1897,
    _xlpm.record_sheet, 'MatRes Record'!J:M,
    _xlpm.AllCellsFilled, COUNTA(A1897:K1897) = 11,
    _xlpm.QtyIsInt, AND(ISNUMBER(G1897), G1897=INT(G1897)),
    _xlpm.ReqDateIsValid, AND(ISNUMBER(H1897), H1897&gt;=TODAY()),
    _xlpm.EmailIsValid, RIGHT(I1897,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IF(A1897="", "", IF(_xlpm.error_messages = "", "Yes", _xlpm.error_messages))
)</f>
        <v/>
      </c>
    </row>
    <row r="1898" spans="1:12">
      <c r="A1898" s="94"/>
      <c r="B1898" s="95"/>
      <c r="C1898" s="95"/>
      <c r="D1898" s="94"/>
      <c r="E1898" s="94"/>
      <c r="F1898" s="96"/>
      <c r="G1898" s="94"/>
      <c r="H1898" s="96"/>
      <c r="I1898" s="96"/>
      <c r="J1898" s="92"/>
      <c r="K1898" s="97"/>
      <c r="L1898" s="99" t="str">
        <f ca="1">_xlfn.LET(
    _xlpm.res_no, J1898,
    _xlpm.record_sheet, 'MatRes Record'!J:M,
    _xlpm.AllCellsFilled, COUNTA(A1898:K1898) = 11,
    _xlpm.QtyIsInt, AND(ISNUMBER(G1898), G1898=INT(G1898)),
    _xlpm.ReqDateIsValid, AND(ISNUMBER(H1898), H1898&gt;=TODAY()),
    _xlpm.EmailIsValid, RIGHT(I1898,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IF(A1898="", "", IF(_xlpm.error_messages = "", "Yes", _xlpm.error_messages))
)</f>
        <v/>
      </c>
    </row>
    <row r="1899" spans="1:12">
      <c r="A1899" s="94"/>
      <c r="B1899" s="95"/>
      <c r="C1899" s="95"/>
      <c r="D1899" s="94"/>
      <c r="E1899" s="94"/>
      <c r="F1899" s="96"/>
      <c r="G1899" s="94"/>
      <c r="H1899" s="96"/>
      <c r="I1899" s="96"/>
      <c r="J1899" s="92"/>
      <c r="K1899" s="97"/>
      <c r="L1899" s="99" t="str">
        <f ca="1">_xlfn.LET(
    _xlpm.res_no, J1899,
    _xlpm.record_sheet, 'MatRes Record'!J:M,
    _xlpm.AllCellsFilled, COUNTA(A1899:K1899) = 11,
    _xlpm.QtyIsInt, AND(ISNUMBER(G1899), G1899=INT(G1899)),
    _xlpm.ReqDateIsValid, AND(ISNUMBER(H1899), H1899&gt;=TODAY()),
    _xlpm.EmailIsValid, RIGHT(I1899,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IF(A1899="", "", IF(_xlpm.error_messages = "", "Yes", _xlpm.error_messages))
)</f>
        <v/>
      </c>
    </row>
    <row r="1900" spans="1:12">
      <c r="A1900" s="94"/>
      <c r="B1900" s="95"/>
      <c r="C1900" s="95"/>
      <c r="D1900" s="94"/>
      <c r="E1900" s="94"/>
      <c r="F1900" s="96"/>
      <c r="G1900" s="94"/>
      <c r="H1900" s="96"/>
      <c r="I1900" s="96"/>
      <c r="J1900" s="92"/>
      <c r="K1900" s="97"/>
      <c r="L1900" s="99" t="str">
        <f ca="1">_xlfn.LET(
    _xlpm.res_no, J1900,
    _xlpm.record_sheet, 'MatRes Record'!J:M,
    _xlpm.AllCellsFilled, COUNTA(A1900:K1900) = 11,
    _xlpm.QtyIsInt, AND(ISNUMBER(G1900), G1900=INT(G1900)),
    _xlpm.ReqDateIsValid, AND(ISNUMBER(H1900), H1900&gt;=TODAY()),
    _xlpm.EmailIsValid, RIGHT(I1900,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IF(A1900="", "", IF(_xlpm.error_messages = "", "Yes", _xlpm.error_messages))
)</f>
        <v/>
      </c>
    </row>
    <row r="1901" spans="1:12">
      <c r="A1901" s="94"/>
      <c r="B1901" s="95"/>
      <c r="C1901" s="95"/>
      <c r="D1901" s="94"/>
      <c r="E1901" s="94"/>
      <c r="F1901" s="96"/>
      <c r="G1901" s="94"/>
      <c r="H1901" s="96"/>
      <c r="I1901" s="96"/>
      <c r="J1901" s="92"/>
      <c r="K1901" s="97"/>
      <c r="L1901" s="99" t="str">
        <f ca="1">_xlfn.LET(
    _xlpm.res_no, J1901,
    _xlpm.record_sheet, 'MatRes Record'!J:M,
    _xlpm.AllCellsFilled, COUNTA(A1901:K1901) = 11,
    _xlpm.QtyIsInt, AND(ISNUMBER(G1901), G1901=INT(G1901)),
    _xlpm.ReqDateIsValid, AND(ISNUMBER(H1901), H1901&gt;=TODAY()),
    _xlpm.EmailIsValid, RIGHT(I1901,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IF(A1901="", "", IF(_xlpm.error_messages = "", "Yes", _xlpm.error_messages))
)</f>
        <v/>
      </c>
    </row>
    <row r="1902" spans="1:12">
      <c r="A1902" s="94"/>
      <c r="B1902" s="95"/>
      <c r="C1902" s="95"/>
      <c r="D1902" s="94"/>
      <c r="E1902" s="94"/>
      <c r="F1902" s="96"/>
      <c r="G1902" s="94"/>
      <c r="H1902" s="96"/>
      <c r="I1902" s="96"/>
      <c r="J1902" s="92"/>
      <c r="K1902" s="97"/>
      <c r="L1902" s="99" t="str">
        <f ca="1">_xlfn.LET(
    _xlpm.res_no, J1902,
    _xlpm.record_sheet, 'MatRes Record'!J:M,
    _xlpm.AllCellsFilled, COUNTA(A1902:K1902) = 11,
    _xlpm.QtyIsInt, AND(ISNUMBER(G1902), G1902=INT(G1902)),
    _xlpm.ReqDateIsValid, AND(ISNUMBER(H1902), H1902&gt;=TODAY()),
    _xlpm.EmailIsValid, RIGHT(I1902,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IF(A1902="", "", IF(_xlpm.error_messages = "", "Yes", _xlpm.error_messages))
)</f>
        <v/>
      </c>
    </row>
    <row r="1903" spans="1:12">
      <c r="A1903" s="94"/>
      <c r="B1903" s="95"/>
      <c r="C1903" s="95"/>
      <c r="D1903" s="94"/>
      <c r="E1903" s="94"/>
      <c r="F1903" s="96"/>
      <c r="G1903" s="94"/>
      <c r="H1903" s="96"/>
      <c r="I1903" s="96"/>
      <c r="J1903" s="92"/>
      <c r="K1903" s="97"/>
      <c r="L1903" s="99" t="str">
        <f ca="1">_xlfn.LET(
    _xlpm.res_no, J1903,
    _xlpm.record_sheet, 'MatRes Record'!J:M,
    _xlpm.AllCellsFilled, COUNTA(A1903:K1903) = 11,
    _xlpm.QtyIsInt, AND(ISNUMBER(G1903), G1903=INT(G1903)),
    _xlpm.ReqDateIsValid, AND(ISNUMBER(H1903), H1903&gt;=TODAY()),
    _xlpm.EmailIsValid, RIGHT(I1903,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IF(A1903="", "", IF(_xlpm.error_messages = "", "Yes", _xlpm.error_messages))
)</f>
        <v/>
      </c>
    </row>
    <row r="1904" spans="1:12">
      <c r="A1904" s="94"/>
      <c r="B1904" s="95"/>
      <c r="C1904" s="95"/>
      <c r="D1904" s="94"/>
      <c r="E1904" s="94"/>
      <c r="F1904" s="96"/>
      <c r="G1904" s="94"/>
      <c r="H1904" s="96"/>
      <c r="I1904" s="96"/>
      <c r="J1904" s="92"/>
      <c r="K1904" s="97"/>
      <c r="L1904" s="99" t="str">
        <f ca="1">_xlfn.LET(
    _xlpm.res_no, J1904,
    _xlpm.record_sheet, 'MatRes Record'!J:M,
    _xlpm.AllCellsFilled, COUNTA(A1904:K1904) = 11,
    _xlpm.QtyIsInt, AND(ISNUMBER(G1904), G1904=INT(G1904)),
    _xlpm.ReqDateIsValid, AND(ISNUMBER(H1904), H1904&gt;=TODAY()),
    _xlpm.EmailIsValid, RIGHT(I1904,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IF(A1904="", "", IF(_xlpm.error_messages = "", "Yes", _xlpm.error_messages))
)</f>
        <v/>
      </c>
    </row>
    <row r="1905" spans="1:12">
      <c r="A1905" s="94"/>
      <c r="B1905" s="95"/>
      <c r="C1905" s="95"/>
      <c r="D1905" s="94"/>
      <c r="E1905" s="94"/>
      <c r="F1905" s="96"/>
      <c r="G1905" s="94"/>
      <c r="H1905" s="96"/>
      <c r="I1905" s="96"/>
      <c r="J1905" s="92"/>
      <c r="K1905" s="97"/>
      <c r="L1905" s="99" t="str">
        <f ca="1">_xlfn.LET(
    _xlpm.res_no, J1905,
    _xlpm.record_sheet, 'MatRes Record'!J:M,
    _xlpm.AllCellsFilled, COUNTA(A1905:K1905) = 11,
    _xlpm.QtyIsInt, AND(ISNUMBER(G1905), G1905=INT(G1905)),
    _xlpm.ReqDateIsValid, AND(ISNUMBER(H1905), H1905&gt;=TODAY()),
    _xlpm.EmailIsValid, RIGHT(I1905,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IF(A1905="", "", IF(_xlpm.error_messages = "", "Yes", _xlpm.error_messages))
)</f>
        <v/>
      </c>
    </row>
    <row r="1906" spans="1:12">
      <c r="A1906" s="94"/>
      <c r="B1906" s="95"/>
      <c r="C1906" s="95"/>
      <c r="D1906" s="94"/>
      <c r="E1906" s="94"/>
      <c r="F1906" s="96"/>
      <c r="G1906" s="94"/>
      <c r="H1906" s="96"/>
      <c r="I1906" s="96"/>
      <c r="J1906" s="92"/>
      <c r="K1906" s="97"/>
      <c r="L1906" s="99" t="str">
        <f ca="1">_xlfn.LET(
    _xlpm.res_no, J1906,
    _xlpm.record_sheet, 'MatRes Record'!J:M,
    _xlpm.AllCellsFilled, COUNTA(A1906:K1906) = 11,
    _xlpm.QtyIsInt, AND(ISNUMBER(G1906), G1906=INT(G1906)),
    _xlpm.ReqDateIsValid, AND(ISNUMBER(H1906), H1906&gt;=TODAY()),
    _xlpm.EmailIsValid, RIGHT(I1906,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IF(A1906="", "", IF(_xlpm.error_messages = "", "Yes", _xlpm.error_messages))
)</f>
        <v/>
      </c>
    </row>
    <row r="1907" spans="1:12">
      <c r="A1907" s="94"/>
      <c r="B1907" s="95"/>
      <c r="C1907" s="95"/>
      <c r="D1907" s="94"/>
      <c r="E1907" s="94"/>
      <c r="F1907" s="96"/>
      <c r="G1907" s="94"/>
      <c r="H1907" s="96"/>
      <c r="I1907" s="96"/>
      <c r="J1907" s="92"/>
      <c r="K1907" s="97"/>
      <c r="L1907" s="99" t="str">
        <f ca="1">_xlfn.LET(
    _xlpm.res_no, J1907,
    _xlpm.record_sheet, 'MatRes Record'!J:M,
    _xlpm.AllCellsFilled, COUNTA(A1907:K1907) = 11,
    _xlpm.QtyIsInt, AND(ISNUMBER(G1907), G1907=INT(G1907)),
    _xlpm.ReqDateIsValid, AND(ISNUMBER(H1907), H1907&gt;=TODAY()),
    _xlpm.EmailIsValid, RIGHT(I1907,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IF(A1907="", "", IF(_xlpm.error_messages = "", "Yes", _xlpm.error_messages))
)</f>
        <v/>
      </c>
    </row>
    <row r="1908" spans="1:12">
      <c r="A1908" s="94"/>
      <c r="B1908" s="95"/>
      <c r="C1908" s="95"/>
      <c r="D1908" s="94"/>
      <c r="E1908" s="94"/>
      <c r="F1908" s="96"/>
      <c r="G1908" s="94"/>
      <c r="H1908" s="96"/>
      <c r="I1908" s="96"/>
      <c r="J1908" s="92"/>
      <c r="K1908" s="97"/>
      <c r="L1908" s="99" t="str">
        <f ca="1">_xlfn.LET(
    _xlpm.res_no, J1908,
    _xlpm.record_sheet, 'MatRes Record'!J:M,
    _xlpm.AllCellsFilled, COUNTA(A1908:K1908) = 11,
    _xlpm.QtyIsInt, AND(ISNUMBER(G1908), G1908=INT(G1908)),
    _xlpm.ReqDateIsValid, AND(ISNUMBER(H1908), H1908&gt;=TODAY()),
    _xlpm.EmailIsValid, RIGHT(I1908,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IF(A1908="", "", IF(_xlpm.error_messages = "", "Yes", _xlpm.error_messages))
)</f>
        <v/>
      </c>
    </row>
    <row r="1909" spans="1:12">
      <c r="A1909" s="94"/>
      <c r="B1909" s="95"/>
      <c r="C1909" s="95"/>
      <c r="D1909" s="94"/>
      <c r="E1909" s="94"/>
      <c r="F1909" s="96"/>
      <c r="G1909" s="94"/>
      <c r="H1909" s="96"/>
      <c r="I1909" s="96"/>
      <c r="J1909" s="92"/>
      <c r="K1909" s="97"/>
      <c r="L1909" s="99" t="str">
        <f ca="1">_xlfn.LET(
    _xlpm.res_no, J1909,
    _xlpm.record_sheet, 'MatRes Record'!J:M,
    _xlpm.AllCellsFilled, COUNTA(A1909:K1909) = 11,
    _xlpm.QtyIsInt, AND(ISNUMBER(G1909), G1909=INT(G1909)),
    _xlpm.ReqDateIsValid, AND(ISNUMBER(H1909), H1909&gt;=TODAY()),
    _xlpm.EmailIsValid, RIGHT(I1909,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IF(A1909="", "", IF(_xlpm.error_messages = "", "Yes", _xlpm.error_messages))
)</f>
        <v/>
      </c>
    </row>
    <row r="1910" spans="1:12">
      <c r="A1910" s="94"/>
      <c r="B1910" s="95"/>
      <c r="C1910" s="95"/>
      <c r="D1910" s="94"/>
      <c r="E1910" s="94"/>
      <c r="F1910" s="96"/>
      <c r="G1910" s="94"/>
      <c r="H1910" s="96"/>
      <c r="I1910" s="96"/>
      <c r="J1910" s="92"/>
      <c r="K1910" s="97"/>
      <c r="L1910" s="99" t="str">
        <f ca="1">_xlfn.LET(
    _xlpm.res_no, J1910,
    _xlpm.record_sheet, 'MatRes Record'!J:M,
    _xlpm.AllCellsFilled, COUNTA(A1910:K1910) = 11,
    _xlpm.QtyIsInt, AND(ISNUMBER(G1910), G1910=INT(G1910)),
    _xlpm.ReqDateIsValid, AND(ISNUMBER(H1910), H1910&gt;=TODAY()),
    _xlpm.EmailIsValid, RIGHT(I1910,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IF(A1910="", "", IF(_xlpm.error_messages = "", "Yes", _xlpm.error_messages))
)</f>
        <v/>
      </c>
    </row>
    <row r="1911" spans="1:12">
      <c r="A1911" s="94"/>
      <c r="B1911" s="95"/>
      <c r="C1911" s="95"/>
      <c r="D1911" s="94"/>
      <c r="E1911" s="94"/>
      <c r="F1911" s="96"/>
      <c r="G1911" s="94"/>
      <c r="H1911" s="96"/>
      <c r="I1911" s="96"/>
      <c r="J1911" s="92"/>
      <c r="K1911" s="97"/>
      <c r="L1911" s="99" t="str">
        <f ca="1">_xlfn.LET(
    _xlpm.res_no, J1911,
    _xlpm.record_sheet, 'MatRes Record'!J:M,
    _xlpm.AllCellsFilled, COUNTA(A1911:K1911) = 11,
    _xlpm.QtyIsInt, AND(ISNUMBER(G1911), G1911=INT(G1911)),
    _xlpm.ReqDateIsValid, AND(ISNUMBER(H1911), H1911&gt;=TODAY()),
    _xlpm.EmailIsValid, RIGHT(I1911,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IF(A1911="", "", IF(_xlpm.error_messages = "", "Yes", _xlpm.error_messages))
)</f>
        <v/>
      </c>
    </row>
    <row r="1912" spans="1:12">
      <c r="A1912" s="94"/>
      <c r="B1912" s="95"/>
      <c r="C1912" s="95"/>
      <c r="D1912" s="94"/>
      <c r="E1912" s="94"/>
      <c r="F1912" s="96"/>
      <c r="G1912" s="94"/>
      <c r="H1912" s="96"/>
      <c r="I1912" s="96"/>
      <c r="J1912" s="92"/>
      <c r="K1912" s="97"/>
      <c r="L1912" s="99" t="str">
        <f ca="1">_xlfn.LET(
    _xlpm.res_no, J1912,
    _xlpm.record_sheet, 'MatRes Record'!J:M,
    _xlpm.AllCellsFilled, COUNTA(A1912:K1912) = 11,
    _xlpm.QtyIsInt, AND(ISNUMBER(G1912), G1912=INT(G1912)),
    _xlpm.ReqDateIsValid, AND(ISNUMBER(H1912), H1912&gt;=TODAY()),
    _xlpm.EmailIsValid, RIGHT(I1912,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IF(A1912="", "", IF(_xlpm.error_messages = "", "Yes", _xlpm.error_messages))
)</f>
        <v/>
      </c>
    </row>
    <row r="1913" spans="1:12">
      <c r="A1913" s="94"/>
      <c r="B1913" s="95"/>
      <c r="C1913" s="95"/>
      <c r="D1913" s="94"/>
      <c r="E1913" s="94"/>
      <c r="F1913" s="96"/>
      <c r="G1913" s="94"/>
      <c r="H1913" s="96"/>
      <c r="I1913" s="96"/>
      <c r="J1913" s="92"/>
      <c r="K1913" s="97"/>
      <c r="L1913" s="99" t="str">
        <f ca="1">_xlfn.LET(
    _xlpm.res_no, J1913,
    _xlpm.record_sheet, 'MatRes Record'!J:M,
    _xlpm.AllCellsFilled, COUNTA(A1913:K1913) = 11,
    _xlpm.QtyIsInt, AND(ISNUMBER(G1913), G1913=INT(G1913)),
    _xlpm.ReqDateIsValid, AND(ISNUMBER(H1913), H1913&gt;=TODAY()),
    _xlpm.EmailIsValid, RIGHT(I1913,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IF(A1913="", "", IF(_xlpm.error_messages = "", "Yes", _xlpm.error_messages))
)</f>
        <v/>
      </c>
    </row>
    <row r="1914" spans="1:12">
      <c r="A1914" s="94"/>
      <c r="B1914" s="95"/>
      <c r="C1914" s="95"/>
      <c r="D1914" s="94"/>
      <c r="E1914" s="94"/>
      <c r="F1914" s="96"/>
      <c r="G1914" s="94"/>
      <c r="H1914" s="96"/>
      <c r="I1914" s="96"/>
      <c r="J1914" s="92"/>
      <c r="K1914" s="97"/>
      <c r="L1914" s="99" t="str">
        <f ca="1">_xlfn.LET(
    _xlpm.res_no, J1914,
    _xlpm.record_sheet, 'MatRes Record'!J:M,
    _xlpm.AllCellsFilled, COUNTA(A1914:K1914) = 11,
    _xlpm.QtyIsInt, AND(ISNUMBER(G1914), G1914=INT(G1914)),
    _xlpm.ReqDateIsValid, AND(ISNUMBER(H1914), H1914&gt;=TODAY()),
    _xlpm.EmailIsValid, RIGHT(I1914,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IF(A1914="", "", IF(_xlpm.error_messages = "", "Yes", _xlpm.error_messages))
)</f>
        <v/>
      </c>
    </row>
    <row r="1915" spans="1:12">
      <c r="A1915" s="94"/>
      <c r="B1915" s="95"/>
      <c r="C1915" s="95"/>
      <c r="D1915" s="94"/>
      <c r="E1915" s="94"/>
      <c r="F1915" s="96"/>
      <c r="G1915" s="94"/>
      <c r="H1915" s="96"/>
      <c r="I1915" s="96"/>
      <c r="J1915" s="92"/>
      <c r="K1915" s="97"/>
      <c r="L1915" s="99" t="str">
        <f ca="1">_xlfn.LET(
    _xlpm.res_no, J1915,
    _xlpm.record_sheet, 'MatRes Record'!J:M,
    _xlpm.AllCellsFilled, COUNTA(A1915:K1915) = 11,
    _xlpm.QtyIsInt, AND(ISNUMBER(G1915), G1915=INT(G1915)),
    _xlpm.ReqDateIsValid, AND(ISNUMBER(H1915), H1915&gt;=TODAY()),
    _xlpm.EmailIsValid, RIGHT(I1915,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IF(A1915="", "", IF(_xlpm.error_messages = "", "Yes", _xlpm.error_messages))
)</f>
        <v/>
      </c>
    </row>
    <row r="1916" spans="1:12">
      <c r="A1916" s="94"/>
      <c r="B1916" s="95"/>
      <c r="C1916" s="95"/>
      <c r="D1916" s="94"/>
      <c r="E1916" s="94"/>
      <c r="F1916" s="96"/>
      <c r="G1916" s="94"/>
      <c r="H1916" s="96"/>
      <c r="I1916" s="96"/>
      <c r="J1916" s="92"/>
      <c r="K1916" s="97"/>
      <c r="L1916" s="99" t="str">
        <f ca="1">_xlfn.LET(
    _xlpm.res_no, J1916,
    _xlpm.record_sheet, 'MatRes Record'!J:M,
    _xlpm.AllCellsFilled, COUNTA(A1916:K1916) = 11,
    _xlpm.QtyIsInt, AND(ISNUMBER(G1916), G1916=INT(G1916)),
    _xlpm.ReqDateIsValid, AND(ISNUMBER(H1916), H1916&gt;=TODAY()),
    _xlpm.EmailIsValid, RIGHT(I1916,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IF(A1916="", "", IF(_xlpm.error_messages = "", "Yes", _xlpm.error_messages))
)</f>
        <v/>
      </c>
    </row>
    <row r="1917" spans="1:12">
      <c r="A1917" s="94"/>
      <c r="B1917" s="95"/>
      <c r="C1917" s="95"/>
      <c r="D1917" s="94"/>
      <c r="E1917" s="94"/>
      <c r="F1917" s="96"/>
      <c r="G1917" s="94"/>
      <c r="H1917" s="96"/>
      <c r="I1917" s="96"/>
      <c r="J1917" s="92"/>
      <c r="K1917" s="97"/>
      <c r="L1917" s="99" t="str">
        <f ca="1">_xlfn.LET(
    _xlpm.res_no, J1917,
    _xlpm.record_sheet, 'MatRes Record'!J:M,
    _xlpm.AllCellsFilled, COUNTA(A1917:K1917) = 11,
    _xlpm.QtyIsInt, AND(ISNUMBER(G1917), G1917=INT(G1917)),
    _xlpm.ReqDateIsValid, AND(ISNUMBER(H1917), H1917&gt;=TODAY()),
    _xlpm.EmailIsValid, RIGHT(I1917,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IF(A1917="", "", IF(_xlpm.error_messages = "", "Yes", _xlpm.error_messages))
)</f>
        <v/>
      </c>
    </row>
    <row r="1918" spans="1:12">
      <c r="A1918" s="94"/>
      <c r="B1918" s="95"/>
      <c r="C1918" s="95"/>
      <c r="D1918" s="94"/>
      <c r="E1918" s="94"/>
      <c r="F1918" s="96"/>
      <c r="G1918" s="94"/>
      <c r="H1918" s="96"/>
      <c r="I1918" s="96"/>
      <c r="J1918" s="92"/>
      <c r="K1918" s="97"/>
      <c r="L1918" s="99" t="str">
        <f ca="1">_xlfn.LET(
    _xlpm.res_no, J1918,
    _xlpm.record_sheet, 'MatRes Record'!J:M,
    _xlpm.AllCellsFilled, COUNTA(A1918:K1918) = 11,
    _xlpm.QtyIsInt, AND(ISNUMBER(G1918), G1918=INT(G1918)),
    _xlpm.ReqDateIsValid, AND(ISNUMBER(H1918), H1918&gt;=TODAY()),
    _xlpm.EmailIsValid, RIGHT(I1918,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IF(A1918="", "", IF(_xlpm.error_messages = "", "Yes", _xlpm.error_messages))
)</f>
        <v/>
      </c>
    </row>
    <row r="1919" spans="1:12">
      <c r="A1919" s="94"/>
      <c r="B1919" s="95"/>
      <c r="C1919" s="95"/>
      <c r="D1919" s="94"/>
      <c r="E1919" s="94"/>
      <c r="F1919" s="96"/>
      <c r="G1919" s="94"/>
      <c r="H1919" s="96"/>
      <c r="I1919" s="96"/>
      <c r="J1919" s="92"/>
      <c r="K1919" s="97"/>
      <c r="L1919" s="99" t="str">
        <f ca="1">_xlfn.LET(
    _xlpm.res_no, J1919,
    _xlpm.record_sheet, 'MatRes Record'!J:M,
    _xlpm.AllCellsFilled, COUNTA(A1919:K1919) = 11,
    _xlpm.QtyIsInt, AND(ISNUMBER(G1919), G1919=INT(G1919)),
    _xlpm.ReqDateIsValid, AND(ISNUMBER(H1919), H1919&gt;=TODAY()),
    _xlpm.EmailIsValid, RIGHT(I1919,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IF(A1919="", "", IF(_xlpm.error_messages = "", "Yes", _xlpm.error_messages))
)</f>
        <v/>
      </c>
    </row>
    <row r="1920" spans="1:12">
      <c r="A1920" s="94"/>
      <c r="B1920" s="95"/>
      <c r="C1920" s="95"/>
      <c r="D1920" s="94"/>
      <c r="E1920" s="94"/>
      <c r="F1920" s="96"/>
      <c r="G1920" s="94"/>
      <c r="H1920" s="96"/>
      <c r="I1920" s="96"/>
      <c r="J1920" s="92"/>
      <c r="K1920" s="97"/>
      <c r="L1920" s="99" t="str">
        <f ca="1">_xlfn.LET(
    _xlpm.res_no, J1920,
    _xlpm.record_sheet, 'MatRes Record'!J:M,
    _xlpm.AllCellsFilled, COUNTA(A1920:K1920) = 11,
    _xlpm.QtyIsInt, AND(ISNUMBER(G1920), G1920=INT(G1920)),
    _xlpm.ReqDateIsValid, AND(ISNUMBER(H1920), H1920&gt;=TODAY()),
    _xlpm.EmailIsValid, RIGHT(I1920,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IF(A1920="", "", IF(_xlpm.error_messages = "", "Yes", _xlpm.error_messages))
)</f>
        <v/>
      </c>
    </row>
    <row r="1921" spans="1:12">
      <c r="A1921" s="94"/>
      <c r="B1921" s="95"/>
      <c r="C1921" s="95"/>
      <c r="D1921" s="94"/>
      <c r="E1921" s="94"/>
      <c r="F1921" s="96"/>
      <c r="G1921" s="94"/>
      <c r="H1921" s="96"/>
      <c r="I1921" s="96"/>
      <c r="J1921" s="92"/>
      <c r="K1921" s="97"/>
      <c r="L1921" s="99" t="str">
        <f ca="1">_xlfn.LET(
    _xlpm.res_no, J1921,
    _xlpm.record_sheet, 'MatRes Record'!J:M,
    _xlpm.AllCellsFilled, COUNTA(A1921:K1921) = 11,
    _xlpm.QtyIsInt, AND(ISNUMBER(G1921), G1921=INT(G1921)),
    _xlpm.ReqDateIsValid, AND(ISNUMBER(H1921), H1921&gt;=TODAY()),
    _xlpm.EmailIsValid, RIGHT(I1921,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IF(A1921="", "", IF(_xlpm.error_messages = "", "Yes", _xlpm.error_messages))
)</f>
        <v/>
      </c>
    </row>
    <row r="1922" spans="1:12">
      <c r="A1922" s="94"/>
      <c r="B1922" s="95"/>
      <c r="C1922" s="95"/>
      <c r="D1922" s="94"/>
      <c r="E1922" s="94"/>
      <c r="F1922" s="96"/>
      <c r="G1922" s="94"/>
      <c r="H1922" s="96"/>
      <c r="I1922" s="96"/>
      <c r="J1922" s="92"/>
      <c r="K1922" s="97"/>
      <c r="L1922" s="99" t="str">
        <f ca="1">_xlfn.LET(
    _xlpm.res_no, J1922,
    _xlpm.record_sheet, 'MatRes Record'!J:M,
    _xlpm.AllCellsFilled, COUNTA(A1922:K1922) = 11,
    _xlpm.QtyIsInt, AND(ISNUMBER(G1922), G1922=INT(G1922)),
    _xlpm.ReqDateIsValid, AND(ISNUMBER(H1922), H1922&gt;=TODAY()),
    _xlpm.EmailIsValid, RIGHT(I1922,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IF(A1922="", "", IF(_xlpm.error_messages = "", "Yes", _xlpm.error_messages))
)</f>
        <v/>
      </c>
    </row>
    <row r="1923" spans="1:12">
      <c r="A1923" s="94"/>
      <c r="B1923" s="95"/>
      <c r="C1923" s="95"/>
      <c r="D1923" s="94"/>
      <c r="E1923" s="94"/>
      <c r="F1923" s="96"/>
      <c r="G1923" s="94"/>
      <c r="H1923" s="96"/>
      <c r="I1923" s="96"/>
      <c r="J1923" s="92"/>
      <c r="K1923" s="97"/>
      <c r="L1923" s="99" t="str">
        <f ca="1">_xlfn.LET(
    _xlpm.res_no, J1923,
    _xlpm.record_sheet, 'MatRes Record'!J:M,
    _xlpm.AllCellsFilled, COUNTA(A1923:K1923) = 11,
    _xlpm.QtyIsInt, AND(ISNUMBER(G1923), G1923=INT(G1923)),
    _xlpm.ReqDateIsValid, AND(ISNUMBER(H1923), H1923&gt;=TODAY()),
    _xlpm.EmailIsValid, RIGHT(I1923,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IF(A1923="", "", IF(_xlpm.error_messages = "", "Yes", _xlpm.error_messages))
)</f>
        <v/>
      </c>
    </row>
    <row r="1924" spans="1:12">
      <c r="A1924" s="94"/>
      <c r="B1924" s="95"/>
      <c r="C1924" s="95"/>
      <c r="D1924" s="94"/>
      <c r="E1924" s="94"/>
      <c r="F1924" s="96"/>
      <c r="G1924" s="94"/>
      <c r="H1924" s="96"/>
      <c r="I1924" s="96"/>
      <c r="J1924" s="92"/>
      <c r="K1924" s="97"/>
      <c r="L1924" s="99" t="str">
        <f ca="1">_xlfn.LET(
    _xlpm.res_no, J1924,
    _xlpm.record_sheet, 'MatRes Record'!J:M,
    _xlpm.AllCellsFilled, COUNTA(A1924:K1924) = 11,
    _xlpm.QtyIsInt, AND(ISNUMBER(G1924), G1924=INT(G1924)),
    _xlpm.ReqDateIsValid, AND(ISNUMBER(H1924), H1924&gt;=TODAY()),
    _xlpm.EmailIsValid, RIGHT(I1924,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IF(A1924="", "", IF(_xlpm.error_messages = "", "Yes", _xlpm.error_messages))
)</f>
        <v/>
      </c>
    </row>
    <row r="1925" spans="1:12">
      <c r="A1925" s="94"/>
      <c r="B1925" s="95"/>
      <c r="C1925" s="95"/>
      <c r="D1925" s="94"/>
      <c r="E1925" s="94"/>
      <c r="F1925" s="96"/>
      <c r="G1925" s="94"/>
      <c r="H1925" s="96"/>
      <c r="I1925" s="96"/>
      <c r="J1925" s="92"/>
      <c r="K1925" s="97"/>
      <c r="L1925" s="99" t="str">
        <f ca="1">_xlfn.LET(
    _xlpm.res_no, J1925,
    _xlpm.record_sheet, 'MatRes Record'!J:M,
    _xlpm.AllCellsFilled, COUNTA(A1925:K1925) = 11,
    _xlpm.QtyIsInt, AND(ISNUMBER(G1925), G1925=INT(G1925)),
    _xlpm.ReqDateIsValid, AND(ISNUMBER(H1925), H1925&gt;=TODAY()),
    _xlpm.EmailIsValid, RIGHT(I1925,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IF(A1925="", "", IF(_xlpm.error_messages = "", "Yes", _xlpm.error_messages))
)</f>
        <v/>
      </c>
    </row>
    <row r="1926" spans="1:12">
      <c r="A1926" s="94"/>
      <c r="B1926" s="95"/>
      <c r="C1926" s="95"/>
      <c r="D1926" s="94"/>
      <c r="E1926" s="94"/>
      <c r="F1926" s="96"/>
      <c r="G1926" s="94"/>
      <c r="H1926" s="96"/>
      <c r="I1926" s="96"/>
      <c r="J1926" s="92"/>
      <c r="K1926" s="97"/>
      <c r="L1926" s="99" t="str">
        <f ca="1">_xlfn.LET(
    _xlpm.res_no, J1926,
    _xlpm.record_sheet, 'MatRes Record'!J:M,
    _xlpm.AllCellsFilled, COUNTA(A1926:K1926) = 11,
    _xlpm.QtyIsInt, AND(ISNUMBER(G1926), G1926=INT(G1926)),
    _xlpm.ReqDateIsValid, AND(ISNUMBER(H1926), H1926&gt;=TODAY()),
    _xlpm.EmailIsValid, RIGHT(I1926,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IF(A1926="", "", IF(_xlpm.error_messages = "", "Yes", _xlpm.error_messages))
)</f>
        <v/>
      </c>
    </row>
    <row r="1927" spans="1:12">
      <c r="A1927" s="94"/>
      <c r="B1927" s="95"/>
      <c r="C1927" s="95"/>
      <c r="D1927" s="94"/>
      <c r="E1927" s="94"/>
      <c r="F1927" s="96"/>
      <c r="G1927" s="94"/>
      <c r="H1927" s="96"/>
      <c r="I1927" s="96"/>
      <c r="J1927" s="92"/>
      <c r="K1927" s="97"/>
      <c r="L1927" s="99" t="str">
        <f ca="1">_xlfn.LET(
    _xlpm.res_no, J1927,
    _xlpm.record_sheet, 'MatRes Record'!J:M,
    _xlpm.AllCellsFilled, COUNTA(A1927:K1927) = 11,
    _xlpm.QtyIsInt, AND(ISNUMBER(G1927), G1927=INT(G1927)),
    _xlpm.ReqDateIsValid, AND(ISNUMBER(H1927), H1927&gt;=TODAY()),
    _xlpm.EmailIsValid, RIGHT(I1927,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IF(A1927="", "", IF(_xlpm.error_messages = "", "Yes", _xlpm.error_messages))
)</f>
        <v/>
      </c>
    </row>
    <row r="1928" spans="1:12">
      <c r="A1928" s="94"/>
      <c r="B1928" s="95"/>
      <c r="C1928" s="95"/>
      <c r="D1928" s="94"/>
      <c r="E1928" s="94"/>
      <c r="F1928" s="96"/>
      <c r="G1928" s="94"/>
      <c r="H1928" s="96"/>
      <c r="I1928" s="96"/>
      <c r="J1928" s="92"/>
      <c r="K1928" s="97"/>
      <c r="L1928" s="99" t="str">
        <f ca="1">_xlfn.LET(
    _xlpm.res_no, J1928,
    _xlpm.record_sheet, 'MatRes Record'!J:M,
    _xlpm.AllCellsFilled, COUNTA(A1928:K1928) = 11,
    _xlpm.QtyIsInt, AND(ISNUMBER(G1928), G1928=INT(G1928)),
    _xlpm.ReqDateIsValid, AND(ISNUMBER(H1928), H1928&gt;=TODAY()),
    _xlpm.EmailIsValid, RIGHT(I1928,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IF(A1928="", "", IF(_xlpm.error_messages = "", "Yes", _xlpm.error_messages))
)</f>
        <v/>
      </c>
    </row>
    <row r="1929" spans="1:12">
      <c r="A1929" s="94"/>
      <c r="B1929" s="95"/>
      <c r="C1929" s="95"/>
      <c r="D1929" s="94"/>
      <c r="E1929" s="94"/>
      <c r="F1929" s="96"/>
      <c r="G1929" s="94"/>
      <c r="H1929" s="96"/>
      <c r="I1929" s="96"/>
      <c r="J1929" s="92"/>
      <c r="K1929" s="97"/>
      <c r="L1929" s="99" t="str">
        <f ca="1">_xlfn.LET(
    _xlpm.res_no, J1929,
    _xlpm.record_sheet, 'MatRes Record'!J:M,
    _xlpm.AllCellsFilled, COUNTA(A1929:K1929) = 11,
    _xlpm.QtyIsInt, AND(ISNUMBER(G1929), G1929=INT(G1929)),
    _xlpm.ReqDateIsValid, AND(ISNUMBER(H1929), H1929&gt;=TODAY()),
    _xlpm.EmailIsValid, RIGHT(I1929,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IF(A1929="", "", IF(_xlpm.error_messages = "", "Yes", _xlpm.error_messages))
)</f>
        <v/>
      </c>
    </row>
    <row r="1930" spans="1:12">
      <c r="A1930" s="94"/>
      <c r="B1930" s="95"/>
      <c r="C1930" s="95"/>
      <c r="D1930" s="94"/>
      <c r="E1930" s="94"/>
      <c r="F1930" s="96"/>
      <c r="G1930" s="94"/>
      <c r="H1930" s="96"/>
      <c r="I1930" s="96"/>
      <c r="J1930" s="92"/>
      <c r="K1930" s="97"/>
      <c r="L1930" s="99" t="str">
        <f ca="1">_xlfn.LET(
    _xlpm.res_no, J1930,
    _xlpm.record_sheet, 'MatRes Record'!J:M,
    _xlpm.AllCellsFilled, COUNTA(A1930:K1930) = 11,
    _xlpm.QtyIsInt, AND(ISNUMBER(G1930), G1930=INT(G1930)),
    _xlpm.ReqDateIsValid, AND(ISNUMBER(H1930), H1930&gt;=TODAY()),
    _xlpm.EmailIsValid, RIGHT(I1930,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IF(A1930="", "", IF(_xlpm.error_messages = "", "Yes", _xlpm.error_messages))
)</f>
        <v/>
      </c>
    </row>
    <row r="1931" spans="1:12">
      <c r="A1931" s="94"/>
      <c r="B1931" s="95"/>
      <c r="C1931" s="95"/>
      <c r="D1931" s="94"/>
      <c r="E1931" s="94"/>
      <c r="F1931" s="96"/>
      <c r="G1931" s="94"/>
      <c r="H1931" s="96"/>
      <c r="I1931" s="96"/>
      <c r="J1931" s="92"/>
      <c r="K1931" s="97"/>
      <c r="L1931" s="99" t="str">
        <f ca="1">_xlfn.LET(
    _xlpm.res_no, J1931,
    _xlpm.record_sheet, 'MatRes Record'!J:M,
    _xlpm.AllCellsFilled, COUNTA(A1931:K1931) = 11,
    _xlpm.QtyIsInt, AND(ISNUMBER(G1931), G1931=INT(G1931)),
    _xlpm.ReqDateIsValid, AND(ISNUMBER(H1931), H1931&gt;=TODAY()),
    _xlpm.EmailIsValid, RIGHT(I1931,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IF(A1931="", "", IF(_xlpm.error_messages = "", "Yes", _xlpm.error_messages))
)</f>
        <v/>
      </c>
    </row>
    <row r="1932" spans="1:12">
      <c r="A1932" s="94"/>
      <c r="B1932" s="95"/>
      <c r="C1932" s="95"/>
      <c r="D1932" s="94"/>
      <c r="E1932" s="94"/>
      <c r="F1932" s="96"/>
      <c r="G1932" s="94"/>
      <c r="H1932" s="96"/>
      <c r="I1932" s="96"/>
      <c r="J1932" s="92"/>
      <c r="K1932" s="97"/>
      <c r="L1932" s="99" t="str">
        <f ca="1">_xlfn.LET(
    _xlpm.res_no, J1932,
    _xlpm.record_sheet, 'MatRes Record'!J:M,
    _xlpm.AllCellsFilled, COUNTA(A1932:K1932) = 11,
    _xlpm.QtyIsInt, AND(ISNUMBER(G1932), G1932=INT(G1932)),
    _xlpm.ReqDateIsValid, AND(ISNUMBER(H1932), H1932&gt;=TODAY()),
    _xlpm.EmailIsValid, RIGHT(I1932,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IF(A1932="", "", IF(_xlpm.error_messages = "", "Yes", _xlpm.error_messages))
)</f>
        <v/>
      </c>
    </row>
    <row r="1933" spans="1:12">
      <c r="A1933" s="94"/>
      <c r="B1933" s="95"/>
      <c r="C1933" s="95"/>
      <c r="D1933" s="94"/>
      <c r="E1933" s="94"/>
      <c r="F1933" s="96"/>
      <c r="G1933" s="94"/>
      <c r="H1933" s="96"/>
      <c r="I1933" s="96"/>
      <c r="J1933" s="92"/>
      <c r="K1933" s="97"/>
      <c r="L1933" s="99" t="str">
        <f ca="1">_xlfn.LET(
    _xlpm.res_no, J1933,
    _xlpm.record_sheet, 'MatRes Record'!J:M,
    _xlpm.AllCellsFilled, COUNTA(A1933:K1933) = 11,
    _xlpm.QtyIsInt, AND(ISNUMBER(G1933), G1933=INT(G1933)),
    _xlpm.ReqDateIsValid, AND(ISNUMBER(H1933), H1933&gt;=TODAY()),
    _xlpm.EmailIsValid, RIGHT(I1933,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IF(A1933="", "", IF(_xlpm.error_messages = "", "Yes", _xlpm.error_messages))
)</f>
        <v/>
      </c>
    </row>
    <row r="1934" spans="1:12">
      <c r="A1934" s="94"/>
      <c r="B1934" s="95"/>
      <c r="C1934" s="95"/>
      <c r="D1934" s="94"/>
      <c r="E1934" s="94"/>
      <c r="F1934" s="96"/>
      <c r="G1934" s="94"/>
      <c r="H1934" s="96"/>
      <c r="I1934" s="96"/>
      <c r="J1934" s="92"/>
      <c r="K1934" s="97"/>
      <c r="L1934" s="99" t="str">
        <f ca="1">_xlfn.LET(
    _xlpm.res_no, J1934,
    _xlpm.record_sheet, 'MatRes Record'!J:M,
    _xlpm.AllCellsFilled, COUNTA(A1934:K1934) = 11,
    _xlpm.QtyIsInt, AND(ISNUMBER(G1934), G1934=INT(G1934)),
    _xlpm.ReqDateIsValid, AND(ISNUMBER(H1934), H1934&gt;=TODAY()),
    _xlpm.EmailIsValid, RIGHT(I1934,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IF(A1934="", "", IF(_xlpm.error_messages = "", "Yes", _xlpm.error_messages))
)</f>
        <v/>
      </c>
    </row>
    <row r="1935" spans="1:12">
      <c r="A1935" s="94"/>
      <c r="B1935" s="95"/>
      <c r="C1935" s="95"/>
      <c r="D1935" s="94"/>
      <c r="E1935" s="94"/>
      <c r="F1935" s="96"/>
      <c r="G1935" s="94"/>
      <c r="H1935" s="96"/>
      <c r="I1935" s="96"/>
      <c r="J1935" s="92"/>
      <c r="K1935" s="97"/>
      <c r="L1935" s="99" t="str">
        <f ca="1">_xlfn.LET(
    _xlpm.res_no, J1935,
    _xlpm.record_sheet, 'MatRes Record'!J:M,
    _xlpm.AllCellsFilled, COUNTA(A1935:K1935) = 11,
    _xlpm.QtyIsInt, AND(ISNUMBER(G1935), G1935=INT(G1935)),
    _xlpm.ReqDateIsValid, AND(ISNUMBER(H1935), H1935&gt;=TODAY()),
    _xlpm.EmailIsValid, RIGHT(I1935,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IF(A1935="", "", IF(_xlpm.error_messages = "", "Yes", _xlpm.error_messages))
)</f>
        <v/>
      </c>
    </row>
    <row r="1936" spans="1:12">
      <c r="A1936" s="94"/>
      <c r="B1936" s="95"/>
      <c r="C1936" s="95"/>
      <c r="D1936" s="94"/>
      <c r="E1936" s="94"/>
      <c r="F1936" s="96"/>
      <c r="G1936" s="94"/>
      <c r="H1936" s="96"/>
      <c r="I1936" s="96"/>
      <c r="J1936" s="92"/>
      <c r="K1936" s="97"/>
      <c r="L1936" s="99" t="str">
        <f ca="1">_xlfn.LET(
    _xlpm.res_no, J1936,
    _xlpm.record_sheet, 'MatRes Record'!J:M,
    _xlpm.AllCellsFilled, COUNTA(A1936:K1936) = 11,
    _xlpm.QtyIsInt, AND(ISNUMBER(G1936), G1936=INT(G1936)),
    _xlpm.ReqDateIsValid, AND(ISNUMBER(H1936), H1936&gt;=TODAY()),
    _xlpm.EmailIsValid, RIGHT(I1936,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IF(A1936="", "", IF(_xlpm.error_messages = "", "Yes", _xlpm.error_messages))
)</f>
        <v/>
      </c>
    </row>
    <row r="1937" spans="1:12">
      <c r="A1937" s="94"/>
      <c r="B1937" s="95"/>
      <c r="C1937" s="95"/>
      <c r="D1937" s="94"/>
      <c r="E1937" s="94"/>
      <c r="F1937" s="96"/>
      <c r="G1937" s="94"/>
      <c r="H1937" s="96"/>
      <c r="I1937" s="96"/>
      <c r="J1937" s="92"/>
      <c r="K1937" s="97"/>
      <c r="L1937" s="99" t="str">
        <f ca="1">_xlfn.LET(
    _xlpm.res_no, J1937,
    _xlpm.record_sheet, 'MatRes Record'!J:M,
    _xlpm.AllCellsFilled, COUNTA(A1937:K1937) = 11,
    _xlpm.QtyIsInt, AND(ISNUMBER(G1937), G1937=INT(G1937)),
    _xlpm.ReqDateIsValid, AND(ISNUMBER(H1937), H1937&gt;=TODAY()),
    _xlpm.EmailIsValid, RIGHT(I1937,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IF(A1937="", "", IF(_xlpm.error_messages = "", "Yes", _xlpm.error_messages))
)</f>
        <v/>
      </c>
    </row>
    <row r="1938" spans="1:12">
      <c r="A1938" s="94"/>
      <c r="B1938" s="95"/>
      <c r="C1938" s="95"/>
      <c r="D1938" s="94"/>
      <c r="E1938" s="94"/>
      <c r="F1938" s="96"/>
      <c r="G1938" s="94"/>
      <c r="H1938" s="96"/>
      <c r="I1938" s="96"/>
      <c r="J1938" s="92"/>
      <c r="K1938" s="97"/>
      <c r="L1938" s="99" t="str">
        <f ca="1">_xlfn.LET(
    _xlpm.res_no, J1938,
    _xlpm.record_sheet, 'MatRes Record'!J:M,
    _xlpm.AllCellsFilled, COUNTA(A1938:K1938) = 11,
    _xlpm.QtyIsInt, AND(ISNUMBER(G1938), G1938=INT(G1938)),
    _xlpm.ReqDateIsValid, AND(ISNUMBER(H1938), H1938&gt;=TODAY()),
    _xlpm.EmailIsValid, RIGHT(I1938,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IF(A1938="", "", IF(_xlpm.error_messages = "", "Yes", _xlpm.error_messages))
)</f>
        <v/>
      </c>
    </row>
    <row r="1939" spans="1:12">
      <c r="A1939" s="94"/>
      <c r="B1939" s="95"/>
      <c r="C1939" s="95"/>
      <c r="D1939" s="94"/>
      <c r="E1939" s="94"/>
      <c r="F1939" s="96"/>
      <c r="G1939" s="94"/>
      <c r="H1939" s="96"/>
      <c r="I1939" s="96"/>
      <c r="J1939" s="92"/>
      <c r="K1939" s="97"/>
      <c r="L1939" s="99" t="str">
        <f ca="1">_xlfn.LET(
    _xlpm.res_no, J1939,
    _xlpm.record_sheet, 'MatRes Record'!J:M,
    _xlpm.AllCellsFilled, COUNTA(A1939:K1939) = 11,
    _xlpm.QtyIsInt, AND(ISNUMBER(G1939), G1939=INT(G1939)),
    _xlpm.ReqDateIsValid, AND(ISNUMBER(H1939), H1939&gt;=TODAY()),
    _xlpm.EmailIsValid, RIGHT(I1939,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IF(A1939="", "", IF(_xlpm.error_messages = "", "Yes", _xlpm.error_messages))
)</f>
        <v/>
      </c>
    </row>
    <row r="1940" spans="1:12">
      <c r="A1940" s="94"/>
      <c r="B1940" s="95"/>
      <c r="C1940" s="95"/>
      <c r="D1940" s="94"/>
      <c r="E1940" s="94"/>
      <c r="F1940" s="96"/>
      <c r="G1940" s="94"/>
      <c r="H1940" s="96"/>
      <c r="I1940" s="96"/>
      <c r="J1940" s="92"/>
      <c r="K1940" s="97"/>
      <c r="L1940" s="99" t="str">
        <f ca="1">_xlfn.LET(
    _xlpm.res_no, J1940,
    _xlpm.record_sheet, 'MatRes Record'!J:M,
    _xlpm.AllCellsFilled, COUNTA(A1940:K1940) = 11,
    _xlpm.QtyIsInt, AND(ISNUMBER(G1940), G1940=INT(G1940)),
    _xlpm.ReqDateIsValid, AND(ISNUMBER(H1940), H1940&gt;=TODAY()),
    _xlpm.EmailIsValid, RIGHT(I1940,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IF(A1940="", "", IF(_xlpm.error_messages = "", "Yes", _xlpm.error_messages))
)</f>
        <v/>
      </c>
    </row>
    <row r="1941" spans="1:12">
      <c r="A1941" s="94"/>
      <c r="B1941" s="95"/>
      <c r="C1941" s="95"/>
      <c r="D1941" s="94"/>
      <c r="E1941" s="94"/>
      <c r="F1941" s="96"/>
      <c r="G1941" s="94"/>
      <c r="H1941" s="96"/>
      <c r="I1941" s="96"/>
      <c r="J1941" s="92"/>
      <c r="K1941" s="97"/>
      <c r="L1941" s="99" t="str">
        <f ca="1">_xlfn.LET(
    _xlpm.res_no, J1941,
    _xlpm.record_sheet, 'MatRes Record'!J:M,
    _xlpm.AllCellsFilled, COUNTA(A1941:K1941) = 11,
    _xlpm.QtyIsInt, AND(ISNUMBER(G1941), G1941=INT(G1941)),
    _xlpm.ReqDateIsValid, AND(ISNUMBER(H1941), H1941&gt;=TODAY()),
    _xlpm.EmailIsValid, RIGHT(I1941,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IF(A1941="", "", IF(_xlpm.error_messages = "", "Yes", _xlpm.error_messages))
)</f>
        <v/>
      </c>
    </row>
    <row r="1942" spans="1:12">
      <c r="A1942" s="94"/>
      <c r="B1942" s="95"/>
      <c r="C1942" s="95"/>
      <c r="D1942" s="94"/>
      <c r="E1942" s="94"/>
      <c r="F1942" s="96"/>
      <c r="G1942" s="94"/>
      <c r="H1942" s="96"/>
      <c r="I1942" s="96"/>
      <c r="J1942" s="92"/>
      <c r="K1942" s="97"/>
      <c r="L1942" s="99" t="str">
        <f ca="1">_xlfn.LET(
    _xlpm.res_no, J1942,
    _xlpm.record_sheet, 'MatRes Record'!J:M,
    _xlpm.AllCellsFilled, COUNTA(A1942:K1942) = 11,
    _xlpm.QtyIsInt, AND(ISNUMBER(G1942), G1942=INT(G1942)),
    _xlpm.ReqDateIsValid, AND(ISNUMBER(H1942), H1942&gt;=TODAY()),
    _xlpm.EmailIsValid, RIGHT(I1942,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IF(A1942="", "", IF(_xlpm.error_messages = "", "Yes", _xlpm.error_messages))
)</f>
        <v/>
      </c>
    </row>
    <row r="1943" spans="1:12">
      <c r="A1943" s="94"/>
      <c r="B1943" s="95"/>
      <c r="C1943" s="95"/>
      <c r="D1943" s="94"/>
      <c r="E1943" s="94"/>
      <c r="F1943" s="96"/>
      <c r="G1943" s="94"/>
      <c r="H1943" s="96"/>
      <c r="I1943" s="96"/>
      <c r="J1943" s="92"/>
      <c r="K1943" s="97"/>
      <c r="L1943" s="99" t="str">
        <f ca="1">_xlfn.LET(
    _xlpm.res_no, J1943,
    _xlpm.record_sheet, 'MatRes Record'!J:M,
    _xlpm.AllCellsFilled, COUNTA(A1943:K1943) = 11,
    _xlpm.QtyIsInt, AND(ISNUMBER(G1943), G1943=INT(G1943)),
    _xlpm.ReqDateIsValid, AND(ISNUMBER(H1943), H1943&gt;=TODAY()),
    _xlpm.EmailIsValid, RIGHT(I1943,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IF(A1943="", "", IF(_xlpm.error_messages = "", "Yes", _xlpm.error_messages))
)</f>
        <v/>
      </c>
    </row>
    <row r="1944" spans="1:12">
      <c r="A1944" s="94"/>
      <c r="B1944" s="95"/>
      <c r="C1944" s="95"/>
      <c r="D1944" s="94"/>
      <c r="E1944" s="94"/>
      <c r="F1944" s="96"/>
      <c r="G1944" s="94"/>
      <c r="H1944" s="96"/>
      <c r="I1944" s="96"/>
      <c r="J1944" s="92"/>
      <c r="K1944" s="97"/>
      <c r="L1944" s="99" t="str">
        <f ca="1">_xlfn.LET(
    _xlpm.res_no, J1944,
    _xlpm.record_sheet, 'MatRes Record'!J:M,
    _xlpm.AllCellsFilled, COUNTA(A1944:K1944) = 11,
    _xlpm.QtyIsInt, AND(ISNUMBER(G1944), G1944=INT(G1944)),
    _xlpm.ReqDateIsValid, AND(ISNUMBER(H1944), H1944&gt;=TODAY()),
    _xlpm.EmailIsValid, RIGHT(I1944,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IF(A1944="", "", IF(_xlpm.error_messages = "", "Yes", _xlpm.error_messages))
)</f>
        <v/>
      </c>
    </row>
    <row r="1945" spans="1:12">
      <c r="A1945" s="94"/>
      <c r="B1945" s="95"/>
      <c r="C1945" s="95"/>
      <c r="D1945" s="94"/>
      <c r="E1945" s="94"/>
      <c r="F1945" s="96"/>
      <c r="G1945" s="94"/>
      <c r="H1945" s="96"/>
      <c r="I1945" s="96"/>
      <c r="J1945" s="92"/>
      <c r="K1945" s="97"/>
      <c r="L1945" s="99" t="str">
        <f ca="1">_xlfn.LET(
    _xlpm.res_no, J1945,
    _xlpm.record_sheet, 'MatRes Record'!J:M,
    _xlpm.AllCellsFilled, COUNTA(A1945:K1945) = 11,
    _xlpm.QtyIsInt, AND(ISNUMBER(G1945), G1945=INT(G1945)),
    _xlpm.ReqDateIsValid, AND(ISNUMBER(H1945), H1945&gt;=TODAY()),
    _xlpm.EmailIsValid, RIGHT(I1945,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IF(A1945="", "", IF(_xlpm.error_messages = "", "Yes", _xlpm.error_messages))
)</f>
        <v/>
      </c>
    </row>
    <row r="1946" spans="1:12">
      <c r="A1946" s="94"/>
      <c r="B1946" s="95"/>
      <c r="C1946" s="95"/>
      <c r="D1946" s="94"/>
      <c r="E1946" s="94"/>
      <c r="F1946" s="96"/>
      <c r="G1946" s="94"/>
      <c r="H1946" s="96"/>
      <c r="I1946" s="96"/>
      <c r="J1946" s="92"/>
      <c r="K1946" s="97"/>
      <c r="L1946" s="99" t="str">
        <f ca="1">_xlfn.LET(
    _xlpm.res_no, J1946,
    _xlpm.record_sheet, 'MatRes Record'!J:M,
    _xlpm.AllCellsFilled, COUNTA(A1946:K1946) = 11,
    _xlpm.QtyIsInt, AND(ISNUMBER(G1946), G1946=INT(G1946)),
    _xlpm.ReqDateIsValid, AND(ISNUMBER(H1946), H1946&gt;=TODAY()),
    _xlpm.EmailIsValid, RIGHT(I1946,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IF(A1946="", "", IF(_xlpm.error_messages = "", "Yes", _xlpm.error_messages))
)</f>
        <v/>
      </c>
    </row>
    <row r="1947" spans="1:12">
      <c r="A1947" s="94"/>
      <c r="B1947" s="95"/>
      <c r="C1947" s="95"/>
      <c r="D1947" s="94"/>
      <c r="E1947" s="94"/>
      <c r="F1947" s="96"/>
      <c r="G1947" s="94"/>
      <c r="H1947" s="96"/>
      <c r="I1947" s="96"/>
      <c r="J1947" s="92"/>
      <c r="K1947" s="97"/>
      <c r="L1947" s="99" t="str">
        <f ca="1">_xlfn.LET(
    _xlpm.res_no, J1947,
    _xlpm.record_sheet, 'MatRes Record'!J:M,
    _xlpm.AllCellsFilled, COUNTA(A1947:K1947) = 11,
    _xlpm.QtyIsInt, AND(ISNUMBER(G1947), G1947=INT(G1947)),
    _xlpm.ReqDateIsValid, AND(ISNUMBER(H1947), H1947&gt;=TODAY()),
    _xlpm.EmailIsValid, RIGHT(I1947,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IF(A1947="", "", IF(_xlpm.error_messages = "", "Yes", _xlpm.error_messages))
)</f>
        <v/>
      </c>
    </row>
    <row r="1948" spans="1:12">
      <c r="A1948" s="94"/>
      <c r="B1948" s="95"/>
      <c r="C1948" s="95"/>
      <c r="D1948" s="94"/>
      <c r="E1948" s="94"/>
      <c r="F1948" s="96"/>
      <c r="G1948" s="94"/>
      <c r="H1948" s="96"/>
      <c r="I1948" s="96"/>
      <c r="J1948" s="92"/>
      <c r="K1948" s="97"/>
      <c r="L1948" s="99" t="str">
        <f ca="1">_xlfn.LET(
    _xlpm.res_no, J1948,
    _xlpm.record_sheet, 'MatRes Record'!J:M,
    _xlpm.AllCellsFilled, COUNTA(A1948:K1948) = 11,
    _xlpm.QtyIsInt, AND(ISNUMBER(G1948), G1948=INT(G1948)),
    _xlpm.ReqDateIsValid, AND(ISNUMBER(H1948), H1948&gt;=TODAY()),
    _xlpm.EmailIsValid, RIGHT(I1948,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IF(A1948="", "", IF(_xlpm.error_messages = "", "Yes", _xlpm.error_messages))
)</f>
        <v/>
      </c>
    </row>
    <row r="1949" spans="1:12">
      <c r="A1949" s="94"/>
      <c r="B1949" s="95"/>
      <c r="C1949" s="95"/>
      <c r="D1949" s="94"/>
      <c r="E1949" s="94"/>
      <c r="F1949" s="96"/>
      <c r="G1949" s="94"/>
      <c r="H1949" s="96"/>
      <c r="I1949" s="96"/>
      <c r="J1949" s="92"/>
      <c r="K1949" s="97"/>
      <c r="L1949" s="99" t="str">
        <f ca="1">_xlfn.LET(
    _xlpm.res_no, J1949,
    _xlpm.record_sheet, 'MatRes Record'!J:M,
    _xlpm.AllCellsFilled, COUNTA(A1949:K1949) = 11,
    _xlpm.QtyIsInt, AND(ISNUMBER(G1949), G1949=INT(G1949)),
    _xlpm.ReqDateIsValid, AND(ISNUMBER(H1949), H1949&gt;=TODAY()),
    _xlpm.EmailIsValid, RIGHT(I1949,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IF(A1949="", "", IF(_xlpm.error_messages = "", "Yes", _xlpm.error_messages))
)</f>
        <v/>
      </c>
    </row>
    <row r="1950" spans="1:12">
      <c r="A1950" s="94"/>
      <c r="B1950" s="95"/>
      <c r="C1950" s="95"/>
      <c r="D1950" s="94"/>
      <c r="E1950" s="94"/>
      <c r="F1950" s="96"/>
      <c r="G1950" s="94"/>
      <c r="H1950" s="96"/>
      <c r="I1950" s="96"/>
      <c r="J1950" s="92"/>
      <c r="K1950" s="97"/>
      <c r="L1950" s="99" t="str">
        <f ca="1">_xlfn.LET(
    _xlpm.res_no, J1950,
    _xlpm.record_sheet, 'MatRes Record'!J:M,
    _xlpm.AllCellsFilled, COUNTA(A1950:K1950) = 11,
    _xlpm.QtyIsInt, AND(ISNUMBER(G1950), G1950=INT(G1950)),
    _xlpm.ReqDateIsValid, AND(ISNUMBER(H1950), H1950&gt;=TODAY()),
    _xlpm.EmailIsValid, RIGHT(I1950,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IF(A1950="", "", IF(_xlpm.error_messages = "", "Yes", _xlpm.error_messages))
)</f>
        <v/>
      </c>
    </row>
    <row r="1951" spans="1:12">
      <c r="A1951" s="94"/>
      <c r="B1951" s="95"/>
      <c r="C1951" s="95"/>
      <c r="D1951" s="94"/>
      <c r="E1951" s="94"/>
      <c r="F1951" s="96"/>
      <c r="G1951" s="94"/>
      <c r="H1951" s="96"/>
      <c r="I1951" s="96"/>
      <c r="J1951" s="92"/>
      <c r="K1951" s="97"/>
      <c r="L1951" s="99" t="str">
        <f ca="1">_xlfn.LET(
    _xlpm.res_no, J1951,
    _xlpm.record_sheet, 'MatRes Record'!J:M,
    _xlpm.AllCellsFilled, COUNTA(A1951:K1951) = 11,
    _xlpm.QtyIsInt, AND(ISNUMBER(G1951), G1951=INT(G1951)),
    _xlpm.ReqDateIsValid, AND(ISNUMBER(H1951), H1951&gt;=TODAY()),
    _xlpm.EmailIsValid, RIGHT(I1951,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IF(A1951="", "", IF(_xlpm.error_messages = "", "Yes", _xlpm.error_messages))
)</f>
        <v/>
      </c>
    </row>
    <row r="1952" spans="1:12">
      <c r="A1952" s="94"/>
      <c r="B1952" s="95"/>
      <c r="C1952" s="95"/>
      <c r="D1952" s="94"/>
      <c r="E1952" s="94"/>
      <c r="F1952" s="96"/>
      <c r="G1952" s="94"/>
      <c r="H1952" s="96"/>
      <c r="I1952" s="96"/>
      <c r="J1952" s="92"/>
      <c r="K1952" s="97"/>
      <c r="L1952" s="99" t="str">
        <f ca="1">_xlfn.LET(
    _xlpm.res_no, J1952,
    _xlpm.record_sheet, 'MatRes Record'!J:M,
    _xlpm.AllCellsFilled, COUNTA(A1952:K1952) = 11,
    _xlpm.QtyIsInt, AND(ISNUMBER(G1952), G1952=INT(G1952)),
    _xlpm.ReqDateIsValid, AND(ISNUMBER(H1952), H1952&gt;=TODAY()),
    _xlpm.EmailIsValid, RIGHT(I1952,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IF(A1952="", "", IF(_xlpm.error_messages = "", "Yes", _xlpm.error_messages))
)</f>
        <v/>
      </c>
    </row>
    <row r="1953" spans="1:12">
      <c r="A1953" s="94"/>
      <c r="B1953" s="95"/>
      <c r="C1953" s="95"/>
      <c r="D1953" s="94"/>
      <c r="E1953" s="94"/>
      <c r="F1953" s="96"/>
      <c r="G1953" s="94"/>
      <c r="H1953" s="96"/>
      <c r="I1953" s="96"/>
      <c r="J1953" s="92"/>
      <c r="K1953" s="97"/>
      <c r="L1953" s="99" t="str">
        <f ca="1">_xlfn.LET(
    _xlpm.res_no, J1953,
    _xlpm.record_sheet, 'MatRes Record'!J:M,
    _xlpm.AllCellsFilled, COUNTA(A1953:K1953) = 11,
    _xlpm.QtyIsInt, AND(ISNUMBER(G1953), G1953=INT(G1953)),
    _xlpm.ReqDateIsValid, AND(ISNUMBER(H1953), H1953&gt;=TODAY()),
    _xlpm.EmailIsValid, RIGHT(I1953,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IF(A1953="", "", IF(_xlpm.error_messages = "", "Yes", _xlpm.error_messages))
)</f>
        <v/>
      </c>
    </row>
    <row r="1954" spans="1:12">
      <c r="A1954" s="94"/>
      <c r="B1954" s="95"/>
      <c r="C1954" s="95"/>
      <c r="D1954" s="94"/>
      <c r="E1954" s="94"/>
      <c r="F1954" s="96"/>
      <c r="G1954" s="94"/>
      <c r="H1954" s="96"/>
      <c r="I1954" s="96"/>
      <c r="J1954" s="92"/>
      <c r="K1954" s="97"/>
      <c r="L1954" s="99" t="str">
        <f ca="1">_xlfn.LET(
    _xlpm.res_no, J1954,
    _xlpm.record_sheet, 'MatRes Record'!J:M,
    _xlpm.AllCellsFilled, COUNTA(A1954:K1954) = 11,
    _xlpm.QtyIsInt, AND(ISNUMBER(G1954), G1954=INT(G1954)),
    _xlpm.ReqDateIsValid, AND(ISNUMBER(H1954), H1954&gt;=TODAY()),
    _xlpm.EmailIsValid, RIGHT(I1954,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IF(A1954="", "", IF(_xlpm.error_messages = "", "Yes", _xlpm.error_messages))
)</f>
        <v/>
      </c>
    </row>
    <row r="1955" spans="1:12">
      <c r="A1955" s="94"/>
      <c r="B1955" s="95"/>
      <c r="C1955" s="95"/>
      <c r="D1955" s="94"/>
      <c r="E1955" s="94"/>
      <c r="F1955" s="96"/>
      <c r="G1955" s="94"/>
      <c r="H1955" s="96"/>
      <c r="I1955" s="96"/>
      <c r="J1955" s="92"/>
      <c r="K1955" s="97"/>
      <c r="L1955" s="99" t="str">
        <f ca="1">_xlfn.LET(
    _xlpm.res_no, J1955,
    _xlpm.record_sheet, 'MatRes Record'!J:M,
    _xlpm.AllCellsFilled, COUNTA(A1955:K1955) = 11,
    _xlpm.QtyIsInt, AND(ISNUMBER(G1955), G1955=INT(G1955)),
    _xlpm.ReqDateIsValid, AND(ISNUMBER(H1955), H1955&gt;=TODAY()),
    _xlpm.EmailIsValid, RIGHT(I1955,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IF(A1955="", "", IF(_xlpm.error_messages = "", "Yes", _xlpm.error_messages))
)</f>
        <v/>
      </c>
    </row>
    <row r="1956" spans="1:12">
      <c r="A1956" s="94"/>
      <c r="B1956" s="95"/>
      <c r="C1956" s="95"/>
      <c r="D1956" s="94"/>
      <c r="E1956" s="94"/>
      <c r="F1956" s="96"/>
      <c r="G1956" s="94"/>
      <c r="H1956" s="96"/>
      <c r="I1956" s="96"/>
      <c r="J1956" s="92"/>
      <c r="K1956" s="97"/>
      <c r="L1956" s="99" t="str">
        <f ca="1">_xlfn.LET(
    _xlpm.res_no, J1956,
    _xlpm.record_sheet, 'MatRes Record'!J:M,
    _xlpm.AllCellsFilled, COUNTA(A1956:K1956) = 11,
    _xlpm.QtyIsInt, AND(ISNUMBER(G1956), G1956=INT(G1956)),
    _xlpm.ReqDateIsValid, AND(ISNUMBER(H1956), H1956&gt;=TODAY()),
    _xlpm.EmailIsValid, RIGHT(I1956,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IF(A1956="", "", IF(_xlpm.error_messages = "", "Yes", _xlpm.error_messages))
)</f>
        <v/>
      </c>
    </row>
    <row r="1957" spans="1:12">
      <c r="A1957" s="94"/>
      <c r="B1957" s="95"/>
      <c r="C1957" s="95"/>
      <c r="D1957" s="94"/>
      <c r="E1957" s="94"/>
      <c r="F1957" s="96"/>
      <c r="G1957" s="94"/>
      <c r="H1957" s="96"/>
      <c r="I1957" s="96"/>
      <c r="J1957" s="92"/>
      <c r="K1957" s="97"/>
      <c r="L1957" s="99" t="str">
        <f ca="1">_xlfn.LET(
    _xlpm.res_no, J1957,
    _xlpm.record_sheet, 'MatRes Record'!J:M,
    _xlpm.AllCellsFilled, COUNTA(A1957:K1957) = 11,
    _xlpm.QtyIsInt, AND(ISNUMBER(G1957), G1957=INT(G1957)),
    _xlpm.ReqDateIsValid, AND(ISNUMBER(H1957), H1957&gt;=TODAY()),
    _xlpm.EmailIsValid, RIGHT(I1957,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IF(A1957="", "", IF(_xlpm.error_messages = "", "Yes", _xlpm.error_messages))
)</f>
        <v/>
      </c>
    </row>
    <row r="1958" spans="1:12">
      <c r="A1958" s="94"/>
      <c r="B1958" s="95"/>
      <c r="C1958" s="95"/>
      <c r="D1958" s="94"/>
      <c r="E1958" s="94"/>
      <c r="F1958" s="96"/>
      <c r="G1958" s="94"/>
      <c r="H1958" s="96"/>
      <c r="I1958" s="96"/>
      <c r="J1958" s="92"/>
      <c r="K1958" s="97"/>
      <c r="L1958" s="99" t="str">
        <f ca="1">_xlfn.LET(
    _xlpm.res_no, J1958,
    _xlpm.record_sheet, 'MatRes Record'!J:M,
    _xlpm.AllCellsFilled, COUNTA(A1958:K1958) = 11,
    _xlpm.QtyIsInt, AND(ISNUMBER(G1958), G1958=INT(G1958)),
    _xlpm.ReqDateIsValid, AND(ISNUMBER(H1958), H1958&gt;=TODAY()),
    _xlpm.EmailIsValid, RIGHT(I1958,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IF(A1958="", "", IF(_xlpm.error_messages = "", "Yes", _xlpm.error_messages))
)</f>
        <v/>
      </c>
    </row>
    <row r="1959" spans="1:12">
      <c r="A1959" s="94"/>
      <c r="B1959" s="95"/>
      <c r="C1959" s="95"/>
      <c r="D1959" s="94"/>
      <c r="E1959" s="94"/>
      <c r="F1959" s="96"/>
      <c r="G1959" s="94"/>
      <c r="H1959" s="96"/>
      <c r="I1959" s="96"/>
      <c r="J1959" s="92"/>
      <c r="K1959" s="97"/>
      <c r="L1959" s="99" t="str">
        <f ca="1">_xlfn.LET(
    _xlpm.res_no, J1959,
    _xlpm.record_sheet, 'MatRes Record'!J:M,
    _xlpm.AllCellsFilled, COUNTA(A1959:K1959) = 11,
    _xlpm.QtyIsInt, AND(ISNUMBER(G1959), G1959=INT(G1959)),
    _xlpm.ReqDateIsValid, AND(ISNUMBER(H1959), H1959&gt;=TODAY()),
    _xlpm.EmailIsValid, RIGHT(I1959,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IF(A1959="", "", IF(_xlpm.error_messages = "", "Yes", _xlpm.error_messages))
)</f>
        <v/>
      </c>
    </row>
    <row r="1960" spans="1:12">
      <c r="A1960" s="94"/>
      <c r="B1960" s="95"/>
      <c r="C1960" s="95"/>
      <c r="D1960" s="94"/>
      <c r="E1960" s="94"/>
      <c r="F1960" s="96"/>
      <c r="G1960" s="94"/>
      <c r="H1960" s="96"/>
      <c r="I1960" s="96"/>
      <c r="J1960" s="92"/>
      <c r="K1960" s="97"/>
      <c r="L1960" s="99" t="str">
        <f ca="1">_xlfn.LET(
    _xlpm.res_no, J1960,
    _xlpm.record_sheet, 'MatRes Record'!J:M,
    _xlpm.AllCellsFilled, COUNTA(A1960:K1960) = 11,
    _xlpm.QtyIsInt, AND(ISNUMBER(G1960), G1960=INT(G1960)),
    _xlpm.ReqDateIsValid, AND(ISNUMBER(H1960), H1960&gt;=TODAY()),
    _xlpm.EmailIsValid, RIGHT(I1960,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IF(A1960="", "", IF(_xlpm.error_messages = "", "Yes", _xlpm.error_messages))
)</f>
        <v/>
      </c>
    </row>
    <row r="1961" spans="1:12">
      <c r="A1961" s="94"/>
      <c r="B1961" s="95"/>
      <c r="C1961" s="95"/>
      <c r="D1961" s="94"/>
      <c r="E1961" s="94"/>
      <c r="F1961" s="96"/>
      <c r="G1961" s="94"/>
      <c r="H1961" s="96"/>
      <c r="I1961" s="96"/>
      <c r="J1961" s="92"/>
      <c r="K1961" s="97"/>
      <c r="L1961" s="99" t="str">
        <f ca="1">_xlfn.LET(
    _xlpm.res_no, J1961,
    _xlpm.record_sheet, 'MatRes Record'!J:M,
    _xlpm.AllCellsFilled, COUNTA(A1961:K1961) = 11,
    _xlpm.QtyIsInt, AND(ISNUMBER(G1961), G1961=INT(G1961)),
    _xlpm.ReqDateIsValid, AND(ISNUMBER(H1961), H1961&gt;=TODAY()),
    _xlpm.EmailIsValid, RIGHT(I1961,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IF(A1961="", "", IF(_xlpm.error_messages = "", "Yes", _xlpm.error_messages))
)</f>
        <v/>
      </c>
    </row>
    <row r="1962" spans="1:12">
      <c r="A1962" s="94"/>
      <c r="B1962" s="95"/>
      <c r="C1962" s="95"/>
      <c r="D1962" s="94"/>
      <c r="E1962" s="94"/>
      <c r="F1962" s="96"/>
      <c r="G1962" s="94"/>
      <c r="H1962" s="96"/>
      <c r="I1962" s="96"/>
      <c r="J1962" s="92"/>
      <c r="K1962" s="97"/>
      <c r="L1962" s="99" t="str">
        <f ca="1">_xlfn.LET(
    _xlpm.res_no, J1962,
    _xlpm.record_sheet, 'MatRes Record'!J:M,
    _xlpm.AllCellsFilled, COUNTA(A1962:K1962) = 11,
    _xlpm.QtyIsInt, AND(ISNUMBER(G1962), G1962=INT(G1962)),
    _xlpm.ReqDateIsValid, AND(ISNUMBER(H1962), H1962&gt;=TODAY()),
    _xlpm.EmailIsValid, RIGHT(I1962,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IF(A1962="", "", IF(_xlpm.error_messages = "", "Yes", _xlpm.error_messages))
)</f>
        <v/>
      </c>
    </row>
    <row r="1963" spans="1:12">
      <c r="A1963" s="94"/>
      <c r="B1963" s="95"/>
      <c r="C1963" s="95"/>
      <c r="D1963" s="94"/>
      <c r="E1963" s="94"/>
      <c r="F1963" s="96"/>
      <c r="G1963" s="94"/>
      <c r="H1963" s="96"/>
      <c r="I1963" s="96"/>
      <c r="J1963" s="92"/>
      <c r="K1963" s="97"/>
      <c r="L1963" s="99" t="str">
        <f ca="1">_xlfn.LET(
    _xlpm.res_no, J1963,
    _xlpm.record_sheet, 'MatRes Record'!J:M,
    _xlpm.AllCellsFilled, COUNTA(A1963:K1963) = 11,
    _xlpm.QtyIsInt, AND(ISNUMBER(G1963), G1963=INT(G1963)),
    _xlpm.ReqDateIsValid, AND(ISNUMBER(H1963), H1963&gt;=TODAY()),
    _xlpm.EmailIsValid, RIGHT(I1963,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IF(A1963="", "", IF(_xlpm.error_messages = "", "Yes", _xlpm.error_messages))
)</f>
        <v/>
      </c>
    </row>
    <row r="1964" spans="1:12">
      <c r="A1964" s="94"/>
      <c r="B1964" s="95"/>
      <c r="C1964" s="95"/>
      <c r="D1964" s="94"/>
      <c r="E1964" s="94"/>
      <c r="F1964" s="96"/>
      <c r="G1964" s="94"/>
      <c r="H1964" s="96"/>
      <c r="I1964" s="96"/>
      <c r="J1964" s="92"/>
      <c r="K1964" s="97"/>
      <c r="L1964" s="99" t="str">
        <f ca="1">_xlfn.LET(
    _xlpm.res_no, J1964,
    _xlpm.record_sheet, 'MatRes Record'!J:M,
    _xlpm.AllCellsFilled, COUNTA(A1964:K1964) = 11,
    _xlpm.QtyIsInt, AND(ISNUMBER(G1964), G1964=INT(G1964)),
    _xlpm.ReqDateIsValid, AND(ISNUMBER(H1964), H1964&gt;=TODAY()),
    _xlpm.EmailIsValid, RIGHT(I1964,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IF(A1964="", "", IF(_xlpm.error_messages = "", "Yes", _xlpm.error_messages))
)</f>
        <v/>
      </c>
    </row>
    <row r="1965" spans="1:12">
      <c r="A1965" s="94"/>
      <c r="B1965" s="95"/>
      <c r="C1965" s="95"/>
      <c r="D1965" s="94"/>
      <c r="E1965" s="94"/>
      <c r="F1965" s="96"/>
      <c r="G1965" s="94"/>
      <c r="H1965" s="96"/>
      <c r="I1965" s="96"/>
      <c r="J1965" s="92"/>
      <c r="K1965" s="97"/>
      <c r="L1965" s="99" t="str">
        <f ca="1">_xlfn.LET(
    _xlpm.res_no, J1965,
    _xlpm.record_sheet, 'MatRes Record'!J:M,
    _xlpm.AllCellsFilled, COUNTA(A1965:K1965) = 11,
    _xlpm.QtyIsInt, AND(ISNUMBER(G1965), G1965=INT(G1965)),
    _xlpm.ReqDateIsValid, AND(ISNUMBER(H1965), H1965&gt;=TODAY()),
    _xlpm.EmailIsValid, RIGHT(I1965,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IF(A1965="", "", IF(_xlpm.error_messages = "", "Yes", _xlpm.error_messages))
)</f>
        <v/>
      </c>
    </row>
    <row r="1966" spans="1:12">
      <c r="A1966" s="94"/>
      <c r="B1966" s="95"/>
      <c r="C1966" s="95"/>
      <c r="D1966" s="94"/>
      <c r="E1966" s="94"/>
      <c r="F1966" s="96"/>
      <c r="G1966" s="94"/>
      <c r="H1966" s="96"/>
      <c r="I1966" s="96"/>
      <c r="J1966" s="92"/>
      <c r="K1966" s="97"/>
      <c r="L1966" s="99" t="str">
        <f ca="1">_xlfn.LET(
    _xlpm.res_no, J1966,
    _xlpm.record_sheet, 'MatRes Record'!J:M,
    _xlpm.AllCellsFilled, COUNTA(A1966:K1966) = 11,
    _xlpm.QtyIsInt, AND(ISNUMBER(G1966), G1966=INT(G1966)),
    _xlpm.ReqDateIsValid, AND(ISNUMBER(H1966), H1966&gt;=TODAY()),
    _xlpm.EmailIsValid, RIGHT(I1966,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IF(A1966="", "", IF(_xlpm.error_messages = "", "Yes", _xlpm.error_messages))
)</f>
        <v/>
      </c>
    </row>
    <row r="1967" spans="1:12">
      <c r="A1967" s="94"/>
      <c r="B1967" s="95"/>
      <c r="C1967" s="95"/>
      <c r="D1967" s="94"/>
      <c r="E1967" s="94"/>
      <c r="F1967" s="96"/>
      <c r="G1967" s="94"/>
      <c r="H1967" s="96"/>
      <c r="I1967" s="96"/>
      <c r="J1967" s="92"/>
      <c r="K1967" s="97"/>
      <c r="L1967" s="99" t="str">
        <f ca="1">_xlfn.LET(
    _xlpm.res_no, J1967,
    _xlpm.record_sheet, 'MatRes Record'!J:M,
    _xlpm.AllCellsFilled, COUNTA(A1967:K1967) = 11,
    _xlpm.QtyIsInt, AND(ISNUMBER(G1967), G1967=INT(G1967)),
    _xlpm.ReqDateIsValid, AND(ISNUMBER(H1967), H1967&gt;=TODAY()),
    _xlpm.EmailIsValid, RIGHT(I1967,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IF(A1967="", "", IF(_xlpm.error_messages = "", "Yes", _xlpm.error_messages))
)</f>
        <v/>
      </c>
    </row>
    <row r="1968" spans="1:12">
      <c r="A1968" s="94"/>
      <c r="B1968" s="95"/>
      <c r="C1968" s="95"/>
      <c r="D1968" s="94"/>
      <c r="E1968" s="94"/>
      <c r="F1968" s="96"/>
      <c r="G1968" s="94"/>
      <c r="H1968" s="96"/>
      <c r="I1968" s="96"/>
      <c r="J1968" s="92"/>
      <c r="K1968" s="97"/>
      <c r="L1968" s="99" t="str">
        <f ca="1">_xlfn.LET(
    _xlpm.res_no, J1968,
    _xlpm.record_sheet, 'MatRes Record'!J:M,
    _xlpm.AllCellsFilled, COUNTA(A1968:K1968) = 11,
    _xlpm.QtyIsInt, AND(ISNUMBER(G1968), G1968=INT(G1968)),
    _xlpm.ReqDateIsValid, AND(ISNUMBER(H1968), H1968&gt;=TODAY()),
    _xlpm.EmailIsValid, RIGHT(I1968,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IF(A1968="", "", IF(_xlpm.error_messages = "", "Yes", _xlpm.error_messages))
)</f>
        <v/>
      </c>
    </row>
    <row r="1969" spans="1:12">
      <c r="A1969" s="94"/>
      <c r="B1969" s="95"/>
      <c r="C1969" s="95"/>
      <c r="D1969" s="94"/>
      <c r="E1969" s="94"/>
      <c r="F1969" s="96"/>
      <c r="G1969" s="94"/>
      <c r="H1969" s="96"/>
      <c r="I1969" s="96"/>
      <c r="J1969" s="92"/>
      <c r="K1969" s="97"/>
      <c r="L1969" s="99" t="str">
        <f ca="1">_xlfn.LET(
    _xlpm.res_no, J1969,
    _xlpm.record_sheet, 'MatRes Record'!J:M,
    _xlpm.AllCellsFilled, COUNTA(A1969:K1969) = 11,
    _xlpm.QtyIsInt, AND(ISNUMBER(G1969), G1969=INT(G1969)),
    _xlpm.ReqDateIsValid, AND(ISNUMBER(H1969), H1969&gt;=TODAY()),
    _xlpm.EmailIsValid, RIGHT(I1969,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IF(A1969="", "", IF(_xlpm.error_messages = "", "Yes", _xlpm.error_messages))
)</f>
        <v/>
      </c>
    </row>
    <row r="1970" spans="1:12">
      <c r="A1970" s="94"/>
      <c r="B1970" s="95"/>
      <c r="C1970" s="95"/>
      <c r="D1970" s="94"/>
      <c r="E1970" s="94"/>
      <c r="F1970" s="96"/>
      <c r="G1970" s="94"/>
      <c r="H1970" s="96"/>
      <c r="I1970" s="96"/>
      <c r="J1970" s="92"/>
      <c r="K1970" s="97"/>
      <c r="L1970" s="99" t="str">
        <f ca="1">_xlfn.LET(
    _xlpm.res_no, J1970,
    _xlpm.record_sheet, 'MatRes Record'!J:M,
    _xlpm.AllCellsFilled, COUNTA(A1970:K1970) = 11,
    _xlpm.QtyIsInt, AND(ISNUMBER(G1970), G1970=INT(G1970)),
    _xlpm.ReqDateIsValid, AND(ISNUMBER(H1970), H1970&gt;=TODAY()),
    _xlpm.EmailIsValid, RIGHT(I1970,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IF(A1970="", "", IF(_xlpm.error_messages = "", "Yes", _xlpm.error_messages))
)</f>
        <v/>
      </c>
    </row>
    <row r="1971" spans="1:12">
      <c r="A1971" s="94"/>
      <c r="B1971" s="95"/>
      <c r="C1971" s="95"/>
      <c r="D1971" s="94"/>
      <c r="E1971" s="94"/>
      <c r="F1971" s="96"/>
      <c r="G1971" s="94"/>
      <c r="H1971" s="96"/>
      <c r="I1971" s="96"/>
      <c r="J1971" s="92"/>
      <c r="K1971" s="97"/>
      <c r="L1971" s="99" t="str">
        <f ca="1">_xlfn.LET(
    _xlpm.res_no, J1971,
    _xlpm.record_sheet, 'MatRes Record'!J:M,
    _xlpm.AllCellsFilled, COUNTA(A1971:K1971) = 11,
    _xlpm.QtyIsInt, AND(ISNUMBER(G1971), G1971=INT(G1971)),
    _xlpm.ReqDateIsValid, AND(ISNUMBER(H1971), H1971&gt;=TODAY()),
    _xlpm.EmailIsValid, RIGHT(I1971,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IF(A1971="", "", IF(_xlpm.error_messages = "", "Yes", _xlpm.error_messages))
)</f>
        <v/>
      </c>
    </row>
    <row r="1972" spans="1:12">
      <c r="A1972" s="94"/>
      <c r="B1972" s="95"/>
      <c r="C1972" s="95"/>
      <c r="D1972" s="94"/>
      <c r="E1972" s="94"/>
      <c r="F1972" s="96"/>
      <c r="G1972" s="94"/>
      <c r="H1972" s="96"/>
      <c r="I1972" s="96"/>
      <c r="J1972" s="92"/>
      <c r="K1972" s="97"/>
      <c r="L1972" s="99" t="str">
        <f ca="1">_xlfn.LET(
    _xlpm.res_no, J1972,
    _xlpm.record_sheet, 'MatRes Record'!J:M,
    _xlpm.AllCellsFilled, COUNTA(A1972:K1972) = 11,
    _xlpm.QtyIsInt, AND(ISNUMBER(G1972), G1972=INT(G1972)),
    _xlpm.ReqDateIsValid, AND(ISNUMBER(H1972), H1972&gt;=TODAY()),
    _xlpm.EmailIsValid, RIGHT(I1972,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IF(A1972="", "", IF(_xlpm.error_messages = "", "Yes", _xlpm.error_messages))
)</f>
        <v/>
      </c>
    </row>
    <row r="1973" spans="1:12">
      <c r="A1973" s="94"/>
      <c r="B1973" s="95"/>
      <c r="C1973" s="95"/>
      <c r="D1973" s="94"/>
      <c r="E1973" s="94"/>
      <c r="F1973" s="96"/>
      <c r="G1973" s="94"/>
      <c r="H1973" s="96"/>
      <c r="I1973" s="96"/>
      <c r="J1973" s="92"/>
      <c r="K1973" s="97"/>
      <c r="L1973" s="99" t="str">
        <f ca="1">_xlfn.LET(
    _xlpm.res_no, J1973,
    _xlpm.record_sheet, 'MatRes Record'!J:M,
    _xlpm.AllCellsFilled, COUNTA(A1973:K1973) = 11,
    _xlpm.QtyIsInt, AND(ISNUMBER(G1973), G1973=INT(G1973)),
    _xlpm.ReqDateIsValid, AND(ISNUMBER(H1973), H1973&gt;=TODAY()),
    _xlpm.EmailIsValid, RIGHT(I1973,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IF(A1973="", "", IF(_xlpm.error_messages = "", "Yes", _xlpm.error_messages))
)</f>
        <v/>
      </c>
    </row>
    <row r="1974" spans="1:12">
      <c r="A1974" s="94"/>
      <c r="B1974" s="95"/>
      <c r="C1974" s="95"/>
      <c r="D1974" s="94"/>
      <c r="E1974" s="94"/>
      <c r="F1974" s="96"/>
      <c r="G1974" s="94"/>
      <c r="H1974" s="96"/>
      <c r="I1974" s="96"/>
      <c r="J1974" s="92"/>
      <c r="K1974" s="97"/>
      <c r="L1974" s="99" t="str">
        <f ca="1">_xlfn.LET(
    _xlpm.res_no, J1974,
    _xlpm.record_sheet, 'MatRes Record'!J:M,
    _xlpm.AllCellsFilled, COUNTA(A1974:K1974) = 11,
    _xlpm.QtyIsInt, AND(ISNUMBER(G1974), G1974=INT(G1974)),
    _xlpm.ReqDateIsValid, AND(ISNUMBER(H1974), H1974&gt;=TODAY()),
    _xlpm.EmailIsValid, RIGHT(I1974,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IF(A1974="", "", IF(_xlpm.error_messages = "", "Yes", _xlpm.error_messages))
)</f>
        <v/>
      </c>
    </row>
    <row r="1975" spans="1:12">
      <c r="A1975" s="94"/>
      <c r="B1975" s="95"/>
      <c r="C1975" s="95"/>
      <c r="D1975" s="94"/>
      <c r="E1975" s="94"/>
      <c r="F1975" s="96"/>
      <c r="G1975" s="94"/>
      <c r="H1975" s="96"/>
      <c r="I1975" s="96"/>
      <c r="J1975" s="92"/>
      <c r="K1975" s="97"/>
      <c r="L1975" s="99" t="str">
        <f ca="1">_xlfn.LET(
    _xlpm.res_no, J1975,
    _xlpm.record_sheet, 'MatRes Record'!J:M,
    _xlpm.AllCellsFilled, COUNTA(A1975:K1975) = 11,
    _xlpm.QtyIsInt, AND(ISNUMBER(G1975), G1975=INT(G1975)),
    _xlpm.ReqDateIsValid, AND(ISNUMBER(H1975), H1975&gt;=TODAY()),
    _xlpm.EmailIsValid, RIGHT(I1975,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IF(A1975="", "", IF(_xlpm.error_messages = "", "Yes", _xlpm.error_messages))
)</f>
        <v/>
      </c>
    </row>
    <row r="1976" spans="1:12">
      <c r="A1976" s="94"/>
      <c r="B1976" s="95"/>
      <c r="C1976" s="95"/>
      <c r="D1976" s="94"/>
      <c r="E1976" s="94"/>
      <c r="F1976" s="96"/>
      <c r="G1976" s="94"/>
      <c r="H1976" s="96"/>
      <c r="I1976" s="96"/>
      <c r="J1976" s="92"/>
      <c r="K1976" s="97"/>
      <c r="L1976" s="99" t="str">
        <f ca="1">_xlfn.LET(
    _xlpm.res_no, J1976,
    _xlpm.record_sheet, 'MatRes Record'!J:M,
    _xlpm.AllCellsFilled, COUNTA(A1976:K1976) = 11,
    _xlpm.QtyIsInt, AND(ISNUMBER(G1976), G1976=INT(G1976)),
    _xlpm.ReqDateIsValid, AND(ISNUMBER(H1976), H1976&gt;=TODAY()),
    _xlpm.EmailIsValid, RIGHT(I1976,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IF(A1976="", "", IF(_xlpm.error_messages = "", "Yes", _xlpm.error_messages))
)</f>
        <v/>
      </c>
    </row>
    <row r="1977" spans="1:12">
      <c r="A1977" s="94"/>
      <c r="B1977" s="95"/>
      <c r="C1977" s="95"/>
      <c r="D1977" s="94"/>
      <c r="E1977" s="94"/>
      <c r="F1977" s="96"/>
      <c r="G1977" s="94"/>
      <c r="H1977" s="96"/>
      <c r="I1977" s="96"/>
      <c r="J1977" s="92"/>
      <c r="K1977" s="97"/>
      <c r="L1977" s="99" t="str">
        <f ca="1">_xlfn.LET(
    _xlpm.res_no, J1977,
    _xlpm.record_sheet, 'MatRes Record'!J:M,
    _xlpm.AllCellsFilled, COUNTA(A1977:K1977) = 11,
    _xlpm.QtyIsInt, AND(ISNUMBER(G1977), G1977=INT(G1977)),
    _xlpm.ReqDateIsValid, AND(ISNUMBER(H1977), H1977&gt;=TODAY()),
    _xlpm.EmailIsValid, RIGHT(I1977,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IF(A1977="", "", IF(_xlpm.error_messages = "", "Yes", _xlpm.error_messages))
)</f>
        <v/>
      </c>
    </row>
    <row r="1978" spans="1:12">
      <c r="A1978" s="94"/>
      <c r="B1978" s="95"/>
      <c r="C1978" s="95"/>
      <c r="D1978" s="94"/>
      <c r="E1978" s="94"/>
      <c r="F1978" s="96"/>
      <c r="G1978" s="94"/>
      <c r="H1978" s="96"/>
      <c r="I1978" s="96"/>
      <c r="J1978" s="92"/>
      <c r="K1978" s="97"/>
      <c r="L1978" s="99" t="str">
        <f ca="1">_xlfn.LET(
    _xlpm.res_no, J1978,
    _xlpm.record_sheet, 'MatRes Record'!J:M,
    _xlpm.AllCellsFilled, COUNTA(A1978:K1978) = 11,
    _xlpm.QtyIsInt, AND(ISNUMBER(G1978), G1978=INT(G1978)),
    _xlpm.ReqDateIsValid, AND(ISNUMBER(H1978), H1978&gt;=TODAY()),
    _xlpm.EmailIsValid, RIGHT(I1978,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IF(A1978="", "", IF(_xlpm.error_messages = "", "Yes", _xlpm.error_messages))
)</f>
        <v/>
      </c>
    </row>
    <row r="1979" spans="1:12">
      <c r="A1979" s="94"/>
      <c r="B1979" s="95"/>
      <c r="C1979" s="95"/>
      <c r="D1979" s="94"/>
      <c r="E1979" s="94"/>
      <c r="F1979" s="96"/>
      <c r="G1979" s="94"/>
      <c r="H1979" s="96"/>
      <c r="I1979" s="96"/>
      <c r="J1979" s="92"/>
      <c r="K1979" s="97"/>
      <c r="L1979" s="99" t="str">
        <f ca="1">_xlfn.LET(
    _xlpm.res_no, J1979,
    _xlpm.record_sheet, 'MatRes Record'!J:M,
    _xlpm.AllCellsFilled, COUNTA(A1979:K1979) = 11,
    _xlpm.QtyIsInt, AND(ISNUMBER(G1979), G1979=INT(G1979)),
    _xlpm.ReqDateIsValid, AND(ISNUMBER(H1979), H1979&gt;=TODAY()),
    _xlpm.EmailIsValid, RIGHT(I1979,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IF(A1979="", "", IF(_xlpm.error_messages = "", "Yes", _xlpm.error_messages))
)</f>
        <v/>
      </c>
    </row>
    <row r="1980" spans="1:12">
      <c r="A1980" s="94"/>
      <c r="B1980" s="95"/>
      <c r="C1980" s="95"/>
      <c r="D1980" s="94"/>
      <c r="E1980" s="94"/>
      <c r="F1980" s="96"/>
      <c r="G1980" s="94"/>
      <c r="H1980" s="96"/>
      <c r="I1980" s="96"/>
      <c r="J1980" s="92"/>
      <c r="K1980" s="97"/>
      <c r="L1980" s="99" t="str">
        <f ca="1">_xlfn.LET(
    _xlpm.res_no, J1980,
    _xlpm.record_sheet, 'MatRes Record'!J:M,
    _xlpm.AllCellsFilled, COUNTA(A1980:K1980) = 11,
    _xlpm.QtyIsInt, AND(ISNUMBER(G1980), G1980=INT(G1980)),
    _xlpm.ReqDateIsValid, AND(ISNUMBER(H1980), H1980&gt;=TODAY()),
    _xlpm.EmailIsValid, RIGHT(I1980,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IF(A1980="", "", IF(_xlpm.error_messages = "", "Yes", _xlpm.error_messages))
)</f>
        <v/>
      </c>
    </row>
    <row r="1981" spans="1:12">
      <c r="A1981" s="94"/>
      <c r="B1981" s="95"/>
      <c r="C1981" s="95"/>
      <c r="D1981" s="94"/>
      <c r="E1981" s="94"/>
      <c r="F1981" s="96"/>
      <c r="G1981" s="94"/>
      <c r="H1981" s="96"/>
      <c r="I1981" s="96"/>
      <c r="J1981" s="92"/>
      <c r="K1981" s="97"/>
      <c r="L1981" s="99" t="str">
        <f ca="1">_xlfn.LET(
    _xlpm.res_no, J1981,
    _xlpm.record_sheet, 'MatRes Record'!J:M,
    _xlpm.AllCellsFilled, COUNTA(A1981:K1981) = 11,
    _xlpm.QtyIsInt, AND(ISNUMBER(G1981), G1981=INT(G1981)),
    _xlpm.ReqDateIsValid, AND(ISNUMBER(H1981), H1981&gt;=TODAY()),
    _xlpm.EmailIsValid, RIGHT(I1981,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IF(A1981="", "", IF(_xlpm.error_messages = "", "Yes", _xlpm.error_messages))
)</f>
        <v/>
      </c>
    </row>
    <row r="1982" spans="1:12">
      <c r="A1982" s="94"/>
      <c r="B1982" s="95"/>
      <c r="C1982" s="95"/>
      <c r="D1982" s="94"/>
      <c r="E1982" s="94"/>
      <c r="F1982" s="96"/>
      <c r="G1982" s="94"/>
      <c r="H1982" s="96"/>
      <c r="I1982" s="96"/>
      <c r="J1982" s="92"/>
      <c r="K1982" s="97"/>
      <c r="L1982" s="99" t="str">
        <f ca="1">_xlfn.LET(
    _xlpm.res_no, J1982,
    _xlpm.record_sheet, 'MatRes Record'!J:M,
    _xlpm.AllCellsFilled, COUNTA(A1982:K1982) = 11,
    _xlpm.QtyIsInt, AND(ISNUMBER(G1982), G1982=INT(G1982)),
    _xlpm.ReqDateIsValid, AND(ISNUMBER(H1982), H1982&gt;=TODAY()),
    _xlpm.EmailIsValid, RIGHT(I1982,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IF(A1982="", "", IF(_xlpm.error_messages = "", "Yes", _xlpm.error_messages))
)</f>
        <v/>
      </c>
    </row>
    <row r="1983" spans="1:12">
      <c r="A1983" s="94"/>
      <c r="B1983" s="95"/>
      <c r="C1983" s="95"/>
      <c r="D1983" s="94"/>
      <c r="E1983" s="94"/>
      <c r="F1983" s="96"/>
      <c r="G1983" s="94"/>
      <c r="H1983" s="96"/>
      <c r="I1983" s="96"/>
      <c r="J1983" s="92"/>
      <c r="K1983" s="97"/>
      <c r="L1983" s="99" t="str">
        <f ca="1">_xlfn.LET(
    _xlpm.res_no, J1983,
    _xlpm.record_sheet, 'MatRes Record'!J:M,
    _xlpm.AllCellsFilled, COUNTA(A1983:K1983) = 11,
    _xlpm.QtyIsInt, AND(ISNUMBER(G1983), G1983=INT(G1983)),
    _xlpm.ReqDateIsValid, AND(ISNUMBER(H1983), H1983&gt;=TODAY()),
    _xlpm.EmailIsValid, RIGHT(I1983,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IF(A1983="", "", IF(_xlpm.error_messages = "", "Yes", _xlpm.error_messages))
)</f>
        <v/>
      </c>
    </row>
    <row r="1984" spans="1:12">
      <c r="A1984" s="94"/>
      <c r="B1984" s="95"/>
      <c r="C1984" s="95"/>
      <c r="D1984" s="94"/>
      <c r="E1984" s="94"/>
      <c r="F1984" s="96"/>
      <c r="G1984" s="94"/>
      <c r="H1984" s="96"/>
      <c r="I1984" s="96"/>
      <c r="J1984" s="92"/>
      <c r="K1984" s="97"/>
      <c r="L1984" s="99" t="str">
        <f ca="1">_xlfn.LET(
    _xlpm.res_no, J1984,
    _xlpm.record_sheet, 'MatRes Record'!J:M,
    _xlpm.AllCellsFilled, COUNTA(A1984:K1984) = 11,
    _xlpm.QtyIsInt, AND(ISNUMBER(G1984), G1984=INT(G1984)),
    _xlpm.ReqDateIsValid, AND(ISNUMBER(H1984), H1984&gt;=TODAY()),
    _xlpm.EmailIsValid, RIGHT(I1984,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IF(A1984="", "", IF(_xlpm.error_messages = "", "Yes", _xlpm.error_messages))
)</f>
        <v/>
      </c>
    </row>
    <row r="1985" spans="1:12">
      <c r="A1985" s="94"/>
      <c r="B1985" s="95"/>
      <c r="C1985" s="95"/>
      <c r="D1985" s="94"/>
      <c r="E1985" s="94"/>
      <c r="F1985" s="96"/>
      <c r="G1985" s="94"/>
      <c r="H1985" s="96"/>
      <c r="I1985" s="96"/>
      <c r="J1985" s="92"/>
      <c r="K1985" s="97"/>
      <c r="L1985" s="99" t="str">
        <f ca="1">_xlfn.LET(
    _xlpm.res_no, J1985,
    _xlpm.record_sheet, 'MatRes Record'!J:M,
    _xlpm.AllCellsFilled, COUNTA(A1985:K1985) = 11,
    _xlpm.QtyIsInt, AND(ISNUMBER(G1985), G1985=INT(G1985)),
    _xlpm.ReqDateIsValid, AND(ISNUMBER(H1985), H1985&gt;=TODAY()),
    _xlpm.EmailIsValid, RIGHT(I1985,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IF(A1985="", "", IF(_xlpm.error_messages = "", "Yes", _xlpm.error_messages))
)</f>
        <v/>
      </c>
    </row>
    <row r="1986" spans="1:12">
      <c r="A1986" s="94"/>
      <c r="B1986" s="95"/>
      <c r="C1986" s="95"/>
      <c r="D1986" s="94"/>
      <c r="E1986" s="94"/>
      <c r="F1986" s="96"/>
      <c r="G1986" s="94"/>
      <c r="H1986" s="96"/>
      <c r="I1986" s="96"/>
      <c r="J1986" s="92"/>
      <c r="K1986" s="97"/>
      <c r="L1986" s="99" t="str">
        <f ca="1">_xlfn.LET(
    _xlpm.res_no, J1986,
    _xlpm.record_sheet, 'MatRes Record'!J:M,
    _xlpm.AllCellsFilled, COUNTA(A1986:K1986) = 11,
    _xlpm.QtyIsInt, AND(ISNUMBER(G1986), G1986=INT(G1986)),
    _xlpm.ReqDateIsValid, AND(ISNUMBER(H1986), H1986&gt;=TODAY()),
    _xlpm.EmailIsValid, RIGHT(I1986,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IF(A1986="", "", IF(_xlpm.error_messages = "", "Yes", _xlpm.error_messages))
)</f>
        <v/>
      </c>
    </row>
    <row r="1987" spans="1:12">
      <c r="A1987" s="94"/>
      <c r="B1987" s="95"/>
      <c r="C1987" s="95"/>
      <c r="D1987" s="94"/>
      <c r="E1987" s="94"/>
      <c r="F1987" s="96"/>
      <c r="G1987" s="94"/>
      <c r="H1987" s="96"/>
      <c r="I1987" s="96"/>
      <c r="J1987" s="92"/>
      <c r="K1987" s="97"/>
      <c r="L1987" s="99" t="str">
        <f ca="1">_xlfn.LET(
    _xlpm.res_no, J1987,
    _xlpm.record_sheet, 'MatRes Record'!J:M,
    _xlpm.AllCellsFilled, COUNTA(A1987:K1987) = 11,
    _xlpm.QtyIsInt, AND(ISNUMBER(G1987), G1987=INT(G1987)),
    _xlpm.ReqDateIsValid, AND(ISNUMBER(H1987), H1987&gt;=TODAY()),
    _xlpm.EmailIsValid, RIGHT(I1987,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IF(A1987="", "", IF(_xlpm.error_messages = "", "Yes", _xlpm.error_messages))
)</f>
        <v/>
      </c>
    </row>
    <row r="1988" spans="1:12">
      <c r="A1988" s="94"/>
      <c r="B1988" s="95"/>
      <c r="C1988" s="95"/>
      <c r="D1988" s="94"/>
      <c r="E1988" s="94"/>
      <c r="F1988" s="96"/>
      <c r="G1988" s="94"/>
      <c r="H1988" s="96"/>
      <c r="I1988" s="96"/>
      <c r="J1988" s="92"/>
      <c r="K1988" s="97"/>
      <c r="L1988" s="99" t="str">
        <f ca="1">_xlfn.LET(
    _xlpm.res_no, J1988,
    _xlpm.record_sheet, 'MatRes Record'!J:M,
    _xlpm.AllCellsFilled, COUNTA(A1988:K1988) = 11,
    _xlpm.QtyIsInt, AND(ISNUMBER(G1988), G1988=INT(G1988)),
    _xlpm.ReqDateIsValid, AND(ISNUMBER(H1988), H1988&gt;=TODAY()),
    _xlpm.EmailIsValid, RIGHT(I1988,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IF(A1988="", "", IF(_xlpm.error_messages = "", "Yes", _xlpm.error_messages))
)</f>
        <v/>
      </c>
    </row>
    <row r="1989" spans="1:12">
      <c r="A1989" s="94"/>
      <c r="B1989" s="95"/>
      <c r="C1989" s="95"/>
      <c r="D1989" s="94"/>
      <c r="E1989" s="94"/>
      <c r="F1989" s="96"/>
      <c r="G1989" s="94"/>
      <c r="H1989" s="96"/>
      <c r="I1989" s="96"/>
      <c r="J1989" s="92"/>
      <c r="K1989" s="97"/>
      <c r="L1989" s="99" t="str">
        <f ca="1">_xlfn.LET(
    _xlpm.res_no, J1989,
    _xlpm.record_sheet, 'MatRes Record'!J:M,
    _xlpm.AllCellsFilled, COUNTA(A1989:K1989) = 11,
    _xlpm.QtyIsInt, AND(ISNUMBER(G1989), G1989=INT(G1989)),
    _xlpm.ReqDateIsValid, AND(ISNUMBER(H1989), H1989&gt;=TODAY()),
    _xlpm.EmailIsValid, RIGHT(I1989,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IF(A1989="", "", IF(_xlpm.error_messages = "", "Yes", _xlpm.error_messages))
)</f>
        <v/>
      </c>
    </row>
    <row r="1990" spans="1:12">
      <c r="A1990" s="94"/>
      <c r="B1990" s="95"/>
      <c r="C1990" s="95"/>
      <c r="D1990" s="94"/>
      <c r="E1990" s="94"/>
      <c r="F1990" s="96"/>
      <c r="G1990" s="94"/>
      <c r="H1990" s="96"/>
      <c r="I1990" s="96"/>
      <c r="J1990" s="92"/>
      <c r="K1990" s="97"/>
      <c r="L1990" s="99" t="str">
        <f ca="1">_xlfn.LET(
    _xlpm.res_no, J1990,
    _xlpm.record_sheet, 'MatRes Record'!J:M,
    _xlpm.AllCellsFilled, COUNTA(A1990:K1990) = 11,
    _xlpm.QtyIsInt, AND(ISNUMBER(G1990), G1990=INT(G1990)),
    _xlpm.ReqDateIsValid, AND(ISNUMBER(H1990), H1990&gt;=TODAY()),
    _xlpm.EmailIsValid, RIGHT(I1990,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IF(A1990="", "", IF(_xlpm.error_messages = "", "Yes", _xlpm.error_messages))
)</f>
        <v/>
      </c>
    </row>
    <row r="1991" spans="1:12">
      <c r="A1991" s="94"/>
      <c r="B1991" s="95"/>
      <c r="C1991" s="95"/>
      <c r="D1991" s="94"/>
      <c r="E1991" s="94"/>
      <c r="F1991" s="96"/>
      <c r="G1991" s="94"/>
      <c r="H1991" s="96"/>
      <c r="I1991" s="96"/>
      <c r="J1991" s="92"/>
      <c r="K1991" s="97"/>
      <c r="L1991" s="99" t="str">
        <f ca="1">_xlfn.LET(
    _xlpm.res_no, J1991,
    _xlpm.record_sheet, 'MatRes Record'!J:M,
    _xlpm.AllCellsFilled, COUNTA(A1991:K1991) = 11,
    _xlpm.QtyIsInt, AND(ISNUMBER(G1991), G1991=INT(G1991)),
    _xlpm.ReqDateIsValid, AND(ISNUMBER(H1991), H1991&gt;=TODAY()),
    _xlpm.EmailIsValid, RIGHT(I1991,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IF(A1991="", "", IF(_xlpm.error_messages = "", "Yes", _xlpm.error_messages))
)</f>
        <v/>
      </c>
    </row>
    <row r="1992" spans="1:12">
      <c r="A1992" s="94"/>
      <c r="B1992" s="95"/>
      <c r="C1992" s="95"/>
      <c r="D1992" s="94"/>
      <c r="E1992" s="94"/>
      <c r="F1992" s="96"/>
      <c r="G1992" s="94"/>
      <c r="H1992" s="96"/>
      <c r="I1992" s="96"/>
      <c r="J1992" s="92"/>
      <c r="K1992" s="97"/>
      <c r="L1992" s="99" t="str">
        <f ca="1">_xlfn.LET(
    _xlpm.res_no, J1992,
    _xlpm.record_sheet, 'MatRes Record'!J:M,
    _xlpm.AllCellsFilled, COUNTA(A1992:K1992) = 11,
    _xlpm.QtyIsInt, AND(ISNUMBER(G1992), G1992=INT(G1992)),
    _xlpm.ReqDateIsValid, AND(ISNUMBER(H1992), H1992&gt;=TODAY()),
    _xlpm.EmailIsValid, RIGHT(I1992,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IF(A1992="", "", IF(_xlpm.error_messages = "", "Yes", _xlpm.error_messages))
)</f>
        <v/>
      </c>
    </row>
    <row r="1993" spans="1:12">
      <c r="A1993" s="94"/>
      <c r="B1993" s="95"/>
      <c r="C1993" s="95"/>
      <c r="D1993" s="94"/>
      <c r="E1993" s="94"/>
      <c r="F1993" s="96"/>
      <c r="G1993" s="94"/>
      <c r="H1993" s="96"/>
      <c r="I1993" s="96"/>
      <c r="J1993" s="92"/>
      <c r="K1993" s="97"/>
      <c r="L1993" s="99" t="str">
        <f ca="1">_xlfn.LET(
    _xlpm.res_no, J1993,
    _xlpm.record_sheet, 'MatRes Record'!J:M,
    _xlpm.AllCellsFilled, COUNTA(A1993:K1993) = 11,
    _xlpm.QtyIsInt, AND(ISNUMBER(G1993), G1993=INT(G1993)),
    _xlpm.ReqDateIsValid, AND(ISNUMBER(H1993), H1993&gt;=TODAY()),
    _xlpm.EmailIsValid, RIGHT(I1993,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IF(A1993="", "", IF(_xlpm.error_messages = "", "Yes", _xlpm.error_messages))
)</f>
        <v/>
      </c>
    </row>
    <row r="1994" spans="1:12">
      <c r="A1994" s="94"/>
      <c r="B1994" s="95"/>
      <c r="C1994" s="95"/>
      <c r="D1994" s="94"/>
      <c r="E1994" s="94"/>
      <c r="F1994" s="96"/>
      <c r="G1994" s="94"/>
      <c r="H1994" s="96"/>
      <c r="I1994" s="96"/>
      <c r="J1994" s="92"/>
      <c r="K1994" s="97"/>
      <c r="L1994" s="99" t="str">
        <f ca="1">_xlfn.LET(
    _xlpm.res_no, J1994,
    _xlpm.record_sheet, 'MatRes Record'!J:M,
    _xlpm.AllCellsFilled, COUNTA(A1994:K1994) = 11,
    _xlpm.QtyIsInt, AND(ISNUMBER(G1994), G1994=INT(G1994)),
    _xlpm.ReqDateIsValid, AND(ISNUMBER(H1994), H1994&gt;=TODAY()),
    _xlpm.EmailIsValid, RIGHT(I1994,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IF(A1994="", "", IF(_xlpm.error_messages = "", "Yes", _xlpm.error_messages))
)</f>
        <v/>
      </c>
    </row>
    <row r="1995" spans="1:12">
      <c r="A1995" s="94"/>
      <c r="B1995" s="95"/>
      <c r="C1995" s="95"/>
      <c r="D1995" s="94"/>
      <c r="E1995" s="94"/>
      <c r="F1995" s="96"/>
      <c r="G1995" s="94"/>
      <c r="H1995" s="96"/>
      <c r="I1995" s="96"/>
      <c r="J1995" s="92"/>
      <c r="K1995" s="97"/>
      <c r="L1995" s="99" t="str">
        <f ca="1">_xlfn.LET(
    _xlpm.res_no, J1995,
    _xlpm.record_sheet, 'MatRes Record'!J:M,
    _xlpm.AllCellsFilled, COUNTA(A1995:K1995) = 11,
    _xlpm.QtyIsInt, AND(ISNUMBER(G1995), G1995=INT(G1995)),
    _xlpm.ReqDateIsValid, AND(ISNUMBER(H1995), H1995&gt;=TODAY()),
    _xlpm.EmailIsValid, RIGHT(I1995,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IF(A1995="", "", IF(_xlpm.error_messages = "", "Yes", _xlpm.error_messages))
)</f>
        <v/>
      </c>
    </row>
    <row r="1996" spans="1:12">
      <c r="A1996" s="94"/>
      <c r="B1996" s="95"/>
      <c r="C1996" s="95"/>
      <c r="D1996" s="94"/>
      <c r="E1996" s="94"/>
      <c r="F1996" s="96"/>
      <c r="G1996" s="94"/>
      <c r="H1996" s="96"/>
      <c r="I1996" s="96"/>
      <c r="J1996" s="92"/>
      <c r="K1996" s="97"/>
      <c r="L1996" s="99" t="str">
        <f ca="1">_xlfn.LET(
    _xlpm.res_no, J1996,
    _xlpm.record_sheet, 'MatRes Record'!J:M,
    _xlpm.AllCellsFilled, COUNTA(A1996:K1996) = 11,
    _xlpm.QtyIsInt, AND(ISNUMBER(G1996), G1996=INT(G1996)),
    _xlpm.ReqDateIsValid, AND(ISNUMBER(H1996), H1996&gt;=TODAY()),
    _xlpm.EmailIsValid, RIGHT(I1996,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IF(A1996="", "", IF(_xlpm.error_messages = "", "Yes", _xlpm.error_messages))
)</f>
        <v/>
      </c>
    </row>
    <row r="1997" spans="1:12">
      <c r="A1997" s="94"/>
      <c r="B1997" s="95"/>
      <c r="C1997" s="95"/>
      <c r="D1997" s="94"/>
      <c r="E1997" s="94"/>
      <c r="F1997" s="96"/>
      <c r="G1997" s="94"/>
      <c r="H1997" s="96"/>
      <c r="I1997" s="96"/>
      <c r="J1997" s="92"/>
      <c r="K1997" s="97"/>
      <c r="L1997" s="99" t="str">
        <f ca="1">_xlfn.LET(
    _xlpm.res_no, J1997,
    _xlpm.record_sheet, 'MatRes Record'!J:M,
    _xlpm.AllCellsFilled, COUNTA(A1997:K1997) = 11,
    _xlpm.QtyIsInt, AND(ISNUMBER(G1997), G1997=INT(G1997)),
    _xlpm.ReqDateIsValid, AND(ISNUMBER(H1997), H1997&gt;=TODAY()),
    _xlpm.EmailIsValid, RIGHT(I1997,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IF(A1997="", "", IF(_xlpm.error_messages = "", "Yes", _xlpm.error_messages))
)</f>
        <v/>
      </c>
    </row>
    <row r="1998" spans="1:12">
      <c r="A1998" s="94"/>
      <c r="B1998" s="95"/>
      <c r="C1998" s="95"/>
      <c r="D1998" s="94"/>
      <c r="E1998" s="94"/>
      <c r="F1998" s="96"/>
      <c r="G1998" s="94"/>
      <c r="H1998" s="96"/>
      <c r="I1998" s="96"/>
      <c r="J1998" s="92"/>
      <c r="K1998" s="97"/>
      <c r="L1998" s="99" t="str">
        <f ca="1">_xlfn.LET(
    _xlpm.res_no, J1998,
    _xlpm.record_sheet, 'MatRes Record'!J:M,
    _xlpm.AllCellsFilled, COUNTA(A1998:K1998) = 11,
    _xlpm.QtyIsInt, AND(ISNUMBER(G1998), G1998=INT(G1998)),
    _xlpm.ReqDateIsValid, AND(ISNUMBER(H1998), H1998&gt;=TODAY()),
    _xlpm.EmailIsValid, RIGHT(I1998,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IF(A1998="", "", IF(_xlpm.error_messages = "", "Yes", _xlpm.error_messages))
)</f>
        <v/>
      </c>
    </row>
    <row r="1999" spans="1:12">
      <c r="A1999" s="94"/>
      <c r="B1999" s="95"/>
      <c r="C1999" s="95"/>
      <c r="D1999" s="94"/>
      <c r="E1999" s="94"/>
      <c r="F1999" s="96"/>
      <c r="G1999" s="94"/>
      <c r="H1999" s="96"/>
      <c r="I1999" s="96"/>
      <c r="J1999" s="92"/>
      <c r="K1999" s="97"/>
      <c r="L1999" s="99" t="str">
        <f ca="1">_xlfn.LET(
    _xlpm.res_no, J1999,
    _xlpm.record_sheet, 'MatRes Record'!J:M,
    _xlpm.AllCellsFilled, COUNTA(A1999:K1999) = 11,
    _xlpm.QtyIsInt, AND(ISNUMBER(G1999), G1999=INT(G1999)),
    _xlpm.ReqDateIsValid, AND(ISNUMBER(H1999), H1999&gt;=TODAY()),
    _xlpm.EmailIsValid, RIGHT(I1999,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IF(A1999="", "", IF(_xlpm.error_messages = "", "Yes", _xlpm.error_messages))
)</f>
        <v/>
      </c>
    </row>
    <row r="2000" spans="1:12">
      <c r="A2000" s="94"/>
      <c r="B2000" s="95"/>
      <c r="C2000" s="95"/>
      <c r="D2000" s="94"/>
      <c r="E2000" s="94"/>
      <c r="F2000" s="96"/>
      <c r="G2000" s="94"/>
      <c r="H2000" s="96"/>
      <c r="I2000" s="96"/>
      <c r="J2000" s="92"/>
      <c r="K2000" s="97"/>
      <c r="L2000" s="99" t="str">
        <f ca="1">_xlfn.LET(
    _xlpm.res_no, J2000,
    _xlpm.record_sheet, 'MatRes Record'!J:M,
    _xlpm.AllCellsFilled, COUNTA(A2000:K2000) = 11,
    _xlpm.QtyIsInt, AND(ISNUMBER(G2000), G2000=INT(G2000)),
    _xlpm.ReqDateIsValid, AND(ISNUMBER(H2000), H2000&gt;=TODAY()),
    _xlpm.EmailIsValid, RIGHT(I2000,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IF(A2000="", "", IF(_xlpm.error_messages = "", "Yes", _xlpm.error_messages))
)</f>
        <v/>
      </c>
    </row>
    <row r="2001" spans="1:12">
      <c r="A2001" s="94"/>
      <c r="B2001" s="95"/>
      <c r="C2001" s="95"/>
      <c r="D2001" s="94"/>
      <c r="E2001" s="94"/>
      <c r="F2001" s="96"/>
      <c r="G2001" s="94"/>
      <c r="H2001" s="96"/>
      <c r="I2001" s="96"/>
      <c r="J2001" s="92"/>
      <c r="K2001" s="97"/>
      <c r="L2001" s="99" t="str">
        <f ca="1">_xlfn.LET(
    _xlpm.res_no, J2001,
    _xlpm.record_sheet, 'MatRes Record'!J:M,
    _xlpm.AllCellsFilled, COUNTA(A2001:K2001) = 11,
    _xlpm.QtyIsInt, AND(ISNUMBER(G2001), G2001=INT(G2001)),
    _xlpm.ReqDateIsValid, AND(ISNUMBER(H2001), H2001&gt;=TODAY()),
    _xlpm.EmailIsValid, RIGHT(I2001,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IF(A2001="", "", IF(_xlpm.error_messages = "", "Yes", _xlpm.error_messages))
)</f>
        <v/>
      </c>
    </row>
    <row r="2002" spans="1:12">
      <c r="A2002" s="94"/>
      <c r="B2002" s="95"/>
      <c r="C2002" s="95"/>
      <c r="D2002" s="94"/>
      <c r="E2002" s="94"/>
      <c r="F2002" s="96"/>
      <c r="G2002" s="94"/>
      <c r="H2002" s="96"/>
      <c r="I2002" s="96"/>
      <c r="J2002" s="92"/>
      <c r="K2002" s="97"/>
      <c r="L2002" s="99" t="str">
        <f ca="1">_xlfn.LET(
    _xlpm.res_no, J2002,
    _xlpm.record_sheet, 'MatRes Record'!J:M,
    _xlpm.AllCellsFilled, COUNTA(A2002:K2002) = 11,
    _xlpm.QtyIsInt, AND(ISNUMBER(G2002), G2002=INT(G2002)),
    _xlpm.ReqDateIsValid, AND(ISNUMBER(H2002), H2002&gt;=TODAY()),
    _xlpm.EmailIsValid, RIGHT(I2002,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IF(A2002="", "", IF(_xlpm.error_messages = "", "Yes", _xlpm.error_messages))
)</f>
        <v/>
      </c>
    </row>
    <row r="2003" spans="1:12">
      <c r="A2003" s="94"/>
      <c r="B2003" s="95"/>
      <c r="C2003" s="95"/>
      <c r="D2003" s="94"/>
      <c r="E2003" s="94"/>
      <c r="F2003" s="96"/>
      <c r="G2003" s="94"/>
      <c r="H2003" s="96"/>
      <c r="I2003" s="96"/>
      <c r="J2003" s="92"/>
      <c r="K2003" s="97"/>
      <c r="L2003" s="99" t="str">
        <f ca="1">_xlfn.LET(
    _xlpm.res_no, J2003,
    _xlpm.record_sheet, 'MatRes Record'!J:M,
    _xlpm.AllCellsFilled, COUNTA(A2003:K2003) = 11,
    _xlpm.QtyIsInt, AND(ISNUMBER(G2003), G2003=INT(G2003)),
    _xlpm.ReqDateIsValid, AND(ISNUMBER(H2003), H2003&gt;=TODAY()),
    _xlpm.EmailIsValid, RIGHT(I2003,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IF(A2003="", "", IF(_xlpm.error_messages = "", "Yes", _xlpm.error_messages))
)</f>
        <v/>
      </c>
    </row>
    <row r="2004" spans="1:12">
      <c r="A2004" s="94"/>
      <c r="B2004" s="95"/>
      <c r="C2004" s="95"/>
      <c r="D2004" s="94"/>
      <c r="E2004" s="94"/>
      <c r="F2004" s="96"/>
      <c r="G2004" s="94"/>
      <c r="H2004" s="96"/>
      <c r="I2004" s="96"/>
      <c r="J2004" s="92"/>
      <c r="K2004" s="97"/>
      <c r="L2004" s="99" t="str">
        <f ca="1">_xlfn.LET(
    _xlpm.res_no, J2004,
    _xlpm.record_sheet, 'MatRes Record'!J:M,
    _xlpm.AllCellsFilled, COUNTA(A2004:K2004) = 11,
    _xlpm.QtyIsInt, AND(ISNUMBER(G2004), G2004=INT(G2004)),
    _xlpm.ReqDateIsValid, AND(ISNUMBER(H2004), H2004&gt;=TODAY()),
    _xlpm.EmailIsValid, RIGHT(I2004,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IF(A2004="", "", IF(_xlpm.error_messages = "", "Yes", _xlpm.error_messages))
)</f>
        <v/>
      </c>
    </row>
    <row r="2005" spans="1:12">
      <c r="A2005" s="94"/>
      <c r="B2005" s="95"/>
      <c r="C2005" s="95"/>
      <c r="D2005" s="94"/>
      <c r="E2005" s="94"/>
      <c r="F2005" s="96"/>
      <c r="G2005" s="94"/>
      <c r="H2005" s="96"/>
      <c r="I2005" s="96"/>
      <c r="J2005" s="92"/>
      <c r="K2005" s="97"/>
      <c r="L2005" s="99" t="str">
        <f ca="1">_xlfn.LET(
    _xlpm.res_no, J2005,
    _xlpm.record_sheet, 'MatRes Record'!J:M,
    _xlpm.AllCellsFilled, COUNTA(A2005:K2005) = 11,
    _xlpm.QtyIsInt, AND(ISNUMBER(G2005), G2005=INT(G2005)),
    _xlpm.ReqDateIsValid, AND(ISNUMBER(H2005), H2005&gt;=TODAY()),
    _xlpm.EmailIsValid, RIGHT(I2005,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IF(A2005="", "", IF(_xlpm.error_messages = "", "Yes", _xlpm.error_messages))
)</f>
        <v/>
      </c>
    </row>
    <row r="2006" spans="1:12">
      <c r="A2006" s="94"/>
      <c r="B2006" s="95"/>
      <c r="C2006" s="95"/>
      <c r="D2006" s="94"/>
      <c r="E2006" s="94"/>
      <c r="F2006" s="96"/>
      <c r="G2006" s="94"/>
      <c r="H2006" s="96"/>
      <c r="I2006" s="96"/>
      <c r="J2006" s="92"/>
      <c r="K2006" s="97"/>
      <c r="L2006" s="99" t="str">
        <f ca="1">_xlfn.LET(
    _xlpm.res_no, J2006,
    _xlpm.record_sheet, 'MatRes Record'!J:M,
    _xlpm.AllCellsFilled, COUNTA(A2006:K2006) = 11,
    _xlpm.QtyIsInt, AND(ISNUMBER(G2006), G2006=INT(G2006)),
    _xlpm.ReqDateIsValid, AND(ISNUMBER(H2006), H2006&gt;=TODAY()),
    _xlpm.EmailIsValid, RIGHT(I2006,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IF(A2006="", "", IF(_xlpm.error_messages = "", "Yes", _xlpm.error_messages))
)</f>
        <v/>
      </c>
    </row>
    <row r="2007" spans="1:12">
      <c r="A2007" s="94"/>
      <c r="B2007" s="95"/>
      <c r="C2007" s="95"/>
      <c r="D2007" s="94"/>
      <c r="E2007" s="94"/>
      <c r="F2007" s="96"/>
      <c r="G2007" s="94"/>
      <c r="H2007" s="96"/>
      <c r="I2007" s="96"/>
      <c r="J2007" s="92"/>
      <c r="K2007" s="97"/>
      <c r="L2007" s="99" t="str">
        <f ca="1">_xlfn.LET(
    _xlpm.res_no, J2007,
    _xlpm.record_sheet, 'MatRes Record'!J:M,
    _xlpm.AllCellsFilled, COUNTA(A2007:K2007) = 11,
    _xlpm.QtyIsInt, AND(ISNUMBER(G2007), G2007=INT(G2007)),
    _xlpm.ReqDateIsValid, AND(ISNUMBER(H2007), H2007&gt;=TODAY()),
    _xlpm.EmailIsValid, RIGHT(I2007,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IF(A2007="", "", IF(_xlpm.error_messages = "", "Yes", _xlpm.error_messages))
)</f>
        <v/>
      </c>
    </row>
    <row r="2008" spans="1:12">
      <c r="A2008" s="94"/>
      <c r="B2008" s="95"/>
      <c r="C2008" s="95"/>
      <c r="D2008" s="94"/>
      <c r="E2008" s="94"/>
      <c r="F2008" s="96"/>
      <c r="G2008" s="94"/>
      <c r="H2008" s="96"/>
      <c r="I2008" s="96"/>
      <c r="J2008" s="92"/>
      <c r="K2008" s="97"/>
      <c r="L2008" s="99" t="str">
        <f ca="1">_xlfn.LET(
    _xlpm.res_no, J2008,
    _xlpm.record_sheet, 'MatRes Record'!J:M,
    _xlpm.AllCellsFilled, COUNTA(A2008:K2008) = 11,
    _xlpm.QtyIsInt, AND(ISNUMBER(G2008), G2008=INT(G2008)),
    _xlpm.ReqDateIsValid, AND(ISNUMBER(H2008), H2008&gt;=TODAY()),
    _xlpm.EmailIsValid, RIGHT(I2008,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IF(A2008="", "", IF(_xlpm.error_messages = "", "Yes", _xlpm.error_messages))
)</f>
        <v/>
      </c>
    </row>
    <row r="2009" spans="1:12">
      <c r="A2009" s="94"/>
      <c r="B2009" s="95"/>
      <c r="C2009" s="95"/>
      <c r="D2009" s="94"/>
      <c r="E2009" s="94"/>
      <c r="F2009" s="96"/>
      <c r="G2009" s="94"/>
      <c r="H2009" s="96"/>
      <c r="I2009" s="96"/>
      <c r="J2009" s="92"/>
      <c r="K2009" s="97"/>
      <c r="L2009" s="99" t="str">
        <f ca="1">_xlfn.LET(
    _xlpm.res_no, J2009,
    _xlpm.record_sheet, 'MatRes Record'!J:M,
    _xlpm.AllCellsFilled, COUNTA(A2009:K2009) = 11,
    _xlpm.QtyIsInt, AND(ISNUMBER(G2009), G2009=INT(G2009)),
    _xlpm.ReqDateIsValid, AND(ISNUMBER(H2009), H2009&gt;=TODAY()),
    _xlpm.EmailIsValid, RIGHT(I2009,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IF(A2009="", "", IF(_xlpm.error_messages = "", "Yes", _xlpm.error_messages))
)</f>
        <v/>
      </c>
    </row>
    <row r="2010" spans="1:12">
      <c r="A2010" s="94"/>
      <c r="B2010" s="95"/>
      <c r="C2010" s="95"/>
      <c r="D2010" s="94"/>
      <c r="E2010" s="94"/>
      <c r="F2010" s="96"/>
      <c r="G2010" s="94"/>
      <c r="H2010" s="96"/>
      <c r="I2010" s="96"/>
      <c r="J2010" s="92"/>
      <c r="K2010" s="97"/>
      <c r="L2010" s="99" t="str">
        <f ca="1">_xlfn.LET(
    _xlpm.res_no, J2010,
    _xlpm.record_sheet, 'MatRes Record'!J:M,
    _xlpm.AllCellsFilled, COUNTA(A2010:K2010) = 11,
    _xlpm.QtyIsInt, AND(ISNUMBER(G2010), G2010=INT(G2010)),
    _xlpm.ReqDateIsValid, AND(ISNUMBER(H2010), H2010&gt;=TODAY()),
    _xlpm.EmailIsValid, RIGHT(I2010,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IF(A2010="", "", IF(_xlpm.error_messages = "", "Yes", _xlpm.error_messages))
)</f>
        <v/>
      </c>
    </row>
    <row r="2011" spans="1:12">
      <c r="A2011" s="94"/>
      <c r="B2011" s="95"/>
      <c r="C2011" s="95"/>
      <c r="D2011" s="94"/>
      <c r="E2011" s="94"/>
      <c r="F2011" s="96"/>
      <c r="G2011" s="94"/>
      <c r="H2011" s="96"/>
      <c r="I2011" s="96"/>
      <c r="J2011" s="92"/>
      <c r="K2011" s="97"/>
      <c r="L2011" s="99" t="str">
        <f ca="1">_xlfn.LET(
    _xlpm.res_no, J2011,
    _xlpm.record_sheet, 'MatRes Record'!J:M,
    _xlpm.AllCellsFilled, COUNTA(A2011:K2011) = 11,
    _xlpm.QtyIsInt, AND(ISNUMBER(G2011), G2011=INT(G2011)),
    _xlpm.ReqDateIsValid, AND(ISNUMBER(H2011), H2011&gt;=TODAY()),
    _xlpm.EmailIsValid, RIGHT(I2011,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IF(A2011="", "", IF(_xlpm.error_messages = "", "Yes", _xlpm.error_messages))
)</f>
        <v/>
      </c>
    </row>
    <row r="2012" spans="1:12">
      <c r="A2012" s="94"/>
      <c r="B2012" s="95"/>
      <c r="C2012" s="95"/>
      <c r="D2012" s="94"/>
      <c r="E2012" s="94"/>
      <c r="F2012" s="96"/>
      <c r="G2012" s="94"/>
      <c r="H2012" s="96"/>
      <c r="I2012" s="96"/>
      <c r="J2012" s="92"/>
      <c r="K2012" s="97"/>
      <c r="L2012" s="99" t="str">
        <f ca="1">_xlfn.LET(
    _xlpm.res_no, J2012,
    _xlpm.record_sheet, 'MatRes Record'!J:M,
    _xlpm.AllCellsFilled, COUNTA(A2012:K2012) = 11,
    _xlpm.QtyIsInt, AND(ISNUMBER(G2012), G2012=INT(G2012)),
    _xlpm.ReqDateIsValid, AND(ISNUMBER(H2012), H2012&gt;=TODAY()),
    _xlpm.EmailIsValid, RIGHT(I2012,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IF(A2012="", "", IF(_xlpm.error_messages = "", "Yes", _xlpm.error_messages))
)</f>
        <v/>
      </c>
    </row>
    <row r="2013" spans="1:12">
      <c r="A2013" s="94"/>
      <c r="B2013" s="95"/>
      <c r="C2013" s="95"/>
      <c r="D2013" s="94"/>
      <c r="E2013" s="94"/>
      <c r="F2013" s="96"/>
      <c r="G2013" s="94"/>
      <c r="H2013" s="96"/>
      <c r="I2013" s="96"/>
      <c r="J2013" s="92"/>
      <c r="K2013" s="97"/>
      <c r="L2013" s="99" t="str">
        <f ca="1">_xlfn.LET(
    _xlpm.res_no, J2013,
    _xlpm.record_sheet, 'MatRes Record'!J:M,
    _xlpm.AllCellsFilled, COUNTA(A2013:K2013) = 11,
    _xlpm.QtyIsInt, AND(ISNUMBER(G2013), G2013=INT(G2013)),
    _xlpm.ReqDateIsValid, AND(ISNUMBER(H2013), H2013&gt;=TODAY()),
    _xlpm.EmailIsValid, RIGHT(I2013,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IF(A2013="", "", IF(_xlpm.error_messages = "", "Yes", _xlpm.error_messages))
)</f>
        <v/>
      </c>
    </row>
    <row r="2014" spans="1:12">
      <c r="A2014" s="94"/>
      <c r="B2014" s="95"/>
      <c r="C2014" s="95"/>
      <c r="D2014" s="94"/>
      <c r="E2014" s="94"/>
      <c r="F2014" s="96"/>
      <c r="G2014" s="94"/>
      <c r="H2014" s="96"/>
      <c r="I2014" s="96"/>
      <c r="J2014" s="92"/>
      <c r="K2014" s="97"/>
      <c r="L2014" s="99" t="str">
        <f ca="1">_xlfn.LET(
    _xlpm.res_no, J2014,
    _xlpm.record_sheet, 'MatRes Record'!J:M,
    _xlpm.AllCellsFilled, COUNTA(A2014:K2014) = 11,
    _xlpm.QtyIsInt, AND(ISNUMBER(G2014), G2014=INT(G2014)),
    _xlpm.ReqDateIsValid, AND(ISNUMBER(H2014), H2014&gt;=TODAY()),
    _xlpm.EmailIsValid, RIGHT(I2014,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IF(A2014="", "", IF(_xlpm.error_messages = "", "Yes", _xlpm.error_messages))
)</f>
        <v/>
      </c>
    </row>
    <row r="2015" spans="1:12">
      <c r="A2015" s="94"/>
      <c r="B2015" s="95"/>
      <c r="C2015" s="95"/>
      <c r="D2015" s="94"/>
      <c r="E2015" s="94"/>
      <c r="F2015" s="96"/>
      <c r="G2015" s="94"/>
      <c r="H2015" s="96"/>
      <c r="I2015" s="96"/>
      <c r="J2015" s="92"/>
      <c r="K2015" s="97"/>
      <c r="L2015" s="99" t="str">
        <f ca="1">_xlfn.LET(
    _xlpm.res_no, J2015,
    _xlpm.record_sheet, 'MatRes Record'!J:M,
    _xlpm.AllCellsFilled, COUNTA(A2015:K2015) = 11,
    _xlpm.QtyIsInt, AND(ISNUMBER(G2015), G2015=INT(G2015)),
    _xlpm.ReqDateIsValid, AND(ISNUMBER(H2015), H2015&gt;=TODAY()),
    _xlpm.EmailIsValid, RIGHT(I2015,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IF(A2015="", "", IF(_xlpm.error_messages = "", "Yes", _xlpm.error_messages))
)</f>
        <v/>
      </c>
    </row>
    <row r="2016" spans="1:12">
      <c r="A2016" s="94"/>
      <c r="B2016" s="95"/>
      <c r="C2016" s="95"/>
      <c r="D2016" s="94"/>
      <c r="E2016" s="94"/>
      <c r="F2016" s="96"/>
      <c r="G2016" s="94"/>
      <c r="H2016" s="96"/>
      <c r="I2016" s="96"/>
      <c r="J2016" s="92"/>
      <c r="K2016" s="97"/>
      <c r="L2016" s="99" t="str">
        <f ca="1">_xlfn.LET(
    _xlpm.res_no, J2016,
    _xlpm.record_sheet, 'MatRes Record'!J:M,
    _xlpm.AllCellsFilled, COUNTA(A2016:K2016) = 11,
    _xlpm.QtyIsInt, AND(ISNUMBER(G2016), G2016=INT(G2016)),
    _xlpm.ReqDateIsValid, AND(ISNUMBER(H2016), H2016&gt;=TODAY()),
    _xlpm.EmailIsValid, RIGHT(I2016,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IF(A2016="", "", IF(_xlpm.error_messages = "", "Yes", _xlpm.error_messages))
)</f>
        <v/>
      </c>
    </row>
    <row r="2017" spans="1:12">
      <c r="A2017" s="94"/>
      <c r="B2017" s="95"/>
      <c r="C2017" s="95"/>
      <c r="D2017" s="94"/>
      <c r="E2017" s="94"/>
      <c r="F2017" s="96"/>
      <c r="G2017" s="94"/>
      <c r="H2017" s="96"/>
      <c r="I2017" s="96"/>
      <c r="J2017" s="92"/>
      <c r="K2017" s="97"/>
      <c r="L2017" s="99" t="str">
        <f ca="1">_xlfn.LET(
    _xlpm.res_no, J2017,
    _xlpm.record_sheet, 'MatRes Record'!J:M,
    _xlpm.AllCellsFilled, COUNTA(A2017:K2017) = 11,
    _xlpm.QtyIsInt, AND(ISNUMBER(G2017), G2017=INT(G2017)),
    _xlpm.ReqDateIsValid, AND(ISNUMBER(H2017), H2017&gt;=TODAY()),
    _xlpm.EmailIsValid, RIGHT(I2017,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IF(A2017="", "", IF(_xlpm.error_messages = "", "Yes", _xlpm.error_messages))
)</f>
        <v/>
      </c>
    </row>
    <row r="2018" spans="1:12">
      <c r="A2018" s="94"/>
      <c r="B2018" s="95"/>
      <c r="C2018" s="95"/>
      <c r="D2018" s="94"/>
      <c r="E2018" s="94"/>
      <c r="F2018" s="96"/>
      <c r="G2018" s="94"/>
      <c r="H2018" s="96"/>
      <c r="I2018" s="96"/>
      <c r="J2018" s="92"/>
      <c r="K2018" s="97"/>
      <c r="L2018" s="99" t="str">
        <f ca="1">_xlfn.LET(
    _xlpm.res_no, J2018,
    _xlpm.record_sheet, 'MatRes Record'!J:M,
    _xlpm.AllCellsFilled, COUNTA(A2018:K2018) = 11,
    _xlpm.QtyIsInt, AND(ISNUMBER(G2018), G2018=INT(G2018)),
    _xlpm.ReqDateIsValid, AND(ISNUMBER(H2018), H2018&gt;=TODAY()),
    _xlpm.EmailIsValid, RIGHT(I2018,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IF(A2018="", "", IF(_xlpm.error_messages = "", "Yes", _xlpm.error_messages))
)</f>
        <v/>
      </c>
    </row>
    <row r="2019" spans="1:12">
      <c r="A2019" s="94"/>
      <c r="B2019" s="95"/>
      <c r="C2019" s="95"/>
      <c r="D2019" s="94"/>
      <c r="E2019" s="94"/>
      <c r="F2019" s="96"/>
      <c r="G2019" s="94"/>
      <c r="H2019" s="96"/>
      <c r="I2019" s="96"/>
      <c r="J2019" s="92"/>
      <c r="K2019" s="97"/>
      <c r="L2019" s="99" t="str">
        <f ca="1">_xlfn.LET(
    _xlpm.res_no, J2019,
    _xlpm.record_sheet, 'MatRes Record'!J:M,
    _xlpm.AllCellsFilled, COUNTA(A2019:K2019) = 11,
    _xlpm.QtyIsInt, AND(ISNUMBER(G2019), G2019=INT(G2019)),
    _xlpm.ReqDateIsValid, AND(ISNUMBER(H2019), H2019&gt;=TODAY()),
    _xlpm.EmailIsValid, RIGHT(I2019,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IF(A2019="", "", IF(_xlpm.error_messages = "", "Yes", _xlpm.error_messages))
)</f>
        <v/>
      </c>
    </row>
    <row r="2020" spans="1:12">
      <c r="A2020" s="94"/>
      <c r="B2020" s="95"/>
      <c r="C2020" s="95"/>
      <c r="D2020" s="94"/>
      <c r="E2020" s="94"/>
      <c r="F2020" s="96"/>
      <c r="G2020" s="94"/>
      <c r="H2020" s="96"/>
      <c r="I2020" s="96"/>
      <c r="J2020" s="92"/>
      <c r="K2020" s="97"/>
      <c r="L2020" s="99" t="str">
        <f ca="1">_xlfn.LET(
    _xlpm.res_no, J2020,
    _xlpm.record_sheet, 'MatRes Record'!J:M,
    _xlpm.AllCellsFilled, COUNTA(A2020:K2020) = 11,
    _xlpm.QtyIsInt, AND(ISNUMBER(G2020), G2020=INT(G2020)),
    _xlpm.ReqDateIsValid, AND(ISNUMBER(H2020), H2020&gt;=TODAY()),
    _xlpm.EmailIsValid, RIGHT(I2020,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IF(A2020="", "", IF(_xlpm.error_messages = "", "Yes", _xlpm.error_messages))
)</f>
        <v/>
      </c>
    </row>
    <row r="2021" spans="1:12">
      <c r="A2021" s="94"/>
      <c r="B2021" s="95"/>
      <c r="C2021" s="95"/>
      <c r="D2021" s="94"/>
      <c r="E2021" s="94"/>
      <c r="F2021" s="96"/>
      <c r="G2021" s="94"/>
      <c r="H2021" s="96"/>
      <c r="I2021" s="96"/>
      <c r="J2021" s="92"/>
      <c r="K2021" s="97"/>
      <c r="L2021" s="99" t="str">
        <f ca="1">_xlfn.LET(
    _xlpm.res_no, J2021,
    _xlpm.record_sheet, 'MatRes Record'!J:M,
    _xlpm.AllCellsFilled, COUNTA(A2021:K2021) = 11,
    _xlpm.QtyIsInt, AND(ISNUMBER(G2021), G2021=INT(G2021)),
    _xlpm.ReqDateIsValid, AND(ISNUMBER(H2021), H2021&gt;=TODAY()),
    _xlpm.EmailIsValid, RIGHT(I2021,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IF(A2021="", "", IF(_xlpm.error_messages = "", "Yes", _xlpm.error_messages))
)</f>
        <v/>
      </c>
    </row>
    <row r="2022" spans="1:12">
      <c r="A2022" s="94"/>
      <c r="B2022" s="95"/>
      <c r="C2022" s="95"/>
      <c r="D2022" s="94"/>
      <c r="E2022" s="94"/>
      <c r="F2022" s="96"/>
      <c r="G2022" s="94"/>
      <c r="H2022" s="96"/>
      <c r="I2022" s="96"/>
      <c r="J2022" s="92"/>
      <c r="K2022" s="97"/>
      <c r="L2022" s="99" t="str">
        <f ca="1">_xlfn.LET(
    _xlpm.res_no, J2022,
    _xlpm.record_sheet, 'MatRes Record'!J:M,
    _xlpm.AllCellsFilled, COUNTA(A2022:K2022) = 11,
    _xlpm.QtyIsInt, AND(ISNUMBER(G2022), G2022=INT(G2022)),
    _xlpm.ReqDateIsValid, AND(ISNUMBER(H2022), H2022&gt;=TODAY()),
    _xlpm.EmailIsValid, RIGHT(I2022,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IF(A2022="", "", IF(_xlpm.error_messages = "", "Yes", _xlpm.error_messages))
)</f>
        <v/>
      </c>
    </row>
    <row r="2023" spans="1:12">
      <c r="A2023" s="94"/>
      <c r="B2023" s="95"/>
      <c r="C2023" s="95"/>
      <c r="D2023" s="94"/>
      <c r="E2023" s="94"/>
      <c r="F2023" s="96"/>
      <c r="G2023" s="94"/>
      <c r="H2023" s="96"/>
      <c r="I2023" s="96"/>
      <c r="J2023" s="92"/>
      <c r="K2023" s="97"/>
      <c r="L2023" s="99" t="str">
        <f ca="1">_xlfn.LET(
    _xlpm.res_no, J2023,
    _xlpm.record_sheet, 'MatRes Record'!J:M,
    _xlpm.AllCellsFilled, COUNTA(A2023:K2023) = 11,
    _xlpm.QtyIsInt, AND(ISNUMBER(G2023), G2023=INT(G2023)),
    _xlpm.ReqDateIsValid, AND(ISNUMBER(H2023), H2023&gt;=TODAY()),
    _xlpm.EmailIsValid, RIGHT(I2023,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IF(A2023="", "", IF(_xlpm.error_messages = "", "Yes", _xlpm.error_messages))
)</f>
        <v/>
      </c>
    </row>
    <row r="2024" spans="1:12">
      <c r="A2024" s="94"/>
      <c r="B2024" s="95"/>
      <c r="C2024" s="95"/>
      <c r="D2024" s="94"/>
      <c r="E2024" s="94"/>
      <c r="F2024" s="96"/>
      <c r="G2024" s="94"/>
      <c r="H2024" s="96"/>
      <c r="I2024" s="96"/>
      <c r="J2024" s="92"/>
      <c r="K2024" s="97"/>
      <c r="L2024" s="99" t="str">
        <f ca="1">_xlfn.LET(
    _xlpm.res_no, J2024,
    _xlpm.record_sheet, 'MatRes Record'!J:M,
    _xlpm.AllCellsFilled, COUNTA(A2024:K2024) = 11,
    _xlpm.QtyIsInt, AND(ISNUMBER(G2024), G2024=INT(G2024)),
    _xlpm.ReqDateIsValid, AND(ISNUMBER(H2024), H2024&gt;=TODAY()),
    _xlpm.EmailIsValid, RIGHT(I2024, 7) = "@pg.com",
    _xlpm.ResNoIsNumeric, ISNUMBER(_xlpm.res_no),
    _xlpm.DeletionDate, _xlfn.XLOOKUP(_xlpm.res_no, 'MatRes Record'!J:J, 'MatRes Record'!M:M, "NotFound", 0),
    _xlpm.IsAlreadyDeleted, AND(_xlpm.DeletionDate &lt;&gt; "NotFound", _xlpm.DeletionDate &lt;&gt; ""),
    _xlpm.error_messages, _xlfn.TEXTJOIN(" ; ", TRUE,
        IF(NOT(_xlpm.AllCellsFilled), "Cells A:K must be filled", ""),
        IF(NOT(_xlpm.QtyIsInt), "'Quantity' must be a whole number", ""),
        IF(NOT(_xlpm.ReqDateIsValid), "'Request Date' is invalid or past", ""),
        IF(NOT(_xlpm.EmailIsValid), "'Email' must end with @pg.com", ""),
        IF(NOT(_xlpm.ResNoIsNumeric), "'Reservation No.' must be numeric", ""),
        IF(_xlpm.IsAlreadyDeleted, "'Reservation No.' has already been deleted", "")
    ),
    IF(A2024="", "", IF(_xlpm.error_messages = "", "Yes", _xlpm.error_messages))
)</f>
        <v/>
      </c>
    </row>
  </sheetData>
  <phoneticPr fontId="14" type="noConversion"/>
  <conditionalFormatting sqref="L1:L1048576">
    <cfRule type="containsText" dxfId="48" priority="1" operator="containsText" text="Yes">
      <formula>NOT(ISERROR(SEARCH("Yes",L1)))</formula>
    </cfRule>
  </conditionalFormatting>
  <conditionalFormatting sqref="J1:J1048576">
    <cfRule type="duplicateValues" dxfId="47" priority="6"/>
  </conditionalFormatting>
  <pageMargins left="0.7" right="0.7" top="0.75" bottom="0.75" header="0.3" footer="0.3"/>
  <pageSetup orientation="portrait" r:id="rId1"/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FF21E844-F846-4C2E-9CE8-5B3395F964A9}">
          <x14:formula1>
            <xm:f>'Value format'!$A$1:$A$4</xm:f>
          </x14:formula1>
          <xm:sqref>E1 E70:E520 E1627:E1048576 E589:E1039 E1108:E1558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884"/>
  <sheetViews>
    <sheetView topLeftCell="A1078" zoomScale="70" zoomScaleNormal="70" workbookViewId="0">
      <selection activeCell="A1164" sqref="A1164:L1884"/>
    </sheetView>
  </sheetViews>
  <sheetFormatPr defaultRowHeight="15"/>
  <cols>
    <col min="1" max="1" width="17.7109375" bestFit="1" customWidth="1" collapsed="1"/>
    <col min="2" max="2" width="63" style="1" bestFit="1" customWidth="1" collapsed="1"/>
    <col min="3" max="3" width="13" style="1" bestFit="1" customWidth="1" collapsed="1"/>
    <col min="4" max="4" width="57.28515625" bestFit="1" customWidth="1" collapsed="1"/>
    <col min="5" max="5" width="17.140625" bestFit="1" customWidth="1" collapsed="1"/>
    <col min="6" max="6" width="18.5703125" style="2" bestFit="1" customWidth="1" collapsed="1"/>
    <col min="7" max="7" width="14.85546875" bestFit="1" customWidth="1" collapsed="1"/>
    <col min="8" max="8" width="18.140625" style="2" bestFit="1" customWidth="1" collapsed="1"/>
    <col min="9" max="9" width="23" style="2" bestFit="1" customWidth="1" collapsed="1"/>
    <col min="10" max="10" width="13.5703125" style="83" bestFit="1" customWidth="1" collapsed="1"/>
    <col min="11" max="11" width="64" style="2" bestFit="1" customWidth="1" collapsed="1"/>
    <col min="12" max="12" width="17.7109375" style="2" bestFit="1" customWidth="1" collapsed="1"/>
    <col min="13" max="13" width="12" style="2" bestFit="1" customWidth="1" collapsed="1"/>
    <col min="14" max="14" width="7.7109375" style="29" bestFit="1" customWidth="1"/>
    <col min="15" max="15" width="12" style="29" bestFit="1" customWidth="1"/>
    <col min="16" max="16" width="12" bestFit="1" customWidth="1"/>
    <col min="17" max="17" width="27.42578125" style="40" bestFit="1" customWidth="1"/>
    <col min="18" max="18" width="18" bestFit="1" customWidth="1"/>
  </cols>
  <sheetData>
    <row r="1" spans="1:18">
      <c r="A1" s="24" t="s">
        <v>126</v>
      </c>
      <c r="B1" s="25" t="s">
        <v>92</v>
      </c>
      <c r="C1" s="25" t="s">
        <v>4</v>
      </c>
      <c r="D1" s="24" t="s">
        <v>134</v>
      </c>
      <c r="E1" s="24" t="s">
        <v>128</v>
      </c>
      <c r="F1" s="26" t="s">
        <v>129</v>
      </c>
      <c r="G1" s="24" t="s">
        <v>98</v>
      </c>
      <c r="H1" s="26" t="s">
        <v>93</v>
      </c>
      <c r="I1" s="26" t="s">
        <v>130</v>
      </c>
      <c r="J1" s="83" t="s">
        <v>135</v>
      </c>
      <c r="K1" s="26" t="s">
        <v>133</v>
      </c>
      <c r="L1" s="26" t="s">
        <v>8</v>
      </c>
      <c r="M1" s="30" t="s">
        <v>136</v>
      </c>
      <c r="N1" s="27" t="s">
        <v>137</v>
      </c>
      <c r="O1" s="27" t="s">
        <v>138</v>
      </c>
      <c r="P1" s="28" t="s">
        <v>139</v>
      </c>
      <c r="Q1" s="175" t="s">
        <v>140</v>
      </c>
      <c r="R1" s="28" t="s">
        <v>141</v>
      </c>
    </row>
    <row r="2" spans="1:18">
      <c r="P2" s="2"/>
      <c r="R2" s="2"/>
    </row>
    <row r="3" spans="1:18">
      <c r="A3" s="176">
        <v>80889182</v>
      </c>
      <c r="B3" s="177" t="s">
        <v>142</v>
      </c>
      <c r="C3" s="178" t="s">
        <v>143</v>
      </c>
      <c r="D3" s="176" t="s">
        <v>144</v>
      </c>
      <c r="E3" s="176" t="s">
        <v>145</v>
      </c>
      <c r="F3" s="179">
        <v>46015</v>
      </c>
      <c r="G3" s="177">
        <v>118</v>
      </c>
      <c r="H3" s="179">
        <v>45940</v>
      </c>
      <c r="I3" s="179" t="s">
        <v>146</v>
      </c>
      <c r="J3" s="83">
        <v>3466249331</v>
      </c>
      <c r="K3" s="177"/>
      <c r="L3" s="179">
        <v>45941</v>
      </c>
      <c r="M3" s="180">
        <v>46020</v>
      </c>
      <c r="N3" s="181">
        <v>0.35825980000000002</v>
      </c>
      <c r="O3" s="181" t="s">
        <v>147</v>
      </c>
      <c r="P3" s="83" t="s">
        <v>148</v>
      </c>
      <c r="Q3" s="177" t="s">
        <v>149</v>
      </c>
      <c r="R3" s="83"/>
    </row>
    <row r="4" spans="1:18">
      <c r="A4" s="176">
        <v>80889182</v>
      </c>
      <c r="B4" s="177" t="s">
        <v>142</v>
      </c>
      <c r="C4" s="178" t="s">
        <v>150</v>
      </c>
      <c r="D4" s="176" t="s">
        <v>144</v>
      </c>
      <c r="E4" s="176" t="s">
        <v>145</v>
      </c>
      <c r="F4" s="179">
        <v>46015</v>
      </c>
      <c r="G4" s="177">
        <v>433</v>
      </c>
      <c r="H4" s="179">
        <v>45940</v>
      </c>
      <c r="I4" s="179" t="s">
        <v>146</v>
      </c>
      <c r="J4" s="83">
        <v>3466249332</v>
      </c>
      <c r="K4" s="177"/>
      <c r="L4" s="179">
        <v>45941</v>
      </c>
      <c r="M4" s="180">
        <v>46020</v>
      </c>
      <c r="N4" s="181">
        <v>1.3146313000000001</v>
      </c>
      <c r="O4" s="181" t="s">
        <v>147</v>
      </c>
      <c r="P4" s="83" t="s">
        <v>148</v>
      </c>
      <c r="Q4" s="177" t="s">
        <v>149</v>
      </c>
      <c r="R4" s="83"/>
    </row>
    <row r="5" spans="1:18">
      <c r="A5" s="176">
        <v>80889182</v>
      </c>
      <c r="B5" s="177" t="s">
        <v>142</v>
      </c>
      <c r="C5" s="178" t="s">
        <v>151</v>
      </c>
      <c r="D5" s="176" t="s">
        <v>144</v>
      </c>
      <c r="E5" s="176" t="s">
        <v>145</v>
      </c>
      <c r="F5" s="179">
        <v>46015</v>
      </c>
      <c r="G5" s="177">
        <v>594</v>
      </c>
      <c r="H5" s="179">
        <v>45940</v>
      </c>
      <c r="I5" s="179" t="s">
        <v>146</v>
      </c>
      <c r="J5" s="83">
        <v>3466249333</v>
      </c>
      <c r="K5" s="177"/>
      <c r="L5" s="179">
        <v>45941</v>
      </c>
      <c r="M5" s="180">
        <v>46020</v>
      </c>
      <c r="N5" s="181">
        <v>1.8034433999999999</v>
      </c>
      <c r="O5" s="181" t="s">
        <v>147</v>
      </c>
      <c r="P5" s="83" t="s">
        <v>148</v>
      </c>
      <c r="Q5" s="177" t="s">
        <v>149</v>
      </c>
      <c r="R5" s="83"/>
    </row>
    <row r="6" spans="1:18">
      <c r="A6" s="176">
        <v>80889182</v>
      </c>
      <c r="B6" s="177" t="s">
        <v>142</v>
      </c>
      <c r="C6" s="178" t="s">
        <v>152</v>
      </c>
      <c r="D6" s="176" t="s">
        <v>144</v>
      </c>
      <c r="E6" s="176" t="s">
        <v>145</v>
      </c>
      <c r="F6" s="179">
        <v>46015</v>
      </c>
      <c r="G6" s="177">
        <v>219</v>
      </c>
      <c r="H6" s="179">
        <v>45940</v>
      </c>
      <c r="I6" s="179" t="s">
        <v>146</v>
      </c>
      <c r="J6" s="83">
        <v>3466249334</v>
      </c>
      <c r="K6" s="177"/>
      <c r="L6" s="179">
        <v>45941</v>
      </c>
      <c r="M6" s="180">
        <v>46020</v>
      </c>
      <c r="N6" s="181">
        <v>0.66490590000000005</v>
      </c>
      <c r="O6" s="181" t="s">
        <v>147</v>
      </c>
      <c r="P6" s="83" t="s">
        <v>148</v>
      </c>
      <c r="Q6" s="177" t="s">
        <v>149</v>
      </c>
      <c r="R6" s="83"/>
    </row>
    <row r="7" spans="1:18">
      <c r="A7" s="176">
        <v>80889182</v>
      </c>
      <c r="B7" s="177" t="s">
        <v>142</v>
      </c>
      <c r="C7" s="178" t="s">
        <v>153</v>
      </c>
      <c r="D7" s="176" t="s">
        <v>144</v>
      </c>
      <c r="E7" s="176" t="s">
        <v>145</v>
      </c>
      <c r="F7" s="179">
        <v>46015</v>
      </c>
      <c r="G7" s="177">
        <v>60</v>
      </c>
      <c r="H7" s="179">
        <v>45940</v>
      </c>
      <c r="I7" s="179" t="s">
        <v>146</v>
      </c>
      <c r="J7" s="83">
        <v>3466249335</v>
      </c>
      <c r="K7" s="177"/>
      <c r="L7" s="179">
        <v>45941</v>
      </c>
      <c r="M7" s="180">
        <v>46020</v>
      </c>
      <c r="N7" s="181">
        <v>0.18216599999999999</v>
      </c>
      <c r="O7" s="181" t="s">
        <v>147</v>
      </c>
      <c r="P7" s="83" t="s">
        <v>148</v>
      </c>
      <c r="Q7" s="177" t="s">
        <v>149</v>
      </c>
      <c r="R7" s="83"/>
    </row>
    <row r="8" spans="1:18">
      <c r="A8" s="176">
        <v>80889182</v>
      </c>
      <c r="B8" s="177" t="s">
        <v>142</v>
      </c>
      <c r="C8" s="178" t="s">
        <v>154</v>
      </c>
      <c r="D8" s="176" t="s">
        <v>144</v>
      </c>
      <c r="E8" s="176" t="s">
        <v>145</v>
      </c>
      <c r="F8" s="179">
        <v>46015</v>
      </c>
      <c r="G8" s="177">
        <v>80</v>
      </c>
      <c r="H8" s="179">
        <v>45940</v>
      </c>
      <c r="I8" s="179" t="s">
        <v>146</v>
      </c>
      <c r="J8" s="83">
        <v>3466249336</v>
      </c>
      <c r="K8" s="177"/>
      <c r="L8" s="179">
        <v>45941</v>
      </c>
      <c r="M8" s="180">
        <v>46020</v>
      </c>
      <c r="N8" s="181">
        <v>0.24288799999999999</v>
      </c>
      <c r="O8" s="181" t="s">
        <v>147</v>
      </c>
      <c r="P8" s="83" t="s">
        <v>148</v>
      </c>
      <c r="Q8" s="177" t="s">
        <v>149</v>
      </c>
      <c r="R8" s="83"/>
    </row>
    <row r="9" spans="1:18">
      <c r="A9" s="176">
        <v>80889182</v>
      </c>
      <c r="B9" s="177" t="s">
        <v>142</v>
      </c>
      <c r="C9" s="178" t="s">
        <v>155</v>
      </c>
      <c r="D9" s="176" t="s">
        <v>144</v>
      </c>
      <c r="E9" s="176" t="s">
        <v>145</v>
      </c>
      <c r="F9" s="179">
        <v>46015</v>
      </c>
      <c r="G9" s="177">
        <v>476</v>
      </c>
      <c r="H9" s="179">
        <v>45940</v>
      </c>
      <c r="I9" s="179" t="s">
        <v>146</v>
      </c>
      <c r="J9" s="83">
        <v>3466249337</v>
      </c>
      <c r="K9" s="177"/>
      <c r="L9" s="179">
        <v>45941</v>
      </c>
      <c r="M9" s="180">
        <v>46020</v>
      </c>
      <c r="N9" s="181">
        <v>1.4451836</v>
      </c>
      <c r="O9" s="181" t="s">
        <v>147</v>
      </c>
      <c r="P9" s="83" t="s">
        <v>148</v>
      </c>
      <c r="Q9" s="177" t="s">
        <v>149</v>
      </c>
      <c r="R9" s="83"/>
    </row>
    <row r="10" spans="1:18">
      <c r="A10" s="176">
        <v>80889183</v>
      </c>
      <c r="B10" s="177" t="s">
        <v>156</v>
      </c>
      <c r="C10" s="178" t="s">
        <v>143</v>
      </c>
      <c r="D10" s="176" t="s">
        <v>144</v>
      </c>
      <c r="E10" s="176" t="s">
        <v>145</v>
      </c>
      <c r="F10" s="179">
        <v>46015</v>
      </c>
      <c r="G10" s="177">
        <v>158</v>
      </c>
      <c r="H10" s="179">
        <v>45940</v>
      </c>
      <c r="I10" s="179" t="s">
        <v>146</v>
      </c>
      <c r="J10" s="83">
        <v>3466249338</v>
      </c>
      <c r="K10" s="177"/>
      <c r="L10" s="179">
        <v>45941</v>
      </c>
      <c r="M10" s="180">
        <v>46020</v>
      </c>
      <c r="N10" s="181">
        <v>0.47970380000000001</v>
      </c>
      <c r="O10" s="181" t="s">
        <v>147</v>
      </c>
      <c r="P10" s="83" t="s">
        <v>148</v>
      </c>
      <c r="Q10" s="177" t="s">
        <v>149</v>
      </c>
      <c r="R10" s="83"/>
    </row>
    <row r="11" spans="1:18">
      <c r="A11" s="176">
        <v>80889183</v>
      </c>
      <c r="B11" s="177" t="s">
        <v>156</v>
      </c>
      <c r="C11" s="178" t="s">
        <v>150</v>
      </c>
      <c r="D11" s="176" t="s">
        <v>144</v>
      </c>
      <c r="E11" s="176" t="s">
        <v>145</v>
      </c>
      <c r="F11" s="179">
        <v>46015</v>
      </c>
      <c r="G11" s="177">
        <v>581</v>
      </c>
      <c r="H11" s="179">
        <v>45940</v>
      </c>
      <c r="I11" s="179" t="s">
        <v>146</v>
      </c>
      <c r="J11" s="83">
        <v>3466249339</v>
      </c>
      <c r="K11" s="177"/>
      <c r="L11" s="179">
        <v>45941</v>
      </c>
      <c r="M11" s="180">
        <v>46020</v>
      </c>
      <c r="N11" s="181">
        <v>1.7639741</v>
      </c>
      <c r="O11" s="181" t="s">
        <v>147</v>
      </c>
      <c r="P11" s="83" t="s">
        <v>148</v>
      </c>
      <c r="Q11" s="177" t="s">
        <v>149</v>
      </c>
      <c r="R11" s="83"/>
    </row>
    <row r="12" spans="1:18">
      <c r="A12" s="176">
        <v>80889183</v>
      </c>
      <c r="B12" s="177" t="s">
        <v>156</v>
      </c>
      <c r="C12" s="178" t="s">
        <v>151</v>
      </c>
      <c r="D12" s="176" t="s">
        <v>144</v>
      </c>
      <c r="E12" s="176" t="s">
        <v>145</v>
      </c>
      <c r="F12" s="179">
        <v>46015</v>
      </c>
      <c r="G12" s="177">
        <v>790</v>
      </c>
      <c r="H12" s="179">
        <v>45940</v>
      </c>
      <c r="I12" s="179" t="s">
        <v>146</v>
      </c>
      <c r="J12" s="83">
        <v>3466249340</v>
      </c>
      <c r="K12" s="177"/>
      <c r="L12" s="179">
        <v>45941</v>
      </c>
      <c r="M12" s="180">
        <v>46020</v>
      </c>
      <c r="N12" s="181">
        <v>2.3985189999999998</v>
      </c>
      <c r="O12" s="181" t="s">
        <v>147</v>
      </c>
      <c r="P12" s="83" t="s">
        <v>148</v>
      </c>
      <c r="Q12" s="177" t="s">
        <v>149</v>
      </c>
      <c r="R12" s="83"/>
    </row>
    <row r="13" spans="1:18">
      <c r="A13" s="176">
        <v>80889183</v>
      </c>
      <c r="B13" s="177" t="s">
        <v>156</v>
      </c>
      <c r="C13" s="178" t="s">
        <v>152</v>
      </c>
      <c r="D13" s="176" t="s">
        <v>144</v>
      </c>
      <c r="E13" s="176" t="s">
        <v>145</v>
      </c>
      <c r="F13" s="179">
        <v>46015</v>
      </c>
      <c r="G13" s="177">
        <v>292</v>
      </c>
      <c r="H13" s="179">
        <v>45940</v>
      </c>
      <c r="I13" s="179" t="s">
        <v>146</v>
      </c>
      <c r="J13" s="83">
        <v>3466249341</v>
      </c>
      <c r="K13" s="177"/>
      <c r="L13" s="179">
        <v>45941</v>
      </c>
      <c r="M13" s="180">
        <v>46020</v>
      </c>
      <c r="N13" s="181">
        <v>0.88654120000000003</v>
      </c>
      <c r="O13" s="181" t="s">
        <v>147</v>
      </c>
      <c r="P13" s="83" t="s">
        <v>148</v>
      </c>
      <c r="Q13" s="177" t="s">
        <v>149</v>
      </c>
      <c r="R13" s="83"/>
    </row>
    <row r="14" spans="1:18">
      <c r="A14" s="176">
        <v>80889183</v>
      </c>
      <c r="B14" s="177" t="s">
        <v>156</v>
      </c>
      <c r="C14" s="178" t="s">
        <v>153</v>
      </c>
      <c r="D14" s="176" t="s">
        <v>144</v>
      </c>
      <c r="E14" s="176" t="s">
        <v>145</v>
      </c>
      <c r="F14" s="179">
        <v>46015</v>
      </c>
      <c r="G14" s="177">
        <v>80</v>
      </c>
      <c r="H14" s="179">
        <v>45940</v>
      </c>
      <c r="I14" s="179" t="s">
        <v>146</v>
      </c>
      <c r="J14" s="83">
        <v>3466249342</v>
      </c>
      <c r="K14" s="177"/>
      <c r="L14" s="179">
        <v>45941</v>
      </c>
      <c r="M14" s="180">
        <v>46020</v>
      </c>
      <c r="N14" s="181">
        <v>0.24288799999999999</v>
      </c>
      <c r="O14" s="181" t="s">
        <v>147</v>
      </c>
      <c r="P14" s="83" t="s">
        <v>148</v>
      </c>
      <c r="Q14" s="177" t="s">
        <v>149</v>
      </c>
      <c r="R14" s="83"/>
    </row>
    <row r="15" spans="1:18">
      <c r="A15" s="176">
        <v>80889183</v>
      </c>
      <c r="B15" s="177" t="s">
        <v>156</v>
      </c>
      <c r="C15" s="178" t="s">
        <v>154</v>
      </c>
      <c r="D15" s="176" t="s">
        <v>144</v>
      </c>
      <c r="E15" s="176" t="s">
        <v>145</v>
      </c>
      <c r="F15" s="179">
        <v>46015</v>
      </c>
      <c r="G15" s="177">
        <v>105</v>
      </c>
      <c r="H15" s="179">
        <v>45940</v>
      </c>
      <c r="I15" s="179" t="s">
        <v>146</v>
      </c>
      <c r="J15" s="83">
        <v>3466249343</v>
      </c>
      <c r="K15" s="177"/>
      <c r="L15" s="179">
        <v>45941</v>
      </c>
      <c r="M15" s="180">
        <v>46020</v>
      </c>
      <c r="N15" s="181">
        <v>0.31879049999999998</v>
      </c>
      <c r="O15" s="181" t="s">
        <v>147</v>
      </c>
      <c r="P15" s="83" t="s">
        <v>148</v>
      </c>
      <c r="Q15" s="177" t="s">
        <v>149</v>
      </c>
      <c r="R15" s="83"/>
    </row>
    <row r="16" spans="1:18">
      <c r="A16" s="176">
        <v>80889183</v>
      </c>
      <c r="B16" s="177" t="s">
        <v>156</v>
      </c>
      <c r="C16" s="178" t="s">
        <v>155</v>
      </c>
      <c r="D16" s="176" t="s">
        <v>144</v>
      </c>
      <c r="E16" s="176" t="s">
        <v>145</v>
      </c>
      <c r="F16" s="179">
        <v>46015</v>
      </c>
      <c r="G16" s="177">
        <v>634</v>
      </c>
      <c r="H16" s="179">
        <v>45940</v>
      </c>
      <c r="I16" s="179" t="s">
        <v>146</v>
      </c>
      <c r="J16" s="83">
        <v>3466249344</v>
      </c>
      <c r="K16" s="177"/>
      <c r="L16" s="179">
        <v>45941</v>
      </c>
      <c r="M16" s="180">
        <v>46020</v>
      </c>
      <c r="N16" s="181">
        <v>1.9248874</v>
      </c>
      <c r="O16" s="181" t="s">
        <v>147</v>
      </c>
      <c r="P16" s="83" t="s">
        <v>148</v>
      </c>
      <c r="Q16" s="177" t="s">
        <v>149</v>
      </c>
      <c r="R16" s="83"/>
    </row>
    <row r="17" spans="1:18">
      <c r="A17" s="176">
        <v>80889184</v>
      </c>
      <c r="B17" s="177" t="s">
        <v>157</v>
      </c>
      <c r="C17" s="178" t="s">
        <v>143</v>
      </c>
      <c r="D17" s="176" t="s">
        <v>144</v>
      </c>
      <c r="E17" s="176" t="s">
        <v>145</v>
      </c>
      <c r="F17" s="179">
        <v>46015</v>
      </c>
      <c r="G17" s="177">
        <v>149</v>
      </c>
      <c r="H17" s="179">
        <v>45940</v>
      </c>
      <c r="I17" s="179" t="s">
        <v>146</v>
      </c>
      <c r="J17" s="83">
        <v>3466249345</v>
      </c>
      <c r="K17" s="177"/>
      <c r="L17" s="179">
        <v>45941</v>
      </c>
      <c r="M17" s="180">
        <v>46020</v>
      </c>
      <c r="N17" s="181">
        <v>0.24306369999999999</v>
      </c>
      <c r="O17" s="181" t="s">
        <v>147</v>
      </c>
      <c r="P17" s="83" t="s">
        <v>148</v>
      </c>
      <c r="Q17" s="177" t="s">
        <v>149</v>
      </c>
      <c r="R17" s="83"/>
    </row>
    <row r="18" spans="1:18">
      <c r="A18" s="176">
        <v>80889184</v>
      </c>
      <c r="B18" s="177" t="s">
        <v>157</v>
      </c>
      <c r="C18" s="178" t="s">
        <v>150</v>
      </c>
      <c r="D18" s="176" t="s">
        <v>144</v>
      </c>
      <c r="E18" s="176" t="s">
        <v>145</v>
      </c>
      <c r="F18" s="179">
        <v>46015</v>
      </c>
      <c r="G18" s="177">
        <v>541</v>
      </c>
      <c r="H18" s="179">
        <v>45940</v>
      </c>
      <c r="I18" s="179" t="s">
        <v>146</v>
      </c>
      <c r="J18" s="83">
        <v>3466249346</v>
      </c>
      <c r="K18" s="177"/>
      <c r="L18" s="179">
        <v>45941</v>
      </c>
      <c r="M18" s="180">
        <v>46020</v>
      </c>
      <c r="N18" s="181">
        <v>0.88253329999999997</v>
      </c>
      <c r="O18" s="181" t="s">
        <v>147</v>
      </c>
      <c r="P18" s="83" t="s">
        <v>148</v>
      </c>
      <c r="Q18" s="177" t="s">
        <v>149</v>
      </c>
      <c r="R18" s="83"/>
    </row>
    <row r="19" spans="1:18">
      <c r="A19" s="176">
        <v>80889184</v>
      </c>
      <c r="B19" s="177" t="s">
        <v>157</v>
      </c>
      <c r="C19" s="178" t="s">
        <v>151</v>
      </c>
      <c r="D19" s="176" t="s">
        <v>144</v>
      </c>
      <c r="E19" s="176" t="s">
        <v>145</v>
      </c>
      <c r="F19" s="179">
        <v>46015</v>
      </c>
      <c r="G19" s="177">
        <v>734</v>
      </c>
      <c r="H19" s="179">
        <v>45940</v>
      </c>
      <c r="I19" s="179" t="s">
        <v>146</v>
      </c>
      <c r="J19" s="83">
        <v>3466249347</v>
      </c>
      <c r="K19" s="177"/>
      <c r="L19" s="179">
        <v>45941</v>
      </c>
      <c r="M19" s="180">
        <v>46020</v>
      </c>
      <c r="N19" s="181">
        <v>1.1973742000000001</v>
      </c>
      <c r="O19" s="181" t="s">
        <v>147</v>
      </c>
      <c r="P19" s="83" t="s">
        <v>148</v>
      </c>
      <c r="Q19" s="177" t="s">
        <v>149</v>
      </c>
      <c r="R19" s="83"/>
    </row>
    <row r="20" spans="1:18">
      <c r="A20" s="176">
        <v>80889184</v>
      </c>
      <c r="B20" s="177" t="s">
        <v>157</v>
      </c>
      <c r="C20" s="178" t="s">
        <v>152</v>
      </c>
      <c r="D20" s="176" t="s">
        <v>144</v>
      </c>
      <c r="E20" s="176" t="s">
        <v>145</v>
      </c>
      <c r="F20" s="179">
        <v>46015</v>
      </c>
      <c r="G20" s="177">
        <v>271</v>
      </c>
      <c r="H20" s="179">
        <v>45940</v>
      </c>
      <c r="I20" s="179" t="s">
        <v>146</v>
      </c>
      <c r="J20" s="83">
        <v>3466249348</v>
      </c>
      <c r="K20" s="177"/>
      <c r="L20" s="179">
        <v>45941</v>
      </c>
      <c r="M20" s="180">
        <v>46020</v>
      </c>
      <c r="N20" s="181">
        <v>0.44208229999999998</v>
      </c>
      <c r="O20" s="181" t="s">
        <v>147</v>
      </c>
      <c r="P20" s="83" t="s">
        <v>148</v>
      </c>
      <c r="Q20" s="177" t="s">
        <v>149</v>
      </c>
      <c r="R20" s="83"/>
    </row>
    <row r="21" spans="1:18">
      <c r="A21" s="176">
        <v>80889184</v>
      </c>
      <c r="B21" s="177" t="s">
        <v>157</v>
      </c>
      <c r="C21" s="178" t="s">
        <v>153</v>
      </c>
      <c r="D21" s="176" t="s">
        <v>144</v>
      </c>
      <c r="E21" s="176" t="s">
        <v>145</v>
      </c>
      <c r="F21" s="179">
        <v>46015</v>
      </c>
      <c r="G21" s="177">
        <v>73</v>
      </c>
      <c r="H21" s="179">
        <v>45940</v>
      </c>
      <c r="I21" s="179" t="s">
        <v>146</v>
      </c>
      <c r="J21" s="83">
        <v>3466249349</v>
      </c>
      <c r="K21" s="177"/>
      <c r="L21" s="179">
        <v>45941</v>
      </c>
      <c r="M21" s="180">
        <v>46020</v>
      </c>
      <c r="N21" s="181">
        <v>0.11908489999999999</v>
      </c>
      <c r="O21" s="181" t="s">
        <v>147</v>
      </c>
      <c r="P21" s="83" t="s">
        <v>148</v>
      </c>
      <c r="Q21" s="177" t="s">
        <v>149</v>
      </c>
      <c r="R21" s="83"/>
    </row>
    <row r="22" spans="1:18">
      <c r="A22" s="176">
        <v>80889184</v>
      </c>
      <c r="B22" s="177" t="s">
        <v>157</v>
      </c>
      <c r="C22" s="178" t="s">
        <v>154</v>
      </c>
      <c r="D22" s="176" t="s">
        <v>144</v>
      </c>
      <c r="E22" s="176" t="s">
        <v>145</v>
      </c>
      <c r="F22" s="179">
        <v>46015</v>
      </c>
      <c r="G22" s="177">
        <v>100</v>
      </c>
      <c r="H22" s="179">
        <v>45940</v>
      </c>
      <c r="I22" s="179" t="s">
        <v>146</v>
      </c>
      <c r="J22" s="83">
        <v>3466249351</v>
      </c>
      <c r="K22" s="177"/>
      <c r="L22" s="179">
        <v>45941</v>
      </c>
      <c r="M22" s="180">
        <v>46020</v>
      </c>
      <c r="N22" s="181">
        <v>0.16313</v>
      </c>
      <c r="O22" s="181" t="s">
        <v>147</v>
      </c>
      <c r="P22" s="83" t="s">
        <v>148</v>
      </c>
      <c r="Q22" s="177" t="s">
        <v>149</v>
      </c>
      <c r="R22" s="83"/>
    </row>
    <row r="23" spans="1:18">
      <c r="A23" s="176">
        <v>80889184</v>
      </c>
      <c r="B23" s="177" t="s">
        <v>157</v>
      </c>
      <c r="C23" s="178" t="s">
        <v>155</v>
      </c>
      <c r="D23" s="176" t="s">
        <v>144</v>
      </c>
      <c r="E23" s="176" t="s">
        <v>145</v>
      </c>
      <c r="F23" s="179">
        <v>46015</v>
      </c>
      <c r="G23" s="177">
        <v>588</v>
      </c>
      <c r="H23" s="179">
        <v>45940</v>
      </c>
      <c r="I23" s="179" t="s">
        <v>146</v>
      </c>
      <c r="J23" s="83">
        <v>3466249353</v>
      </c>
      <c r="K23" s="177"/>
      <c r="L23" s="179">
        <v>45941</v>
      </c>
      <c r="M23" s="180">
        <v>46020</v>
      </c>
      <c r="N23" s="181">
        <v>0.95920439999999996</v>
      </c>
      <c r="O23" s="181" t="s">
        <v>147</v>
      </c>
      <c r="P23" s="83" t="s">
        <v>148</v>
      </c>
      <c r="Q23" s="177" t="s">
        <v>149</v>
      </c>
      <c r="R23" s="83"/>
    </row>
    <row r="24" spans="1:18">
      <c r="A24" s="176">
        <v>80889185</v>
      </c>
      <c r="B24" s="177" t="s">
        <v>158</v>
      </c>
      <c r="C24" s="178" t="s">
        <v>143</v>
      </c>
      <c r="D24" s="176" t="s">
        <v>144</v>
      </c>
      <c r="E24" s="176" t="s">
        <v>145</v>
      </c>
      <c r="F24" s="179">
        <v>46015</v>
      </c>
      <c r="G24" s="177">
        <v>148</v>
      </c>
      <c r="H24" s="179">
        <v>45940</v>
      </c>
      <c r="I24" s="179" t="s">
        <v>146</v>
      </c>
      <c r="J24" s="83">
        <v>3466249354</v>
      </c>
      <c r="K24" s="177"/>
      <c r="L24" s="179">
        <v>45941</v>
      </c>
      <c r="M24" s="180">
        <v>46020</v>
      </c>
      <c r="N24" s="181">
        <v>0.24143239999999999</v>
      </c>
      <c r="O24" s="181" t="s">
        <v>147</v>
      </c>
      <c r="P24" s="83" t="s">
        <v>148</v>
      </c>
      <c r="Q24" s="177" t="s">
        <v>149</v>
      </c>
      <c r="R24" s="83"/>
    </row>
    <row r="25" spans="1:18">
      <c r="A25" s="176">
        <v>80889185</v>
      </c>
      <c r="B25" s="177" t="s">
        <v>158</v>
      </c>
      <c r="C25" s="178" t="s">
        <v>150</v>
      </c>
      <c r="D25" s="176" t="s">
        <v>144</v>
      </c>
      <c r="E25" s="176" t="s">
        <v>145</v>
      </c>
      <c r="F25" s="179">
        <v>46015</v>
      </c>
      <c r="G25" s="177">
        <v>540</v>
      </c>
      <c r="H25" s="179">
        <v>45940</v>
      </c>
      <c r="I25" s="179" t="s">
        <v>146</v>
      </c>
      <c r="J25" s="83">
        <v>3466249355</v>
      </c>
      <c r="K25" s="177"/>
      <c r="L25" s="179">
        <v>45941</v>
      </c>
      <c r="M25" s="180">
        <v>46020</v>
      </c>
      <c r="N25" s="181">
        <v>0.88090199999999996</v>
      </c>
      <c r="O25" s="181" t="s">
        <v>147</v>
      </c>
      <c r="P25" s="83" t="s">
        <v>148</v>
      </c>
      <c r="Q25" s="177" t="s">
        <v>149</v>
      </c>
      <c r="R25" s="83"/>
    </row>
    <row r="26" spans="1:18">
      <c r="A26" s="176">
        <v>80889185</v>
      </c>
      <c r="B26" s="177" t="s">
        <v>158</v>
      </c>
      <c r="C26" s="178" t="s">
        <v>151</v>
      </c>
      <c r="D26" s="176" t="s">
        <v>144</v>
      </c>
      <c r="E26" s="176" t="s">
        <v>145</v>
      </c>
      <c r="F26" s="179">
        <v>46015</v>
      </c>
      <c r="G26" s="177">
        <v>734</v>
      </c>
      <c r="H26" s="179">
        <v>45940</v>
      </c>
      <c r="I26" s="179" t="s">
        <v>146</v>
      </c>
      <c r="J26" s="83">
        <v>3466249356</v>
      </c>
      <c r="K26" s="177"/>
      <c r="L26" s="179">
        <v>45941</v>
      </c>
      <c r="M26" s="180">
        <v>46020</v>
      </c>
      <c r="N26" s="181">
        <v>1.1973742000000001</v>
      </c>
      <c r="O26" s="181" t="s">
        <v>147</v>
      </c>
      <c r="P26" s="83" t="s">
        <v>148</v>
      </c>
      <c r="Q26" s="177" t="s">
        <v>149</v>
      </c>
      <c r="R26" s="83"/>
    </row>
    <row r="27" spans="1:18">
      <c r="A27" s="176">
        <v>80889185</v>
      </c>
      <c r="B27" s="177" t="s">
        <v>158</v>
      </c>
      <c r="C27" s="178" t="s">
        <v>152</v>
      </c>
      <c r="D27" s="176" t="s">
        <v>144</v>
      </c>
      <c r="E27" s="176" t="s">
        <v>145</v>
      </c>
      <c r="F27" s="179">
        <v>46015</v>
      </c>
      <c r="G27" s="177">
        <v>271</v>
      </c>
      <c r="H27" s="179">
        <v>45940</v>
      </c>
      <c r="I27" s="179" t="s">
        <v>146</v>
      </c>
      <c r="J27" s="83">
        <v>3466249357</v>
      </c>
      <c r="K27" s="177"/>
      <c r="L27" s="179">
        <v>45941</v>
      </c>
      <c r="M27" s="180">
        <v>46020</v>
      </c>
      <c r="N27" s="181">
        <v>0.44208229999999998</v>
      </c>
      <c r="O27" s="181" t="s">
        <v>147</v>
      </c>
      <c r="P27" s="83" t="s">
        <v>148</v>
      </c>
      <c r="Q27" s="177" t="s">
        <v>149</v>
      </c>
      <c r="R27" s="83"/>
    </row>
    <row r="28" spans="1:18">
      <c r="A28" s="176">
        <v>80889185</v>
      </c>
      <c r="B28" s="177" t="s">
        <v>158</v>
      </c>
      <c r="C28" s="178" t="s">
        <v>153</v>
      </c>
      <c r="D28" s="176" t="s">
        <v>144</v>
      </c>
      <c r="E28" s="176" t="s">
        <v>145</v>
      </c>
      <c r="F28" s="179">
        <v>46015</v>
      </c>
      <c r="G28" s="177">
        <v>75</v>
      </c>
      <c r="H28" s="179">
        <v>45940</v>
      </c>
      <c r="I28" s="179" t="s">
        <v>146</v>
      </c>
      <c r="J28" s="83">
        <v>3466249398</v>
      </c>
      <c r="K28" s="177"/>
      <c r="L28" s="179">
        <v>45941</v>
      </c>
      <c r="M28" s="180">
        <v>46020</v>
      </c>
      <c r="N28" s="181">
        <v>0.1223475</v>
      </c>
      <c r="O28" s="181" t="s">
        <v>147</v>
      </c>
      <c r="P28" s="83" t="s">
        <v>148</v>
      </c>
      <c r="Q28" s="177" t="s">
        <v>149</v>
      </c>
      <c r="R28" s="83"/>
    </row>
    <row r="29" spans="1:18">
      <c r="A29" s="176">
        <v>80889185</v>
      </c>
      <c r="B29" s="177" t="s">
        <v>158</v>
      </c>
      <c r="C29" s="178" t="s">
        <v>154</v>
      </c>
      <c r="D29" s="176" t="s">
        <v>144</v>
      </c>
      <c r="E29" s="176" t="s">
        <v>145</v>
      </c>
      <c r="F29" s="179">
        <v>46015</v>
      </c>
      <c r="G29" s="177">
        <v>99</v>
      </c>
      <c r="H29" s="179">
        <v>45940</v>
      </c>
      <c r="I29" s="179" t="s">
        <v>146</v>
      </c>
      <c r="J29" s="83">
        <v>3466249399</v>
      </c>
      <c r="K29" s="177"/>
      <c r="L29" s="179">
        <v>45941</v>
      </c>
      <c r="M29" s="180">
        <v>46020</v>
      </c>
      <c r="N29" s="181">
        <v>0.1614987</v>
      </c>
      <c r="O29" s="181" t="s">
        <v>147</v>
      </c>
      <c r="P29" s="83" t="s">
        <v>148</v>
      </c>
      <c r="Q29" s="177" t="s">
        <v>149</v>
      </c>
      <c r="R29" s="83"/>
    </row>
    <row r="30" spans="1:18">
      <c r="A30" s="176">
        <v>80889185</v>
      </c>
      <c r="B30" s="177" t="s">
        <v>158</v>
      </c>
      <c r="C30" s="178" t="s">
        <v>155</v>
      </c>
      <c r="D30" s="176" t="s">
        <v>144</v>
      </c>
      <c r="E30" s="176" t="s">
        <v>145</v>
      </c>
      <c r="F30" s="179">
        <v>46015</v>
      </c>
      <c r="G30" s="177">
        <v>588</v>
      </c>
      <c r="H30" s="179">
        <v>45940</v>
      </c>
      <c r="I30" s="179" t="s">
        <v>146</v>
      </c>
      <c r="J30" s="83">
        <v>3466249400</v>
      </c>
      <c r="K30" s="177"/>
      <c r="L30" s="179">
        <v>45941</v>
      </c>
      <c r="M30" s="180">
        <v>46020</v>
      </c>
      <c r="N30" s="181">
        <v>0.95920439999999996</v>
      </c>
      <c r="O30" s="181" t="s">
        <v>147</v>
      </c>
      <c r="P30" s="83" t="s">
        <v>148</v>
      </c>
      <c r="Q30" s="177" t="s">
        <v>149</v>
      </c>
      <c r="R30" s="83"/>
    </row>
    <row r="31" spans="1:18">
      <c r="A31" s="176">
        <v>80889182</v>
      </c>
      <c r="B31" s="177" t="s">
        <v>142</v>
      </c>
      <c r="C31" s="178" t="s">
        <v>143</v>
      </c>
      <c r="D31" s="176" t="s">
        <v>144</v>
      </c>
      <c r="E31" s="176" t="s">
        <v>145</v>
      </c>
      <c r="F31" s="179">
        <v>46046</v>
      </c>
      <c r="G31" s="177">
        <v>98</v>
      </c>
      <c r="H31" s="179">
        <v>45940</v>
      </c>
      <c r="I31" s="179" t="s">
        <v>146</v>
      </c>
      <c r="J31" s="83">
        <v>3466249401</v>
      </c>
      <c r="K31" s="177"/>
      <c r="L31" s="179">
        <v>45941</v>
      </c>
      <c r="M31" s="180">
        <v>46020</v>
      </c>
      <c r="N31" s="181">
        <v>0.29753780000000002</v>
      </c>
      <c r="O31" s="181" t="s">
        <v>147</v>
      </c>
      <c r="P31" s="83" t="s">
        <v>148</v>
      </c>
      <c r="Q31" s="177" t="s">
        <v>149</v>
      </c>
      <c r="R31" s="83"/>
    </row>
    <row r="32" spans="1:18">
      <c r="A32" s="176">
        <v>80889182</v>
      </c>
      <c r="B32" s="177" t="s">
        <v>142</v>
      </c>
      <c r="C32" s="178" t="s">
        <v>150</v>
      </c>
      <c r="D32" s="176" t="s">
        <v>144</v>
      </c>
      <c r="E32" s="176" t="s">
        <v>145</v>
      </c>
      <c r="F32" s="179">
        <v>46046</v>
      </c>
      <c r="G32" s="177">
        <v>361</v>
      </c>
      <c r="H32" s="179">
        <v>45940</v>
      </c>
      <c r="I32" s="179" t="s">
        <v>146</v>
      </c>
      <c r="J32" s="83">
        <v>3466249402</v>
      </c>
      <c r="K32" s="177"/>
      <c r="L32" s="179">
        <v>45941</v>
      </c>
      <c r="M32" s="180">
        <v>46020</v>
      </c>
      <c r="N32" s="181">
        <v>1.0960321</v>
      </c>
      <c r="O32" s="181" t="s">
        <v>147</v>
      </c>
      <c r="P32" s="83" t="s">
        <v>148</v>
      </c>
      <c r="Q32" s="177" t="s">
        <v>149</v>
      </c>
      <c r="R32" s="83"/>
    </row>
    <row r="33" spans="1:18">
      <c r="A33" s="176">
        <v>80889182</v>
      </c>
      <c r="B33" s="177" t="s">
        <v>142</v>
      </c>
      <c r="C33" s="178" t="s">
        <v>151</v>
      </c>
      <c r="D33" s="176" t="s">
        <v>144</v>
      </c>
      <c r="E33" s="176" t="s">
        <v>145</v>
      </c>
      <c r="F33" s="179">
        <v>46046</v>
      </c>
      <c r="G33" s="177">
        <v>495</v>
      </c>
      <c r="H33" s="179">
        <v>45940</v>
      </c>
      <c r="I33" s="179" t="s">
        <v>146</v>
      </c>
      <c r="J33" s="83">
        <v>3466249403</v>
      </c>
      <c r="K33" s="177"/>
      <c r="L33" s="179">
        <v>45941</v>
      </c>
      <c r="M33" s="180">
        <v>46020</v>
      </c>
      <c r="N33" s="181">
        <v>1.5028695000000001</v>
      </c>
      <c r="O33" s="181" t="s">
        <v>147</v>
      </c>
      <c r="P33" s="83" t="s">
        <v>148</v>
      </c>
      <c r="Q33" s="177" t="s">
        <v>149</v>
      </c>
      <c r="R33" s="83"/>
    </row>
    <row r="34" spans="1:18">
      <c r="A34" s="176">
        <v>80889182</v>
      </c>
      <c r="B34" s="177" t="s">
        <v>142</v>
      </c>
      <c r="C34" s="178" t="s">
        <v>152</v>
      </c>
      <c r="D34" s="176" t="s">
        <v>144</v>
      </c>
      <c r="E34" s="176" t="s">
        <v>145</v>
      </c>
      <c r="F34" s="179">
        <v>46046</v>
      </c>
      <c r="G34" s="177">
        <v>182</v>
      </c>
      <c r="H34" s="179">
        <v>45940</v>
      </c>
      <c r="I34" s="179" t="s">
        <v>146</v>
      </c>
      <c r="J34" s="83">
        <v>3466249404</v>
      </c>
      <c r="K34" s="177"/>
      <c r="L34" s="179">
        <v>45941</v>
      </c>
      <c r="M34" s="180">
        <v>46020</v>
      </c>
      <c r="N34" s="181">
        <v>0.55257020000000001</v>
      </c>
      <c r="O34" s="181" t="s">
        <v>147</v>
      </c>
      <c r="P34" s="83" t="s">
        <v>148</v>
      </c>
      <c r="Q34" s="177" t="s">
        <v>149</v>
      </c>
      <c r="R34" s="83"/>
    </row>
    <row r="35" spans="1:18">
      <c r="A35" s="176">
        <v>80889182</v>
      </c>
      <c r="B35" s="177" t="s">
        <v>142</v>
      </c>
      <c r="C35" s="178" t="s">
        <v>153</v>
      </c>
      <c r="D35" s="176" t="s">
        <v>144</v>
      </c>
      <c r="E35" s="176" t="s">
        <v>145</v>
      </c>
      <c r="F35" s="179">
        <v>46046</v>
      </c>
      <c r="G35" s="177">
        <v>50</v>
      </c>
      <c r="H35" s="179">
        <v>45940</v>
      </c>
      <c r="I35" s="179" t="s">
        <v>146</v>
      </c>
      <c r="J35" s="83">
        <v>3466249405</v>
      </c>
      <c r="K35" s="177"/>
      <c r="L35" s="179">
        <v>45941</v>
      </c>
      <c r="M35" s="180">
        <v>46020</v>
      </c>
      <c r="N35" s="181">
        <v>0.151805</v>
      </c>
      <c r="O35" s="181" t="s">
        <v>147</v>
      </c>
      <c r="P35" s="83" t="s">
        <v>148</v>
      </c>
      <c r="Q35" s="177" t="s">
        <v>149</v>
      </c>
      <c r="R35" s="83"/>
    </row>
    <row r="36" spans="1:18">
      <c r="A36" s="176">
        <v>80889182</v>
      </c>
      <c r="B36" s="177" t="s">
        <v>142</v>
      </c>
      <c r="C36" s="178" t="s">
        <v>154</v>
      </c>
      <c r="D36" s="176" t="s">
        <v>144</v>
      </c>
      <c r="E36" s="176" t="s">
        <v>145</v>
      </c>
      <c r="F36" s="179">
        <v>46046</v>
      </c>
      <c r="G36" s="177">
        <v>67</v>
      </c>
      <c r="H36" s="179">
        <v>45940</v>
      </c>
      <c r="I36" s="179" t="s">
        <v>146</v>
      </c>
      <c r="J36" s="83">
        <v>3466249406</v>
      </c>
      <c r="K36" s="177"/>
      <c r="L36" s="179">
        <v>45941</v>
      </c>
      <c r="M36" s="180">
        <v>46020</v>
      </c>
      <c r="N36" s="181">
        <v>0.20341870000000001</v>
      </c>
      <c r="O36" s="181" t="s">
        <v>147</v>
      </c>
      <c r="P36" s="83" t="s">
        <v>148</v>
      </c>
      <c r="Q36" s="177" t="s">
        <v>149</v>
      </c>
      <c r="R36" s="83"/>
    </row>
    <row r="37" spans="1:18">
      <c r="A37" s="176">
        <v>80889182</v>
      </c>
      <c r="B37" s="177" t="s">
        <v>142</v>
      </c>
      <c r="C37" s="178" t="s">
        <v>155</v>
      </c>
      <c r="D37" s="176" t="s">
        <v>144</v>
      </c>
      <c r="E37" s="176" t="s">
        <v>145</v>
      </c>
      <c r="F37" s="179">
        <v>46046</v>
      </c>
      <c r="G37" s="177">
        <v>397</v>
      </c>
      <c r="H37" s="179">
        <v>45940</v>
      </c>
      <c r="I37" s="179" t="s">
        <v>146</v>
      </c>
      <c r="J37" s="83">
        <v>3466249407</v>
      </c>
      <c r="K37" s="177"/>
      <c r="L37" s="179">
        <v>45941</v>
      </c>
      <c r="M37" s="180">
        <v>46020</v>
      </c>
      <c r="N37" s="181">
        <v>1.2053316999999999</v>
      </c>
      <c r="O37" s="181" t="s">
        <v>147</v>
      </c>
      <c r="P37" s="83" t="s">
        <v>148</v>
      </c>
      <c r="Q37" s="177" t="s">
        <v>149</v>
      </c>
      <c r="R37" s="83"/>
    </row>
    <row r="38" spans="1:18">
      <c r="A38" s="176">
        <v>80889183</v>
      </c>
      <c r="B38" s="177" t="s">
        <v>156</v>
      </c>
      <c r="C38" s="178" t="s">
        <v>143</v>
      </c>
      <c r="D38" s="176" t="s">
        <v>144</v>
      </c>
      <c r="E38" s="176" t="s">
        <v>145</v>
      </c>
      <c r="F38" s="179">
        <v>46046</v>
      </c>
      <c r="G38" s="177">
        <v>138</v>
      </c>
      <c r="H38" s="179">
        <v>45940</v>
      </c>
      <c r="I38" s="179" t="s">
        <v>146</v>
      </c>
      <c r="J38" s="83">
        <v>3466249408</v>
      </c>
      <c r="K38" s="177"/>
      <c r="L38" s="179">
        <v>45941</v>
      </c>
      <c r="M38" s="180">
        <v>46020</v>
      </c>
      <c r="N38" s="181">
        <v>0.41898180000000002</v>
      </c>
      <c r="O38" s="181" t="s">
        <v>147</v>
      </c>
      <c r="P38" s="83" t="s">
        <v>148</v>
      </c>
      <c r="Q38" s="177" t="s">
        <v>149</v>
      </c>
      <c r="R38" s="83"/>
    </row>
    <row r="39" spans="1:18">
      <c r="A39" s="176">
        <v>80889183</v>
      </c>
      <c r="B39" s="177" t="s">
        <v>156</v>
      </c>
      <c r="C39" s="178" t="s">
        <v>150</v>
      </c>
      <c r="D39" s="176" t="s">
        <v>144</v>
      </c>
      <c r="E39" s="176" t="s">
        <v>145</v>
      </c>
      <c r="F39" s="179">
        <v>46046</v>
      </c>
      <c r="G39" s="177">
        <v>508</v>
      </c>
      <c r="H39" s="179">
        <v>45940</v>
      </c>
      <c r="I39" s="179" t="s">
        <v>146</v>
      </c>
      <c r="J39" s="83">
        <v>3466249409</v>
      </c>
      <c r="K39" s="177"/>
      <c r="L39" s="179">
        <v>45941</v>
      </c>
      <c r="M39" s="180">
        <v>46020</v>
      </c>
      <c r="N39" s="181">
        <v>1.5423388</v>
      </c>
      <c r="O39" s="181" t="s">
        <v>147</v>
      </c>
      <c r="P39" s="83" t="s">
        <v>148</v>
      </c>
      <c r="Q39" s="177" t="s">
        <v>149</v>
      </c>
      <c r="R39" s="83"/>
    </row>
    <row r="40" spans="1:18">
      <c r="A40" s="176">
        <v>80889183</v>
      </c>
      <c r="B40" s="177" t="s">
        <v>156</v>
      </c>
      <c r="C40" s="178" t="s">
        <v>151</v>
      </c>
      <c r="D40" s="176" t="s">
        <v>144</v>
      </c>
      <c r="E40" s="176" t="s">
        <v>145</v>
      </c>
      <c r="F40" s="179">
        <v>46046</v>
      </c>
      <c r="G40" s="177">
        <v>691</v>
      </c>
      <c r="H40" s="179">
        <v>45940</v>
      </c>
      <c r="I40" s="179" t="s">
        <v>146</v>
      </c>
      <c r="J40" s="83">
        <v>3466249410</v>
      </c>
      <c r="K40" s="177"/>
      <c r="L40" s="179">
        <v>45941</v>
      </c>
      <c r="M40" s="180">
        <v>46020</v>
      </c>
      <c r="N40" s="181">
        <v>2.0979451</v>
      </c>
      <c r="O40" s="181" t="s">
        <v>147</v>
      </c>
      <c r="P40" s="83" t="s">
        <v>148</v>
      </c>
      <c r="Q40" s="177" t="s">
        <v>149</v>
      </c>
      <c r="R40" s="83"/>
    </row>
    <row r="41" spans="1:18">
      <c r="A41" s="176">
        <v>80889183</v>
      </c>
      <c r="B41" s="177" t="s">
        <v>156</v>
      </c>
      <c r="C41" s="178" t="s">
        <v>152</v>
      </c>
      <c r="D41" s="176" t="s">
        <v>144</v>
      </c>
      <c r="E41" s="176" t="s">
        <v>145</v>
      </c>
      <c r="F41" s="179">
        <v>46046</v>
      </c>
      <c r="G41" s="177">
        <v>255</v>
      </c>
      <c r="H41" s="179">
        <v>45940</v>
      </c>
      <c r="I41" s="179" t="s">
        <v>146</v>
      </c>
      <c r="J41" s="83">
        <v>3466249411</v>
      </c>
      <c r="K41" s="177"/>
      <c r="L41" s="179">
        <v>45941</v>
      </c>
      <c r="M41" s="180">
        <v>46020</v>
      </c>
      <c r="N41" s="181">
        <v>0.77420549999999999</v>
      </c>
      <c r="O41" s="181" t="s">
        <v>147</v>
      </c>
      <c r="P41" s="83" t="s">
        <v>148</v>
      </c>
      <c r="Q41" s="177" t="s">
        <v>149</v>
      </c>
      <c r="R41" s="83"/>
    </row>
    <row r="42" spans="1:18">
      <c r="A42" s="176">
        <v>80889183</v>
      </c>
      <c r="B42" s="177" t="s">
        <v>156</v>
      </c>
      <c r="C42" s="178" t="s">
        <v>153</v>
      </c>
      <c r="D42" s="176" t="s">
        <v>144</v>
      </c>
      <c r="E42" s="176" t="s">
        <v>145</v>
      </c>
      <c r="F42" s="179">
        <v>46046</v>
      </c>
      <c r="G42" s="177">
        <v>70</v>
      </c>
      <c r="H42" s="179">
        <v>45940</v>
      </c>
      <c r="I42" s="179" t="s">
        <v>146</v>
      </c>
      <c r="J42" s="83">
        <v>3466249413</v>
      </c>
      <c r="K42" s="177"/>
      <c r="L42" s="179">
        <v>45941</v>
      </c>
      <c r="M42" s="180">
        <v>46020</v>
      </c>
      <c r="N42" s="181">
        <v>0.21252699999999999</v>
      </c>
      <c r="O42" s="181" t="s">
        <v>147</v>
      </c>
      <c r="P42" s="83" t="s">
        <v>148</v>
      </c>
      <c r="Q42" s="177" t="s">
        <v>149</v>
      </c>
      <c r="R42" s="83"/>
    </row>
    <row r="43" spans="1:18">
      <c r="A43" s="176">
        <v>80889183</v>
      </c>
      <c r="B43" s="177" t="s">
        <v>156</v>
      </c>
      <c r="C43" s="178" t="s">
        <v>154</v>
      </c>
      <c r="D43" s="176" t="s">
        <v>144</v>
      </c>
      <c r="E43" s="176" t="s">
        <v>145</v>
      </c>
      <c r="F43" s="179">
        <v>46046</v>
      </c>
      <c r="G43" s="177">
        <v>92</v>
      </c>
      <c r="H43" s="179">
        <v>45940</v>
      </c>
      <c r="I43" s="179" t="s">
        <v>146</v>
      </c>
      <c r="J43" s="83">
        <v>3466249414</v>
      </c>
      <c r="K43" s="177"/>
      <c r="L43" s="179">
        <v>45941</v>
      </c>
      <c r="M43" s="180">
        <v>46020</v>
      </c>
      <c r="N43" s="181">
        <v>0.27932119999999999</v>
      </c>
      <c r="O43" s="181" t="s">
        <v>147</v>
      </c>
      <c r="P43" s="83" t="s">
        <v>148</v>
      </c>
      <c r="Q43" s="177" t="s">
        <v>149</v>
      </c>
      <c r="R43" s="83"/>
    </row>
    <row r="44" spans="1:18">
      <c r="A44" s="176">
        <v>80889183</v>
      </c>
      <c r="B44" s="177" t="s">
        <v>156</v>
      </c>
      <c r="C44" s="178" t="s">
        <v>155</v>
      </c>
      <c r="D44" s="176" t="s">
        <v>144</v>
      </c>
      <c r="E44" s="176" t="s">
        <v>145</v>
      </c>
      <c r="F44" s="179">
        <v>46046</v>
      </c>
      <c r="G44" s="177">
        <v>555</v>
      </c>
      <c r="H44" s="179">
        <v>45940</v>
      </c>
      <c r="I44" s="179" t="s">
        <v>146</v>
      </c>
      <c r="J44" s="83">
        <v>3466249415</v>
      </c>
      <c r="K44" s="177"/>
      <c r="L44" s="179">
        <v>45941</v>
      </c>
      <c r="M44" s="180">
        <v>46020</v>
      </c>
      <c r="N44" s="181">
        <v>1.6850354999999999</v>
      </c>
      <c r="O44" s="181" t="s">
        <v>147</v>
      </c>
      <c r="P44" s="83" t="s">
        <v>148</v>
      </c>
      <c r="Q44" s="177" t="s">
        <v>149</v>
      </c>
      <c r="R44" s="83"/>
    </row>
    <row r="45" spans="1:18">
      <c r="A45" s="176">
        <v>80889184</v>
      </c>
      <c r="B45" s="177" t="s">
        <v>157</v>
      </c>
      <c r="C45" s="178" t="s">
        <v>143</v>
      </c>
      <c r="D45" s="176" t="s">
        <v>144</v>
      </c>
      <c r="E45" s="176" t="s">
        <v>145</v>
      </c>
      <c r="F45" s="179">
        <v>46046</v>
      </c>
      <c r="G45" s="177">
        <v>112</v>
      </c>
      <c r="H45" s="179">
        <v>45940</v>
      </c>
      <c r="I45" s="179" t="s">
        <v>146</v>
      </c>
      <c r="J45" s="83">
        <v>3466249416</v>
      </c>
      <c r="K45" s="177"/>
      <c r="L45" s="179">
        <v>45941</v>
      </c>
      <c r="M45" s="180">
        <v>46020</v>
      </c>
      <c r="N45" s="181">
        <v>0.1827056</v>
      </c>
      <c r="O45" s="181" t="s">
        <v>147</v>
      </c>
      <c r="P45" s="83" t="s">
        <v>148</v>
      </c>
      <c r="Q45" s="177" t="s">
        <v>149</v>
      </c>
      <c r="R45" s="83"/>
    </row>
    <row r="46" spans="1:18">
      <c r="A46" s="177">
        <v>80889184</v>
      </c>
      <c r="B46" s="177" t="s">
        <v>157</v>
      </c>
      <c r="C46" s="178" t="s">
        <v>150</v>
      </c>
      <c r="D46" s="177" t="s">
        <v>144</v>
      </c>
      <c r="E46" s="176" t="s">
        <v>145</v>
      </c>
      <c r="F46" s="179">
        <v>46046</v>
      </c>
      <c r="G46" s="177">
        <v>406</v>
      </c>
      <c r="H46" s="179">
        <v>45940</v>
      </c>
      <c r="I46" s="179" t="s">
        <v>146</v>
      </c>
      <c r="J46" s="83">
        <v>3466249417</v>
      </c>
      <c r="K46" s="177"/>
      <c r="L46" s="179">
        <v>45941</v>
      </c>
      <c r="M46" s="180">
        <v>46020</v>
      </c>
      <c r="N46" s="181">
        <v>0.6623078</v>
      </c>
      <c r="O46" s="181" t="s">
        <v>147</v>
      </c>
      <c r="P46" s="83" t="s">
        <v>148</v>
      </c>
      <c r="Q46" s="177" t="s">
        <v>149</v>
      </c>
      <c r="R46" s="83"/>
    </row>
    <row r="47" spans="1:18">
      <c r="A47" s="177">
        <v>80889184</v>
      </c>
      <c r="B47" s="177" t="s">
        <v>157</v>
      </c>
      <c r="C47" s="178" t="s">
        <v>151</v>
      </c>
      <c r="D47" s="177" t="s">
        <v>144</v>
      </c>
      <c r="E47" s="176" t="s">
        <v>145</v>
      </c>
      <c r="F47" s="179">
        <v>46046</v>
      </c>
      <c r="G47" s="177">
        <v>551</v>
      </c>
      <c r="H47" s="179">
        <v>45940</v>
      </c>
      <c r="I47" s="179" t="s">
        <v>146</v>
      </c>
      <c r="J47" s="83">
        <v>3466249418</v>
      </c>
      <c r="K47" s="177"/>
      <c r="L47" s="179">
        <v>45941</v>
      </c>
      <c r="M47" s="180">
        <v>46020</v>
      </c>
      <c r="N47" s="181">
        <v>0.89884629999999999</v>
      </c>
      <c r="O47" s="181" t="s">
        <v>147</v>
      </c>
      <c r="P47" s="83" t="s">
        <v>148</v>
      </c>
      <c r="Q47" s="177" t="s">
        <v>149</v>
      </c>
      <c r="R47" s="83"/>
    </row>
    <row r="48" spans="1:18">
      <c r="A48" s="177">
        <v>80889184</v>
      </c>
      <c r="B48" s="177" t="s">
        <v>157</v>
      </c>
      <c r="C48" s="178" t="s">
        <v>152</v>
      </c>
      <c r="D48" s="177" t="s">
        <v>144</v>
      </c>
      <c r="E48" s="176" t="s">
        <v>145</v>
      </c>
      <c r="F48" s="179">
        <v>46046</v>
      </c>
      <c r="G48" s="177">
        <v>204</v>
      </c>
      <c r="H48" s="179">
        <v>45940</v>
      </c>
      <c r="I48" s="179" t="s">
        <v>146</v>
      </c>
      <c r="J48" s="83">
        <v>3466249419</v>
      </c>
      <c r="K48" s="177"/>
      <c r="L48" s="179">
        <v>45941</v>
      </c>
      <c r="M48" s="180">
        <v>46020</v>
      </c>
      <c r="N48" s="181">
        <v>0.3327852</v>
      </c>
      <c r="O48" s="181" t="s">
        <v>147</v>
      </c>
      <c r="P48" s="83" t="s">
        <v>148</v>
      </c>
      <c r="Q48" s="177" t="s">
        <v>149</v>
      </c>
      <c r="R48" s="83"/>
    </row>
    <row r="49" spans="1:18">
      <c r="A49" s="177">
        <v>80889184</v>
      </c>
      <c r="B49" s="177" t="s">
        <v>157</v>
      </c>
      <c r="C49" s="178" t="s">
        <v>153</v>
      </c>
      <c r="D49" s="177" t="s">
        <v>144</v>
      </c>
      <c r="E49" s="176" t="s">
        <v>145</v>
      </c>
      <c r="F49" s="179">
        <v>46046</v>
      </c>
      <c r="G49" s="177">
        <v>55</v>
      </c>
      <c r="H49" s="179">
        <v>45940</v>
      </c>
      <c r="I49" s="179" t="s">
        <v>146</v>
      </c>
      <c r="J49" s="83">
        <v>3466249420</v>
      </c>
      <c r="K49" s="177"/>
      <c r="L49" s="179">
        <v>45941</v>
      </c>
      <c r="M49" s="180">
        <v>46020</v>
      </c>
      <c r="N49" s="181">
        <v>8.9721499999999996E-2</v>
      </c>
      <c r="O49" s="181" t="s">
        <v>147</v>
      </c>
      <c r="P49" s="83" t="s">
        <v>148</v>
      </c>
      <c r="Q49" s="177" t="s">
        <v>149</v>
      </c>
      <c r="R49" s="83"/>
    </row>
    <row r="50" spans="1:18">
      <c r="A50" s="177">
        <v>80889184</v>
      </c>
      <c r="B50" s="177" t="s">
        <v>157</v>
      </c>
      <c r="C50" s="178" t="s">
        <v>154</v>
      </c>
      <c r="D50" s="177" t="s">
        <v>144</v>
      </c>
      <c r="E50" s="176" t="s">
        <v>145</v>
      </c>
      <c r="F50" s="179">
        <v>46046</v>
      </c>
      <c r="G50" s="177">
        <v>75</v>
      </c>
      <c r="H50" s="179">
        <v>45940</v>
      </c>
      <c r="I50" s="179" t="s">
        <v>146</v>
      </c>
      <c r="J50" s="83">
        <v>3466249422</v>
      </c>
      <c r="K50" s="177"/>
      <c r="L50" s="179">
        <v>45941</v>
      </c>
      <c r="M50" s="180">
        <v>46020</v>
      </c>
      <c r="N50" s="181">
        <v>0.1223475</v>
      </c>
      <c r="O50" s="181" t="s">
        <v>147</v>
      </c>
      <c r="P50" s="83" t="s">
        <v>148</v>
      </c>
      <c r="Q50" s="177" t="s">
        <v>149</v>
      </c>
      <c r="R50" s="83"/>
    </row>
    <row r="51" spans="1:18">
      <c r="A51" s="177">
        <v>80889184</v>
      </c>
      <c r="B51" s="177" t="s">
        <v>157</v>
      </c>
      <c r="C51" s="178" t="s">
        <v>155</v>
      </c>
      <c r="D51" s="177" t="s">
        <v>144</v>
      </c>
      <c r="E51" s="176" t="s">
        <v>145</v>
      </c>
      <c r="F51" s="179">
        <v>46046</v>
      </c>
      <c r="G51" s="177">
        <v>441</v>
      </c>
      <c r="H51" s="179">
        <v>45940</v>
      </c>
      <c r="I51" s="179" t="s">
        <v>146</v>
      </c>
      <c r="J51" s="83">
        <v>3466249423</v>
      </c>
      <c r="K51" s="177"/>
      <c r="L51" s="179">
        <v>45941</v>
      </c>
      <c r="M51" s="180">
        <v>46020</v>
      </c>
      <c r="N51" s="181">
        <v>0.71940329999999997</v>
      </c>
      <c r="O51" s="181" t="s">
        <v>147</v>
      </c>
      <c r="P51" s="83" t="s">
        <v>148</v>
      </c>
      <c r="Q51" s="177" t="s">
        <v>149</v>
      </c>
      <c r="R51" s="83"/>
    </row>
    <row r="52" spans="1:18">
      <c r="A52" s="177">
        <v>80889185</v>
      </c>
      <c r="B52" s="177" t="s">
        <v>158</v>
      </c>
      <c r="C52" s="178" t="s">
        <v>143</v>
      </c>
      <c r="D52" s="177" t="s">
        <v>144</v>
      </c>
      <c r="E52" s="176" t="s">
        <v>145</v>
      </c>
      <c r="F52" s="179">
        <v>46046</v>
      </c>
      <c r="G52" s="177">
        <v>111</v>
      </c>
      <c r="H52" s="179">
        <v>45940</v>
      </c>
      <c r="I52" s="179" t="s">
        <v>146</v>
      </c>
      <c r="J52" s="83">
        <v>3466249424</v>
      </c>
      <c r="K52" s="177"/>
      <c r="L52" s="179">
        <v>45941</v>
      </c>
      <c r="M52" s="180">
        <v>46020</v>
      </c>
      <c r="N52" s="181">
        <v>0.18107429999999999</v>
      </c>
      <c r="O52" s="181" t="s">
        <v>147</v>
      </c>
      <c r="P52" s="83" t="s">
        <v>148</v>
      </c>
      <c r="Q52" s="177" t="s">
        <v>149</v>
      </c>
      <c r="R52" s="83"/>
    </row>
    <row r="53" spans="1:18">
      <c r="A53" s="177">
        <v>80889185</v>
      </c>
      <c r="B53" s="177" t="s">
        <v>158</v>
      </c>
      <c r="C53" s="178" t="s">
        <v>150</v>
      </c>
      <c r="D53" s="177" t="s">
        <v>144</v>
      </c>
      <c r="E53" s="176" t="s">
        <v>145</v>
      </c>
      <c r="F53" s="179">
        <v>46046</v>
      </c>
      <c r="G53" s="177">
        <v>405</v>
      </c>
      <c r="H53" s="179">
        <v>45940</v>
      </c>
      <c r="I53" s="179" t="s">
        <v>146</v>
      </c>
      <c r="J53" s="83">
        <v>3466249425</v>
      </c>
      <c r="K53" s="177"/>
      <c r="L53" s="179">
        <v>45941</v>
      </c>
      <c r="M53" s="180">
        <v>46020</v>
      </c>
      <c r="N53" s="181">
        <v>0.6606765</v>
      </c>
      <c r="O53" s="181" t="s">
        <v>147</v>
      </c>
      <c r="P53" s="83" t="s">
        <v>148</v>
      </c>
      <c r="Q53" s="177" t="s">
        <v>149</v>
      </c>
      <c r="R53" s="83"/>
    </row>
    <row r="54" spans="1:18">
      <c r="A54" s="177">
        <v>80889185</v>
      </c>
      <c r="B54" s="177" t="s">
        <v>158</v>
      </c>
      <c r="C54" s="178" t="s">
        <v>151</v>
      </c>
      <c r="D54" s="177" t="s">
        <v>144</v>
      </c>
      <c r="E54" s="176" t="s">
        <v>145</v>
      </c>
      <c r="F54" s="179">
        <v>46046</v>
      </c>
      <c r="G54" s="177">
        <v>551</v>
      </c>
      <c r="H54" s="179">
        <v>45940</v>
      </c>
      <c r="I54" s="179" t="s">
        <v>146</v>
      </c>
      <c r="J54" s="83">
        <v>3466249426</v>
      </c>
      <c r="K54" s="177"/>
      <c r="L54" s="179">
        <v>45941</v>
      </c>
      <c r="M54" s="180">
        <v>46020</v>
      </c>
      <c r="N54" s="181">
        <v>0.89884629999999999</v>
      </c>
      <c r="O54" s="181" t="s">
        <v>147</v>
      </c>
      <c r="P54" s="83" t="s">
        <v>148</v>
      </c>
      <c r="Q54" s="177" t="s">
        <v>149</v>
      </c>
      <c r="R54" s="83"/>
    </row>
    <row r="55" spans="1:18">
      <c r="A55" s="177">
        <v>80889185</v>
      </c>
      <c r="B55" s="177" t="s">
        <v>158</v>
      </c>
      <c r="C55" s="178" t="s">
        <v>152</v>
      </c>
      <c r="D55" s="177" t="s">
        <v>144</v>
      </c>
      <c r="E55" s="176" t="s">
        <v>145</v>
      </c>
      <c r="F55" s="179">
        <v>46046</v>
      </c>
      <c r="G55" s="177">
        <v>203</v>
      </c>
      <c r="H55" s="179">
        <v>45940</v>
      </c>
      <c r="I55" s="179" t="s">
        <v>146</v>
      </c>
      <c r="J55" s="83">
        <v>3466249427</v>
      </c>
      <c r="K55" s="177"/>
      <c r="L55" s="179">
        <v>45941</v>
      </c>
      <c r="M55" s="180">
        <v>46020</v>
      </c>
      <c r="N55" s="181">
        <v>0.3311539</v>
      </c>
      <c r="O55" s="181" t="s">
        <v>147</v>
      </c>
      <c r="P55" s="83" t="s">
        <v>148</v>
      </c>
      <c r="Q55" s="177" t="s">
        <v>149</v>
      </c>
      <c r="R55" s="83"/>
    </row>
    <row r="56" spans="1:18">
      <c r="A56" s="177">
        <v>80889185</v>
      </c>
      <c r="B56" s="177" t="s">
        <v>158</v>
      </c>
      <c r="C56" s="178" t="s">
        <v>153</v>
      </c>
      <c r="D56" s="177" t="s">
        <v>144</v>
      </c>
      <c r="E56" s="176" t="s">
        <v>145</v>
      </c>
      <c r="F56" s="179">
        <v>46046</v>
      </c>
      <c r="G56" s="177">
        <v>56</v>
      </c>
      <c r="H56" s="179">
        <v>45940</v>
      </c>
      <c r="I56" s="179" t="s">
        <v>146</v>
      </c>
      <c r="J56" s="83">
        <v>3466249428</v>
      </c>
      <c r="K56" s="177"/>
      <c r="L56" s="179">
        <v>45941</v>
      </c>
      <c r="M56" s="180">
        <v>46020</v>
      </c>
      <c r="N56" s="181">
        <v>9.1352799999999998E-2</v>
      </c>
      <c r="O56" s="181" t="s">
        <v>147</v>
      </c>
      <c r="P56" s="83" t="s">
        <v>148</v>
      </c>
      <c r="Q56" s="177" t="s">
        <v>149</v>
      </c>
      <c r="R56" s="83"/>
    </row>
    <row r="57" spans="1:18">
      <c r="A57" s="177">
        <v>80889185</v>
      </c>
      <c r="B57" s="177" t="s">
        <v>158</v>
      </c>
      <c r="C57" s="178" t="s">
        <v>154</v>
      </c>
      <c r="D57" s="177" t="s">
        <v>144</v>
      </c>
      <c r="E57" s="176" t="s">
        <v>145</v>
      </c>
      <c r="F57" s="179">
        <v>46046</v>
      </c>
      <c r="G57" s="177">
        <v>75</v>
      </c>
      <c r="H57" s="179">
        <v>45940</v>
      </c>
      <c r="I57" s="179" t="s">
        <v>146</v>
      </c>
      <c r="J57" s="83">
        <v>3466249429</v>
      </c>
      <c r="K57" s="177"/>
      <c r="L57" s="179">
        <v>45941</v>
      </c>
      <c r="M57" s="180">
        <v>46020</v>
      </c>
      <c r="N57" s="181">
        <v>0.1223475</v>
      </c>
      <c r="O57" s="181" t="s">
        <v>147</v>
      </c>
      <c r="P57" s="83" t="s">
        <v>148</v>
      </c>
      <c r="Q57" s="177" t="s">
        <v>149</v>
      </c>
      <c r="R57" s="83"/>
    </row>
    <row r="58" spans="1:18">
      <c r="A58" s="177">
        <v>80889185</v>
      </c>
      <c r="B58" s="177" t="s">
        <v>158</v>
      </c>
      <c r="C58" s="178" t="s">
        <v>155</v>
      </c>
      <c r="D58" s="177" t="s">
        <v>144</v>
      </c>
      <c r="E58" s="176" t="s">
        <v>145</v>
      </c>
      <c r="F58" s="179">
        <v>46046</v>
      </c>
      <c r="G58" s="177">
        <v>441</v>
      </c>
      <c r="H58" s="179">
        <v>45940</v>
      </c>
      <c r="I58" s="179" t="s">
        <v>146</v>
      </c>
      <c r="J58" s="83">
        <v>3466249430</v>
      </c>
      <c r="K58" s="177"/>
      <c r="L58" s="179">
        <v>45941</v>
      </c>
      <c r="M58" s="180">
        <v>46020</v>
      </c>
      <c r="N58" s="181">
        <v>0.71940329999999997</v>
      </c>
      <c r="O58" s="181" t="s">
        <v>147</v>
      </c>
      <c r="P58" s="83" t="s">
        <v>148</v>
      </c>
      <c r="Q58" s="177" t="s">
        <v>149</v>
      </c>
      <c r="R58" s="83"/>
    </row>
    <row r="59" spans="1:18">
      <c r="A59" s="176">
        <v>80883601</v>
      </c>
      <c r="B59" s="177" t="s">
        <v>159</v>
      </c>
      <c r="C59" s="178" t="s">
        <v>150</v>
      </c>
      <c r="D59" s="176" t="s">
        <v>160</v>
      </c>
      <c r="E59" s="176" t="s">
        <v>145</v>
      </c>
      <c r="F59" s="179">
        <v>45996</v>
      </c>
      <c r="G59" s="177">
        <v>2184</v>
      </c>
      <c r="H59" s="179">
        <v>45953</v>
      </c>
      <c r="I59" s="182" t="s">
        <v>161</v>
      </c>
      <c r="J59" s="83">
        <v>3474596534</v>
      </c>
      <c r="K59" s="183" t="s">
        <v>162</v>
      </c>
      <c r="L59" s="179">
        <v>45953</v>
      </c>
      <c r="M59" s="180">
        <v>45978</v>
      </c>
      <c r="N59" s="181">
        <v>5.9380775999999997</v>
      </c>
      <c r="O59" s="181" t="s">
        <v>147</v>
      </c>
      <c r="P59" s="83" t="s">
        <v>148</v>
      </c>
      <c r="Q59" s="177" t="s">
        <v>149</v>
      </c>
      <c r="R59" s="83"/>
    </row>
    <row r="60" spans="1:18">
      <c r="A60" s="176">
        <v>80883601</v>
      </c>
      <c r="B60" s="177" t="s">
        <v>159</v>
      </c>
      <c r="C60" s="178" t="s">
        <v>151</v>
      </c>
      <c r="D60" s="176" t="s">
        <v>160</v>
      </c>
      <c r="E60" s="176" t="s">
        <v>145</v>
      </c>
      <c r="F60" s="179">
        <v>45996</v>
      </c>
      <c r="G60" s="177">
        <v>3598</v>
      </c>
      <c r="H60" s="179">
        <v>45953</v>
      </c>
      <c r="I60" s="182" t="s">
        <v>161</v>
      </c>
      <c r="J60" s="83">
        <v>3474596535</v>
      </c>
      <c r="K60" s="183" t="s">
        <v>162</v>
      </c>
      <c r="L60" s="179">
        <v>45953</v>
      </c>
      <c r="M60" s="180">
        <v>45978</v>
      </c>
      <c r="N60" s="181">
        <v>9.7826021999999995</v>
      </c>
      <c r="O60" s="181" t="s">
        <v>147</v>
      </c>
      <c r="P60" s="83" t="s">
        <v>148</v>
      </c>
      <c r="Q60" s="177" t="s">
        <v>149</v>
      </c>
      <c r="R60" s="83"/>
    </row>
    <row r="61" spans="1:18">
      <c r="A61" s="176">
        <v>80883601</v>
      </c>
      <c r="B61" s="177" t="s">
        <v>159</v>
      </c>
      <c r="C61" s="178" t="s">
        <v>155</v>
      </c>
      <c r="D61" s="176" t="s">
        <v>160</v>
      </c>
      <c r="E61" s="176" t="s">
        <v>145</v>
      </c>
      <c r="F61" s="179">
        <v>45996</v>
      </c>
      <c r="G61" s="177">
        <v>4901</v>
      </c>
      <c r="H61" s="179">
        <v>45953</v>
      </c>
      <c r="I61" s="182" t="s">
        <v>161</v>
      </c>
      <c r="J61" s="83">
        <v>3474596536</v>
      </c>
      <c r="K61" s="183" t="s">
        <v>162</v>
      </c>
      <c r="L61" s="179">
        <v>45953</v>
      </c>
      <c r="M61" s="180">
        <v>45978</v>
      </c>
      <c r="N61" s="181">
        <v>13.325328900000001</v>
      </c>
      <c r="O61" s="181" t="s">
        <v>147</v>
      </c>
      <c r="P61" s="83" t="s">
        <v>148</v>
      </c>
      <c r="Q61" s="177" t="s">
        <v>149</v>
      </c>
      <c r="R61" s="83"/>
    </row>
    <row r="62" spans="1:18">
      <c r="A62" s="176">
        <v>80883593</v>
      </c>
      <c r="B62" s="177" t="s">
        <v>163</v>
      </c>
      <c r="C62" s="178" t="s">
        <v>150</v>
      </c>
      <c r="D62" s="176" t="s">
        <v>160</v>
      </c>
      <c r="E62" s="176" t="s">
        <v>145</v>
      </c>
      <c r="F62" s="179">
        <v>45996</v>
      </c>
      <c r="G62" s="177">
        <v>1179</v>
      </c>
      <c r="H62" s="179">
        <v>45953</v>
      </c>
      <c r="I62" s="182" t="s">
        <v>161</v>
      </c>
      <c r="J62" s="83">
        <v>3474596537</v>
      </c>
      <c r="K62" s="183" t="s">
        <v>162</v>
      </c>
      <c r="L62" s="179">
        <v>45953</v>
      </c>
      <c r="M62" s="180">
        <v>45978</v>
      </c>
      <c r="N62" s="181">
        <v>3.2055831000000001</v>
      </c>
      <c r="O62" s="181" t="s">
        <v>147</v>
      </c>
      <c r="P62" s="83" t="s">
        <v>148</v>
      </c>
      <c r="Q62" s="177" t="s">
        <v>149</v>
      </c>
      <c r="R62" s="83"/>
    </row>
    <row r="63" spans="1:18">
      <c r="A63" s="176">
        <v>80883593</v>
      </c>
      <c r="B63" s="177" t="s">
        <v>163</v>
      </c>
      <c r="C63" s="178" t="s">
        <v>151</v>
      </c>
      <c r="D63" s="176" t="s">
        <v>160</v>
      </c>
      <c r="E63" s="176" t="s">
        <v>145</v>
      </c>
      <c r="F63" s="179">
        <v>45996</v>
      </c>
      <c r="G63" s="177">
        <v>2723</v>
      </c>
      <c r="H63" s="179">
        <v>45953</v>
      </c>
      <c r="I63" s="182" t="s">
        <v>161</v>
      </c>
      <c r="J63" s="83">
        <v>3474596798</v>
      </c>
      <c r="K63" s="183" t="s">
        <v>162</v>
      </c>
      <c r="L63" s="179">
        <v>45953</v>
      </c>
      <c r="M63" s="180">
        <v>45978</v>
      </c>
      <c r="N63" s="181">
        <v>7.4035647000000004</v>
      </c>
      <c r="O63" s="181" t="s">
        <v>147</v>
      </c>
      <c r="P63" s="83" t="s">
        <v>148</v>
      </c>
      <c r="Q63" s="177" t="s">
        <v>149</v>
      </c>
      <c r="R63" s="83"/>
    </row>
    <row r="64" spans="1:18">
      <c r="A64" s="176">
        <v>80883593</v>
      </c>
      <c r="B64" s="177" t="s">
        <v>163</v>
      </c>
      <c r="C64" s="178" t="s">
        <v>155</v>
      </c>
      <c r="D64" s="176" t="s">
        <v>160</v>
      </c>
      <c r="E64" s="176" t="s">
        <v>145</v>
      </c>
      <c r="F64" s="179">
        <v>45996</v>
      </c>
      <c r="G64" s="177">
        <v>3530</v>
      </c>
      <c r="H64" s="179">
        <v>45953</v>
      </c>
      <c r="I64" s="182" t="s">
        <v>161</v>
      </c>
      <c r="J64" s="83">
        <v>3474596799</v>
      </c>
      <c r="K64" s="183" t="s">
        <v>162</v>
      </c>
      <c r="L64" s="179">
        <v>45953</v>
      </c>
      <c r="M64" s="180">
        <v>45978</v>
      </c>
      <c r="N64" s="181">
        <v>9.5977169999999994</v>
      </c>
      <c r="O64" s="181" t="s">
        <v>147</v>
      </c>
      <c r="P64" s="83" t="s">
        <v>148</v>
      </c>
      <c r="Q64" s="177" t="s">
        <v>149</v>
      </c>
      <c r="R64" s="83"/>
    </row>
    <row r="65" spans="1:18">
      <c r="A65" s="176">
        <v>80883600</v>
      </c>
      <c r="B65" s="177" t="s">
        <v>164</v>
      </c>
      <c r="C65" s="178" t="s">
        <v>150</v>
      </c>
      <c r="D65" s="176" t="s">
        <v>160</v>
      </c>
      <c r="E65" s="176" t="s">
        <v>145</v>
      </c>
      <c r="F65" s="179">
        <v>45996</v>
      </c>
      <c r="G65" s="177">
        <v>1326</v>
      </c>
      <c r="H65" s="179">
        <v>45953</v>
      </c>
      <c r="I65" s="182" t="s">
        <v>161</v>
      </c>
      <c r="J65" s="83">
        <v>3474596800</v>
      </c>
      <c r="K65" s="183" t="s">
        <v>162</v>
      </c>
      <c r="L65" s="179">
        <v>45953</v>
      </c>
      <c r="M65" s="180">
        <v>45978</v>
      </c>
      <c r="N65" s="181">
        <v>3.0043182000000002</v>
      </c>
      <c r="O65" s="181" t="s">
        <v>147</v>
      </c>
      <c r="P65" s="83" t="s">
        <v>148</v>
      </c>
      <c r="Q65" s="177" t="s">
        <v>149</v>
      </c>
      <c r="R65" s="83"/>
    </row>
    <row r="66" spans="1:18">
      <c r="A66" s="176">
        <v>80883600</v>
      </c>
      <c r="B66" s="177" t="s">
        <v>164</v>
      </c>
      <c r="C66" s="178" t="s">
        <v>151</v>
      </c>
      <c r="D66" s="176" t="s">
        <v>160</v>
      </c>
      <c r="E66" s="176" t="s">
        <v>145</v>
      </c>
      <c r="F66" s="179">
        <v>45996</v>
      </c>
      <c r="G66" s="177">
        <v>2183</v>
      </c>
      <c r="H66" s="179">
        <v>45953</v>
      </c>
      <c r="I66" s="182" t="s">
        <v>161</v>
      </c>
      <c r="J66" s="83">
        <v>3474596801</v>
      </c>
      <c r="K66" s="183" t="s">
        <v>162</v>
      </c>
      <c r="L66" s="179">
        <v>45953</v>
      </c>
      <c r="M66" s="180">
        <v>45978</v>
      </c>
      <c r="N66" s="181">
        <v>4.9460230999999997</v>
      </c>
      <c r="O66" s="181" t="s">
        <v>147</v>
      </c>
      <c r="P66" s="83" t="s">
        <v>148</v>
      </c>
      <c r="Q66" s="177" t="s">
        <v>149</v>
      </c>
      <c r="R66" s="83"/>
    </row>
    <row r="67" spans="1:18">
      <c r="A67" s="176">
        <v>80883600</v>
      </c>
      <c r="B67" s="177" t="s">
        <v>164</v>
      </c>
      <c r="C67" s="178" t="s">
        <v>155</v>
      </c>
      <c r="D67" s="176" t="s">
        <v>160</v>
      </c>
      <c r="E67" s="176" t="s">
        <v>145</v>
      </c>
      <c r="F67" s="179">
        <v>45996</v>
      </c>
      <c r="G67" s="177">
        <v>2975</v>
      </c>
      <c r="H67" s="179">
        <v>45953</v>
      </c>
      <c r="I67" s="182" t="s">
        <v>161</v>
      </c>
      <c r="J67" s="83">
        <v>3474596802</v>
      </c>
      <c r="K67" s="183" t="s">
        <v>162</v>
      </c>
      <c r="L67" s="179">
        <v>45953</v>
      </c>
      <c r="M67" s="180">
        <v>45978</v>
      </c>
      <c r="N67" s="181">
        <v>6.7404574999999998</v>
      </c>
      <c r="O67" s="181" t="s">
        <v>147</v>
      </c>
      <c r="P67" s="83" t="s">
        <v>148</v>
      </c>
      <c r="Q67" s="177" t="s">
        <v>149</v>
      </c>
      <c r="R67" s="83"/>
    </row>
    <row r="68" spans="1:18">
      <c r="A68" s="176">
        <v>80883623</v>
      </c>
      <c r="B68" s="177" t="s">
        <v>165</v>
      </c>
      <c r="C68" s="178" t="s">
        <v>150</v>
      </c>
      <c r="D68" s="176" t="s">
        <v>160</v>
      </c>
      <c r="E68" s="176" t="s">
        <v>145</v>
      </c>
      <c r="F68" s="179">
        <v>45996</v>
      </c>
      <c r="G68" s="177">
        <v>935</v>
      </c>
      <c r="H68" s="179">
        <v>45953</v>
      </c>
      <c r="I68" s="182" t="s">
        <v>161</v>
      </c>
      <c r="J68" s="83">
        <v>3474596803</v>
      </c>
      <c r="K68" s="183" t="s">
        <v>162</v>
      </c>
      <c r="L68" s="179">
        <v>45953</v>
      </c>
      <c r="M68" s="180">
        <v>45978</v>
      </c>
      <c r="N68" s="181">
        <v>2.1184295</v>
      </c>
      <c r="O68" s="181" t="s">
        <v>147</v>
      </c>
      <c r="P68" s="83" t="s">
        <v>148</v>
      </c>
      <c r="Q68" s="177" t="s">
        <v>149</v>
      </c>
      <c r="R68" s="83"/>
    </row>
    <row r="69" spans="1:18">
      <c r="A69" s="176">
        <v>80883623</v>
      </c>
      <c r="B69" s="177" t="s">
        <v>165</v>
      </c>
      <c r="C69" s="178" t="s">
        <v>151</v>
      </c>
      <c r="D69" s="176" t="s">
        <v>160</v>
      </c>
      <c r="E69" s="176" t="s">
        <v>145</v>
      </c>
      <c r="F69" s="179">
        <v>45996</v>
      </c>
      <c r="G69" s="177">
        <v>2160</v>
      </c>
      <c r="H69" s="179">
        <v>45953</v>
      </c>
      <c r="I69" s="182" t="s">
        <v>161</v>
      </c>
      <c r="J69" s="83">
        <v>3474596804</v>
      </c>
      <c r="K69" s="183" t="s">
        <v>162</v>
      </c>
      <c r="L69" s="179">
        <v>45953</v>
      </c>
      <c r="M69" s="180">
        <v>45978</v>
      </c>
      <c r="N69" s="181">
        <v>4.8939120000000003</v>
      </c>
      <c r="O69" s="181" t="s">
        <v>147</v>
      </c>
      <c r="P69" s="83" t="s">
        <v>148</v>
      </c>
      <c r="Q69" s="177" t="s">
        <v>149</v>
      </c>
      <c r="R69" s="83"/>
    </row>
    <row r="70" spans="1:18">
      <c r="A70" s="176">
        <v>80883623</v>
      </c>
      <c r="B70" s="177" t="s">
        <v>165</v>
      </c>
      <c r="C70" s="178" t="s">
        <v>155</v>
      </c>
      <c r="D70" s="176" t="s">
        <v>160</v>
      </c>
      <c r="E70" s="176" t="s">
        <v>145</v>
      </c>
      <c r="F70" s="179">
        <v>45996</v>
      </c>
      <c r="G70" s="177">
        <v>2800</v>
      </c>
      <c r="H70" s="179">
        <v>45953</v>
      </c>
      <c r="I70" s="182" t="s">
        <v>161</v>
      </c>
      <c r="J70" s="83">
        <v>3474596805</v>
      </c>
      <c r="K70" s="183" t="s">
        <v>162</v>
      </c>
      <c r="L70" s="179">
        <v>45953</v>
      </c>
      <c r="M70" s="180">
        <v>45978</v>
      </c>
      <c r="N70" s="181">
        <v>6.34396</v>
      </c>
      <c r="O70" s="181" t="s">
        <v>147</v>
      </c>
      <c r="P70" s="83" t="s">
        <v>148</v>
      </c>
      <c r="Q70" s="177" t="s">
        <v>149</v>
      </c>
      <c r="R70" s="83"/>
    </row>
    <row r="71" spans="1:18">
      <c r="A71" s="176">
        <v>80703933</v>
      </c>
      <c r="B71" s="176" t="s">
        <v>166</v>
      </c>
      <c r="C71" s="184" t="s">
        <v>143</v>
      </c>
      <c r="D71" s="176" t="s">
        <v>167</v>
      </c>
      <c r="E71" s="176" t="s">
        <v>168</v>
      </c>
      <c r="F71" s="179">
        <v>45969</v>
      </c>
      <c r="G71" s="176">
        <v>772</v>
      </c>
      <c r="H71" s="179">
        <v>45959</v>
      </c>
      <c r="I71" s="185" t="s">
        <v>169</v>
      </c>
      <c r="J71" s="83">
        <v>3479932178</v>
      </c>
      <c r="K71" s="179"/>
      <c r="L71" s="179">
        <v>45961</v>
      </c>
      <c r="M71" s="180">
        <v>45971</v>
      </c>
      <c r="N71" s="181">
        <v>1.5742624000000001</v>
      </c>
      <c r="O71" s="181" t="s">
        <v>170</v>
      </c>
      <c r="P71" s="180" t="s">
        <v>148</v>
      </c>
      <c r="Q71" s="177" t="s">
        <v>149</v>
      </c>
      <c r="R71" s="83"/>
    </row>
    <row r="72" spans="1:18">
      <c r="A72" s="176">
        <v>80703933</v>
      </c>
      <c r="B72" s="176" t="s">
        <v>166</v>
      </c>
      <c r="C72" s="184" t="s">
        <v>150</v>
      </c>
      <c r="D72" s="176" t="s">
        <v>167</v>
      </c>
      <c r="E72" s="176" t="s">
        <v>168</v>
      </c>
      <c r="F72" s="179">
        <v>45969</v>
      </c>
      <c r="G72" s="176">
        <v>972</v>
      </c>
      <c r="H72" s="179">
        <v>45959</v>
      </c>
      <c r="I72" s="185" t="s">
        <v>169</v>
      </c>
      <c r="J72" s="83">
        <v>3479932180</v>
      </c>
      <c r="K72" s="179"/>
      <c r="L72" s="179">
        <v>45961</v>
      </c>
      <c r="M72" s="180">
        <v>45971</v>
      </c>
      <c r="N72" s="181">
        <v>1.9821024</v>
      </c>
      <c r="O72" s="181" t="s">
        <v>170</v>
      </c>
      <c r="P72" s="180" t="s">
        <v>148</v>
      </c>
      <c r="Q72" s="177" t="s">
        <v>149</v>
      </c>
      <c r="R72" s="83"/>
    </row>
    <row r="73" spans="1:18">
      <c r="A73" s="176">
        <v>80703933</v>
      </c>
      <c r="B73" s="177" t="s">
        <v>166</v>
      </c>
      <c r="C73" s="178" t="s">
        <v>151</v>
      </c>
      <c r="D73" s="176" t="s">
        <v>167</v>
      </c>
      <c r="E73" s="176" t="s">
        <v>168</v>
      </c>
      <c r="F73" s="179">
        <v>45969</v>
      </c>
      <c r="G73" s="177">
        <v>1609</v>
      </c>
      <c r="H73" s="179">
        <v>45959</v>
      </c>
      <c r="I73" s="182" t="s">
        <v>169</v>
      </c>
      <c r="J73" s="83">
        <v>3479932181</v>
      </c>
      <c r="K73" s="179"/>
      <c r="L73" s="179">
        <v>45961</v>
      </c>
      <c r="M73" s="180">
        <v>45971</v>
      </c>
      <c r="N73" s="181">
        <v>3.2810728</v>
      </c>
      <c r="O73" s="181" t="s">
        <v>170</v>
      </c>
      <c r="P73" s="180" t="s">
        <v>148</v>
      </c>
      <c r="Q73" s="177" t="s">
        <v>149</v>
      </c>
      <c r="R73" s="83"/>
    </row>
    <row r="74" spans="1:18">
      <c r="A74" s="176">
        <v>80703933</v>
      </c>
      <c r="B74" s="177" t="s">
        <v>166</v>
      </c>
      <c r="C74" s="178" t="s">
        <v>152</v>
      </c>
      <c r="D74" s="176" t="s">
        <v>167</v>
      </c>
      <c r="E74" s="176" t="s">
        <v>168</v>
      </c>
      <c r="F74" s="179">
        <v>45969</v>
      </c>
      <c r="G74" s="177">
        <v>342</v>
      </c>
      <c r="H74" s="179">
        <v>45959</v>
      </c>
      <c r="I74" s="182" t="s">
        <v>169</v>
      </c>
      <c r="J74" s="83">
        <v>3479932182</v>
      </c>
      <c r="K74" s="179"/>
      <c r="L74" s="179">
        <v>45961</v>
      </c>
      <c r="M74" s="180">
        <v>45971</v>
      </c>
      <c r="N74" s="181">
        <v>0.69740639999999998</v>
      </c>
      <c r="O74" s="181" t="s">
        <v>170</v>
      </c>
      <c r="P74" s="180" t="s">
        <v>148</v>
      </c>
      <c r="Q74" s="177" t="s">
        <v>149</v>
      </c>
      <c r="R74" s="83"/>
    </row>
    <row r="75" spans="1:18">
      <c r="A75" s="176">
        <v>80703933</v>
      </c>
      <c r="B75" s="177" t="s">
        <v>166</v>
      </c>
      <c r="C75" s="178" t="s">
        <v>155</v>
      </c>
      <c r="D75" s="176" t="s">
        <v>167</v>
      </c>
      <c r="E75" s="176" t="s">
        <v>168</v>
      </c>
      <c r="F75" s="179">
        <v>45969</v>
      </c>
      <c r="G75" s="177">
        <v>830</v>
      </c>
      <c r="H75" s="179">
        <v>45959</v>
      </c>
      <c r="I75" s="179" t="s">
        <v>169</v>
      </c>
      <c r="J75" s="83">
        <v>3479932183</v>
      </c>
      <c r="K75" s="179"/>
      <c r="L75" s="179">
        <v>45961</v>
      </c>
      <c r="M75" s="180">
        <v>45971</v>
      </c>
      <c r="N75" s="181">
        <v>1.692536</v>
      </c>
      <c r="O75" s="181" t="s">
        <v>170</v>
      </c>
      <c r="P75" s="180" t="s">
        <v>148</v>
      </c>
      <c r="Q75" s="177" t="s">
        <v>149</v>
      </c>
      <c r="R75" s="83"/>
    </row>
    <row r="76" spans="1:18">
      <c r="A76" s="176">
        <v>80703933</v>
      </c>
      <c r="B76" s="177" t="s">
        <v>166</v>
      </c>
      <c r="C76" s="178" t="s">
        <v>153</v>
      </c>
      <c r="D76" s="176" t="s">
        <v>167</v>
      </c>
      <c r="E76" s="176" t="s">
        <v>168</v>
      </c>
      <c r="F76" s="179">
        <v>45969</v>
      </c>
      <c r="G76" s="177">
        <v>329</v>
      </c>
      <c r="H76" s="179">
        <v>45959</v>
      </c>
      <c r="I76" s="179" t="s">
        <v>169</v>
      </c>
      <c r="J76" s="83">
        <v>3479932184</v>
      </c>
      <c r="K76" s="179"/>
      <c r="L76" s="179">
        <v>45961</v>
      </c>
      <c r="M76" s="180">
        <v>45971</v>
      </c>
      <c r="N76" s="181">
        <v>0.67089679999999996</v>
      </c>
      <c r="O76" s="181" t="s">
        <v>170</v>
      </c>
      <c r="P76" s="180" t="s">
        <v>148</v>
      </c>
      <c r="Q76" s="177" t="s">
        <v>149</v>
      </c>
      <c r="R76" s="83"/>
    </row>
    <row r="77" spans="1:18">
      <c r="A77" s="176">
        <v>80703933</v>
      </c>
      <c r="B77" s="177" t="s">
        <v>166</v>
      </c>
      <c r="C77" s="178" t="s">
        <v>154</v>
      </c>
      <c r="D77" s="176" t="s">
        <v>167</v>
      </c>
      <c r="E77" s="176" t="s">
        <v>168</v>
      </c>
      <c r="F77" s="179">
        <v>45969</v>
      </c>
      <c r="G77" s="177">
        <v>201</v>
      </c>
      <c r="H77" s="179">
        <v>45959</v>
      </c>
      <c r="I77" s="179" t="s">
        <v>169</v>
      </c>
      <c r="J77" s="83">
        <v>3479932185</v>
      </c>
      <c r="K77" s="179"/>
      <c r="L77" s="179">
        <v>45961</v>
      </c>
      <c r="M77" s="180">
        <v>45971</v>
      </c>
      <c r="N77" s="181">
        <v>0.4098792</v>
      </c>
      <c r="O77" s="181" t="s">
        <v>170</v>
      </c>
      <c r="P77" s="180" t="s">
        <v>148</v>
      </c>
      <c r="Q77" s="177" t="s">
        <v>149</v>
      </c>
      <c r="R77" s="83"/>
    </row>
    <row r="78" spans="1:18">
      <c r="A78" s="176">
        <v>80879045</v>
      </c>
      <c r="B78" s="177" t="s">
        <v>171</v>
      </c>
      <c r="C78" s="178" t="s">
        <v>143</v>
      </c>
      <c r="D78" s="176" t="s">
        <v>167</v>
      </c>
      <c r="E78" s="176" t="s">
        <v>168</v>
      </c>
      <c r="F78" s="179">
        <v>45969</v>
      </c>
      <c r="G78" s="177">
        <v>115</v>
      </c>
      <c r="H78" s="179">
        <v>45959</v>
      </c>
      <c r="I78" s="179" t="s">
        <v>169</v>
      </c>
      <c r="J78" s="83">
        <v>3479932186</v>
      </c>
      <c r="K78" s="179"/>
      <c r="L78" s="179">
        <v>45961</v>
      </c>
      <c r="M78" s="180">
        <v>45971</v>
      </c>
      <c r="N78" s="181">
        <v>0.29703350000000001</v>
      </c>
      <c r="O78" s="181" t="s">
        <v>170</v>
      </c>
      <c r="P78" s="180" t="s">
        <v>148</v>
      </c>
      <c r="Q78" s="177" t="s">
        <v>149</v>
      </c>
      <c r="R78" s="83"/>
    </row>
    <row r="79" spans="1:18">
      <c r="A79" s="176">
        <v>80879045</v>
      </c>
      <c r="B79" s="177" t="s">
        <v>171</v>
      </c>
      <c r="C79" s="178" t="s">
        <v>150</v>
      </c>
      <c r="D79" s="176" t="s">
        <v>167</v>
      </c>
      <c r="E79" s="176" t="s">
        <v>168</v>
      </c>
      <c r="F79" s="179">
        <v>45969</v>
      </c>
      <c r="G79" s="177">
        <v>164</v>
      </c>
      <c r="H79" s="179">
        <v>45959</v>
      </c>
      <c r="I79" s="179" t="s">
        <v>169</v>
      </c>
      <c r="J79" s="83">
        <v>3479932188</v>
      </c>
      <c r="K79" s="179"/>
      <c r="L79" s="179">
        <v>45961</v>
      </c>
      <c r="M79" s="180">
        <v>45971</v>
      </c>
      <c r="N79" s="181">
        <v>0.42359560000000002</v>
      </c>
      <c r="O79" s="181" t="s">
        <v>170</v>
      </c>
      <c r="P79" s="180" t="s">
        <v>148</v>
      </c>
      <c r="Q79" s="177" t="s">
        <v>149</v>
      </c>
      <c r="R79" s="83"/>
    </row>
    <row r="80" spans="1:18">
      <c r="A80" s="176">
        <v>80879045</v>
      </c>
      <c r="B80" s="177" t="s">
        <v>171</v>
      </c>
      <c r="C80" s="178" t="s">
        <v>151</v>
      </c>
      <c r="D80" s="176" t="s">
        <v>167</v>
      </c>
      <c r="E80" s="176" t="s">
        <v>168</v>
      </c>
      <c r="F80" s="179">
        <v>45969</v>
      </c>
      <c r="G80" s="177">
        <v>255</v>
      </c>
      <c r="H80" s="179">
        <v>45959</v>
      </c>
      <c r="I80" s="179" t="s">
        <v>169</v>
      </c>
      <c r="J80" s="83">
        <v>3479932189</v>
      </c>
      <c r="K80" s="179"/>
      <c r="L80" s="179">
        <v>45961</v>
      </c>
      <c r="M80" s="180">
        <v>45971</v>
      </c>
      <c r="N80" s="181">
        <v>0.65863950000000004</v>
      </c>
      <c r="O80" s="181" t="s">
        <v>170</v>
      </c>
      <c r="P80" s="180" t="s">
        <v>148</v>
      </c>
      <c r="Q80" s="177" t="s">
        <v>149</v>
      </c>
      <c r="R80" s="83"/>
    </row>
    <row r="81" spans="1:18">
      <c r="A81" s="176">
        <v>80879045</v>
      </c>
      <c r="B81" s="177" t="s">
        <v>171</v>
      </c>
      <c r="C81" s="178" t="s">
        <v>152</v>
      </c>
      <c r="D81" s="176" t="s">
        <v>167</v>
      </c>
      <c r="E81" s="176" t="s">
        <v>168</v>
      </c>
      <c r="F81" s="179">
        <v>45969</v>
      </c>
      <c r="G81" s="177">
        <v>72</v>
      </c>
      <c r="H81" s="179">
        <v>45959</v>
      </c>
      <c r="I81" s="179" t="s">
        <v>169</v>
      </c>
      <c r="J81" s="83">
        <v>3479932244</v>
      </c>
      <c r="K81" s="179"/>
      <c r="L81" s="179">
        <v>45961</v>
      </c>
      <c r="M81" s="180">
        <v>45971</v>
      </c>
      <c r="N81" s="181">
        <v>0.18596879999999999</v>
      </c>
      <c r="O81" s="181" t="s">
        <v>170</v>
      </c>
      <c r="P81" s="180" t="s">
        <v>148</v>
      </c>
      <c r="Q81" s="177" t="s">
        <v>149</v>
      </c>
      <c r="R81" s="83"/>
    </row>
    <row r="82" spans="1:18">
      <c r="A82" s="176">
        <v>80879045</v>
      </c>
      <c r="B82" s="177" t="s">
        <v>171</v>
      </c>
      <c r="C82" s="178" t="s">
        <v>155</v>
      </c>
      <c r="D82" s="176" t="s">
        <v>167</v>
      </c>
      <c r="E82" s="176" t="s">
        <v>168</v>
      </c>
      <c r="F82" s="179">
        <v>45969</v>
      </c>
      <c r="G82" s="177">
        <v>142</v>
      </c>
      <c r="H82" s="179">
        <v>45959</v>
      </c>
      <c r="I82" s="179" t="s">
        <v>169</v>
      </c>
      <c r="J82" s="83">
        <v>3479932245</v>
      </c>
      <c r="K82" s="179"/>
      <c r="L82" s="179">
        <v>45961</v>
      </c>
      <c r="M82" s="180">
        <v>45971</v>
      </c>
      <c r="N82" s="181">
        <v>0.36677179999999998</v>
      </c>
      <c r="O82" s="181" t="s">
        <v>170</v>
      </c>
      <c r="P82" s="180" t="s">
        <v>148</v>
      </c>
      <c r="Q82" s="177" t="s">
        <v>149</v>
      </c>
      <c r="R82" s="83"/>
    </row>
    <row r="83" spans="1:18">
      <c r="A83" s="176">
        <v>80879045</v>
      </c>
      <c r="B83" s="177" t="s">
        <v>171</v>
      </c>
      <c r="C83" s="178" t="s">
        <v>153</v>
      </c>
      <c r="D83" s="176" t="s">
        <v>167</v>
      </c>
      <c r="E83" s="176" t="s">
        <v>168</v>
      </c>
      <c r="F83" s="179">
        <v>45969</v>
      </c>
      <c r="G83" s="177">
        <v>54</v>
      </c>
      <c r="H83" s="179">
        <v>45959</v>
      </c>
      <c r="I83" s="179" t="s">
        <v>169</v>
      </c>
      <c r="J83" s="83">
        <v>3479932246</v>
      </c>
      <c r="K83" s="179"/>
      <c r="L83" s="179">
        <v>45961</v>
      </c>
      <c r="M83" s="180">
        <v>45971</v>
      </c>
      <c r="N83" s="181">
        <v>0.13947660000000001</v>
      </c>
      <c r="O83" s="181" t="s">
        <v>170</v>
      </c>
      <c r="P83" s="83" t="s">
        <v>148</v>
      </c>
      <c r="Q83" s="177" t="s">
        <v>149</v>
      </c>
      <c r="R83" s="83"/>
    </row>
    <row r="84" spans="1:18">
      <c r="A84" s="176">
        <v>80879045</v>
      </c>
      <c r="B84" s="177" t="s">
        <v>171</v>
      </c>
      <c r="C84" s="178" t="s">
        <v>154</v>
      </c>
      <c r="D84" s="176" t="s">
        <v>167</v>
      </c>
      <c r="E84" s="176" t="s">
        <v>168</v>
      </c>
      <c r="F84" s="179">
        <v>45969</v>
      </c>
      <c r="G84" s="177">
        <v>44</v>
      </c>
      <c r="H84" s="179">
        <v>45959</v>
      </c>
      <c r="I84" s="179" t="s">
        <v>169</v>
      </c>
      <c r="J84" s="83">
        <v>3479932263</v>
      </c>
      <c r="K84" s="179"/>
      <c r="L84" s="179">
        <v>45961</v>
      </c>
      <c r="M84" s="180">
        <v>45971</v>
      </c>
      <c r="N84" s="181">
        <v>0.1136476</v>
      </c>
      <c r="O84" s="181" t="s">
        <v>170</v>
      </c>
      <c r="P84" s="83" t="s">
        <v>148</v>
      </c>
      <c r="Q84" s="177" t="s">
        <v>149</v>
      </c>
      <c r="R84" s="83"/>
    </row>
    <row r="85" spans="1:18">
      <c r="A85" s="177">
        <v>80889182</v>
      </c>
      <c r="B85" s="177" t="s">
        <v>142</v>
      </c>
      <c r="C85" s="178" t="s">
        <v>143</v>
      </c>
      <c r="D85" s="177" t="s">
        <v>144</v>
      </c>
      <c r="E85" s="177" t="s">
        <v>172</v>
      </c>
      <c r="F85" s="179">
        <v>45992</v>
      </c>
      <c r="G85" s="177">
        <v>196</v>
      </c>
      <c r="H85" s="179">
        <v>45964</v>
      </c>
      <c r="I85" s="179" t="s">
        <v>146</v>
      </c>
      <c r="J85" s="83">
        <v>3481906001</v>
      </c>
      <c r="K85" s="179"/>
      <c r="L85" s="179">
        <v>45964</v>
      </c>
      <c r="M85" s="180">
        <v>45982</v>
      </c>
      <c r="N85" s="181">
        <v>0.59507560000000004</v>
      </c>
      <c r="O85" s="181" t="s">
        <v>170</v>
      </c>
      <c r="P85" s="83" t="s">
        <v>148</v>
      </c>
      <c r="Q85" s="177" t="s">
        <v>149</v>
      </c>
      <c r="R85" s="83"/>
    </row>
    <row r="86" spans="1:18">
      <c r="A86" s="177">
        <v>80889182</v>
      </c>
      <c r="B86" s="177" t="s">
        <v>142</v>
      </c>
      <c r="C86" s="178" t="s">
        <v>150</v>
      </c>
      <c r="D86" s="177" t="s">
        <v>144</v>
      </c>
      <c r="E86" s="177" t="s">
        <v>172</v>
      </c>
      <c r="F86" s="179">
        <v>45992</v>
      </c>
      <c r="G86" s="177">
        <v>722</v>
      </c>
      <c r="H86" s="179">
        <v>45964</v>
      </c>
      <c r="I86" s="179" t="s">
        <v>146</v>
      </c>
      <c r="J86" s="83">
        <v>3481906002</v>
      </c>
      <c r="K86" s="179"/>
      <c r="L86" s="179">
        <v>45964</v>
      </c>
      <c r="M86" s="180">
        <v>45982</v>
      </c>
      <c r="N86" s="181">
        <v>2.1920641999999999</v>
      </c>
      <c r="O86" s="181" t="s">
        <v>170</v>
      </c>
      <c r="P86" s="83" t="s">
        <v>148</v>
      </c>
      <c r="Q86" s="177" t="s">
        <v>149</v>
      </c>
      <c r="R86" s="83"/>
    </row>
    <row r="87" spans="1:18">
      <c r="A87" s="177">
        <v>80889182</v>
      </c>
      <c r="B87" s="177" t="s">
        <v>142</v>
      </c>
      <c r="C87" s="178" t="s">
        <v>151</v>
      </c>
      <c r="D87" s="177" t="s">
        <v>144</v>
      </c>
      <c r="E87" s="177" t="s">
        <v>172</v>
      </c>
      <c r="F87" s="179">
        <v>45992</v>
      </c>
      <c r="G87" s="177">
        <v>989</v>
      </c>
      <c r="H87" s="179">
        <v>45964</v>
      </c>
      <c r="I87" s="179" t="s">
        <v>146</v>
      </c>
      <c r="J87" s="83">
        <v>3481906003</v>
      </c>
      <c r="K87" s="179"/>
      <c r="L87" s="179">
        <v>45964</v>
      </c>
      <c r="M87" s="180">
        <v>45982</v>
      </c>
      <c r="N87" s="181">
        <v>3.0027029000000001</v>
      </c>
      <c r="O87" s="181" t="s">
        <v>170</v>
      </c>
      <c r="P87" s="83" t="s">
        <v>148</v>
      </c>
      <c r="Q87" s="177" t="s">
        <v>149</v>
      </c>
      <c r="R87" s="83"/>
    </row>
    <row r="88" spans="1:18">
      <c r="A88" s="177">
        <v>80889182</v>
      </c>
      <c r="B88" s="177" t="s">
        <v>142</v>
      </c>
      <c r="C88" s="178" t="s">
        <v>152</v>
      </c>
      <c r="D88" s="177" t="s">
        <v>144</v>
      </c>
      <c r="E88" s="177" t="s">
        <v>172</v>
      </c>
      <c r="F88" s="179">
        <v>45992</v>
      </c>
      <c r="G88" s="177">
        <v>364</v>
      </c>
      <c r="H88" s="179">
        <v>45964</v>
      </c>
      <c r="I88" s="179" t="s">
        <v>146</v>
      </c>
      <c r="J88" s="83">
        <v>3481906004</v>
      </c>
      <c r="K88" s="179"/>
      <c r="L88" s="179">
        <v>45964</v>
      </c>
      <c r="M88" s="180">
        <v>45982</v>
      </c>
      <c r="N88" s="181">
        <v>1.1051404</v>
      </c>
      <c r="O88" s="181" t="s">
        <v>170</v>
      </c>
      <c r="P88" s="83" t="s">
        <v>148</v>
      </c>
      <c r="Q88" s="177" t="s">
        <v>149</v>
      </c>
      <c r="R88" s="83"/>
    </row>
    <row r="89" spans="1:18">
      <c r="A89" s="177">
        <v>80889182</v>
      </c>
      <c r="B89" s="177" t="s">
        <v>142</v>
      </c>
      <c r="C89" s="178" t="s">
        <v>153</v>
      </c>
      <c r="D89" s="177" t="s">
        <v>144</v>
      </c>
      <c r="E89" s="177" t="s">
        <v>172</v>
      </c>
      <c r="F89" s="179">
        <v>45992</v>
      </c>
      <c r="G89" s="177">
        <v>100</v>
      </c>
      <c r="H89" s="179">
        <v>45964</v>
      </c>
      <c r="I89" s="179" t="s">
        <v>146</v>
      </c>
      <c r="J89" s="83">
        <v>3481906005</v>
      </c>
      <c r="K89" s="179"/>
      <c r="L89" s="179">
        <v>45964</v>
      </c>
      <c r="M89" s="180">
        <v>45982</v>
      </c>
      <c r="N89" s="181">
        <v>0.30360999999999999</v>
      </c>
      <c r="O89" s="181" t="s">
        <v>170</v>
      </c>
      <c r="P89" s="83" t="s">
        <v>148</v>
      </c>
      <c r="Q89" s="177" t="s">
        <v>149</v>
      </c>
      <c r="R89" s="83"/>
    </row>
    <row r="90" spans="1:18">
      <c r="A90" s="177">
        <v>80889182</v>
      </c>
      <c r="B90" s="177" t="s">
        <v>142</v>
      </c>
      <c r="C90" s="178" t="s">
        <v>154</v>
      </c>
      <c r="D90" s="177" t="s">
        <v>144</v>
      </c>
      <c r="E90" s="177" t="s">
        <v>172</v>
      </c>
      <c r="F90" s="179">
        <v>45992</v>
      </c>
      <c r="G90" s="177">
        <v>133</v>
      </c>
      <c r="H90" s="179">
        <v>45964</v>
      </c>
      <c r="I90" s="179" t="s">
        <v>146</v>
      </c>
      <c r="J90" s="83">
        <v>3481906006</v>
      </c>
      <c r="K90" s="179"/>
      <c r="L90" s="179">
        <v>45964</v>
      </c>
      <c r="M90" s="180">
        <v>45982</v>
      </c>
      <c r="N90" s="181">
        <v>0.40380129999999997</v>
      </c>
      <c r="O90" s="181" t="s">
        <v>170</v>
      </c>
      <c r="P90" s="83" t="s">
        <v>148</v>
      </c>
      <c r="Q90" s="177" t="s">
        <v>149</v>
      </c>
      <c r="R90" s="83"/>
    </row>
    <row r="91" spans="1:18">
      <c r="A91" s="177">
        <v>80889182</v>
      </c>
      <c r="B91" s="177" t="s">
        <v>142</v>
      </c>
      <c r="C91" s="178" t="s">
        <v>155</v>
      </c>
      <c r="D91" s="177" t="s">
        <v>144</v>
      </c>
      <c r="E91" s="177" t="s">
        <v>172</v>
      </c>
      <c r="F91" s="179">
        <v>45992</v>
      </c>
      <c r="G91" s="177">
        <v>793</v>
      </c>
      <c r="H91" s="179">
        <v>45964</v>
      </c>
      <c r="I91" s="179" t="s">
        <v>146</v>
      </c>
      <c r="J91" s="83">
        <v>3481906007</v>
      </c>
      <c r="K91" s="179"/>
      <c r="L91" s="179">
        <v>45964</v>
      </c>
      <c r="M91" s="180">
        <v>45982</v>
      </c>
      <c r="N91" s="181">
        <v>2.4076273000000001</v>
      </c>
      <c r="O91" s="181" t="s">
        <v>170</v>
      </c>
      <c r="P91" s="83" t="s">
        <v>148</v>
      </c>
      <c r="Q91" s="177" t="s">
        <v>149</v>
      </c>
      <c r="R91" s="83"/>
    </row>
    <row r="92" spans="1:18">
      <c r="A92" s="177">
        <v>80889183</v>
      </c>
      <c r="B92" s="177" t="s">
        <v>156</v>
      </c>
      <c r="C92" s="178" t="s">
        <v>143</v>
      </c>
      <c r="D92" s="177" t="s">
        <v>144</v>
      </c>
      <c r="E92" s="177" t="s">
        <v>172</v>
      </c>
      <c r="F92" s="179">
        <v>45992</v>
      </c>
      <c r="G92" s="177">
        <v>276</v>
      </c>
      <c r="H92" s="179">
        <v>45964</v>
      </c>
      <c r="I92" s="179" t="s">
        <v>146</v>
      </c>
      <c r="J92" s="83">
        <v>3481906008</v>
      </c>
      <c r="K92" s="179"/>
      <c r="L92" s="179">
        <v>45964</v>
      </c>
      <c r="M92" s="180">
        <v>45982</v>
      </c>
      <c r="N92" s="181">
        <v>0.83796360000000003</v>
      </c>
      <c r="O92" s="181" t="s">
        <v>170</v>
      </c>
      <c r="P92" s="83" t="s">
        <v>148</v>
      </c>
      <c r="Q92" s="177" t="s">
        <v>149</v>
      </c>
      <c r="R92" s="83"/>
    </row>
    <row r="93" spans="1:18">
      <c r="A93" s="177">
        <v>80889183</v>
      </c>
      <c r="B93" s="177" t="s">
        <v>156</v>
      </c>
      <c r="C93" s="178" t="s">
        <v>150</v>
      </c>
      <c r="D93" s="177" t="s">
        <v>144</v>
      </c>
      <c r="E93" s="177" t="s">
        <v>172</v>
      </c>
      <c r="F93" s="179">
        <v>45992</v>
      </c>
      <c r="G93" s="177">
        <v>1016</v>
      </c>
      <c r="H93" s="179">
        <v>45964</v>
      </c>
      <c r="I93" s="179" t="s">
        <v>146</v>
      </c>
      <c r="J93" s="83">
        <v>3481906009</v>
      </c>
      <c r="K93" s="179"/>
      <c r="L93" s="179">
        <v>45964</v>
      </c>
      <c r="M93" s="180">
        <v>45982</v>
      </c>
      <c r="N93" s="181">
        <v>3.0846776</v>
      </c>
      <c r="O93" s="181" t="s">
        <v>170</v>
      </c>
      <c r="P93" s="83" t="s">
        <v>148</v>
      </c>
      <c r="Q93" s="177" t="s">
        <v>149</v>
      </c>
      <c r="R93" s="83"/>
    </row>
    <row r="94" spans="1:18">
      <c r="A94" s="177">
        <v>80889183</v>
      </c>
      <c r="B94" s="177" t="s">
        <v>156</v>
      </c>
      <c r="C94" s="178" t="s">
        <v>151</v>
      </c>
      <c r="D94" s="177" t="s">
        <v>144</v>
      </c>
      <c r="E94" s="177" t="s">
        <v>172</v>
      </c>
      <c r="F94" s="179">
        <v>45992</v>
      </c>
      <c r="G94" s="177">
        <v>1382</v>
      </c>
      <c r="H94" s="179">
        <v>45964</v>
      </c>
      <c r="I94" s="179" t="s">
        <v>146</v>
      </c>
      <c r="J94" s="83">
        <v>3481906010</v>
      </c>
      <c r="K94" s="179"/>
      <c r="L94" s="179">
        <v>45964</v>
      </c>
      <c r="M94" s="180">
        <v>45982</v>
      </c>
      <c r="N94" s="181">
        <v>4.1958902</v>
      </c>
      <c r="O94" s="181" t="s">
        <v>170</v>
      </c>
      <c r="P94" s="83" t="s">
        <v>148</v>
      </c>
      <c r="Q94" s="177" t="s">
        <v>149</v>
      </c>
      <c r="R94" s="83"/>
    </row>
    <row r="95" spans="1:18">
      <c r="A95" s="177">
        <v>80889183</v>
      </c>
      <c r="B95" s="177" t="s">
        <v>156</v>
      </c>
      <c r="C95" s="178" t="s">
        <v>152</v>
      </c>
      <c r="D95" s="177" t="s">
        <v>144</v>
      </c>
      <c r="E95" s="177" t="s">
        <v>172</v>
      </c>
      <c r="F95" s="179">
        <v>45992</v>
      </c>
      <c r="G95" s="177">
        <v>510</v>
      </c>
      <c r="H95" s="179">
        <v>45964</v>
      </c>
      <c r="I95" s="179" t="s">
        <v>146</v>
      </c>
      <c r="J95" s="83">
        <v>3481906011</v>
      </c>
      <c r="K95" s="179"/>
      <c r="L95" s="179">
        <v>45964</v>
      </c>
      <c r="M95" s="180">
        <v>45982</v>
      </c>
      <c r="N95" s="181">
        <v>1.548411</v>
      </c>
      <c r="O95" s="181" t="s">
        <v>170</v>
      </c>
      <c r="P95" s="83" t="s">
        <v>148</v>
      </c>
      <c r="Q95" s="177" t="s">
        <v>149</v>
      </c>
      <c r="R95" s="83"/>
    </row>
    <row r="96" spans="1:18">
      <c r="A96" s="177">
        <v>80889183</v>
      </c>
      <c r="B96" s="177" t="s">
        <v>156</v>
      </c>
      <c r="C96" s="178" t="s">
        <v>153</v>
      </c>
      <c r="D96" s="177" t="s">
        <v>144</v>
      </c>
      <c r="E96" s="177" t="s">
        <v>172</v>
      </c>
      <c r="F96" s="179">
        <v>45992</v>
      </c>
      <c r="G96" s="177">
        <v>139</v>
      </c>
      <c r="H96" s="179">
        <v>45964</v>
      </c>
      <c r="I96" s="179" t="s">
        <v>146</v>
      </c>
      <c r="J96" s="83">
        <v>3481906012</v>
      </c>
      <c r="K96" s="179"/>
      <c r="L96" s="179">
        <v>45964</v>
      </c>
      <c r="M96" s="180">
        <v>45982</v>
      </c>
      <c r="N96" s="181">
        <v>0.4220179</v>
      </c>
      <c r="O96" s="181" t="s">
        <v>170</v>
      </c>
      <c r="P96" s="83" t="s">
        <v>148</v>
      </c>
      <c r="Q96" s="177" t="s">
        <v>149</v>
      </c>
      <c r="R96" s="83"/>
    </row>
    <row r="97" spans="1:18">
      <c r="A97" s="177">
        <v>80889183</v>
      </c>
      <c r="B97" s="177" t="s">
        <v>156</v>
      </c>
      <c r="C97" s="178" t="s">
        <v>154</v>
      </c>
      <c r="D97" s="177" t="s">
        <v>144</v>
      </c>
      <c r="E97" s="177" t="s">
        <v>172</v>
      </c>
      <c r="F97" s="179">
        <v>45992</v>
      </c>
      <c r="G97" s="177">
        <v>183</v>
      </c>
      <c r="H97" s="179">
        <v>45964</v>
      </c>
      <c r="I97" s="179" t="s">
        <v>146</v>
      </c>
      <c r="J97" s="83">
        <v>3481906013</v>
      </c>
      <c r="K97" s="179"/>
      <c r="L97" s="179">
        <v>45964</v>
      </c>
      <c r="M97" s="180">
        <v>45982</v>
      </c>
      <c r="N97" s="181">
        <v>0.5556063</v>
      </c>
      <c r="O97" s="181" t="s">
        <v>170</v>
      </c>
      <c r="P97" s="83" t="s">
        <v>148</v>
      </c>
      <c r="Q97" s="177" t="s">
        <v>149</v>
      </c>
      <c r="R97" s="83"/>
    </row>
    <row r="98" spans="1:18">
      <c r="A98" s="177">
        <v>80889183</v>
      </c>
      <c r="B98" s="177" t="s">
        <v>156</v>
      </c>
      <c r="C98" s="178" t="s">
        <v>155</v>
      </c>
      <c r="D98" s="177" t="s">
        <v>144</v>
      </c>
      <c r="E98" s="177" t="s">
        <v>172</v>
      </c>
      <c r="F98" s="179">
        <v>45992</v>
      </c>
      <c r="G98" s="177">
        <v>1109</v>
      </c>
      <c r="H98" s="179">
        <v>45964</v>
      </c>
      <c r="I98" s="179" t="s">
        <v>146</v>
      </c>
      <c r="J98" s="83">
        <v>3481906014</v>
      </c>
      <c r="K98" s="179"/>
      <c r="L98" s="179">
        <v>45964</v>
      </c>
      <c r="M98" s="180">
        <v>45982</v>
      </c>
      <c r="N98" s="181">
        <v>3.3670349000000002</v>
      </c>
      <c r="O98" s="181" t="s">
        <v>170</v>
      </c>
      <c r="P98" s="83" t="s">
        <v>148</v>
      </c>
      <c r="Q98" s="177" t="s">
        <v>149</v>
      </c>
      <c r="R98" s="83"/>
    </row>
    <row r="99" spans="1:18">
      <c r="A99" s="177">
        <v>80889184</v>
      </c>
      <c r="B99" s="177" t="s">
        <v>157</v>
      </c>
      <c r="C99" s="178" t="s">
        <v>143</v>
      </c>
      <c r="D99" s="177" t="s">
        <v>144</v>
      </c>
      <c r="E99" s="177" t="s">
        <v>172</v>
      </c>
      <c r="F99" s="179">
        <v>45992</v>
      </c>
      <c r="G99" s="177">
        <v>223</v>
      </c>
      <c r="H99" s="179">
        <v>45964</v>
      </c>
      <c r="I99" s="179" t="s">
        <v>146</v>
      </c>
      <c r="J99" s="83">
        <v>3481906015</v>
      </c>
      <c r="K99" s="179"/>
      <c r="L99" s="179">
        <v>45964</v>
      </c>
      <c r="M99" s="180">
        <v>45982</v>
      </c>
      <c r="N99" s="181">
        <v>0.36377989999999999</v>
      </c>
      <c r="O99" s="181" t="s">
        <v>170</v>
      </c>
      <c r="P99" s="83" t="s">
        <v>148</v>
      </c>
      <c r="Q99" s="177" t="s">
        <v>149</v>
      </c>
      <c r="R99" s="83"/>
    </row>
    <row r="100" spans="1:18">
      <c r="A100" s="177">
        <v>80889184</v>
      </c>
      <c r="B100" s="177" t="s">
        <v>157</v>
      </c>
      <c r="C100" s="178" t="s">
        <v>150</v>
      </c>
      <c r="D100" s="177" t="s">
        <v>144</v>
      </c>
      <c r="E100" s="177" t="s">
        <v>172</v>
      </c>
      <c r="F100" s="179">
        <v>45992</v>
      </c>
      <c r="G100" s="177">
        <v>811</v>
      </c>
      <c r="H100" s="179">
        <v>45964</v>
      </c>
      <c r="I100" s="179" t="s">
        <v>146</v>
      </c>
      <c r="J100" s="83">
        <v>3481906016</v>
      </c>
      <c r="K100" s="179"/>
      <c r="L100" s="179">
        <v>45964</v>
      </c>
      <c r="M100" s="180">
        <v>45982</v>
      </c>
      <c r="N100" s="181">
        <v>1.3229842999999999</v>
      </c>
      <c r="O100" s="181" t="s">
        <v>170</v>
      </c>
      <c r="P100" s="83" t="s">
        <v>148</v>
      </c>
      <c r="Q100" s="177" t="s">
        <v>149</v>
      </c>
      <c r="R100" s="83"/>
    </row>
    <row r="101" spans="1:18">
      <c r="A101" s="177">
        <v>80889184</v>
      </c>
      <c r="B101" s="177" t="s">
        <v>157</v>
      </c>
      <c r="C101" s="178" t="s">
        <v>151</v>
      </c>
      <c r="D101" s="177" t="s">
        <v>144</v>
      </c>
      <c r="E101" s="177" t="s">
        <v>172</v>
      </c>
      <c r="F101" s="179">
        <v>45992</v>
      </c>
      <c r="G101" s="177">
        <v>1101</v>
      </c>
      <c r="H101" s="179">
        <v>45964</v>
      </c>
      <c r="I101" s="179" t="s">
        <v>146</v>
      </c>
      <c r="J101" s="83">
        <v>3481906017</v>
      </c>
      <c r="K101" s="179"/>
      <c r="L101" s="179">
        <v>45964</v>
      </c>
      <c r="M101" s="180">
        <v>45982</v>
      </c>
      <c r="N101" s="181">
        <v>1.7960613000000001</v>
      </c>
      <c r="O101" s="181" t="s">
        <v>170</v>
      </c>
      <c r="P101" s="83" t="s">
        <v>148</v>
      </c>
      <c r="Q101" s="177" t="s">
        <v>149</v>
      </c>
      <c r="R101" s="83"/>
    </row>
    <row r="102" spans="1:18">
      <c r="A102" s="177">
        <v>80889184</v>
      </c>
      <c r="B102" s="177" t="s">
        <v>157</v>
      </c>
      <c r="C102" s="178" t="s">
        <v>152</v>
      </c>
      <c r="D102" s="177" t="s">
        <v>144</v>
      </c>
      <c r="E102" s="177" t="s">
        <v>172</v>
      </c>
      <c r="F102" s="179">
        <v>45992</v>
      </c>
      <c r="G102" s="177">
        <v>407</v>
      </c>
      <c r="H102" s="179">
        <v>45964</v>
      </c>
      <c r="I102" s="179" t="s">
        <v>146</v>
      </c>
      <c r="J102" s="83">
        <v>3481906018</v>
      </c>
      <c r="K102" s="179"/>
      <c r="L102" s="179">
        <v>45964</v>
      </c>
      <c r="M102" s="180">
        <v>45982</v>
      </c>
      <c r="N102" s="181">
        <v>0.6639391</v>
      </c>
      <c r="O102" s="181" t="s">
        <v>170</v>
      </c>
      <c r="P102" s="83" t="s">
        <v>148</v>
      </c>
      <c r="Q102" s="177" t="s">
        <v>149</v>
      </c>
      <c r="R102" s="83"/>
    </row>
    <row r="103" spans="1:18">
      <c r="A103" s="177">
        <v>80889184</v>
      </c>
      <c r="B103" s="177" t="s">
        <v>157</v>
      </c>
      <c r="C103" s="178" t="s">
        <v>153</v>
      </c>
      <c r="D103" s="177" t="s">
        <v>144</v>
      </c>
      <c r="E103" s="177" t="s">
        <v>172</v>
      </c>
      <c r="F103" s="179">
        <v>45992</v>
      </c>
      <c r="G103" s="177">
        <v>109</v>
      </c>
      <c r="H103" s="179">
        <v>45964</v>
      </c>
      <c r="I103" s="179" t="s">
        <v>146</v>
      </c>
      <c r="J103" s="83">
        <v>3481906019</v>
      </c>
      <c r="K103" s="179"/>
      <c r="L103" s="179">
        <v>45964</v>
      </c>
      <c r="M103" s="180">
        <v>45982</v>
      </c>
      <c r="N103" s="181">
        <v>0.17781169999999999</v>
      </c>
      <c r="O103" s="181" t="s">
        <v>170</v>
      </c>
      <c r="P103" s="83" t="s">
        <v>148</v>
      </c>
      <c r="Q103" s="177" t="s">
        <v>149</v>
      </c>
      <c r="R103" s="83"/>
    </row>
    <row r="104" spans="1:18">
      <c r="A104" s="177">
        <v>80889184</v>
      </c>
      <c r="B104" s="177" t="s">
        <v>157</v>
      </c>
      <c r="C104" s="178" t="s">
        <v>154</v>
      </c>
      <c r="D104" s="177" t="s">
        <v>144</v>
      </c>
      <c r="E104" s="177" t="s">
        <v>172</v>
      </c>
      <c r="F104" s="179">
        <v>45992</v>
      </c>
      <c r="G104" s="177">
        <v>150</v>
      </c>
      <c r="H104" s="179">
        <v>45964</v>
      </c>
      <c r="I104" s="179" t="s">
        <v>146</v>
      </c>
      <c r="J104" s="83">
        <v>3481906020</v>
      </c>
      <c r="K104" s="179"/>
      <c r="L104" s="179">
        <v>45964</v>
      </c>
      <c r="M104" s="180">
        <v>45982</v>
      </c>
      <c r="N104" s="181">
        <v>0.244695</v>
      </c>
      <c r="O104" s="181" t="s">
        <v>170</v>
      </c>
      <c r="P104" s="83" t="s">
        <v>148</v>
      </c>
      <c r="Q104" s="177" t="s">
        <v>149</v>
      </c>
      <c r="R104" s="83"/>
    </row>
    <row r="105" spans="1:18">
      <c r="A105" s="177">
        <v>80889184</v>
      </c>
      <c r="B105" s="177" t="s">
        <v>157</v>
      </c>
      <c r="C105" s="178" t="s">
        <v>155</v>
      </c>
      <c r="D105" s="177" t="s">
        <v>144</v>
      </c>
      <c r="E105" s="177" t="s">
        <v>172</v>
      </c>
      <c r="F105" s="179">
        <v>45992</v>
      </c>
      <c r="G105" s="177">
        <v>882</v>
      </c>
      <c r="H105" s="179">
        <v>45964</v>
      </c>
      <c r="I105" s="179" t="s">
        <v>146</v>
      </c>
      <c r="J105" s="83">
        <v>3481906021</v>
      </c>
      <c r="K105" s="179"/>
      <c r="L105" s="179">
        <v>45964</v>
      </c>
      <c r="M105" s="180">
        <v>45982</v>
      </c>
      <c r="N105" s="181">
        <v>1.4388065999999999</v>
      </c>
      <c r="O105" s="181" t="s">
        <v>170</v>
      </c>
      <c r="P105" s="83" t="s">
        <v>148</v>
      </c>
      <c r="Q105" s="177" t="s">
        <v>149</v>
      </c>
      <c r="R105" s="83"/>
    </row>
    <row r="106" spans="1:18">
      <c r="A106" s="177">
        <v>80889185</v>
      </c>
      <c r="B106" s="177" t="s">
        <v>158</v>
      </c>
      <c r="C106" s="178" t="s">
        <v>143</v>
      </c>
      <c r="D106" s="177" t="s">
        <v>144</v>
      </c>
      <c r="E106" s="177" t="s">
        <v>172</v>
      </c>
      <c r="F106" s="179">
        <v>45992</v>
      </c>
      <c r="G106" s="177">
        <v>222</v>
      </c>
      <c r="H106" s="179">
        <v>45964</v>
      </c>
      <c r="I106" s="179" t="s">
        <v>146</v>
      </c>
      <c r="J106" s="83">
        <v>3481906022</v>
      </c>
      <c r="K106" s="179"/>
      <c r="L106" s="179">
        <v>45964</v>
      </c>
      <c r="M106" s="180">
        <v>45982</v>
      </c>
      <c r="N106" s="181">
        <v>0.36214859999999999</v>
      </c>
      <c r="O106" s="181" t="s">
        <v>170</v>
      </c>
      <c r="P106" s="83" t="s">
        <v>148</v>
      </c>
      <c r="Q106" s="177" t="s">
        <v>149</v>
      </c>
      <c r="R106" s="83"/>
    </row>
    <row r="107" spans="1:18">
      <c r="A107" s="177">
        <v>80889185</v>
      </c>
      <c r="B107" s="177" t="s">
        <v>158</v>
      </c>
      <c r="C107" s="178" t="s">
        <v>150</v>
      </c>
      <c r="D107" s="177" t="s">
        <v>144</v>
      </c>
      <c r="E107" s="177" t="s">
        <v>172</v>
      </c>
      <c r="F107" s="179">
        <v>45992</v>
      </c>
      <c r="G107" s="177">
        <v>810</v>
      </c>
      <c r="H107" s="179">
        <v>45964</v>
      </c>
      <c r="I107" s="179" t="s">
        <v>146</v>
      </c>
      <c r="J107" s="83">
        <v>3481906023</v>
      </c>
      <c r="K107" s="179"/>
      <c r="L107" s="179">
        <v>45964</v>
      </c>
      <c r="M107" s="180">
        <v>45982</v>
      </c>
      <c r="N107" s="181">
        <v>1.321353</v>
      </c>
      <c r="O107" s="181" t="s">
        <v>170</v>
      </c>
      <c r="P107" s="83" t="s">
        <v>148</v>
      </c>
      <c r="Q107" s="177" t="s">
        <v>149</v>
      </c>
      <c r="R107" s="83"/>
    </row>
    <row r="108" spans="1:18">
      <c r="A108" s="177">
        <v>80889185</v>
      </c>
      <c r="B108" s="177" t="s">
        <v>158</v>
      </c>
      <c r="C108" s="178" t="s">
        <v>151</v>
      </c>
      <c r="D108" s="177" t="s">
        <v>144</v>
      </c>
      <c r="E108" s="177" t="s">
        <v>172</v>
      </c>
      <c r="F108" s="179">
        <v>45992</v>
      </c>
      <c r="G108" s="177">
        <v>1101</v>
      </c>
      <c r="H108" s="179">
        <v>45964</v>
      </c>
      <c r="I108" s="179" t="s">
        <v>146</v>
      </c>
      <c r="J108" s="83">
        <v>3481906024</v>
      </c>
      <c r="K108" s="179"/>
      <c r="L108" s="179">
        <v>45964</v>
      </c>
      <c r="M108" s="180">
        <v>45982</v>
      </c>
      <c r="N108" s="181">
        <v>1.7960613000000001</v>
      </c>
      <c r="O108" s="181" t="s">
        <v>170</v>
      </c>
      <c r="P108" s="83" t="s">
        <v>148</v>
      </c>
      <c r="Q108" s="177" t="s">
        <v>149</v>
      </c>
      <c r="R108" s="83"/>
    </row>
    <row r="109" spans="1:18">
      <c r="A109" s="177">
        <v>80889185</v>
      </c>
      <c r="B109" s="177" t="s">
        <v>158</v>
      </c>
      <c r="C109" s="178" t="s">
        <v>152</v>
      </c>
      <c r="D109" s="177" t="s">
        <v>144</v>
      </c>
      <c r="E109" s="177" t="s">
        <v>172</v>
      </c>
      <c r="F109" s="179">
        <v>45992</v>
      </c>
      <c r="G109" s="177">
        <v>406</v>
      </c>
      <c r="H109" s="179">
        <v>45964</v>
      </c>
      <c r="I109" s="179" t="s">
        <v>146</v>
      </c>
      <c r="J109" s="83">
        <v>3481906025</v>
      </c>
      <c r="K109" s="179"/>
      <c r="L109" s="179">
        <v>45964</v>
      </c>
      <c r="M109" s="180">
        <v>45982</v>
      </c>
      <c r="N109" s="181">
        <v>0.6623078</v>
      </c>
      <c r="O109" s="181" t="s">
        <v>170</v>
      </c>
      <c r="P109" s="83" t="s">
        <v>148</v>
      </c>
      <c r="Q109" s="177" t="s">
        <v>149</v>
      </c>
      <c r="R109" s="83"/>
    </row>
    <row r="110" spans="1:18">
      <c r="A110" s="176">
        <v>80889185</v>
      </c>
      <c r="B110" s="177" t="s">
        <v>158</v>
      </c>
      <c r="C110" s="178" t="s">
        <v>153</v>
      </c>
      <c r="D110" s="177" t="s">
        <v>144</v>
      </c>
      <c r="E110" s="176" t="s">
        <v>172</v>
      </c>
      <c r="F110" s="179">
        <v>45992</v>
      </c>
      <c r="G110" s="177">
        <v>112</v>
      </c>
      <c r="H110" s="179">
        <v>45964</v>
      </c>
      <c r="I110" s="179" t="s">
        <v>146</v>
      </c>
      <c r="J110" s="83">
        <v>3481906026</v>
      </c>
      <c r="K110" s="179"/>
      <c r="L110" s="179">
        <v>45964</v>
      </c>
      <c r="M110" s="180">
        <v>45982</v>
      </c>
      <c r="N110" s="181">
        <v>0.1827056</v>
      </c>
      <c r="O110" s="181" t="s">
        <v>170</v>
      </c>
      <c r="P110" s="83" t="s">
        <v>148</v>
      </c>
      <c r="Q110" s="177" t="s">
        <v>149</v>
      </c>
      <c r="R110" s="83"/>
    </row>
    <row r="111" spans="1:18">
      <c r="A111" s="176">
        <v>80889185</v>
      </c>
      <c r="B111" s="177" t="s">
        <v>158</v>
      </c>
      <c r="C111" s="178" t="s">
        <v>154</v>
      </c>
      <c r="D111" s="177" t="s">
        <v>144</v>
      </c>
      <c r="E111" s="176" t="s">
        <v>172</v>
      </c>
      <c r="F111" s="179">
        <v>45992</v>
      </c>
      <c r="G111" s="177">
        <v>149</v>
      </c>
      <c r="H111" s="179">
        <v>45964</v>
      </c>
      <c r="I111" s="179" t="s">
        <v>146</v>
      </c>
      <c r="J111" s="83">
        <v>3481906027</v>
      </c>
      <c r="K111" s="179"/>
      <c r="L111" s="179">
        <v>45964</v>
      </c>
      <c r="M111" s="180">
        <v>45982</v>
      </c>
      <c r="N111" s="181">
        <v>0.24306369999999999</v>
      </c>
      <c r="O111" s="181" t="s">
        <v>170</v>
      </c>
      <c r="P111" s="83" t="s">
        <v>148</v>
      </c>
      <c r="Q111" s="177" t="s">
        <v>149</v>
      </c>
      <c r="R111" s="83"/>
    </row>
    <row r="112" spans="1:18">
      <c r="A112" s="176">
        <v>80889185</v>
      </c>
      <c r="B112" s="177" t="s">
        <v>158</v>
      </c>
      <c r="C112" s="178" t="s">
        <v>155</v>
      </c>
      <c r="D112" s="177" t="s">
        <v>144</v>
      </c>
      <c r="E112" s="176" t="s">
        <v>172</v>
      </c>
      <c r="F112" s="179">
        <v>45992</v>
      </c>
      <c r="G112" s="177">
        <v>882</v>
      </c>
      <c r="H112" s="179">
        <v>45964</v>
      </c>
      <c r="I112" s="179" t="s">
        <v>146</v>
      </c>
      <c r="J112" s="83">
        <v>3481906028</v>
      </c>
      <c r="K112" s="179"/>
      <c r="L112" s="179">
        <v>45964</v>
      </c>
      <c r="M112" s="180">
        <v>45982</v>
      </c>
      <c r="N112" s="181">
        <v>1.4388065999999999</v>
      </c>
      <c r="O112" s="181" t="s">
        <v>170</v>
      </c>
      <c r="P112" s="83" t="s">
        <v>148</v>
      </c>
      <c r="Q112" s="177" t="s">
        <v>149</v>
      </c>
      <c r="R112" s="83"/>
    </row>
    <row r="113" spans="1:18">
      <c r="A113" s="176">
        <v>80859232</v>
      </c>
      <c r="B113" s="177" t="s">
        <v>173</v>
      </c>
      <c r="C113" s="178" t="s">
        <v>143</v>
      </c>
      <c r="D113" s="176" t="s">
        <v>174</v>
      </c>
      <c r="E113" s="176" t="s">
        <v>145</v>
      </c>
      <c r="F113" s="179">
        <v>45999</v>
      </c>
      <c r="G113" s="177">
        <v>153</v>
      </c>
      <c r="H113" s="179">
        <v>45964</v>
      </c>
      <c r="I113" s="179" t="s">
        <v>175</v>
      </c>
      <c r="J113" s="83">
        <v>3481906029</v>
      </c>
      <c r="K113" s="179"/>
      <c r="L113" s="179">
        <v>45964</v>
      </c>
      <c r="M113" s="180">
        <v>45987</v>
      </c>
      <c r="N113" s="181">
        <v>0.2495889</v>
      </c>
      <c r="O113" s="181" t="s">
        <v>147</v>
      </c>
      <c r="P113" s="83" t="s">
        <v>148</v>
      </c>
      <c r="Q113" s="177" t="s">
        <v>149</v>
      </c>
      <c r="R113" s="83"/>
    </row>
    <row r="114" spans="1:18">
      <c r="A114" s="176">
        <v>80859232</v>
      </c>
      <c r="B114" s="177" t="s">
        <v>173</v>
      </c>
      <c r="C114" s="178" t="s">
        <v>150</v>
      </c>
      <c r="D114" s="176" t="s">
        <v>174</v>
      </c>
      <c r="E114" s="176" t="s">
        <v>145</v>
      </c>
      <c r="F114" s="179">
        <v>45999</v>
      </c>
      <c r="G114" s="177">
        <v>4340</v>
      </c>
      <c r="H114" s="179">
        <v>45964</v>
      </c>
      <c r="I114" s="179" t="s">
        <v>175</v>
      </c>
      <c r="J114" s="83">
        <v>3481906030</v>
      </c>
      <c r="K114" s="179"/>
      <c r="L114" s="179">
        <v>45964</v>
      </c>
      <c r="M114" s="180">
        <v>45987</v>
      </c>
      <c r="N114" s="181">
        <v>7.0798420000000002</v>
      </c>
      <c r="O114" s="181" t="s">
        <v>147</v>
      </c>
      <c r="P114" s="83" t="s">
        <v>148</v>
      </c>
      <c r="Q114" s="177" t="s">
        <v>149</v>
      </c>
      <c r="R114" s="83"/>
    </row>
    <row r="115" spans="1:18">
      <c r="A115" s="176">
        <v>80859232</v>
      </c>
      <c r="B115" s="177" t="s">
        <v>173</v>
      </c>
      <c r="C115" s="178" t="s">
        <v>151</v>
      </c>
      <c r="D115" s="176" t="s">
        <v>174</v>
      </c>
      <c r="E115" s="176" t="s">
        <v>145</v>
      </c>
      <c r="F115" s="179">
        <v>45999</v>
      </c>
      <c r="G115" s="177">
        <v>4365</v>
      </c>
      <c r="H115" s="179">
        <v>45964</v>
      </c>
      <c r="I115" s="179" t="s">
        <v>175</v>
      </c>
      <c r="J115" s="83">
        <v>3481906031</v>
      </c>
      <c r="K115" s="179"/>
      <c r="L115" s="179">
        <v>45964</v>
      </c>
      <c r="M115" s="180">
        <v>45987</v>
      </c>
      <c r="N115" s="181">
        <v>7.1206244999999999</v>
      </c>
      <c r="O115" s="181" t="s">
        <v>147</v>
      </c>
      <c r="P115" s="83" t="s">
        <v>148</v>
      </c>
      <c r="Q115" s="177" t="s">
        <v>149</v>
      </c>
      <c r="R115" s="83"/>
    </row>
    <row r="116" spans="1:18">
      <c r="A116" s="176">
        <v>80859232</v>
      </c>
      <c r="B116" s="177" t="s">
        <v>173</v>
      </c>
      <c r="C116" s="178" t="s">
        <v>152</v>
      </c>
      <c r="D116" s="176" t="s">
        <v>174</v>
      </c>
      <c r="E116" s="176" t="s">
        <v>145</v>
      </c>
      <c r="F116" s="179">
        <v>45999</v>
      </c>
      <c r="G116" s="177">
        <v>478</v>
      </c>
      <c r="H116" s="179">
        <v>45964</v>
      </c>
      <c r="I116" s="179" t="s">
        <v>175</v>
      </c>
      <c r="J116" s="83">
        <v>3481906032</v>
      </c>
      <c r="K116" s="179"/>
      <c r="L116" s="179">
        <v>45964</v>
      </c>
      <c r="M116" s="180">
        <v>45987</v>
      </c>
      <c r="N116" s="181">
        <v>0.77976140000000005</v>
      </c>
      <c r="O116" s="181" t="s">
        <v>147</v>
      </c>
      <c r="P116" s="83" t="s">
        <v>148</v>
      </c>
      <c r="Q116" s="177" t="s">
        <v>149</v>
      </c>
      <c r="R116" s="83"/>
    </row>
    <row r="117" spans="1:18">
      <c r="A117" s="176">
        <v>80859232</v>
      </c>
      <c r="B117" s="177" t="s">
        <v>173</v>
      </c>
      <c r="C117" s="178" t="s">
        <v>153</v>
      </c>
      <c r="D117" s="176" t="s">
        <v>174</v>
      </c>
      <c r="E117" s="176" t="s">
        <v>145</v>
      </c>
      <c r="F117" s="179">
        <v>45999</v>
      </c>
      <c r="G117" s="177">
        <v>1152</v>
      </c>
      <c r="H117" s="179">
        <v>45964</v>
      </c>
      <c r="I117" s="179" t="s">
        <v>175</v>
      </c>
      <c r="J117" s="83">
        <v>3481906033</v>
      </c>
      <c r="K117" s="179"/>
      <c r="L117" s="179">
        <v>45964</v>
      </c>
      <c r="M117" s="180">
        <v>45987</v>
      </c>
      <c r="N117" s="181">
        <v>1.8792576000000001</v>
      </c>
      <c r="O117" s="181" t="s">
        <v>147</v>
      </c>
      <c r="P117" s="83" t="s">
        <v>148</v>
      </c>
      <c r="Q117" s="177" t="s">
        <v>149</v>
      </c>
      <c r="R117" s="83"/>
    </row>
    <row r="118" spans="1:18">
      <c r="A118" s="176">
        <v>80859232</v>
      </c>
      <c r="B118" s="177" t="s">
        <v>173</v>
      </c>
      <c r="C118" s="178" t="s">
        <v>155</v>
      </c>
      <c r="D118" s="176" t="s">
        <v>174</v>
      </c>
      <c r="E118" s="176" t="s">
        <v>145</v>
      </c>
      <c r="F118" s="179">
        <v>45999</v>
      </c>
      <c r="G118" s="177">
        <v>5272</v>
      </c>
      <c r="H118" s="179">
        <v>45964</v>
      </c>
      <c r="I118" s="179" t="s">
        <v>175</v>
      </c>
      <c r="J118" s="83">
        <v>3481906034</v>
      </c>
      <c r="K118" s="179"/>
      <c r="L118" s="179">
        <v>45964</v>
      </c>
      <c r="M118" s="180">
        <v>45987</v>
      </c>
      <c r="N118" s="181">
        <v>8.6002136</v>
      </c>
      <c r="O118" s="181" t="s">
        <v>147</v>
      </c>
      <c r="P118" s="83" t="s">
        <v>148</v>
      </c>
      <c r="Q118" s="177" t="s">
        <v>149</v>
      </c>
      <c r="R118" s="83"/>
    </row>
    <row r="119" spans="1:18">
      <c r="A119" s="176">
        <v>80815648</v>
      </c>
      <c r="B119" s="177" t="s">
        <v>176</v>
      </c>
      <c r="C119" s="178" t="s">
        <v>150</v>
      </c>
      <c r="D119" s="176" t="s">
        <v>174</v>
      </c>
      <c r="E119" s="176" t="s">
        <v>145</v>
      </c>
      <c r="F119" s="179">
        <v>45999</v>
      </c>
      <c r="G119" s="177">
        <v>1057</v>
      </c>
      <c r="H119" s="179">
        <v>45964</v>
      </c>
      <c r="I119" s="179" t="s">
        <v>175</v>
      </c>
      <c r="J119" s="83">
        <v>3481906071</v>
      </c>
      <c r="K119" s="179"/>
      <c r="L119" s="179">
        <v>45964</v>
      </c>
      <c r="M119" s="180">
        <v>45986</v>
      </c>
      <c r="N119" s="181">
        <v>2.0595645</v>
      </c>
      <c r="O119" s="181" t="s">
        <v>147</v>
      </c>
      <c r="P119" s="83" t="s">
        <v>148</v>
      </c>
      <c r="Q119" s="177" t="s">
        <v>149</v>
      </c>
      <c r="R119" s="83"/>
    </row>
    <row r="120" spans="1:18">
      <c r="A120" s="176">
        <v>80815648</v>
      </c>
      <c r="B120" s="177" t="s">
        <v>176</v>
      </c>
      <c r="C120" s="178" t="s">
        <v>151</v>
      </c>
      <c r="D120" s="176" t="s">
        <v>174</v>
      </c>
      <c r="E120" s="176" t="s">
        <v>145</v>
      </c>
      <c r="F120" s="179">
        <v>45999</v>
      </c>
      <c r="G120" s="177">
        <v>2017</v>
      </c>
      <c r="H120" s="179">
        <v>45964</v>
      </c>
      <c r="I120" s="179" t="s">
        <v>175</v>
      </c>
      <c r="J120" s="83">
        <v>3481906072</v>
      </c>
      <c r="K120" s="179"/>
      <c r="L120" s="179">
        <v>45964</v>
      </c>
      <c r="M120" s="180">
        <v>45986</v>
      </c>
      <c r="N120" s="181">
        <v>3.9301244999999998</v>
      </c>
      <c r="O120" s="181" t="s">
        <v>147</v>
      </c>
      <c r="P120" s="83" t="s">
        <v>148</v>
      </c>
      <c r="Q120" s="177" t="s">
        <v>149</v>
      </c>
      <c r="R120" s="83"/>
    </row>
    <row r="121" spans="1:18">
      <c r="A121" s="176">
        <v>80815648</v>
      </c>
      <c r="B121" s="177" t="s">
        <v>176</v>
      </c>
      <c r="C121" s="178" t="s">
        <v>152</v>
      </c>
      <c r="D121" s="176" t="s">
        <v>174</v>
      </c>
      <c r="E121" s="176" t="s">
        <v>145</v>
      </c>
      <c r="F121" s="179">
        <v>45999</v>
      </c>
      <c r="G121" s="177">
        <v>354</v>
      </c>
      <c r="H121" s="179">
        <v>45964</v>
      </c>
      <c r="I121" s="179" t="s">
        <v>175</v>
      </c>
      <c r="J121" s="83">
        <v>3481906073</v>
      </c>
      <c r="K121" s="179"/>
      <c r="L121" s="179">
        <v>45964</v>
      </c>
      <c r="M121" s="180">
        <v>45986</v>
      </c>
      <c r="N121" s="181">
        <v>0.68976899999999997</v>
      </c>
      <c r="O121" s="181" t="s">
        <v>147</v>
      </c>
      <c r="P121" s="83" t="s">
        <v>148</v>
      </c>
      <c r="Q121" s="177" t="s">
        <v>149</v>
      </c>
      <c r="R121" s="83"/>
    </row>
    <row r="122" spans="1:18">
      <c r="A122" s="176">
        <v>80815648</v>
      </c>
      <c r="B122" s="177" t="s">
        <v>176</v>
      </c>
      <c r="C122" s="178" t="s">
        <v>153</v>
      </c>
      <c r="D122" s="176" t="s">
        <v>174</v>
      </c>
      <c r="E122" s="176" t="s">
        <v>145</v>
      </c>
      <c r="F122" s="179">
        <v>45999</v>
      </c>
      <c r="G122" s="177">
        <v>534</v>
      </c>
      <c r="H122" s="179">
        <v>45964</v>
      </c>
      <c r="I122" s="179" t="s">
        <v>175</v>
      </c>
      <c r="J122" s="83">
        <v>3481906074</v>
      </c>
      <c r="K122" s="179"/>
      <c r="L122" s="179">
        <v>45964</v>
      </c>
      <c r="M122" s="180">
        <v>45986</v>
      </c>
      <c r="N122" s="181">
        <v>1.0404990000000001</v>
      </c>
      <c r="O122" s="181" t="s">
        <v>147</v>
      </c>
      <c r="P122" s="83" t="s">
        <v>148</v>
      </c>
      <c r="Q122" s="177" t="s">
        <v>149</v>
      </c>
      <c r="R122" s="83"/>
    </row>
    <row r="123" spans="1:18">
      <c r="A123" s="176">
        <v>80815648</v>
      </c>
      <c r="B123" s="177" t="s">
        <v>176</v>
      </c>
      <c r="C123" s="178" t="s">
        <v>155</v>
      </c>
      <c r="D123" s="176" t="s">
        <v>174</v>
      </c>
      <c r="E123" s="176" t="s">
        <v>145</v>
      </c>
      <c r="F123" s="179">
        <v>45999</v>
      </c>
      <c r="G123" s="177">
        <v>4306</v>
      </c>
      <c r="H123" s="179">
        <v>45964</v>
      </c>
      <c r="I123" s="179" t="s">
        <v>175</v>
      </c>
      <c r="J123" s="83">
        <v>3481906075</v>
      </c>
      <c r="K123" s="179"/>
      <c r="L123" s="179">
        <v>45964</v>
      </c>
      <c r="M123" s="180">
        <v>45986</v>
      </c>
      <c r="N123" s="181">
        <v>8.3902409999999996</v>
      </c>
      <c r="O123" s="181" t="s">
        <v>147</v>
      </c>
      <c r="P123" s="83" t="s">
        <v>148</v>
      </c>
      <c r="Q123" s="177" t="s">
        <v>149</v>
      </c>
      <c r="R123" s="83"/>
    </row>
    <row r="124" spans="1:18">
      <c r="A124" s="176">
        <v>80814089</v>
      </c>
      <c r="B124" s="177" t="s">
        <v>177</v>
      </c>
      <c r="C124" s="178" t="s">
        <v>150</v>
      </c>
      <c r="D124" s="176" t="s">
        <v>174</v>
      </c>
      <c r="E124" s="176" t="s">
        <v>145</v>
      </c>
      <c r="F124" s="179">
        <v>45999</v>
      </c>
      <c r="G124" s="177">
        <v>2295</v>
      </c>
      <c r="H124" s="179">
        <v>45964</v>
      </c>
      <c r="I124" s="179" t="s">
        <v>175</v>
      </c>
      <c r="J124" s="83">
        <v>3481906076</v>
      </c>
      <c r="K124" s="179"/>
      <c r="L124" s="179">
        <v>45964</v>
      </c>
      <c r="M124" s="180">
        <v>45986</v>
      </c>
      <c r="N124" s="181">
        <v>4.1596875000000004</v>
      </c>
      <c r="O124" s="181" t="s">
        <v>147</v>
      </c>
      <c r="P124" s="83" t="s">
        <v>148</v>
      </c>
      <c r="Q124" s="177" t="s">
        <v>149</v>
      </c>
      <c r="R124" s="83"/>
    </row>
    <row r="125" spans="1:18">
      <c r="A125" s="176">
        <v>80814089</v>
      </c>
      <c r="B125" s="177" t="s">
        <v>177</v>
      </c>
      <c r="C125" s="178" t="s">
        <v>151</v>
      </c>
      <c r="D125" s="176" t="s">
        <v>174</v>
      </c>
      <c r="E125" s="176" t="s">
        <v>145</v>
      </c>
      <c r="F125" s="179">
        <v>45999</v>
      </c>
      <c r="G125" s="177">
        <v>1208</v>
      </c>
      <c r="H125" s="179">
        <v>45964</v>
      </c>
      <c r="I125" s="179" t="s">
        <v>175</v>
      </c>
      <c r="J125" s="83">
        <v>3481906077</v>
      </c>
      <c r="K125" s="179"/>
      <c r="L125" s="179">
        <v>45964</v>
      </c>
      <c r="M125" s="180">
        <v>45986</v>
      </c>
      <c r="N125" s="181">
        <v>2.1894999999999998</v>
      </c>
      <c r="O125" s="181" t="s">
        <v>147</v>
      </c>
      <c r="P125" s="83" t="s">
        <v>148</v>
      </c>
      <c r="Q125" s="177" t="s">
        <v>149</v>
      </c>
      <c r="R125" s="83"/>
    </row>
    <row r="126" spans="1:18">
      <c r="A126" s="176">
        <v>80814089</v>
      </c>
      <c r="B126" s="177" t="s">
        <v>177</v>
      </c>
      <c r="C126" s="178" t="s">
        <v>153</v>
      </c>
      <c r="D126" s="176" t="s">
        <v>174</v>
      </c>
      <c r="E126" s="176" t="s">
        <v>145</v>
      </c>
      <c r="F126" s="179">
        <v>45999</v>
      </c>
      <c r="G126" s="177">
        <v>750</v>
      </c>
      <c r="H126" s="179">
        <v>45964</v>
      </c>
      <c r="I126" s="179" t="s">
        <v>175</v>
      </c>
      <c r="J126" s="83">
        <v>3481906098</v>
      </c>
      <c r="K126" s="179"/>
      <c r="L126" s="179">
        <v>45964</v>
      </c>
      <c r="M126" s="180">
        <v>45986</v>
      </c>
      <c r="N126" s="181">
        <v>1.359375</v>
      </c>
      <c r="O126" s="181" t="s">
        <v>147</v>
      </c>
      <c r="P126" s="83" t="s">
        <v>148</v>
      </c>
      <c r="Q126" s="177" t="s">
        <v>149</v>
      </c>
      <c r="R126" s="83"/>
    </row>
    <row r="127" spans="1:18">
      <c r="A127" s="176">
        <v>80814089</v>
      </c>
      <c r="B127" s="177" t="s">
        <v>177</v>
      </c>
      <c r="C127" s="178" t="s">
        <v>155</v>
      </c>
      <c r="D127" s="176" t="s">
        <v>174</v>
      </c>
      <c r="E127" s="176" t="s">
        <v>145</v>
      </c>
      <c r="F127" s="179">
        <v>45999</v>
      </c>
      <c r="G127" s="177">
        <v>2714</v>
      </c>
      <c r="H127" s="179">
        <v>45964</v>
      </c>
      <c r="I127" s="179" t="s">
        <v>175</v>
      </c>
      <c r="J127" s="83">
        <v>3481906099</v>
      </c>
      <c r="K127" s="179"/>
      <c r="L127" s="179">
        <v>45964</v>
      </c>
      <c r="M127" s="180">
        <v>45986</v>
      </c>
      <c r="N127" s="181">
        <v>4.9191250000000002</v>
      </c>
      <c r="O127" s="181" t="s">
        <v>147</v>
      </c>
      <c r="P127" s="83" t="s">
        <v>148</v>
      </c>
      <c r="Q127" s="177" t="s">
        <v>149</v>
      </c>
      <c r="R127" s="83"/>
    </row>
    <row r="128" spans="1:18">
      <c r="A128" s="176">
        <v>80815643</v>
      </c>
      <c r="B128" s="177" t="s">
        <v>178</v>
      </c>
      <c r="C128" s="178" t="s">
        <v>150</v>
      </c>
      <c r="D128" s="176" t="s">
        <v>174</v>
      </c>
      <c r="E128" s="176" t="s">
        <v>145</v>
      </c>
      <c r="F128" s="179">
        <v>45999</v>
      </c>
      <c r="G128" s="177">
        <v>888</v>
      </c>
      <c r="H128" s="179">
        <v>45964</v>
      </c>
      <c r="I128" s="179" t="s">
        <v>175</v>
      </c>
      <c r="J128" s="83">
        <v>3481906100</v>
      </c>
      <c r="K128" s="179"/>
      <c r="L128" s="179">
        <v>45964</v>
      </c>
      <c r="M128" s="180">
        <v>45986</v>
      </c>
      <c r="N128" s="181">
        <v>1.7302679999999999</v>
      </c>
      <c r="O128" s="181" t="s">
        <v>147</v>
      </c>
      <c r="P128" s="83" t="s">
        <v>148</v>
      </c>
      <c r="Q128" s="177" t="s">
        <v>149</v>
      </c>
      <c r="R128" s="83"/>
    </row>
    <row r="129" spans="1:18">
      <c r="A129" s="176">
        <v>80815643</v>
      </c>
      <c r="B129" s="177" t="s">
        <v>178</v>
      </c>
      <c r="C129" s="178" t="s">
        <v>151</v>
      </c>
      <c r="D129" s="176" t="s">
        <v>174</v>
      </c>
      <c r="E129" s="176" t="s">
        <v>145</v>
      </c>
      <c r="F129" s="179">
        <v>45999</v>
      </c>
      <c r="G129" s="177">
        <v>1617</v>
      </c>
      <c r="H129" s="179">
        <v>45964</v>
      </c>
      <c r="I129" s="179" t="s">
        <v>175</v>
      </c>
      <c r="J129" s="83">
        <v>3481906101</v>
      </c>
      <c r="K129" s="179"/>
      <c r="L129" s="179">
        <v>45964</v>
      </c>
      <c r="M129" s="180">
        <v>45986</v>
      </c>
      <c r="N129" s="181">
        <v>3.1507244999999999</v>
      </c>
      <c r="O129" s="181" t="s">
        <v>147</v>
      </c>
      <c r="P129" s="83" t="s">
        <v>148</v>
      </c>
      <c r="Q129" s="177" t="s">
        <v>149</v>
      </c>
      <c r="R129" s="83"/>
    </row>
    <row r="130" spans="1:18">
      <c r="A130" s="176">
        <v>80815643</v>
      </c>
      <c r="B130" s="177" t="s">
        <v>178</v>
      </c>
      <c r="C130" s="178" t="s">
        <v>152</v>
      </c>
      <c r="D130" s="176" t="s">
        <v>174</v>
      </c>
      <c r="E130" s="176" t="s">
        <v>145</v>
      </c>
      <c r="F130" s="179">
        <v>45999</v>
      </c>
      <c r="G130" s="177">
        <v>400</v>
      </c>
      <c r="H130" s="179">
        <v>45964</v>
      </c>
      <c r="I130" s="179" t="s">
        <v>175</v>
      </c>
      <c r="J130" s="83">
        <v>3481906102</v>
      </c>
      <c r="K130" s="179"/>
      <c r="L130" s="179">
        <v>45964</v>
      </c>
      <c r="M130" s="180">
        <v>45986</v>
      </c>
      <c r="N130" s="181">
        <v>0.77939999999999998</v>
      </c>
      <c r="O130" s="181" t="s">
        <v>147</v>
      </c>
      <c r="P130" s="83" t="s">
        <v>148</v>
      </c>
      <c r="Q130" s="177" t="s">
        <v>149</v>
      </c>
      <c r="R130" s="83"/>
    </row>
    <row r="131" spans="1:18">
      <c r="A131" s="176">
        <v>80815643</v>
      </c>
      <c r="B131" s="177" t="s">
        <v>178</v>
      </c>
      <c r="C131" s="178" t="s">
        <v>153</v>
      </c>
      <c r="D131" s="176" t="s">
        <v>174</v>
      </c>
      <c r="E131" s="176" t="s">
        <v>145</v>
      </c>
      <c r="F131" s="179">
        <v>45999</v>
      </c>
      <c r="G131" s="177">
        <v>611</v>
      </c>
      <c r="H131" s="179">
        <v>45964</v>
      </c>
      <c r="I131" s="179" t="s">
        <v>175</v>
      </c>
      <c r="J131" s="83">
        <v>3481906103</v>
      </c>
      <c r="K131" s="179"/>
      <c r="L131" s="179">
        <v>45964</v>
      </c>
      <c r="M131" s="180">
        <v>45986</v>
      </c>
      <c r="N131" s="181">
        <v>1.1905334999999999</v>
      </c>
      <c r="O131" s="181" t="s">
        <v>147</v>
      </c>
      <c r="P131" s="83" t="s">
        <v>148</v>
      </c>
      <c r="Q131" s="177" t="s">
        <v>149</v>
      </c>
      <c r="R131" s="83"/>
    </row>
    <row r="132" spans="1:18">
      <c r="A132" s="176">
        <v>80815643</v>
      </c>
      <c r="B132" s="177" t="s">
        <v>178</v>
      </c>
      <c r="C132" s="178" t="s">
        <v>155</v>
      </c>
      <c r="D132" s="176" t="s">
        <v>174</v>
      </c>
      <c r="E132" s="176" t="s">
        <v>145</v>
      </c>
      <c r="F132" s="179">
        <v>45999</v>
      </c>
      <c r="G132" s="177">
        <v>3120</v>
      </c>
      <c r="H132" s="179">
        <v>45964</v>
      </c>
      <c r="I132" s="179" t="s">
        <v>175</v>
      </c>
      <c r="J132" s="83">
        <v>3481906104</v>
      </c>
      <c r="K132" s="179"/>
      <c r="L132" s="179">
        <v>45964</v>
      </c>
      <c r="M132" s="180">
        <v>45986</v>
      </c>
      <c r="N132" s="181">
        <v>6.0793200000000001</v>
      </c>
      <c r="O132" s="181" t="s">
        <v>147</v>
      </c>
      <c r="P132" s="83" t="s">
        <v>148</v>
      </c>
      <c r="Q132" s="177" t="s">
        <v>149</v>
      </c>
      <c r="R132" s="83"/>
    </row>
    <row r="133" spans="1:18">
      <c r="A133" s="176">
        <v>80814098</v>
      </c>
      <c r="B133" s="177" t="s">
        <v>179</v>
      </c>
      <c r="C133" s="178" t="s">
        <v>150</v>
      </c>
      <c r="D133" s="176" t="s">
        <v>174</v>
      </c>
      <c r="E133" s="176" t="s">
        <v>145</v>
      </c>
      <c r="F133" s="179">
        <v>45999</v>
      </c>
      <c r="G133" s="177">
        <v>331</v>
      </c>
      <c r="H133" s="179">
        <v>45964</v>
      </c>
      <c r="I133" s="179" t="s">
        <v>175</v>
      </c>
      <c r="J133" s="83">
        <v>3481906105</v>
      </c>
      <c r="K133" s="179"/>
      <c r="L133" s="179">
        <v>45964</v>
      </c>
      <c r="M133" s="180">
        <v>45986</v>
      </c>
      <c r="N133" s="181">
        <v>0.59993750000000001</v>
      </c>
      <c r="O133" s="181" t="s">
        <v>147</v>
      </c>
      <c r="P133" s="83" t="s">
        <v>148</v>
      </c>
      <c r="Q133" s="177" t="s">
        <v>149</v>
      </c>
      <c r="R133" s="83"/>
    </row>
    <row r="134" spans="1:18">
      <c r="A134" s="177">
        <v>80814098</v>
      </c>
      <c r="B134" s="177" t="s">
        <v>179</v>
      </c>
      <c r="C134" s="178" t="s">
        <v>151</v>
      </c>
      <c r="D134" s="177" t="s">
        <v>174</v>
      </c>
      <c r="E134" s="176" t="s">
        <v>145</v>
      </c>
      <c r="F134" s="179">
        <v>45999</v>
      </c>
      <c r="G134" s="177">
        <v>905</v>
      </c>
      <c r="H134" s="179">
        <v>45964</v>
      </c>
      <c r="I134" s="179" t="s">
        <v>175</v>
      </c>
      <c r="J134" s="83">
        <v>3481906106</v>
      </c>
      <c r="K134" s="179"/>
      <c r="L134" s="179">
        <v>45964</v>
      </c>
      <c r="M134" s="180">
        <v>45986</v>
      </c>
      <c r="N134" s="181">
        <v>1.6403125000000001</v>
      </c>
      <c r="O134" s="181" t="s">
        <v>147</v>
      </c>
      <c r="P134" s="83" t="s">
        <v>148</v>
      </c>
      <c r="Q134" s="177" t="s">
        <v>149</v>
      </c>
      <c r="R134" s="83"/>
    </row>
    <row r="135" spans="1:18">
      <c r="A135" s="177">
        <v>80814098</v>
      </c>
      <c r="B135" s="177" t="s">
        <v>179</v>
      </c>
      <c r="C135" s="178" t="s">
        <v>152</v>
      </c>
      <c r="D135" s="177" t="s">
        <v>174</v>
      </c>
      <c r="E135" s="176" t="s">
        <v>145</v>
      </c>
      <c r="F135" s="179">
        <v>45999</v>
      </c>
      <c r="G135" s="177">
        <v>414</v>
      </c>
      <c r="H135" s="179">
        <v>45964</v>
      </c>
      <c r="I135" s="179" t="s">
        <v>175</v>
      </c>
      <c r="J135" s="83">
        <v>3481906107</v>
      </c>
      <c r="K135" s="179"/>
      <c r="L135" s="179">
        <v>45964</v>
      </c>
      <c r="M135" s="180">
        <v>45986</v>
      </c>
      <c r="N135" s="181">
        <v>0.75037500000000001</v>
      </c>
      <c r="O135" s="181" t="s">
        <v>147</v>
      </c>
      <c r="P135" s="83" t="s">
        <v>148</v>
      </c>
      <c r="Q135" s="177" t="s">
        <v>149</v>
      </c>
      <c r="R135" s="83"/>
    </row>
    <row r="136" spans="1:18">
      <c r="A136" s="177">
        <v>80814098</v>
      </c>
      <c r="B136" s="177" t="s">
        <v>179</v>
      </c>
      <c r="C136" s="178" t="s">
        <v>153</v>
      </c>
      <c r="D136" s="177" t="s">
        <v>174</v>
      </c>
      <c r="E136" s="176" t="s">
        <v>145</v>
      </c>
      <c r="F136" s="179">
        <v>45999</v>
      </c>
      <c r="G136" s="177">
        <v>634</v>
      </c>
      <c r="H136" s="179">
        <v>45964</v>
      </c>
      <c r="I136" s="179" t="s">
        <v>175</v>
      </c>
      <c r="J136" s="83">
        <v>3481906108</v>
      </c>
      <c r="K136" s="179"/>
      <c r="L136" s="179">
        <v>45964</v>
      </c>
      <c r="M136" s="180">
        <v>45986</v>
      </c>
      <c r="N136" s="181">
        <v>1.149125</v>
      </c>
      <c r="O136" s="181" t="s">
        <v>147</v>
      </c>
      <c r="P136" s="83" t="s">
        <v>148</v>
      </c>
      <c r="Q136" s="177" t="s">
        <v>149</v>
      </c>
      <c r="R136" s="83"/>
    </row>
    <row r="137" spans="1:18">
      <c r="A137" s="177">
        <v>80814098</v>
      </c>
      <c r="B137" s="177" t="s">
        <v>179</v>
      </c>
      <c r="C137" s="178" t="s">
        <v>155</v>
      </c>
      <c r="D137" s="177" t="s">
        <v>174</v>
      </c>
      <c r="E137" s="176" t="s">
        <v>145</v>
      </c>
      <c r="F137" s="179">
        <v>45999</v>
      </c>
      <c r="G137" s="177">
        <v>1732</v>
      </c>
      <c r="H137" s="179">
        <v>45964</v>
      </c>
      <c r="I137" s="179" t="s">
        <v>175</v>
      </c>
      <c r="J137" s="83">
        <v>3481906109</v>
      </c>
      <c r="K137" s="179"/>
      <c r="L137" s="179">
        <v>45964</v>
      </c>
      <c r="M137" s="180">
        <v>45986</v>
      </c>
      <c r="N137" s="181">
        <v>3.1392500000000001</v>
      </c>
      <c r="O137" s="181" t="s">
        <v>147</v>
      </c>
      <c r="P137" s="83" t="s">
        <v>148</v>
      </c>
      <c r="Q137" s="177" t="s">
        <v>149</v>
      </c>
      <c r="R137" s="83"/>
    </row>
    <row r="138" spans="1:18">
      <c r="A138" s="177">
        <v>80815642</v>
      </c>
      <c r="B138" s="177" t="s">
        <v>180</v>
      </c>
      <c r="C138" s="178" t="s">
        <v>150</v>
      </c>
      <c r="D138" s="177" t="s">
        <v>174</v>
      </c>
      <c r="E138" s="176" t="s">
        <v>145</v>
      </c>
      <c r="F138" s="179">
        <v>45999</v>
      </c>
      <c r="G138" s="177">
        <v>2022</v>
      </c>
      <c r="H138" s="179">
        <v>45964</v>
      </c>
      <c r="I138" s="179" t="s">
        <v>175</v>
      </c>
      <c r="J138" s="83">
        <v>3481906110</v>
      </c>
      <c r="K138" s="179"/>
      <c r="L138" s="179">
        <v>45964</v>
      </c>
      <c r="M138" s="180">
        <v>45986</v>
      </c>
      <c r="N138" s="181">
        <v>3.939867</v>
      </c>
      <c r="O138" s="181" t="s">
        <v>147</v>
      </c>
      <c r="P138" s="83" t="s">
        <v>148</v>
      </c>
      <c r="Q138" s="177" t="s">
        <v>149</v>
      </c>
      <c r="R138" s="83"/>
    </row>
    <row r="139" spans="1:18">
      <c r="A139" s="177">
        <v>80815642</v>
      </c>
      <c r="B139" s="177" t="s">
        <v>180</v>
      </c>
      <c r="C139" s="178" t="s">
        <v>151</v>
      </c>
      <c r="D139" s="177" t="s">
        <v>174</v>
      </c>
      <c r="E139" s="176" t="s">
        <v>145</v>
      </c>
      <c r="F139" s="179">
        <v>45999</v>
      </c>
      <c r="G139" s="177">
        <v>3890</v>
      </c>
      <c r="H139" s="179">
        <v>45964</v>
      </c>
      <c r="I139" s="179" t="s">
        <v>175</v>
      </c>
      <c r="J139" s="83">
        <v>3481906112</v>
      </c>
      <c r="K139" s="179"/>
      <c r="L139" s="179">
        <v>45964</v>
      </c>
      <c r="M139" s="180">
        <v>45986</v>
      </c>
      <c r="N139" s="181">
        <v>7.5796650000000003</v>
      </c>
      <c r="O139" s="181" t="s">
        <v>147</v>
      </c>
      <c r="P139" s="83" t="s">
        <v>148</v>
      </c>
      <c r="Q139" s="177" t="s">
        <v>149</v>
      </c>
      <c r="R139" s="83"/>
    </row>
    <row r="140" spans="1:18">
      <c r="A140" s="177">
        <v>80815642</v>
      </c>
      <c r="B140" s="177" t="s">
        <v>180</v>
      </c>
      <c r="C140" s="178" t="s">
        <v>152</v>
      </c>
      <c r="D140" s="177" t="s">
        <v>174</v>
      </c>
      <c r="E140" s="176" t="s">
        <v>145</v>
      </c>
      <c r="F140" s="179">
        <v>45999</v>
      </c>
      <c r="G140" s="177">
        <v>272</v>
      </c>
      <c r="H140" s="179">
        <v>45964</v>
      </c>
      <c r="I140" s="179" t="s">
        <v>175</v>
      </c>
      <c r="J140" s="83">
        <v>3481906113</v>
      </c>
      <c r="K140" s="179"/>
      <c r="L140" s="179">
        <v>45964</v>
      </c>
      <c r="M140" s="180">
        <v>45986</v>
      </c>
      <c r="N140" s="181">
        <v>0.52999200000000002</v>
      </c>
      <c r="O140" s="181" t="s">
        <v>147</v>
      </c>
      <c r="P140" s="83" t="s">
        <v>148</v>
      </c>
      <c r="Q140" s="177" t="s">
        <v>149</v>
      </c>
      <c r="R140" s="83"/>
    </row>
    <row r="141" spans="1:18">
      <c r="A141" s="177">
        <v>80815642</v>
      </c>
      <c r="B141" s="177" t="s">
        <v>180</v>
      </c>
      <c r="C141" s="178" t="s">
        <v>153</v>
      </c>
      <c r="D141" s="177" t="s">
        <v>174</v>
      </c>
      <c r="E141" s="176" t="s">
        <v>145</v>
      </c>
      <c r="F141" s="179">
        <v>45999</v>
      </c>
      <c r="G141" s="177">
        <v>734</v>
      </c>
      <c r="H141" s="179">
        <v>45964</v>
      </c>
      <c r="I141" s="179" t="s">
        <v>175</v>
      </c>
      <c r="J141" s="83">
        <v>3481906114</v>
      </c>
      <c r="K141" s="179"/>
      <c r="L141" s="179">
        <v>45964</v>
      </c>
      <c r="M141" s="180">
        <v>45986</v>
      </c>
      <c r="N141" s="181">
        <v>1.430199</v>
      </c>
      <c r="O141" s="181" t="s">
        <v>147</v>
      </c>
      <c r="P141" s="83" t="s">
        <v>148</v>
      </c>
      <c r="Q141" s="177" t="s">
        <v>149</v>
      </c>
      <c r="R141" s="83"/>
    </row>
    <row r="142" spans="1:18">
      <c r="A142" s="177">
        <v>80815642</v>
      </c>
      <c r="B142" s="177" t="s">
        <v>180</v>
      </c>
      <c r="C142" s="178" t="s">
        <v>155</v>
      </c>
      <c r="D142" s="177" t="s">
        <v>174</v>
      </c>
      <c r="E142" s="176" t="s">
        <v>145</v>
      </c>
      <c r="F142" s="179">
        <v>45999</v>
      </c>
      <c r="G142" s="177">
        <v>2828</v>
      </c>
      <c r="H142" s="179">
        <v>45964</v>
      </c>
      <c r="I142" s="179" t="s">
        <v>175</v>
      </c>
      <c r="J142" s="83">
        <v>3481906115</v>
      </c>
      <c r="K142" s="179"/>
      <c r="L142" s="179">
        <v>45964</v>
      </c>
      <c r="M142" s="180">
        <v>45986</v>
      </c>
      <c r="N142" s="181">
        <v>5.5103580000000001</v>
      </c>
      <c r="O142" s="181" t="s">
        <v>147</v>
      </c>
      <c r="P142" s="83" t="s">
        <v>148</v>
      </c>
      <c r="Q142" s="177" t="s">
        <v>149</v>
      </c>
      <c r="R142" s="83"/>
    </row>
    <row r="143" spans="1:18">
      <c r="A143" s="177">
        <v>80814097</v>
      </c>
      <c r="B143" s="177" t="s">
        <v>181</v>
      </c>
      <c r="C143" s="178" t="s">
        <v>150</v>
      </c>
      <c r="D143" s="177" t="s">
        <v>174</v>
      </c>
      <c r="E143" s="176" t="s">
        <v>145</v>
      </c>
      <c r="F143" s="179">
        <v>45999</v>
      </c>
      <c r="G143" s="177">
        <v>2124</v>
      </c>
      <c r="H143" s="179">
        <v>45964</v>
      </c>
      <c r="I143" s="179" t="s">
        <v>175</v>
      </c>
      <c r="J143" s="83">
        <v>3481906116</v>
      </c>
      <c r="K143" s="179"/>
      <c r="L143" s="179">
        <v>45964</v>
      </c>
      <c r="M143" s="180">
        <v>45986</v>
      </c>
      <c r="N143" s="181">
        <v>3.8497499999999998</v>
      </c>
      <c r="O143" s="181" t="s">
        <v>147</v>
      </c>
      <c r="P143" s="83" t="s">
        <v>148</v>
      </c>
      <c r="Q143" s="177" t="s">
        <v>149</v>
      </c>
      <c r="R143" s="83"/>
    </row>
    <row r="144" spans="1:18">
      <c r="A144" s="177">
        <v>80814097</v>
      </c>
      <c r="B144" s="177" t="s">
        <v>181</v>
      </c>
      <c r="C144" s="178" t="s">
        <v>151</v>
      </c>
      <c r="D144" s="177" t="s">
        <v>174</v>
      </c>
      <c r="E144" s="176" t="s">
        <v>145</v>
      </c>
      <c r="F144" s="179">
        <v>45999</v>
      </c>
      <c r="G144" s="177">
        <v>2676</v>
      </c>
      <c r="H144" s="179">
        <v>45964</v>
      </c>
      <c r="I144" s="179" t="s">
        <v>175</v>
      </c>
      <c r="J144" s="83">
        <v>3481906117</v>
      </c>
      <c r="K144" s="179"/>
      <c r="L144" s="179">
        <v>45964</v>
      </c>
      <c r="M144" s="180">
        <v>45986</v>
      </c>
      <c r="N144" s="181">
        <v>4.85025</v>
      </c>
      <c r="O144" s="181" t="s">
        <v>147</v>
      </c>
      <c r="P144" s="83" t="s">
        <v>148</v>
      </c>
      <c r="Q144" s="177" t="s">
        <v>149</v>
      </c>
      <c r="R144" s="83"/>
    </row>
    <row r="145" spans="1:18">
      <c r="A145" s="177">
        <v>80814097</v>
      </c>
      <c r="B145" s="177" t="s">
        <v>181</v>
      </c>
      <c r="C145" s="178" t="s">
        <v>152</v>
      </c>
      <c r="D145" s="177" t="s">
        <v>174</v>
      </c>
      <c r="E145" s="176" t="s">
        <v>145</v>
      </c>
      <c r="F145" s="179">
        <v>45999</v>
      </c>
      <c r="G145" s="177">
        <v>546</v>
      </c>
      <c r="H145" s="179">
        <v>45964</v>
      </c>
      <c r="I145" s="179" t="s">
        <v>175</v>
      </c>
      <c r="J145" s="83">
        <v>3481906118</v>
      </c>
      <c r="K145" s="179"/>
      <c r="L145" s="179">
        <v>45964</v>
      </c>
      <c r="M145" s="180">
        <v>45986</v>
      </c>
      <c r="N145" s="181">
        <v>0.98962499999999998</v>
      </c>
      <c r="O145" s="181" t="s">
        <v>147</v>
      </c>
      <c r="P145" s="83" t="s">
        <v>148</v>
      </c>
      <c r="Q145" s="177" t="s">
        <v>149</v>
      </c>
      <c r="R145" s="83"/>
    </row>
    <row r="146" spans="1:18">
      <c r="A146" s="177">
        <v>80814097</v>
      </c>
      <c r="B146" s="177" t="s">
        <v>181</v>
      </c>
      <c r="C146" s="178" t="s">
        <v>153</v>
      </c>
      <c r="D146" s="177" t="s">
        <v>174</v>
      </c>
      <c r="E146" s="176" t="s">
        <v>145</v>
      </c>
      <c r="F146" s="179">
        <v>45999</v>
      </c>
      <c r="G146" s="177">
        <v>916</v>
      </c>
      <c r="H146" s="179">
        <v>45964</v>
      </c>
      <c r="I146" s="179" t="s">
        <v>175</v>
      </c>
      <c r="J146" s="83">
        <v>3481906119</v>
      </c>
      <c r="K146" s="179"/>
      <c r="L146" s="179">
        <v>45964</v>
      </c>
      <c r="M146" s="180">
        <v>45986</v>
      </c>
      <c r="N146" s="181">
        <v>1.66025</v>
      </c>
      <c r="O146" s="181" t="s">
        <v>147</v>
      </c>
      <c r="P146" s="83" t="s">
        <v>148</v>
      </c>
      <c r="Q146" s="177" t="s">
        <v>149</v>
      </c>
      <c r="R146" s="83"/>
    </row>
    <row r="147" spans="1:18">
      <c r="A147" s="177">
        <v>80814097</v>
      </c>
      <c r="B147" s="177" t="s">
        <v>181</v>
      </c>
      <c r="C147" s="178" t="s">
        <v>155</v>
      </c>
      <c r="D147" s="177" t="s">
        <v>174</v>
      </c>
      <c r="E147" s="176" t="s">
        <v>145</v>
      </c>
      <c r="F147" s="179">
        <v>45999</v>
      </c>
      <c r="G147" s="177">
        <v>2174</v>
      </c>
      <c r="H147" s="179">
        <v>45964</v>
      </c>
      <c r="I147" s="179" t="s">
        <v>175</v>
      </c>
      <c r="J147" s="83">
        <v>3481906120</v>
      </c>
      <c r="K147" s="179"/>
      <c r="L147" s="179">
        <v>45964</v>
      </c>
      <c r="M147" s="180">
        <v>45986</v>
      </c>
      <c r="N147" s="181">
        <v>3.940375</v>
      </c>
      <c r="O147" s="181" t="s">
        <v>147</v>
      </c>
      <c r="P147" s="83" t="s">
        <v>148</v>
      </c>
      <c r="Q147" s="177" t="s">
        <v>149</v>
      </c>
      <c r="R147" s="83"/>
    </row>
    <row r="148" spans="1:18">
      <c r="A148" s="177">
        <v>80815644</v>
      </c>
      <c r="B148" s="177" t="s">
        <v>182</v>
      </c>
      <c r="C148" s="178" t="s">
        <v>150</v>
      </c>
      <c r="D148" s="177" t="s">
        <v>174</v>
      </c>
      <c r="E148" s="176" t="s">
        <v>145</v>
      </c>
      <c r="F148" s="179">
        <v>45999</v>
      </c>
      <c r="G148" s="177">
        <v>821</v>
      </c>
      <c r="H148" s="179">
        <v>45964</v>
      </c>
      <c r="I148" s="179" t="s">
        <v>175</v>
      </c>
      <c r="J148" s="83">
        <v>3481906121</v>
      </c>
      <c r="K148" s="179"/>
      <c r="L148" s="179">
        <v>45964</v>
      </c>
      <c r="M148" s="180">
        <v>45986</v>
      </c>
      <c r="N148" s="181">
        <v>1.5997185</v>
      </c>
      <c r="O148" s="181" t="s">
        <v>147</v>
      </c>
      <c r="P148" s="83" t="s">
        <v>148</v>
      </c>
      <c r="Q148" s="177" t="s">
        <v>149</v>
      </c>
      <c r="R148" s="83"/>
    </row>
    <row r="149" spans="1:18">
      <c r="A149" s="177">
        <v>80815644</v>
      </c>
      <c r="B149" s="177" t="s">
        <v>182</v>
      </c>
      <c r="C149" s="178" t="s">
        <v>151</v>
      </c>
      <c r="D149" s="177" t="s">
        <v>174</v>
      </c>
      <c r="E149" s="176" t="s">
        <v>145</v>
      </c>
      <c r="F149" s="179">
        <v>45999</v>
      </c>
      <c r="G149" s="177">
        <v>2032</v>
      </c>
      <c r="H149" s="179">
        <v>45964</v>
      </c>
      <c r="I149" s="179" t="s">
        <v>175</v>
      </c>
      <c r="J149" s="83">
        <v>3481906122</v>
      </c>
      <c r="K149" s="179"/>
      <c r="L149" s="179">
        <v>45964</v>
      </c>
      <c r="M149" s="180">
        <v>45986</v>
      </c>
      <c r="N149" s="181">
        <v>3.959352</v>
      </c>
      <c r="O149" s="181" t="s">
        <v>147</v>
      </c>
      <c r="P149" s="83" t="s">
        <v>148</v>
      </c>
      <c r="Q149" s="177" t="s">
        <v>149</v>
      </c>
      <c r="R149" s="83"/>
    </row>
    <row r="150" spans="1:18">
      <c r="A150" s="177">
        <v>80815644</v>
      </c>
      <c r="B150" s="177" t="s">
        <v>182</v>
      </c>
      <c r="C150" s="178" t="s">
        <v>152</v>
      </c>
      <c r="D150" s="177" t="s">
        <v>174</v>
      </c>
      <c r="E150" s="176" t="s">
        <v>145</v>
      </c>
      <c r="F150" s="179">
        <v>45999</v>
      </c>
      <c r="G150" s="177">
        <v>559</v>
      </c>
      <c r="H150" s="179">
        <v>45964</v>
      </c>
      <c r="I150" s="179" t="s">
        <v>175</v>
      </c>
      <c r="J150" s="83">
        <v>3481906123</v>
      </c>
      <c r="K150" s="179"/>
      <c r="L150" s="179">
        <v>45964</v>
      </c>
      <c r="M150" s="180">
        <v>45986</v>
      </c>
      <c r="N150" s="181">
        <v>1.0892115</v>
      </c>
      <c r="O150" s="181" t="s">
        <v>147</v>
      </c>
      <c r="P150" s="83" t="s">
        <v>148</v>
      </c>
      <c r="Q150" s="177" t="s">
        <v>149</v>
      </c>
      <c r="R150" s="83"/>
    </row>
    <row r="151" spans="1:18">
      <c r="A151" s="177">
        <v>80815644</v>
      </c>
      <c r="B151" s="177" t="s">
        <v>182</v>
      </c>
      <c r="C151" s="178" t="s">
        <v>153</v>
      </c>
      <c r="D151" s="177" t="s">
        <v>174</v>
      </c>
      <c r="E151" s="176" t="s">
        <v>145</v>
      </c>
      <c r="F151" s="179">
        <v>45999</v>
      </c>
      <c r="G151" s="177">
        <v>395</v>
      </c>
      <c r="H151" s="179">
        <v>45964</v>
      </c>
      <c r="I151" s="179" t="s">
        <v>175</v>
      </c>
      <c r="J151" s="83">
        <v>3481906124</v>
      </c>
      <c r="K151" s="179"/>
      <c r="L151" s="179">
        <v>45964</v>
      </c>
      <c r="M151" s="180">
        <v>45986</v>
      </c>
      <c r="N151" s="181">
        <v>0.76965749999999999</v>
      </c>
      <c r="O151" s="181" t="s">
        <v>147</v>
      </c>
      <c r="P151" s="83" t="s">
        <v>148</v>
      </c>
      <c r="Q151" s="177" t="s">
        <v>149</v>
      </c>
      <c r="R151" s="83"/>
    </row>
    <row r="152" spans="1:18">
      <c r="A152" s="177">
        <v>80815644</v>
      </c>
      <c r="B152" s="177" t="s">
        <v>182</v>
      </c>
      <c r="C152" s="178" t="s">
        <v>155</v>
      </c>
      <c r="D152" s="177" t="s">
        <v>174</v>
      </c>
      <c r="E152" s="176" t="s">
        <v>145</v>
      </c>
      <c r="F152" s="179">
        <v>45999</v>
      </c>
      <c r="G152" s="177">
        <v>1304</v>
      </c>
      <c r="H152" s="179">
        <v>45964</v>
      </c>
      <c r="I152" s="179" t="s">
        <v>175</v>
      </c>
      <c r="J152" s="83">
        <v>3481906125</v>
      </c>
      <c r="K152" s="179"/>
      <c r="L152" s="179">
        <v>45964</v>
      </c>
      <c r="M152" s="180">
        <v>45986</v>
      </c>
      <c r="N152" s="181">
        <v>2.5408439999999999</v>
      </c>
      <c r="O152" s="181" t="s">
        <v>147</v>
      </c>
      <c r="P152" s="83" t="s">
        <v>148</v>
      </c>
      <c r="Q152" s="177" t="s">
        <v>149</v>
      </c>
      <c r="R152" s="83"/>
    </row>
    <row r="153" spans="1:18">
      <c r="A153" s="177">
        <v>80820460</v>
      </c>
      <c r="B153" s="177" t="s">
        <v>183</v>
      </c>
      <c r="C153" s="178" t="s">
        <v>150</v>
      </c>
      <c r="D153" s="177" t="s">
        <v>174</v>
      </c>
      <c r="E153" s="176" t="s">
        <v>145</v>
      </c>
      <c r="F153" s="179">
        <v>45999</v>
      </c>
      <c r="G153" s="177">
        <v>259</v>
      </c>
      <c r="H153" s="179">
        <v>45964</v>
      </c>
      <c r="I153" s="179" t="s">
        <v>175</v>
      </c>
      <c r="J153" s="83">
        <v>3481906126</v>
      </c>
      <c r="K153" s="179"/>
      <c r="L153" s="179">
        <v>45964</v>
      </c>
      <c r="M153" s="180">
        <v>45986</v>
      </c>
      <c r="N153" s="181">
        <v>0.46946339999999998</v>
      </c>
      <c r="O153" s="181" t="s">
        <v>147</v>
      </c>
      <c r="P153" s="83" t="s">
        <v>148</v>
      </c>
      <c r="Q153" s="177" t="s">
        <v>149</v>
      </c>
      <c r="R153" s="83"/>
    </row>
    <row r="154" spans="1:18">
      <c r="A154" s="177">
        <v>80820460</v>
      </c>
      <c r="B154" s="177" t="s">
        <v>183</v>
      </c>
      <c r="C154" s="178" t="s">
        <v>151</v>
      </c>
      <c r="D154" s="177" t="s">
        <v>174</v>
      </c>
      <c r="E154" s="176" t="s">
        <v>145</v>
      </c>
      <c r="F154" s="179">
        <v>45999</v>
      </c>
      <c r="G154" s="177">
        <v>778</v>
      </c>
      <c r="H154" s="179">
        <v>45964</v>
      </c>
      <c r="I154" s="179" t="s">
        <v>175</v>
      </c>
      <c r="J154" s="83">
        <v>3481906127</v>
      </c>
      <c r="K154" s="179"/>
      <c r="L154" s="179">
        <v>45964</v>
      </c>
      <c r="M154" s="180">
        <v>45986</v>
      </c>
      <c r="N154" s="181">
        <v>1.4102028</v>
      </c>
      <c r="O154" s="181" t="s">
        <v>147</v>
      </c>
      <c r="P154" s="83" t="s">
        <v>148</v>
      </c>
      <c r="Q154" s="177" t="s">
        <v>149</v>
      </c>
      <c r="R154" s="83"/>
    </row>
    <row r="155" spans="1:18">
      <c r="A155" s="177">
        <v>80820460</v>
      </c>
      <c r="B155" s="177" t="s">
        <v>183</v>
      </c>
      <c r="C155" s="178" t="s">
        <v>152</v>
      </c>
      <c r="D155" s="177" t="s">
        <v>174</v>
      </c>
      <c r="E155" s="176" t="s">
        <v>145</v>
      </c>
      <c r="F155" s="179">
        <v>45999</v>
      </c>
      <c r="G155" s="177">
        <v>39</v>
      </c>
      <c r="H155" s="179">
        <v>45964</v>
      </c>
      <c r="I155" s="179" t="s">
        <v>175</v>
      </c>
      <c r="J155" s="83">
        <v>3481906128</v>
      </c>
      <c r="K155" s="179"/>
      <c r="L155" s="179">
        <v>45964</v>
      </c>
      <c r="M155" s="180">
        <v>45986</v>
      </c>
      <c r="N155" s="181">
        <v>7.0691400000000001E-2</v>
      </c>
      <c r="O155" s="181" t="s">
        <v>147</v>
      </c>
      <c r="P155" s="83" t="s">
        <v>148</v>
      </c>
      <c r="Q155" s="177" t="s">
        <v>149</v>
      </c>
      <c r="R155" s="83"/>
    </row>
    <row r="156" spans="1:18">
      <c r="A156" s="177">
        <v>80820460</v>
      </c>
      <c r="B156" s="177" t="s">
        <v>183</v>
      </c>
      <c r="C156" s="178" t="s">
        <v>153</v>
      </c>
      <c r="D156" s="177" t="s">
        <v>174</v>
      </c>
      <c r="E156" s="176" t="s">
        <v>145</v>
      </c>
      <c r="F156" s="179">
        <v>45999</v>
      </c>
      <c r="G156" s="177">
        <v>28</v>
      </c>
      <c r="H156" s="179">
        <v>45964</v>
      </c>
      <c r="I156" s="179" t="s">
        <v>175</v>
      </c>
      <c r="J156" s="83">
        <v>3481906130</v>
      </c>
      <c r="K156" s="179"/>
      <c r="L156" s="179">
        <v>45964</v>
      </c>
      <c r="M156" s="180">
        <v>45986</v>
      </c>
      <c r="N156" s="181">
        <v>5.0752800000000001E-2</v>
      </c>
      <c r="O156" s="181" t="s">
        <v>147</v>
      </c>
      <c r="P156" s="83" t="s">
        <v>148</v>
      </c>
      <c r="Q156" s="177" t="s">
        <v>149</v>
      </c>
      <c r="R156" s="83"/>
    </row>
    <row r="157" spans="1:18">
      <c r="A157" s="177">
        <v>80820460</v>
      </c>
      <c r="B157" s="177" t="s">
        <v>183</v>
      </c>
      <c r="C157" s="178" t="s">
        <v>155</v>
      </c>
      <c r="D157" s="177" t="s">
        <v>174</v>
      </c>
      <c r="E157" s="176" t="s">
        <v>145</v>
      </c>
      <c r="F157" s="179">
        <v>45999</v>
      </c>
      <c r="G157" s="177">
        <v>2229</v>
      </c>
      <c r="H157" s="179">
        <v>45964</v>
      </c>
      <c r="I157" s="179" t="s">
        <v>175</v>
      </c>
      <c r="J157" s="83">
        <v>3481906131</v>
      </c>
      <c r="K157" s="179"/>
      <c r="L157" s="179">
        <v>45964</v>
      </c>
      <c r="M157" s="180">
        <v>45986</v>
      </c>
      <c r="N157" s="181">
        <v>4.0402854000000001</v>
      </c>
      <c r="O157" s="181" t="s">
        <v>147</v>
      </c>
      <c r="P157" s="83" t="s">
        <v>148</v>
      </c>
      <c r="Q157" s="177" t="s">
        <v>149</v>
      </c>
      <c r="R157" s="83"/>
    </row>
    <row r="158" spans="1:18">
      <c r="A158" s="177">
        <v>80820459</v>
      </c>
      <c r="B158" s="177" t="s">
        <v>184</v>
      </c>
      <c r="C158" s="178" t="s">
        <v>150</v>
      </c>
      <c r="D158" s="177" t="s">
        <v>174</v>
      </c>
      <c r="E158" s="176" t="s">
        <v>145</v>
      </c>
      <c r="F158" s="179">
        <v>45999</v>
      </c>
      <c r="G158" s="177">
        <v>166</v>
      </c>
      <c r="H158" s="179">
        <v>45964</v>
      </c>
      <c r="I158" s="179" t="s">
        <v>175</v>
      </c>
      <c r="J158" s="83">
        <v>3481906132</v>
      </c>
      <c r="K158" s="179"/>
      <c r="L158" s="179">
        <v>45964</v>
      </c>
      <c r="M158" s="180">
        <v>45986</v>
      </c>
      <c r="N158" s="181">
        <v>0.30089159999999998</v>
      </c>
      <c r="O158" s="181" t="s">
        <v>147</v>
      </c>
      <c r="P158" s="83" t="s">
        <v>148</v>
      </c>
      <c r="Q158" s="177" t="s">
        <v>149</v>
      </c>
      <c r="R158" s="83"/>
    </row>
    <row r="159" spans="1:18">
      <c r="A159" s="177">
        <v>80820459</v>
      </c>
      <c r="B159" s="177" t="s">
        <v>184</v>
      </c>
      <c r="C159" s="178" t="s">
        <v>151</v>
      </c>
      <c r="D159" s="177" t="s">
        <v>174</v>
      </c>
      <c r="E159" s="176" t="s">
        <v>145</v>
      </c>
      <c r="F159" s="179">
        <v>45999</v>
      </c>
      <c r="G159" s="177">
        <v>1357</v>
      </c>
      <c r="H159" s="179">
        <v>45964</v>
      </c>
      <c r="I159" s="179" t="s">
        <v>175</v>
      </c>
      <c r="J159" s="83">
        <v>3481906133</v>
      </c>
      <c r="K159" s="179"/>
      <c r="L159" s="179">
        <v>45964</v>
      </c>
      <c r="M159" s="180">
        <v>45986</v>
      </c>
      <c r="N159" s="181">
        <v>2.4596982000000001</v>
      </c>
      <c r="O159" s="181" t="s">
        <v>147</v>
      </c>
      <c r="P159" s="83" t="s">
        <v>148</v>
      </c>
      <c r="Q159" s="177" t="s">
        <v>149</v>
      </c>
      <c r="R159" s="83"/>
    </row>
    <row r="160" spans="1:18">
      <c r="A160" s="177">
        <v>80820459</v>
      </c>
      <c r="B160" s="177" t="s">
        <v>184</v>
      </c>
      <c r="C160" s="178" t="s">
        <v>152</v>
      </c>
      <c r="D160" s="177" t="s">
        <v>174</v>
      </c>
      <c r="E160" s="176" t="s">
        <v>145</v>
      </c>
      <c r="F160" s="179">
        <v>45999</v>
      </c>
      <c r="G160" s="177">
        <v>281</v>
      </c>
      <c r="H160" s="179">
        <v>45964</v>
      </c>
      <c r="I160" s="179" t="s">
        <v>175</v>
      </c>
      <c r="J160" s="83">
        <v>3481906134</v>
      </c>
      <c r="K160" s="179"/>
      <c r="L160" s="179">
        <v>45964</v>
      </c>
      <c r="M160" s="180">
        <v>45986</v>
      </c>
      <c r="N160" s="181">
        <v>0.50934060000000003</v>
      </c>
      <c r="O160" s="181" t="s">
        <v>147</v>
      </c>
      <c r="P160" s="83" t="s">
        <v>148</v>
      </c>
      <c r="Q160" s="177" t="s">
        <v>149</v>
      </c>
      <c r="R160" s="83"/>
    </row>
    <row r="161" spans="1:18">
      <c r="A161" s="177">
        <v>80820459</v>
      </c>
      <c r="B161" s="177" t="s">
        <v>184</v>
      </c>
      <c r="C161" s="178" t="s">
        <v>153</v>
      </c>
      <c r="D161" s="177" t="s">
        <v>174</v>
      </c>
      <c r="E161" s="176" t="s">
        <v>145</v>
      </c>
      <c r="F161" s="179">
        <v>45999</v>
      </c>
      <c r="G161" s="177">
        <v>259</v>
      </c>
      <c r="H161" s="179">
        <v>45964</v>
      </c>
      <c r="I161" s="179" t="s">
        <v>175</v>
      </c>
      <c r="J161" s="83">
        <v>3481906135</v>
      </c>
      <c r="K161" s="179"/>
      <c r="L161" s="179">
        <v>45964</v>
      </c>
      <c r="M161" s="180">
        <v>45986</v>
      </c>
      <c r="N161" s="181">
        <v>0.46946339999999998</v>
      </c>
      <c r="O161" s="181" t="s">
        <v>147</v>
      </c>
      <c r="P161" s="83" t="s">
        <v>148</v>
      </c>
      <c r="Q161" s="177" t="s">
        <v>149</v>
      </c>
      <c r="R161" s="83"/>
    </row>
    <row r="162" spans="1:18">
      <c r="A162" s="177">
        <v>80820459</v>
      </c>
      <c r="B162" s="177" t="s">
        <v>184</v>
      </c>
      <c r="C162" s="178" t="s">
        <v>155</v>
      </c>
      <c r="D162" s="177" t="s">
        <v>174</v>
      </c>
      <c r="E162" s="176" t="s">
        <v>145</v>
      </c>
      <c r="F162" s="179">
        <v>45999</v>
      </c>
      <c r="G162" s="177">
        <v>2466</v>
      </c>
      <c r="H162" s="179">
        <v>45964</v>
      </c>
      <c r="I162" s="179" t="s">
        <v>175</v>
      </c>
      <c r="J162" s="83">
        <v>3481906136</v>
      </c>
      <c r="K162" s="179"/>
      <c r="L162" s="179">
        <v>45964</v>
      </c>
      <c r="M162" s="180">
        <v>45986</v>
      </c>
      <c r="N162" s="181">
        <v>4.4698716000000003</v>
      </c>
      <c r="O162" s="181" t="s">
        <v>147</v>
      </c>
      <c r="P162" s="83" t="s">
        <v>148</v>
      </c>
      <c r="Q162" s="177" t="s">
        <v>149</v>
      </c>
      <c r="R162" s="83"/>
    </row>
    <row r="163" spans="1:18">
      <c r="A163" s="177">
        <v>80820462</v>
      </c>
      <c r="B163" s="177" t="s">
        <v>185</v>
      </c>
      <c r="C163" s="178" t="s">
        <v>150</v>
      </c>
      <c r="D163" s="177" t="s">
        <v>174</v>
      </c>
      <c r="E163" s="176" t="s">
        <v>145</v>
      </c>
      <c r="F163" s="179">
        <v>45999</v>
      </c>
      <c r="G163" s="177">
        <v>458</v>
      </c>
      <c r="H163" s="179">
        <v>45964</v>
      </c>
      <c r="I163" s="179" t="s">
        <v>175</v>
      </c>
      <c r="J163" s="83">
        <v>3481906137</v>
      </c>
      <c r="K163" s="179"/>
      <c r="L163" s="179">
        <v>45964</v>
      </c>
      <c r="M163" s="180">
        <v>45986</v>
      </c>
      <c r="N163" s="181">
        <v>0.83017079999999999</v>
      </c>
      <c r="O163" s="181" t="s">
        <v>147</v>
      </c>
      <c r="P163" s="83" t="s">
        <v>148</v>
      </c>
      <c r="Q163" s="177" t="s">
        <v>149</v>
      </c>
      <c r="R163" s="83"/>
    </row>
    <row r="164" spans="1:18">
      <c r="A164" s="177">
        <v>80820462</v>
      </c>
      <c r="B164" s="177" t="s">
        <v>185</v>
      </c>
      <c r="C164" s="178" t="s">
        <v>151</v>
      </c>
      <c r="D164" s="177" t="s">
        <v>174</v>
      </c>
      <c r="E164" s="176" t="s">
        <v>145</v>
      </c>
      <c r="F164" s="179">
        <v>45999</v>
      </c>
      <c r="G164" s="177">
        <v>552</v>
      </c>
      <c r="H164" s="179">
        <v>45964</v>
      </c>
      <c r="I164" s="179" t="s">
        <v>175</v>
      </c>
      <c r="J164" s="83">
        <v>3481906138</v>
      </c>
      <c r="K164" s="179"/>
      <c r="L164" s="179">
        <v>45964</v>
      </c>
      <c r="M164" s="180">
        <v>45986</v>
      </c>
      <c r="N164" s="181">
        <v>1.0005552</v>
      </c>
      <c r="O164" s="181" t="s">
        <v>147</v>
      </c>
      <c r="P164" s="83" t="s">
        <v>148</v>
      </c>
      <c r="Q164" s="177" t="s">
        <v>149</v>
      </c>
      <c r="R164" s="83"/>
    </row>
    <row r="165" spans="1:18">
      <c r="A165" s="177">
        <v>80820462</v>
      </c>
      <c r="B165" s="177" t="s">
        <v>185</v>
      </c>
      <c r="C165" s="178" t="s">
        <v>153</v>
      </c>
      <c r="D165" s="177" t="s">
        <v>174</v>
      </c>
      <c r="E165" s="176" t="s">
        <v>145</v>
      </c>
      <c r="F165" s="179">
        <v>45999</v>
      </c>
      <c r="G165" s="177">
        <v>657</v>
      </c>
      <c r="H165" s="179">
        <v>45964</v>
      </c>
      <c r="I165" s="179" t="s">
        <v>175</v>
      </c>
      <c r="J165" s="83">
        <v>3481906139</v>
      </c>
      <c r="K165" s="179"/>
      <c r="L165" s="179">
        <v>45964</v>
      </c>
      <c r="M165" s="180">
        <v>45986</v>
      </c>
      <c r="N165" s="181">
        <v>1.1908782</v>
      </c>
      <c r="O165" s="181" t="s">
        <v>147</v>
      </c>
      <c r="P165" s="83" t="s">
        <v>148</v>
      </c>
      <c r="Q165" s="177" t="s">
        <v>149</v>
      </c>
      <c r="R165" s="83"/>
    </row>
    <row r="166" spans="1:18">
      <c r="A166" s="177">
        <v>80820462</v>
      </c>
      <c r="B166" s="177" t="s">
        <v>185</v>
      </c>
      <c r="C166" s="178" t="s">
        <v>155</v>
      </c>
      <c r="D166" s="177" t="s">
        <v>174</v>
      </c>
      <c r="E166" s="176" t="s">
        <v>145</v>
      </c>
      <c r="F166" s="179">
        <v>45999</v>
      </c>
      <c r="G166" s="177">
        <v>4231</v>
      </c>
      <c r="H166" s="179">
        <v>45964</v>
      </c>
      <c r="I166" s="179" t="s">
        <v>175</v>
      </c>
      <c r="J166" s="83">
        <v>3481906140</v>
      </c>
      <c r="K166" s="179"/>
      <c r="L166" s="179">
        <v>45964</v>
      </c>
      <c r="M166" s="180">
        <v>45986</v>
      </c>
      <c r="N166" s="181">
        <v>7.6691105999999998</v>
      </c>
      <c r="O166" s="181" t="s">
        <v>147</v>
      </c>
      <c r="P166" s="83" t="s">
        <v>148</v>
      </c>
      <c r="Q166" s="177" t="s">
        <v>149</v>
      </c>
      <c r="R166" s="83"/>
    </row>
    <row r="167" spans="1:18">
      <c r="A167" s="177">
        <v>80820469</v>
      </c>
      <c r="B167" s="177" t="s">
        <v>186</v>
      </c>
      <c r="C167" s="178" t="s">
        <v>143</v>
      </c>
      <c r="D167" s="177" t="s">
        <v>174</v>
      </c>
      <c r="E167" s="176" t="s">
        <v>145</v>
      </c>
      <c r="F167" s="179">
        <v>45999</v>
      </c>
      <c r="G167" s="177">
        <v>110</v>
      </c>
      <c r="H167" s="179">
        <v>45964</v>
      </c>
      <c r="I167" s="179" t="s">
        <v>175</v>
      </c>
      <c r="J167" s="83">
        <v>3481906141</v>
      </c>
      <c r="K167" s="179"/>
      <c r="L167" s="179">
        <v>45964</v>
      </c>
      <c r="M167" s="180">
        <v>45986</v>
      </c>
      <c r="N167" s="181">
        <v>0.19938600000000001</v>
      </c>
      <c r="O167" s="181" t="s">
        <v>147</v>
      </c>
      <c r="P167" s="83" t="s">
        <v>148</v>
      </c>
      <c r="Q167" s="177" t="s">
        <v>149</v>
      </c>
      <c r="R167" s="83"/>
    </row>
    <row r="168" spans="1:18">
      <c r="A168" s="177">
        <v>80820469</v>
      </c>
      <c r="B168" s="177" t="s">
        <v>186</v>
      </c>
      <c r="C168" s="178" t="s">
        <v>150</v>
      </c>
      <c r="D168" s="177" t="s">
        <v>174</v>
      </c>
      <c r="E168" s="176" t="s">
        <v>145</v>
      </c>
      <c r="F168" s="179">
        <v>45999</v>
      </c>
      <c r="G168" s="177">
        <v>22</v>
      </c>
      <c r="H168" s="179">
        <v>45964</v>
      </c>
      <c r="I168" s="179" t="s">
        <v>175</v>
      </c>
      <c r="J168" s="83">
        <v>3481906142</v>
      </c>
      <c r="K168" s="179"/>
      <c r="L168" s="179">
        <v>45964</v>
      </c>
      <c r="M168" s="180">
        <v>45986</v>
      </c>
      <c r="N168" s="181">
        <v>3.9877200000000002E-2</v>
      </c>
      <c r="O168" s="181" t="s">
        <v>147</v>
      </c>
      <c r="P168" s="83" t="s">
        <v>148</v>
      </c>
      <c r="Q168" s="177" t="s">
        <v>149</v>
      </c>
      <c r="R168" s="83"/>
    </row>
    <row r="169" spans="1:18">
      <c r="A169" s="177">
        <v>80820469</v>
      </c>
      <c r="B169" s="177" t="s">
        <v>186</v>
      </c>
      <c r="C169" s="178" t="s">
        <v>151</v>
      </c>
      <c r="D169" s="177" t="s">
        <v>174</v>
      </c>
      <c r="E169" s="176" t="s">
        <v>145</v>
      </c>
      <c r="F169" s="179">
        <v>45999</v>
      </c>
      <c r="G169" s="177">
        <v>1776</v>
      </c>
      <c r="H169" s="179">
        <v>45964</v>
      </c>
      <c r="I169" s="179" t="s">
        <v>175</v>
      </c>
      <c r="J169" s="83">
        <v>3481906143</v>
      </c>
      <c r="K169" s="179"/>
      <c r="L169" s="179">
        <v>45964</v>
      </c>
      <c r="M169" s="180">
        <v>45986</v>
      </c>
      <c r="N169" s="181">
        <v>3.2191776000000001</v>
      </c>
      <c r="O169" s="181" t="s">
        <v>147</v>
      </c>
      <c r="P169" s="83" t="s">
        <v>148</v>
      </c>
      <c r="Q169" s="177" t="s">
        <v>149</v>
      </c>
      <c r="R169" s="83"/>
    </row>
    <row r="170" spans="1:18">
      <c r="A170" s="177">
        <v>80820469</v>
      </c>
      <c r="B170" s="177" t="s">
        <v>186</v>
      </c>
      <c r="C170" s="178" t="s">
        <v>152</v>
      </c>
      <c r="D170" s="177" t="s">
        <v>174</v>
      </c>
      <c r="E170" s="176" t="s">
        <v>145</v>
      </c>
      <c r="F170" s="179">
        <v>45999</v>
      </c>
      <c r="G170" s="177">
        <v>436</v>
      </c>
      <c r="H170" s="179">
        <v>45964</v>
      </c>
      <c r="I170" s="179" t="s">
        <v>175</v>
      </c>
      <c r="J170" s="83">
        <v>3481906144</v>
      </c>
      <c r="K170" s="179"/>
      <c r="L170" s="179">
        <v>45964</v>
      </c>
      <c r="M170" s="180">
        <v>45986</v>
      </c>
      <c r="N170" s="181">
        <v>0.79029360000000004</v>
      </c>
      <c r="O170" s="181" t="s">
        <v>147</v>
      </c>
      <c r="P170" s="83" t="s">
        <v>148</v>
      </c>
      <c r="Q170" s="177" t="s">
        <v>149</v>
      </c>
      <c r="R170" s="83"/>
    </row>
    <row r="171" spans="1:18">
      <c r="A171" s="177">
        <v>80820469</v>
      </c>
      <c r="B171" s="177" t="s">
        <v>186</v>
      </c>
      <c r="C171" s="178" t="s">
        <v>153</v>
      </c>
      <c r="D171" s="177" t="s">
        <v>174</v>
      </c>
      <c r="E171" s="176" t="s">
        <v>145</v>
      </c>
      <c r="F171" s="179">
        <v>45999</v>
      </c>
      <c r="G171" s="177">
        <v>485</v>
      </c>
      <c r="H171" s="179">
        <v>45964</v>
      </c>
      <c r="I171" s="179" t="s">
        <v>175</v>
      </c>
      <c r="J171" s="83">
        <v>3481906145</v>
      </c>
      <c r="K171" s="179"/>
      <c r="L171" s="179">
        <v>45964</v>
      </c>
      <c r="M171" s="180">
        <v>45986</v>
      </c>
      <c r="N171" s="181">
        <v>0.87911099999999998</v>
      </c>
      <c r="O171" s="181" t="s">
        <v>147</v>
      </c>
      <c r="P171" s="83" t="s">
        <v>148</v>
      </c>
      <c r="Q171" s="177" t="s">
        <v>149</v>
      </c>
      <c r="R171" s="83"/>
    </row>
    <row r="172" spans="1:18">
      <c r="A172" s="177">
        <v>80820469</v>
      </c>
      <c r="B172" s="177" t="s">
        <v>186</v>
      </c>
      <c r="C172" s="178" t="s">
        <v>155</v>
      </c>
      <c r="D172" s="177" t="s">
        <v>174</v>
      </c>
      <c r="E172" s="176" t="s">
        <v>145</v>
      </c>
      <c r="F172" s="179">
        <v>45999</v>
      </c>
      <c r="G172" s="177">
        <v>5031</v>
      </c>
      <c r="H172" s="179">
        <v>45964</v>
      </c>
      <c r="I172" s="179" t="s">
        <v>175</v>
      </c>
      <c r="J172" s="83">
        <v>3481906146</v>
      </c>
      <c r="K172" s="179"/>
      <c r="L172" s="179">
        <v>45964</v>
      </c>
      <c r="M172" s="180">
        <v>45986</v>
      </c>
      <c r="N172" s="181">
        <v>9.1191905999999996</v>
      </c>
      <c r="O172" s="181" t="s">
        <v>147</v>
      </c>
      <c r="P172" s="83" t="s">
        <v>148</v>
      </c>
      <c r="Q172" s="177" t="s">
        <v>149</v>
      </c>
      <c r="R172" s="83"/>
    </row>
    <row r="173" spans="1:18">
      <c r="A173" s="177">
        <v>80813636</v>
      </c>
      <c r="B173" s="177" t="s">
        <v>187</v>
      </c>
      <c r="C173" s="178" t="s">
        <v>143</v>
      </c>
      <c r="D173" s="177" t="s">
        <v>174</v>
      </c>
      <c r="E173" s="176" t="s">
        <v>145</v>
      </c>
      <c r="F173" s="179">
        <v>45999</v>
      </c>
      <c r="G173" s="177">
        <v>80</v>
      </c>
      <c r="H173" s="179">
        <v>45964</v>
      </c>
      <c r="I173" s="179" t="s">
        <v>175</v>
      </c>
      <c r="J173" s="83">
        <v>3481906147</v>
      </c>
      <c r="K173" s="179"/>
      <c r="L173" s="179">
        <v>45964</v>
      </c>
      <c r="M173" s="180">
        <v>45987</v>
      </c>
      <c r="N173" s="181">
        <v>9.9575999999999998E-2</v>
      </c>
      <c r="O173" s="181" t="s">
        <v>147</v>
      </c>
      <c r="P173" s="83" t="s">
        <v>148</v>
      </c>
      <c r="Q173" s="177" t="s">
        <v>149</v>
      </c>
      <c r="R173" s="83"/>
    </row>
    <row r="174" spans="1:18">
      <c r="A174" s="177">
        <v>80813636</v>
      </c>
      <c r="B174" s="177" t="s">
        <v>187</v>
      </c>
      <c r="C174" s="178" t="s">
        <v>150</v>
      </c>
      <c r="D174" s="177" t="s">
        <v>174</v>
      </c>
      <c r="E174" s="176" t="s">
        <v>145</v>
      </c>
      <c r="F174" s="179">
        <v>45999</v>
      </c>
      <c r="G174" s="177">
        <v>80</v>
      </c>
      <c r="H174" s="179">
        <v>45964</v>
      </c>
      <c r="I174" s="179" t="s">
        <v>175</v>
      </c>
      <c r="J174" s="83">
        <v>3481906148</v>
      </c>
      <c r="K174" s="179"/>
      <c r="L174" s="179">
        <v>45964</v>
      </c>
      <c r="M174" s="180">
        <v>45987</v>
      </c>
      <c r="N174" s="181">
        <v>9.9575999999999998E-2</v>
      </c>
      <c r="O174" s="181" t="s">
        <v>147</v>
      </c>
      <c r="P174" s="83" t="s">
        <v>148</v>
      </c>
      <c r="Q174" s="177" t="s">
        <v>149</v>
      </c>
      <c r="R174" s="83"/>
    </row>
    <row r="175" spans="1:18">
      <c r="A175" s="177">
        <v>80813636</v>
      </c>
      <c r="B175" s="177" t="s">
        <v>187</v>
      </c>
      <c r="C175" s="178" t="s">
        <v>151</v>
      </c>
      <c r="D175" s="177" t="s">
        <v>174</v>
      </c>
      <c r="E175" s="176" t="s">
        <v>145</v>
      </c>
      <c r="F175" s="179">
        <v>45999</v>
      </c>
      <c r="G175" s="177">
        <v>450</v>
      </c>
      <c r="H175" s="179">
        <v>45964</v>
      </c>
      <c r="I175" s="179" t="s">
        <v>175</v>
      </c>
      <c r="J175" s="83">
        <v>3481906149</v>
      </c>
      <c r="K175" s="179"/>
      <c r="L175" s="179">
        <v>45964</v>
      </c>
      <c r="M175" s="180">
        <v>45987</v>
      </c>
      <c r="N175" s="181">
        <v>0.56011500000000003</v>
      </c>
      <c r="O175" s="181" t="s">
        <v>147</v>
      </c>
      <c r="P175" s="83" t="s">
        <v>148</v>
      </c>
      <c r="Q175" s="177" t="s">
        <v>149</v>
      </c>
      <c r="R175" s="83"/>
    </row>
    <row r="176" spans="1:18">
      <c r="A176" s="177">
        <v>80813636</v>
      </c>
      <c r="B176" s="177" t="s">
        <v>187</v>
      </c>
      <c r="C176" s="178" t="s">
        <v>153</v>
      </c>
      <c r="D176" s="177" t="s">
        <v>174</v>
      </c>
      <c r="E176" s="176" t="s">
        <v>145</v>
      </c>
      <c r="F176" s="179">
        <v>45999</v>
      </c>
      <c r="G176" s="177">
        <v>112</v>
      </c>
      <c r="H176" s="179">
        <v>45964</v>
      </c>
      <c r="I176" s="179" t="s">
        <v>175</v>
      </c>
      <c r="J176" s="83">
        <v>3481906150</v>
      </c>
      <c r="K176" s="179"/>
      <c r="L176" s="179">
        <v>45964</v>
      </c>
      <c r="M176" s="180">
        <v>45987</v>
      </c>
      <c r="N176" s="181">
        <v>0.13940640000000001</v>
      </c>
      <c r="O176" s="181" t="s">
        <v>147</v>
      </c>
      <c r="P176" s="83" t="s">
        <v>148</v>
      </c>
      <c r="Q176" s="177" t="s">
        <v>149</v>
      </c>
      <c r="R176" s="83"/>
    </row>
    <row r="177" spans="1:18">
      <c r="A177" s="177">
        <v>80813636</v>
      </c>
      <c r="B177" s="177" t="s">
        <v>187</v>
      </c>
      <c r="C177" s="178" t="s">
        <v>155</v>
      </c>
      <c r="D177" s="177" t="s">
        <v>174</v>
      </c>
      <c r="E177" s="176" t="s">
        <v>145</v>
      </c>
      <c r="F177" s="179">
        <v>45999</v>
      </c>
      <c r="G177" s="177">
        <v>828</v>
      </c>
      <c r="H177" s="179">
        <v>45964</v>
      </c>
      <c r="I177" s="179" t="s">
        <v>175</v>
      </c>
      <c r="J177" s="83">
        <v>3481906151</v>
      </c>
      <c r="K177" s="179"/>
      <c r="L177" s="179">
        <v>45964</v>
      </c>
      <c r="M177" s="180">
        <v>45987</v>
      </c>
      <c r="N177" s="181">
        <v>1.0306116000000001</v>
      </c>
      <c r="O177" s="181" t="s">
        <v>147</v>
      </c>
      <c r="P177" s="83" t="s">
        <v>148</v>
      </c>
      <c r="Q177" s="177" t="s">
        <v>149</v>
      </c>
      <c r="R177" s="83"/>
    </row>
    <row r="178" spans="1:18">
      <c r="A178" s="177">
        <v>80813610</v>
      </c>
      <c r="B178" s="177" t="s">
        <v>188</v>
      </c>
      <c r="C178" s="178" t="s">
        <v>150</v>
      </c>
      <c r="D178" s="177" t="s">
        <v>174</v>
      </c>
      <c r="E178" s="176" t="s">
        <v>145</v>
      </c>
      <c r="F178" s="179">
        <v>45999</v>
      </c>
      <c r="G178" s="177">
        <v>265</v>
      </c>
      <c r="H178" s="179">
        <v>45964</v>
      </c>
      <c r="I178" s="179" t="s">
        <v>175</v>
      </c>
      <c r="J178" s="83">
        <v>3481906152</v>
      </c>
      <c r="K178" s="179"/>
      <c r="L178" s="179">
        <v>45964</v>
      </c>
      <c r="M178" s="180">
        <v>45986</v>
      </c>
      <c r="N178" s="181">
        <v>0.48033900000000002</v>
      </c>
      <c r="O178" s="181" t="s">
        <v>147</v>
      </c>
      <c r="P178" s="83" t="s">
        <v>148</v>
      </c>
      <c r="Q178" s="177" t="s">
        <v>149</v>
      </c>
      <c r="R178" s="83"/>
    </row>
    <row r="179" spans="1:18">
      <c r="A179" s="177">
        <v>80813610</v>
      </c>
      <c r="B179" s="177" t="s">
        <v>188</v>
      </c>
      <c r="C179" s="178" t="s">
        <v>151</v>
      </c>
      <c r="D179" s="177" t="s">
        <v>174</v>
      </c>
      <c r="E179" s="176" t="s">
        <v>145</v>
      </c>
      <c r="F179" s="179">
        <v>45999</v>
      </c>
      <c r="G179" s="177">
        <v>237</v>
      </c>
      <c r="H179" s="179">
        <v>45964</v>
      </c>
      <c r="I179" s="179" t="s">
        <v>175</v>
      </c>
      <c r="J179" s="83">
        <v>3481906153</v>
      </c>
      <c r="K179" s="179"/>
      <c r="L179" s="179">
        <v>45964</v>
      </c>
      <c r="M179" s="180">
        <v>45986</v>
      </c>
      <c r="N179" s="181">
        <v>0.42958619999999997</v>
      </c>
      <c r="O179" s="181" t="s">
        <v>147</v>
      </c>
      <c r="P179" s="83" t="s">
        <v>148</v>
      </c>
      <c r="Q179" s="177" t="s">
        <v>149</v>
      </c>
      <c r="R179" s="83"/>
    </row>
    <row r="180" spans="1:18">
      <c r="A180" s="177">
        <v>80813610</v>
      </c>
      <c r="B180" s="177" t="s">
        <v>188</v>
      </c>
      <c r="C180" s="178" t="s">
        <v>153</v>
      </c>
      <c r="D180" s="177" t="s">
        <v>174</v>
      </c>
      <c r="E180" s="176" t="s">
        <v>145</v>
      </c>
      <c r="F180" s="179">
        <v>45999</v>
      </c>
      <c r="G180" s="177">
        <v>259</v>
      </c>
      <c r="H180" s="179">
        <v>45964</v>
      </c>
      <c r="I180" s="179" t="s">
        <v>175</v>
      </c>
      <c r="J180" s="83">
        <v>3481906154</v>
      </c>
      <c r="K180" s="179"/>
      <c r="L180" s="179">
        <v>45964</v>
      </c>
      <c r="M180" s="180">
        <v>45986</v>
      </c>
      <c r="N180" s="181">
        <v>0.46946339999999998</v>
      </c>
      <c r="O180" s="181" t="s">
        <v>147</v>
      </c>
      <c r="P180" s="83" t="s">
        <v>148</v>
      </c>
      <c r="Q180" s="177" t="s">
        <v>149</v>
      </c>
      <c r="R180" s="83"/>
    </row>
    <row r="181" spans="1:18">
      <c r="A181" s="177">
        <v>80813610</v>
      </c>
      <c r="B181" s="177" t="s">
        <v>188</v>
      </c>
      <c r="C181" s="178" t="s">
        <v>155</v>
      </c>
      <c r="D181" s="177" t="s">
        <v>174</v>
      </c>
      <c r="E181" s="176" t="s">
        <v>145</v>
      </c>
      <c r="F181" s="179">
        <v>45999</v>
      </c>
      <c r="G181" s="177">
        <v>1390</v>
      </c>
      <c r="H181" s="179">
        <v>45964</v>
      </c>
      <c r="I181" s="179" t="s">
        <v>175</v>
      </c>
      <c r="J181" s="83">
        <v>3481906155</v>
      </c>
      <c r="K181" s="179"/>
      <c r="L181" s="179">
        <v>45964</v>
      </c>
      <c r="M181" s="180">
        <v>45986</v>
      </c>
      <c r="N181" s="181">
        <v>2.519514</v>
      </c>
      <c r="O181" s="181" t="s">
        <v>147</v>
      </c>
      <c r="P181" s="83" t="s">
        <v>148</v>
      </c>
      <c r="Q181" s="177" t="s">
        <v>149</v>
      </c>
      <c r="R181" s="83"/>
    </row>
    <row r="182" spans="1:18">
      <c r="A182" s="177">
        <v>80813615</v>
      </c>
      <c r="B182" s="177" t="s">
        <v>189</v>
      </c>
      <c r="C182" s="178" t="s">
        <v>150</v>
      </c>
      <c r="D182" s="177" t="s">
        <v>174</v>
      </c>
      <c r="E182" s="176" t="s">
        <v>145</v>
      </c>
      <c r="F182" s="179">
        <v>45999</v>
      </c>
      <c r="G182" s="177">
        <v>2350</v>
      </c>
      <c r="H182" s="179">
        <v>45964</v>
      </c>
      <c r="I182" s="179" t="s">
        <v>175</v>
      </c>
      <c r="J182" s="83">
        <v>3481906156</v>
      </c>
      <c r="K182" s="179"/>
      <c r="L182" s="179">
        <v>45964</v>
      </c>
      <c r="M182" s="180">
        <v>45986</v>
      </c>
      <c r="N182" s="181">
        <v>4.2596100000000003</v>
      </c>
      <c r="O182" s="181" t="s">
        <v>147</v>
      </c>
      <c r="P182" s="83" t="s">
        <v>148</v>
      </c>
      <c r="Q182" s="177" t="s">
        <v>149</v>
      </c>
      <c r="R182" s="83"/>
    </row>
    <row r="183" spans="1:18">
      <c r="A183" s="177">
        <v>80813615</v>
      </c>
      <c r="B183" s="177" t="s">
        <v>189</v>
      </c>
      <c r="C183" s="178" t="s">
        <v>151</v>
      </c>
      <c r="D183" s="177" t="s">
        <v>174</v>
      </c>
      <c r="E183" s="176" t="s">
        <v>145</v>
      </c>
      <c r="F183" s="179">
        <v>45999</v>
      </c>
      <c r="G183" s="177">
        <v>1545</v>
      </c>
      <c r="H183" s="179">
        <v>45964</v>
      </c>
      <c r="I183" s="179" t="s">
        <v>175</v>
      </c>
      <c r="J183" s="83">
        <v>3481906157</v>
      </c>
      <c r="K183" s="179"/>
      <c r="L183" s="179">
        <v>45964</v>
      </c>
      <c r="M183" s="180">
        <v>45986</v>
      </c>
      <c r="N183" s="181">
        <v>2.8004669999999998</v>
      </c>
      <c r="O183" s="181" t="s">
        <v>147</v>
      </c>
      <c r="P183" s="83" t="s">
        <v>148</v>
      </c>
      <c r="Q183" s="177" t="s">
        <v>149</v>
      </c>
      <c r="R183" s="83"/>
    </row>
    <row r="184" spans="1:18">
      <c r="A184" s="177">
        <v>80813615</v>
      </c>
      <c r="B184" s="177" t="s">
        <v>189</v>
      </c>
      <c r="C184" s="178" t="s">
        <v>152</v>
      </c>
      <c r="D184" s="177" t="s">
        <v>174</v>
      </c>
      <c r="E184" s="176" t="s">
        <v>145</v>
      </c>
      <c r="F184" s="179">
        <v>45999</v>
      </c>
      <c r="G184" s="177">
        <v>309</v>
      </c>
      <c r="H184" s="179">
        <v>45964</v>
      </c>
      <c r="I184" s="179" t="s">
        <v>175</v>
      </c>
      <c r="J184" s="83">
        <v>3481906158</v>
      </c>
      <c r="K184" s="179"/>
      <c r="L184" s="179">
        <v>45964</v>
      </c>
      <c r="M184" s="180">
        <v>45986</v>
      </c>
      <c r="N184" s="181">
        <v>0.56009339999999996</v>
      </c>
      <c r="O184" s="181" t="s">
        <v>147</v>
      </c>
      <c r="P184" s="83" t="s">
        <v>148</v>
      </c>
      <c r="Q184" s="177" t="s">
        <v>149</v>
      </c>
      <c r="R184" s="83"/>
    </row>
    <row r="185" spans="1:18">
      <c r="A185" s="177">
        <v>80813615</v>
      </c>
      <c r="B185" s="177" t="s">
        <v>189</v>
      </c>
      <c r="C185" s="178" t="s">
        <v>153</v>
      </c>
      <c r="D185" s="177" t="s">
        <v>174</v>
      </c>
      <c r="E185" s="176" t="s">
        <v>145</v>
      </c>
      <c r="F185" s="179">
        <v>45999</v>
      </c>
      <c r="G185" s="177">
        <v>199</v>
      </c>
      <c r="H185" s="179">
        <v>45964</v>
      </c>
      <c r="I185" s="179" t="s">
        <v>175</v>
      </c>
      <c r="J185" s="83">
        <v>3481906159</v>
      </c>
      <c r="K185" s="179"/>
      <c r="L185" s="179">
        <v>45964</v>
      </c>
      <c r="M185" s="180">
        <v>45986</v>
      </c>
      <c r="N185" s="181">
        <v>0.36070740000000001</v>
      </c>
      <c r="O185" s="181" t="s">
        <v>147</v>
      </c>
      <c r="P185" s="83" t="s">
        <v>148</v>
      </c>
      <c r="Q185" s="177" t="s">
        <v>149</v>
      </c>
      <c r="R185" s="83"/>
    </row>
    <row r="186" spans="1:18">
      <c r="A186" s="177">
        <v>80813615</v>
      </c>
      <c r="B186" s="177" t="s">
        <v>189</v>
      </c>
      <c r="C186" s="178" t="s">
        <v>155</v>
      </c>
      <c r="D186" s="177" t="s">
        <v>174</v>
      </c>
      <c r="E186" s="176" t="s">
        <v>145</v>
      </c>
      <c r="F186" s="179">
        <v>45999</v>
      </c>
      <c r="G186" s="177">
        <v>1771</v>
      </c>
      <c r="H186" s="179">
        <v>45964</v>
      </c>
      <c r="I186" s="179" t="s">
        <v>175</v>
      </c>
      <c r="J186" s="83">
        <v>3481906160</v>
      </c>
      <c r="K186" s="179"/>
      <c r="L186" s="179">
        <v>45964</v>
      </c>
      <c r="M186" s="180">
        <v>45986</v>
      </c>
      <c r="N186" s="181">
        <v>3.2101145999999998</v>
      </c>
      <c r="O186" s="181" t="s">
        <v>147</v>
      </c>
      <c r="P186" s="83" t="s">
        <v>148</v>
      </c>
      <c r="Q186" s="177" t="s">
        <v>149</v>
      </c>
      <c r="R186" s="83"/>
    </row>
    <row r="187" spans="1:18">
      <c r="A187" s="177">
        <v>80813619</v>
      </c>
      <c r="B187" s="177" t="s">
        <v>190</v>
      </c>
      <c r="C187" s="178" t="s">
        <v>150</v>
      </c>
      <c r="D187" s="177" t="s">
        <v>174</v>
      </c>
      <c r="E187" s="176" t="s">
        <v>145</v>
      </c>
      <c r="F187" s="179">
        <v>45999</v>
      </c>
      <c r="G187" s="177">
        <v>337</v>
      </c>
      <c r="H187" s="179">
        <v>45964</v>
      </c>
      <c r="I187" s="179" t="s">
        <v>175</v>
      </c>
      <c r="J187" s="83">
        <v>3481906161</v>
      </c>
      <c r="K187" s="179"/>
      <c r="L187" s="179">
        <v>45964</v>
      </c>
      <c r="M187" s="180">
        <v>45986</v>
      </c>
      <c r="N187" s="181">
        <v>0.61084620000000001</v>
      </c>
      <c r="O187" s="181" t="s">
        <v>147</v>
      </c>
      <c r="P187" s="83" t="s">
        <v>148</v>
      </c>
      <c r="Q187" s="177" t="s">
        <v>149</v>
      </c>
      <c r="R187" s="83"/>
    </row>
    <row r="188" spans="1:18">
      <c r="A188" s="177">
        <v>80813619</v>
      </c>
      <c r="B188" s="177" t="s">
        <v>190</v>
      </c>
      <c r="C188" s="178" t="s">
        <v>151</v>
      </c>
      <c r="D188" s="177" t="s">
        <v>174</v>
      </c>
      <c r="E188" s="176" t="s">
        <v>145</v>
      </c>
      <c r="F188" s="179">
        <v>45999</v>
      </c>
      <c r="G188" s="177">
        <v>397</v>
      </c>
      <c r="H188" s="179">
        <v>45964</v>
      </c>
      <c r="I188" s="179" t="s">
        <v>175</v>
      </c>
      <c r="J188" s="83">
        <v>3481906162</v>
      </c>
      <c r="K188" s="179"/>
      <c r="L188" s="179">
        <v>45964</v>
      </c>
      <c r="M188" s="180">
        <v>45986</v>
      </c>
      <c r="N188" s="181">
        <v>0.71960219999999997</v>
      </c>
      <c r="O188" s="181" t="s">
        <v>147</v>
      </c>
      <c r="P188" s="83" t="s">
        <v>148</v>
      </c>
      <c r="Q188" s="177" t="s">
        <v>149</v>
      </c>
      <c r="R188" s="83"/>
    </row>
    <row r="189" spans="1:18">
      <c r="A189" s="177">
        <v>80813619</v>
      </c>
      <c r="B189" s="177" t="s">
        <v>190</v>
      </c>
      <c r="C189" s="178" t="s">
        <v>153</v>
      </c>
      <c r="D189" s="177" t="s">
        <v>174</v>
      </c>
      <c r="E189" s="176" t="s">
        <v>145</v>
      </c>
      <c r="F189" s="179">
        <v>45999</v>
      </c>
      <c r="G189" s="177">
        <v>563</v>
      </c>
      <c r="H189" s="179">
        <v>45964</v>
      </c>
      <c r="I189" s="179" t="s">
        <v>175</v>
      </c>
      <c r="J189" s="83">
        <v>3481906163</v>
      </c>
      <c r="K189" s="179"/>
      <c r="L189" s="179">
        <v>45964</v>
      </c>
      <c r="M189" s="180">
        <v>45986</v>
      </c>
      <c r="N189" s="181">
        <v>1.0204937999999999</v>
      </c>
      <c r="O189" s="181" t="s">
        <v>147</v>
      </c>
      <c r="P189" s="83" t="s">
        <v>148</v>
      </c>
      <c r="Q189" s="177" t="s">
        <v>149</v>
      </c>
      <c r="R189" s="83"/>
    </row>
    <row r="190" spans="1:18">
      <c r="A190" s="177">
        <v>80813619</v>
      </c>
      <c r="B190" s="177" t="s">
        <v>190</v>
      </c>
      <c r="C190" s="178" t="s">
        <v>155</v>
      </c>
      <c r="D190" s="177" t="s">
        <v>174</v>
      </c>
      <c r="E190" s="176" t="s">
        <v>145</v>
      </c>
      <c r="F190" s="179">
        <v>45999</v>
      </c>
      <c r="G190" s="177">
        <v>2124</v>
      </c>
      <c r="H190" s="179">
        <v>45964</v>
      </c>
      <c r="I190" s="179" t="s">
        <v>175</v>
      </c>
      <c r="J190" s="83">
        <v>3481906164</v>
      </c>
      <c r="K190" s="179"/>
      <c r="L190" s="179">
        <v>45964</v>
      </c>
      <c r="M190" s="180">
        <v>45986</v>
      </c>
      <c r="N190" s="181">
        <v>3.8499623999999999</v>
      </c>
      <c r="O190" s="181" t="s">
        <v>147</v>
      </c>
      <c r="P190" s="83" t="s">
        <v>148</v>
      </c>
      <c r="Q190" s="177" t="s">
        <v>149</v>
      </c>
      <c r="R190" s="83"/>
    </row>
    <row r="191" spans="1:18">
      <c r="A191" s="177">
        <v>80813637</v>
      </c>
      <c r="B191" s="177" t="s">
        <v>191</v>
      </c>
      <c r="C191" s="178" t="s">
        <v>150</v>
      </c>
      <c r="D191" s="177" t="s">
        <v>174</v>
      </c>
      <c r="E191" s="176" t="s">
        <v>145</v>
      </c>
      <c r="F191" s="179">
        <v>45999</v>
      </c>
      <c r="G191" s="177">
        <v>993</v>
      </c>
      <c r="H191" s="179">
        <v>45964</v>
      </c>
      <c r="I191" s="179" t="s">
        <v>175</v>
      </c>
      <c r="J191" s="83">
        <v>3481906165</v>
      </c>
      <c r="K191" s="179"/>
      <c r="L191" s="179">
        <v>45964</v>
      </c>
      <c r="M191" s="180">
        <v>45986</v>
      </c>
      <c r="N191" s="181">
        <v>1.7999118000000001</v>
      </c>
      <c r="O191" s="181" t="s">
        <v>147</v>
      </c>
      <c r="P191" s="83" t="s">
        <v>148</v>
      </c>
      <c r="Q191" s="177" t="s">
        <v>149</v>
      </c>
      <c r="R191" s="83"/>
    </row>
    <row r="192" spans="1:18">
      <c r="A192" s="177">
        <v>80813637</v>
      </c>
      <c r="B192" s="177" t="s">
        <v>191</v>
      </c>
      <c r="C192" s="178" t="s">
        <v>151</v>
      </c>
      <c r="D192" s="177" t="s">
        <v>174</v>
      </c>
      <c r="E192" s="176" t="s">
        <v>145</v>
      </c>
      <c r="F192" s="179">
        <v>45999</v>
      </c>
      <c r="G192" s="177">
        <v>1451</v>
      </c>
      <c r="H192" s="179">
        <v>45964</v>
      </c>
      <c r="I192" s="179" t="s">
        <v>175</v>
      </c>
      <c r="J192" s="83">
        <v>3481906166</v>
      </c>
      <c r="K192" s="179"/>
      <c r="L192" s="179">
        <v>45964</v>
      </c>
      <c r="M192" s="180">
        <v>45986</v>
      </c>
      <c r="N192" s="181">
        <v>2.6300826000000002</v>
      </c>
      <c r="O192" s="181" t="s">
        <v>147</v>
      </c>
      <c r="P192" s="83" t="s">
        <v>148</v>
      </c>
      <c r="Q192" s="177" t="s">
        <v>149</v>
      </c>
      <c r="R192" s="83"/>
    </row>
    <row r="193" spans="1:18">
      <c r="A193" s="177">
        <v>80813637</v>
      </c>
      <c r="B193" s="177" t="s">
        <v>191</v>
      </c>
      <c r="C193" s="178" t="s">
        <v>152</v>
      </c>
      <c r="D193" s="177" t="s">
        <v>174</v>
      </c>
      <c r="E193" s="176" t="s">
        <v>145</v>
      </c>
      <c r="F193" s="179">
        <v>45999</v>
      </c>
      <c r="G193" s="177">
        <v>375</v>
      </c>
      <c r="H193" s="179">
        <v>45964</v>
      </c>
      <c r="I193" s="179" t="s">
        <v>175</v>
      </c>
      <c r="J193" s="83">
        <v>3481906167</v>
      </c>
      <c r="K193" s="179"/>
      <c r="L193" s="179">
        <v>45964</v>
      </c>
      <c r="M193" s="180">
        <v>45986</v>
      </c>
      <c r="N193" s="181">
        <v>0.67972500000000002</v>
      </c>
      <c r="O193" s="181" t="s">
        <v>147</v>
      </c>
      <c r="P193" s="83" t="s">
        <v>148</v>
      </c>
      <c r="Q193" s="177" t="s">
        <v>149</v>
      </c>
      <c r="R193" s="83"/>
    </row>
    <row r="194" spans="1:18">
      <c r="A194" s="177">
        <v>80813637</v>
      </c>
      <c r="B194" s="177" t="s">
        <v>191</v>
      </c>
      <c r="C194" s="178" t="s">
        <v>153</v>
      </c>
      <c r="D194" s="177" t="s">
        <v>174</v>
      </c>
      <c r="E194" s="176" t="s">
        <v>145</v>
      </c>
      <c r="F194" s="179">
        <v>45999</v>
      </c>
      <c r="G194" s="177">
        <v>370</v>
      </c>
      <c r="H194" s="179">
        <v>45964</v>
      </c>
      <c r="I194" s="179" t="s">
        <v>175</v>
      </c>
      <c r="J194" s="83">
        <v>3481906168</v>
      </c>
      <c r="K194" s="179"/>
      <c r="L194" s="179">
        <v>45964</v>
      </c>
      <c r="M194" s="180">
        <v>45986</v>
      </c>
      <c r="N194" s="181">
        <v>0.67066199999999998</v>
      </c>
      <c r="O194" s="181" t="s">
        <v>147</v>
      </c>
      <c r="P194" s="83" t="s">
        <v>148</v>
      </c>
      <c r="Q194" s="177" t="s">
        <v>149</v>
      </c>
      <c r="R194" s="83"/>
    </row>
    <row r="195" spans="1:18">
      <c r="A195" s="177">
        <v>80813637</v>
      </c>
      <c r="B195" s="177" t="s">
        <v>191</v>
      </c>
      <c r="C195" s="178" t="s">
        <v>155</v>
      </c>
      <c r="D195" s="177" t="s">
        <v>174</v>
      </c>
      <c r="E195" s="176" t="s">
        <v>145</v>
      </c>
      <c r="F195" s="179">
        <v>45999</v>
      </c>
      <c r="G195" s="177">
        <v>1148</v>
      </c>
      <c r="H195" s="179">
        <v>45964</v>
      </c>
      <c r="I195" s="179" t="s">
        <v>175</v>
      </c>
      <c r="J195" s="83">
        <v>3481906169</v>
      </c>
      <c r="K195" s="179"/>
      <c r="L195" s="179">
        <v>45964</v>
      </c>
      <c r="M195" s="180">
        <v>45986</v>
      </c>
      <c r="N195" s="181">
        <v>2.0808648000000001</v>
      </c>
      <c r="O195" s="181" t="s">
        <v>147</v>
      </c>
      <c r="P195" s="83" t="s">
        <v>148</v>
      </c>
      <c r="Q195" s="177" t="s">
        <v>149</v>
      </c>
      <c r="R195" s="83"/>
    </row>
    <row r="196" spans="1:18">
      <c r="A196" s="177">
        <v>80813630</v>
      </c>
      <c r="B196" s="177" t="s">
        <v>192</v>
      </c>
      <c r="C196" s="178" t="s">
        <v>150</v>
      </c>
      <c r="D196" s="177" t="s">
        <v>174</v>
      </c>
      <c r="E196" s="176" t="s">
        <v>145</v>
      </c>
      <c r="F196" s="179">
        <v>45999</v>
      </c>
      <c r="G196" s="177">
        <v>24</v>
      </c>
      <c r="H196" s="179">
        <v>45964</v>
      </c>
      <c r="I196" s="179" t="s">
        <v>175</v>
      </c>
      <c r="J196" s="83">
        <v>3481906170</v>
      </c>
      <c r="K196" s="179"/>
      <c r="L196" s="179">
        <v>45964</v>
      </c>
      <c r="M196" s="180">
        <v>45987</v>
      </c>
      <c r="N196" s="181">
        <v>2.9872800000000001E-2</v>
      </c>
      <c r="O196" s="181" t="s">
        <v>147</v>
      </c>
      <c r="P196" s="83" t="s">
        <v>148</v>
      </c>
      <c r="Q196" s="177" t="s">
        <v>149</v>
      </c>
      <c r="R196" s="83"/>
    </row>
    <row r="197" spans="1:18">
      <c r="A197" s="177">
        <v>80813630</v>
      </c>
      <c r="B197" s="177" t="s">
        <v>192</v>
      </c>
      <c r="C197" s="178" t="s">
        <v>151</v>
      </c>
      <c r="D197" s="177" t="s">
        <v>174</v>
      </c>
      <c r="E197" s="176" t="s">
        <v>145</v>
      </c>
      <c r="F197" s="179">
        <v>45999</v>
      </c>
      <c r="G197" s="177">
        <v>747</v>
      </c>
      <c r="H197" s="179">
        <v>45964</v>
      </c>
      <c r="I197" s="179" t="s">
        <v>175</v>
      </c>
      <c r="J197" s="83">
        <v>3481906171</v>
      </c>
      <c r="K197" s="179"/>
      <c r="L197" s="179">
        <v>45964</v>
      </c>
      <c r="M197" s="180">
        <v>45987</v>
      </c>
      <c r="N197" s="181">
        <v>0.92979089999999998</v>
      </c>
      <c r="O197" s="181" t="s">
        <v>147</v>
      </c>
      <c r="P197" s="83" t="s">
        <v>148</v>
      </c>
      <c r="Q197" s="177" t="s">
        <v>149</v>
      </c>
      <c r="R197" s="83"/>
    </row>
    <row r="198" spans="1:18">
      <c r="A198" s="177">
        <v>80813630</v>
      </c>
      <c r="B198" s="177" t="s">
        <v>192</v>
      </c>
      <c r="C198" s="178" t="s">
        <v>152</v>
      </c>
      <c r="D198" s="177" t="s">
        <v>174</v>
      </c>
      <c r="E198" s="176" t="s">
        <v>145</v>
      </c>
      <c r="F198" s="179">
        <v>45999</v>
      </c>
      <c r="G198" s="177">
        <v>161</v>
      </c>
      <c r="H198" s="179">
        <v>45964</v>
      </c>
      <c r="I198" s="179" t="s">
        <v>175</v>
      </c>
      <c r="J198" s="83">
        <v>3481906172</v>
      </c>
      <c r="K198" s="179"/>
      <c r="L198" s="179">
        <v>45964</v>
      </c>
      <c r="M198" s="180">
        <v>45987</v>
      </c>
      <c r="N198" s="181">
        <v>0.20039670000000001</v>
      </c>
      <c r="O198" s="181" t="s">
        <v>147</v>
      </c>
      <c r="P198" s="83" t="s">
        <v>148</v>
      </c>
      <c r="Q198" s="177" t="s">
        <v>149</v>
      </c>
      <c r="R198" s="83"/>
    </row>
    <row r="199" spans="1:18">
      <c r="A199" s="177">
        <v>80813630</v>
      </c>
      <c r="B199" s="177" t="s">
        <v>192</v>
      </c>
      <c r="C199" s="178" t="s">
        <v>153</v>
      </c>
      <c r="D199" s="177" t="s">
        <v>174</v>
      </c>
      <c r="E199" s="176" t="s">
        <v>145</v>
      </c>
      <c r="F199" s="179">
        <v>45999</v>
      </c>
      <c r="G199" s="177">
        <v>56</v>
      </c>
      <c r="H199" s="179">
        <v>45964</v>
      </c>
      <c r="I199" s="179" t="s">
        <v>175</v>
      </c>
      <c r="J199" s="83">
        <v>3481906173</v>
      </c>
      <c r="K199" s="179"/>
      <c r="L199" s="179">
        <v>45964</v>
      </c>
      <c r="M199" s="180">
        <v>45987</v>
      </c>
      <c r="N199" s="181">
        <v>6.9703200000000007E-2</v>
      </c>
      <c r="O199" s="181" t="s">
        <v>147</v>
      </c>
      <c r="P199" s="83" t="s">
        <v>148</v>
      </c>
      <c r="Q199" s="177" t="s">
        <v>149</v>
      </c>
      <c r="R199" s="83"/>
    </row>
    <row r="200" spans="1:18">
      <c r="A200" s="177">
        <v>80813630</v>
      </c>
      <c r="B200" s="177" t="s">
        <v>192</v>
      </c>
      <c r="C200" s="178" t="s">
        <v>155</v>
      </c>
      <c r="D200" s="177" t="s">
        <v>174</v>
      </c>
      <c r="E200" s="176" t="s">
        <v>145</v>
      </c>
      <c r="F200" s="179">
        <v>45999</v>
      </c>
      <c r="G200" s="177">
        <v>803</v>
      </c>
      <c r="H200" s="179">
        <v>45964</v>
      </c>
      <c r="I200" s="179" t="s">
        <v>175</v>
      </c>
      <c r="J200" s="83">
        <v>3481906174</v>
      </c>
      <c r="K200" s="179"/>
      <c r="L200" s="179">
        <v>45964</v>
      </c>
      <c r="M200" s="180">
        <v>45987</v>
      </c>
      <c r="N200" s="181">
        <v>0.99949410000000005</v>
      </c>
      <c r="O200" s="181" t="s">
        <v>147</v>
      </c>
      <c r="P200" s="83" t="s">
        <v>148</v>
      </c>
      <c r="Q200" s="177" t="s">
        <v>149</v>
      </c>
      <c r="R200" s="83"/>
    </row>
    <row r="201" spans="1:18">
      <c r="A201" s="177">
        <v>80813632</v>
      </c>
      <c r="B201" s="177" t="s">
        <v>193</v>
      </c>
      <c r="C201" s="178" t="s">
        <v>150</v>
      </c>
      <c r="D201" s="177" t="s">
        <v>174</v>
      </c>
      <c r="E201" s="176" t="s">
        <v>145</v>
      </c>
      <c r="F201" s="179">
        <v>45999</v>
      </c>
      <c r="G201" s="177">
        <v>2100</v>
      </c>
      <c r="H201" s="179">
        <v>45964</v>
      </c>
      <c r="I201" s="179" t="s">
        <v>175</v>
      </c>
      <c r="J201" s="83">
        <v>3481906175</v>
      </c>
      <c r="K201" s="179"/>
      <c r="L201" s="179">
        <v>45964</v>
      </c>
      <c r="M201" s="180">
        <v>45987</v>
      </c>
      <c r="N201" s="181">
        <v>1.96035</v>
      </c>
      <c r="O201" s="181" t="s">
        <v>147</v>
      </c>
      <c r="P201" s="83" t="s">
        <v>148</v>
      </c>
      <c r="Q201" s="177" t="s">
        <v>149</v>
      </c>
      <c r="R201" s="83"/>
    </row>
    <row r="202" spans="1:18">
      <c r="A202" s="177">
        <v>80813632</v>
      </c>
      <c r="B202" s="177" t="s">
        <v>193</v>
      </c>
      <c r="C202" s="178" t="s">
        <v>151</v>
      </c>
      <c r="D202" s="177" t="s">
        <v>174</v>
      </c>
      <c r="E202" s="176" t="s">
        <v>145</v>
      </c>
      <c r="F202" s="179">
        <v>45999</v>
      </c>
      <c r="G202" s="177">
        <v>1521</v>
      </c>
      <c r="H202" s="179">
        <v>45964</v>
      </c>
      <c r="I202" s="179" t="s">
        <v>175</v>
      </c>
      <c r="J202" s="83">
        <v>3481906176</v>
      </c>
      <c r="K202" s="179"/>
      <c r="L202" s="179">
        <v>45964</v>
      </c>
      <c r="M202" s="180">
        <v>45987</v>
      </c>
      <c r="N202" s="181">
        <v>1.4198535000000001</v>
      </c>
      <c r="O202" s="181" t="s">
        <v>147</v>
      </c>
      <c r="P202" s="83" t="s">
        <v>148</v>
      </c>
      <c r="Q202" s="177" t="s">
        <v>149</v>
      </c>
      <c r="R202" s="83"/>
    </row>
    <row r="203" spans="1:18">
      <c r="A203" s="177">
        <v>80813632</v>
      </c>
      <c r="B203" s="177" t="s">
        <v>193</v>
      </c>
      <c r="C203" s="178" t="s">
        <v>155</v>
      </c>
      <c r="D203" s="177" t="s">
        <v>174</v>
      </c>
      <c r="E203" s="176" t="s">
        <v>145</v>
      </c>
      <c r="F203" s="179">
        <v>45999</v>
      </c>
      <c r="G203" s="177">
        <v>1607</v>
      </c>
      <c r="H203" s="179">
        <v>45964</v>
      </c>
      <c r="I203" s="179" t="s">
        <v>175</v>
      </c>
      <c r="J203" s="83">
        <v>3481906177</v>
      </c>
      <c r="K203" s="179"/>
      <c r="L203" s="179">
        <v>45964</v>
      </c>
      <c r="M203" s="180">
        <v>45987</v>
      </c>
      <c r="N203" s="181">
        <v>1.5001344999999999</v>
      </c>
      <c r="O203" s="181" t="s">
        <v>147</v>
      </c>
      <c r="P203" s="83" t="s">
        <v>148</v>
      </c>
      <c r="Q203" s="177" t="s">
        <v>149</v>
      </c>
      <c r="R203" s="83"/>
    </row>
    <row r="204" spans="1:18">
      <c r="A204" s="177">
        <v>80813617</v>
      </c>
      <c r="B204" s="177" t="s">
        <v>194</v>
      </c>
      <c r="C204" s="178" t="s">
        <v>150</v>
      </c>
      <c r="D204" s="177" t="s">
        <v>174</v>
      </c>
      <c r="E204" s="176" t="s">
        <v>145</v>
      </c>
      <c r="F204" s="179">
        <v>45999</v>
      </c>
      <c r="G204" s="177">
        <v>298</v>
      </c>
      <c r="H204" s="179">
        <v>45964</v>
      </c>
      <c r="I204" s="179" t="s">
        <v>175</v>
      </c>
      <c r="J204" s="83">
        <v>3481906198</v>
      </c>
      <c r="K204" s="179"/>
      <c r="L204" s="179">
        <v>45964</v>
      </c>
      <c r="M204" s="180">
        <v>45986</v>
      </c>
      <c r="N204" s="181">
        <v>0.54015480000000005</v>
      </c>
      <c r="O204" s="181" t="s">
        <v>147</v>
      </c>
      <c r="P204" s="83" t="s">
        <v>148</v>
      </c>
      <c r="Q204" s="177" t="s">
        <v>149</v>
      </c>
      <c r="R204" s="83"/>
    </row>
    <row r="205" spans="1:18">
      <c r="A205" s="177">
        <v>80813617</v>
      </c>
      <c r="B205" s="177" t="s">
        <v>194</v>
      </c>
      <c r="C205" s="178" t="s">
        <v>151</v>
      </c>
      <c r="D205" s="177" t="s">
        <v>174</v>
      </c>
      <c r="E205" s="176" t="s">
        <v>145</v>
      </c>
      <c r="F205" s="179">
        <v>45999</v>
      </c>
      <c r="G205" s="177">
        <v>447</v>
      </c>
      <c r="H205" s="179">
        <v>45964</v>
      </c>
      <c r="I205" s="179" t="s">
        <v>175</v>
      </c>
      <c r="J205" s="83">
        <v>3481906199</v>
      </c>
      <c r="K205" s="179"/>
      <c r="L205" s="179">
        <v>45964</v>
      </c>
      <c r="M205" s="180">
        <v>45986</v>
      </c>
      <c r="N205" s="181">
        <v>0.81023219999999996</v>
      </c>
      <c r="O205" s="181" t="s">
        <v>147</v>
      </c>
      <c r="P205" s="83" t="s">
        <v>148</v>
      </c>
      <c r="Q205" s="177" t="s">
        <v>149</v>
      </c>
      <c r="R205" s="83"/>
    </row>
    <row r="206" spans="1:18">
      <c r="A206" s="177">
        <v>80813617</v>
      </c>
      <c r="B206" s="177" t="s">
        <v>194</v>
      </c>
      <c r="C206" s="178" t="s">
        <v>152</v>
      </c>
      <c r="D206" s="177" t="s">
        <v>174</v>
      </c>
      <c r="E206" s="176" t="s">
        <v>145</v>
      </c>
      <c r="F206" s="179">
        <v>45999</v>
      </c>
      <c r="G206" s="177">
        <v>419</v>
      </c>
      <c r="H206" s="179">
        <v>45964</v>
      </c>
      <c r="I206" s="179" t="s">
        <v>175</v>
      </c>
      <c r="J206" s="83">
        <v>3481906200</v>
      </c>
      <c r="K206" s="179"/>
      <c r="L206" s="179">
        <v>45964</v>
      </c>
      <c r="M206" s="180">
        <v>45986</v>
      </c>
      <c r="N206" s="181">
        <v>0.75947940000000003</v>
      </c>
      <c r="O206" s="181" t="s">
        <v>147</v>
      </c>
      <c r="P206" s="83" t="s">
        <v>148</v>
      </c>
      <c r="Q206" s="177" t="s">
        <v>149</v>
      </c>
      <c r="R206" s="83"/>
    </row>
    <row r="207" spans="1:18">
      <c r="A207" s="177">
        <v>80813617</v>
      </c>
      <c r="B207" s="177" t="s">
        <v>194</v>
      </c>
      <c r="C207" s="178" t="s">
        <v>153</v>
      </c>
      <c r="D207" s="177" t="s">
        <v>174</v>
      </c>
      <c r="E207" s="176" t="s">
        <v>145</v>
      </c>
      <c r="F207" s="179">
        <v>45999</v>
      </c>
      <c r="G207" s="177">
        <v>188</v>
      </c>
      <c r="H207" s="179">
        <v>45964</v>
      </c>
      <c r="I207" s="179" t="s">
        <v>175</v>
      </c>
      <c r="J207" s="83">
        <v>3481906201</v>
      </c>
      <c r="K207" s="179"/>
      <c r="L207" s="179">
        <v>45964</v>
      </c>
      <c r="M207" s="180">
        <v>45986</v>
      </c>
      <c r="N207" s="181">
        <v>0.34076879999999998</v>
      </c>
      <c r="O207" s="181" t="s">
        <v>147</v>
      </c>
      <c r="P207" s="83" t="s">
        <v>148</v>
      </c>
      <c r="Q207" s="177" t="s">
        <v>149</v>
      </c>
      <c r="R207" s="83"/>
    </row>
    <row r="208" spans="1:18">
      <c r="A208" s="177">
        <v>80813617</v>
      </c>
      <c r="B208" s="177" t="s">
        <v>194</v>
      </c>
      <c r="C208" s="178" t="s">
        <v>155</v>
      </c>
      <c r="D208" s="177" t="s">
        <v>174</v>
      </c>
      <c r="E208" s="176" t="s">
        <v>145</v>
      </c>
      <c r="F208" s="179">
        <v>45999</v>
      </c>
      <c r="G208" s="177">
        <v>2709</v>
      </c>
      <c r="H208" s="179">
        <v>45964</v>
      </c>
      <c r="I208" s="179" t="s">
        <v>175</v>
      </c>
      <c r="J208" s="83">
        <v>3481906202</v>
      </c>
      <c r="K208" s="179"/>
      <c r="L208" s="179">
        <v>45964</v>
      </c>
      <c r="M208" s="180">
        <v>45986</v>
      </c>
      <c r="N208" s="181">
        <v>4.9103333999999998</v>
      </c>
      <c r="O208" s="181" t="s">
        <v>147</v>
      </c>
      <c r="P208" s="83" t="s">
        <v>148</v>
      </c>
      <c r="Q208" s="177" t="s">
        <v>149</v>
      </c>
      <c r="R208" s="83"/>
    </row>
    <row r="209" spans="1:18">
      <c r="A209" s="177">
        <v>80815645</v>
      </c>
      <c r="B209" s="177" t="s">
        <v>195</v>
      </c>
      <c r="C209" s="178" t="s">
        <v>150</v>
      </c>
      <c r="D209" s="177" t="s">
        <v>174</v>
      </c>
      <c r="E209" s="176" t="s">
        <v>145</v>
      </c>
      <c r="F209" s="179">
        <v>45999</v>
      </c>
      <c r="G209" s="177">
        <v>1447</v>
      </c>
      <c r="H209" s="179">
        <v>45964</v>
      </c>
      <c r="I209" s="179" t="s">
        <v>175</v>
      </c>
      <c r="J209" s="83">
        <v>3481906203</v>
      </c>
      <c r="K209" s="179"/>
      <c r="L209" s="179">
        <v>45964</v>
      </c>
      <c r="M209" s="180">
        <v>45986</v>
      </c>
      <c r="N209" s="181">
        <v>2.8194794999999999</v>
      </c>
      <c r="O209" s="181" t="s">
        <v>147</v>
      </c>
      <c r="P209" s="83" t="s">
        <v>148</v>
      </c>
      <c r="Q209" s="177" t="s">
        <v>149</v>
      </c>
      <c r="R209" s="83"/>
    </row>
    <row r="210" spans="1:18">
      <c r="A210" s="177">
        <v>80815645</v>
      </c>
      <c r="B210" s="177" t="s">
        <v>195</v>
      </c>
      <c r="C210" s="178" t="s">
        <v>151</v>
      </c>
      <c r="D210" s="177" t="s">
        <v>174</v>
      </c>
      <c r="E210" s="176" t="s">
        <v>145</v>
      </c>
      <c r="F210" s="179">
        <v>45999</v>
      </c>
      <c r="G210" s="177">
        <v>3131</v>
      </c>
      <c r="H210" s="179">
        <v>45964</v>
      </c>
      <c r="I210" s="179" t="s">
        <v>175</v>
      </c>
      <c r="J210" s="83">
        <v>3481906204</v>
      </c>
      <c r="K210" s="179"/>
      <c r="L210" s="179">
        <v>45964</v>
      </c>
      <c r="M210" s="180">
        <v>45986</v>
      </c>
      <c r="N210" s="181">
        <v>6.1007534999999997</v>
      </c>
      <c r="O210" s="181" t="s">
        <v>147</v>
      </c>
      <c r="P210" s="83" t="s">
        <v>148</v>
      </c>
      <c r="Q210" s="177" t="s">
        <v>149</v>
      </c>
      <c r="R210" s="83"/>
    </row>
    <row r="211" spans="1:18">
      <c r="A211" s="177">
        <v>80815645</v>
      </c>
      <c r="B211" s="177" t="s">
        <v>195</v>
      </c>
      <c r="C211" s="178" t="s">
        <v>152</v>
      </c>
      <c r="D211" s="177" t="s">
        <v>174</v>
      </c>
      <c r="E211" s="176" t="s">
        <v>145</v>
      </c>
      <c r="F211" s="179">
        <v>45999</v>
      </c>
      <c r="G211" s="177">
        <v>559</v>
      </c>
      <c r="H211" s="179">
        <v>45964</v>
      </c>
      <c r="I211" s="179" t="s">
        <v>175</v>
      </c>
      <c r="J211" s="83">
        <v>3481906205</v>
      </c>
      <c r="K211" s="179"/>
      <c r="L211" s="179">
        <v>45964</v>
      </c>
      <c r="M211" s="180">
        <v>45986</v>
      </c>
      <c r="N211" s="181">
        <v>1.0892115</v>
      </c>
      <c r="O211" s="181" t="s">
        <v>147</v>
      </c>
      <c r="P211" s="83" t="s">
        <v>148</v>
      </c>
      <c r="Q211" s="177" t="s">
        <v>149</v>
      </c>
      <c r="R211" s="83"/>
    </row>
    <row r="212" spans="1:18">
      <c r="A212" s="177">
        <v>80815645</v>
      </c>
      <c r="B212" s="177" t="s">
        <v>195</v>
      </c>
      <c r="C212" s="178" t="s">
        <v>153</v>
      </c>
      <c r="D212" s="177" t="s">
        <v>174</v>
      </c>
      <c r="E212" s="176" t="s">
        <v>145</v>
      </c>
      <c r="F212" s="179">
        <v>45999</v>
      </c>
      <c r="G212" s="177">
        <v>611</v>
      </c>
      <c r="H212" s="179">
        <v>45964</v>
      </c>
      <c r="I212" s="179" t="s">
        <v>175</v>
      </c>
      <c r="J212" s="83">
        <v>3481906206</v>
      </c>
      <c r="K212" s="179"/>
      <c r="L212" s="179">
        <v>45964</v>
      </c>
      <c r="M212" s="180">
        <v>45986</v>
      </c>
      <c r="N212" s="181">
        <v>1.1905334999999999</v>
      </c>
      <c r="O212" s="181" t="s">
        <v>147</v>
      </c>
      <c r="P212" s="83" t="s">
        <v>148</v>
      </c>
      <c r="Q212" s="177" t="s">
        <v>149</v>
      </c>
      <c r="R212" s="83"/>
    </row>
    <row r="213" spans="1:18">
      <c r="A213" s="177">
        <v>80815645</v>
      </c>
      <c r="B213" s="177" t="s">
        <v>195</v>
      </c>
      <c r="C213" s="178" t="s">
        <v>155</v>
      </c>
      <c r="D213" s="177" t="s">
        <v>174</v>
      </c>
      <c r="E213" s="176" t="s">
        <v>145</v>
      </c>
      <c r="F213" s="179">
        <v>45999</v>
      </c>
      <c r="G213" s="177">
        <v>2581</v>
      </c>
      <c r="H213" s="179">
        <v>45964</v>
      </c>
      <c r="I213" s="179" t="s">
        <v>175</v>
      </c>
      <c r="J213" s="83">
        <v>3481906207</v>
      </c>
      <c r="K213" s="179"/>
      <c r="L213" s="179">
        <v>45964</v>
      </c>
      <c r="M213" s="180">
        <v>45986</v>
      </c>
      <c r="N213" s="181">
        <v>5.0290784999999998</v>
      </c>
      <c r="O213" s="181" t="s">
        <v>147</v>
      </c>
      <c r="P213" s="83" t="s">
        <v>148</v>
      </c>
      <c r="Q213" s="177" t="s">
        <v>149</v>
      </c>
      <c r="R213" s="83"/>
    </row>
    <row r="214" spans="1:18">
      <c r="A214" s="177">
        <v>80814084</v>
      </c>
      <c r="B214" s="177" t="s">
        <v>196</v>
      </c>
      <c r="C214" s="178" t="s">
        <v>143</v>
      </c>
      <c r="D214" s="177" t="s">
        <v>174</v>
      </c>
      <c r="E214" s="176" t="s">
        <v>145</v>
      </c>
      <c r="F214" s="179">
        <v>45999</v>
      </c>
      <c r="G214" s="177">
        <v>42</v>
      </c>
      <c r="H214" s="179">
        <v>45964</v>
      </c>
      <c r="I214" s="179" t="s">
        <v>175</v>
      </c>
      <c r="J214" s="83">
        <v>3481906214</v>
      </c>
      <c r="K214" s="179"/>
      <c r="L214" s="179">
        <v>45964</v>
      </c>
      <c r="M214" s="180">
        <v>45987</v>
      </c>
      <c r="N214" s="181">
        <v>3.9648000000000003E-2</v>
      </c>
      <c r="O214" s="181" t="s">
        <v>147</v>
      </c>
      <c r="P214" s="83" t="s">
        <v>148</v>
      </c>
      <c r="Q214" s="177" t="s">
        <v>149</v>
      </c>
      <c r="R214" s="83"/>
    </row>
    <row r="215" spans="1:18">
      <c r="A215" s="177">
        <v>80814084</v>
      </c>
      <c r="B215" s="177" t="s">
        <v>196</v>
      </c>
      <c r="C215" s="178" t="s">
        <v>150</v>
      </c>
      <c r="D215" s="177" t="s">
        <v>174</v>
      </c>
      <c r="E215" s="176" t="s">
        <v>145</v>
      </c>
      <c r="F215" s="179">
        <v>45999</v>
      </c>
      <c r="G215" s="177">
        <v>318</v>
      </c>
      <c r="H215" s="179">
        <v>45964</v>
      </c>
      <c r="I215" s="179" t="s">
        <v>175</v>
      </c>
      <c r="J215" s="83">
        <v>3481906215</v>
      </c>
      <c r="K215" s="179"/>
      <c r="L215" s="179">
        <v>45964</v>
      </c>
      <c r="M215" s="180">
        <v>45987</v>
      </c>
      <c r="N215" s="181">
        <v>0.30019200000000001</v>
      </c>
      <c r="O215" s="181" t="s">
        <v>147</v>
      </c>
      <c r="P215" s="83" t="s">
        <v>148</v>
      </c>
      <c r="Q215" s="177" t="s">
        <v>149</v>
      </c>
      <c r="R215" s="83"/>
    </row>
    <row r="216" spans="1:18">
      <c r="A216" s="177">
        <v>80814084</v>
      </c>
      <c r="B216" s="177" t="s">
        <v>196</v>
      </c>
      <c r="C216" s="178" t="s">
        <v>151</v>
      </c>
      <c r="D216" s="177" t="s">
        <v>174</v>
      </c>
      <c r="E216" s="176" t="s">
        <v>145</v>
      </c>
      <c r="F216" s="179">
        <v>45999</v>
      </c>
      <c r="G216" s="177">
        <v>1208</v>
      </c>
      <c r="H216" s="179">
        <v>45964</v>
      </c>
      <c r="I216" s="179" t="s">
        <v>175</v>
      </c>
      <c r="J216" s="83">
        <v>3481906216</v>
      </c>
      <c r="K216" s="179"/>
      <c r="L216" s="179">
        <v>45964</v>
      </c>
      <c r="M216" s="180">
        <v>45987</v>
      </c>
      <c r="N216" s="181">
        <v>1.140352</v>
      </c>
      <c r="O216" s="181" t="s">
        <v>147</v>
      </c>
      <c r="P216" s="83" t="s">
        <v>148</v>
      </c>
      <c r="Q216" s="177" t="s">
        <v>149</v>
      </c>
      <c r="R216" s="83"/>
    </row>
    <row r="217" spans="1:18">
      <c r="A217" s="177">
        <v>80814084</v>
      </c>
      <c r="B217" s="177" t="s">
        <v>196</v>
      </c>
      <c r="C217" s="178" t="s">
        <v>153</v>
      </c>
      <c r="D217" s="177" t="s">
        <v>174</v>
      </c>
      <c r="E217" s="176" t="s">
        <v>145</v>
      </c>
      <c r="F217" s="179">
        <v>45999</v>
      </c>
      <c r="G217" s="177">
        <v>561</v>
      </c>
      <c r="H217" s="179">
        <v>45964</v>
      </c>
      <c r="I217" s="179" t="s">
        <v>175</v>
      </c>
      <c r="J217" s="83">
        <v>3481906217</v>
      </c>
      <c r="K217" s="179"/>
      <c r="L217" s="179">
        <v>45964</v>
      </c>
      <c r="M217" s="180">
        <v>45987</v>
      </c>
      <c r="N217" s="181">
        <v>0.52958400000000005</v>
      </c>
      <c r="O217" s="181" t="s">
        <v>147</v>
      </c>
      <c r="P217" s="83" t="s">
        <v>148</v>
      </c>
      <c r="Q217" s="177" t="s">
        <v>149</v>
      </c>
      <c r="R217" s="83"/>
    </row>
    <row r="218" spans="1:18">
      <c r="A218" s="177">
        <v>80814084</v>
      </c>
      <c r="B218" s="177" t="s">
        <v>196</v>
      </c>
      <c r="C218" s="178" t="s">
        <v>155</v>
      </c>
      <c r="D218" s="177" t="s">
        <v>174</v>
      </c>
      <c r="E218" s="176" t="s">
        <v>145</v>
      </c>
      <c r="F218" s="179">
        <v>45999</v>
      </c>
      <c r="G218" s="177">
        <v>4354</v>
      </c>
      <c r="H218" s="179">
        <v>45964</v>
      </c>
      <c r="I218" s="179" t="s">
        <v>175</v>
      </c>
      <c r="J218" s="83">
        <v>3481906218</v>
      </c>
      <c r="K218" s="179"/>
      <c r="L218" s="179">
        <v>45964</v>
      </c>
      <c r="M218" s="180">
        <v>45987</v>
      </c>
      <c r="N218" s="181">
        <v>4.1101760000000001</v>
      </c>
      <c r="O218" s="181" t="s">
        <v>147</v>
      </c>
      <c r="P218" s="83" t="s">
        <v>148</v>
      </c>
      <c r="Q218" s="177" t="s">
        <v>149</v>
      </c>
      <c r="R218" s="83"/>
    </row>
    <row r="219" spans="1:18">
      <c r="A219" s="177">
        <v>80859226</v>
      </c>
      <c r="B219" s="177" t="s">
        <v>197</v>
      </c>
      <c r="C219" s="178" t="s">
        <v>150</v>
      </c>
      <c r="D219" s="177" t="s">
        <v>174</v>
      </c>
      <c r="E219" s="176" t="s">
        <v>145</v>
      </c>
      <c r="F219" s="179">
        <v>45999</v>
      </c>
      <c r="G219" s="177">
        <v>3154</v>
      </c>
      <c r="H219" s="179">
        <v>45964</v>
      </c>
      <c r="I219" s="179" t="s">
        <v>175</v>
      </c>
      <c r="J219" s="83">
        <v>3481906219</v>
      </c>
      <c r="K219" s="179"/>
      <c r="L219" s="179">
        <v>45964</v>
      </c>
      <c r="M219" s="180">
        <v>45987</v>
      </c>
      <c r="N219" s="181">
        <v>4.8593678000000002</v>
      </c>
      <c r="O219" s="181" t="s">
        <v>147</v>
      </c>
      <c r="P219" s="83" t="s">
        <v>148</v>
      </c>
      <c r="Q219" s="177" t="s">
        <v>149</v>
      </c>
      <c r="R219" s="83"/>
    </row>
    <row r="220" spans="1:18">
      <c r="A220" s="177">
        <v>80859226</v>
      </c>
      <c r="B220" s="177" t="s">
        <v>197</v>
      </c>
      <c r="C220" s="178" t="s">
        <v>151</v>
      </c>
      <c r="D220" s="177" t="s">
        <v>174</v>
      </c>
      <c r="E220" s="176" t="s">
        <v>145</v>
      </c>
      <c r="F220" s="179">
        <v>45999</v>
      </c>
      <c r="G220" s="177">
        <v>2953</v>
      </c>
      <c r="H220" s="179">
        <v>45964</v>
      </c>
      <c r="I220" s="179" t="s">
        <v>175</v>
      </c>
      <c r="J220" s="83">
        <v>3481906220</v>
      </c>
      <c r="K220" s="179"/>
      <c r="L220" s="179">
        <v>45964</v>
      </c>
      <c r="M220" s="180">
        <v>45987</v>
      </c>
      <c r="N220" s="181">
        <v>4.5496870999999999</v>
      </c>
      <c r="O220" s="181" t="s">
        <v>147</v>
      </c>
      <c r="P220" s="83" t="s">
        <v>148</v>
      </c>
      <c r="Q220" s="177" t="s">
        <v>149</v>
      </c>
      <c r="R220" s="83"/>
    </row>
    <row r="221" spans="1:18">
      <c r="A221" s="177">
        <v>80859226</v>
      </c>
      <c r="B221" s="177" t="s">
        <v>197</v>
      </c>
      <c r="C221" s="178" t="s">
        <v>152</v>
      </c>
      <c r="D221" s="177" t="s">
        <v>174</v>
      </c>
      <c r="E221" s="176" t="s">
        <v>145</v>
      </c>
      <c r="F221" s="179">
        <v>45999</v>
      </c>
      <c r="G221" s="177">
        <v>338</v>
      </c>
      <c r="H221" s="179">
        <v>45964</v>
      </c>
      <c r="I221" s="179" t="s">
        <v>175</v>
      </c>
      <c r="J221" s="83">
        <v>3481906221</v>
      </c>
      <c r="K221" s="179"/>
      <c r="L221" s="179">
        <v>45964</v>
      </c>
      <c r="M221" s="180">
        <v>45987</v>
      </c>
      <c r="N221" s="181">
        <v>0.52075660000000001</v>
      </c>
      <c r="O221" s="181" t="s">
        <v>147</v>
      </c>
      <c r="P221" s="83" t="s">
        <v>148</v>
      </c>
      <c r="Q221" s="177" t="s">
        <v>149</v>
      </c>
      <c r="R221" s="83"/>
    </row>
    <row r="222" spans="1:18">
      <c r="A222" s="177">
        <v>80859226</v>
      </c>
      <c r="B222" s="177" t="s">
        <v>197</v>
      </c>
      <c r="C222" s="178" t="s">
        <v>153</v>
      </c>
      <c r="D222" s="177" t="s">
        <v>174</v>
      </c>
      <c r="E222" s="176" t="s">
        <v>145</v>
      </c>
      <c r="F222" s="179">
        <v>45999</v>
      </c>
      <c r="G222" s="177">
        <v>2622</v>
      </c>
      <c r="H222" s="179">
        <v>45964</v>
      </c>
      <c r="I222" s="179" t="s">
        <v>175</v>
      </c>
      <c r="J222" s="83">
        <v>3481906222</v>
      </c>
      <c r="K222" s="179"/>
      <c r="L222" s="179">
        <v>45964</v>
      </c>
      <c r="M222" s="180">
        <v>45987</v>
      </c>
      <c r="N222" s="181">
        <v>4.0397154000000004</v>
      </c>
      <c r="O222" s="181" t="s">
        <v>147</v>
      </c>
      <c r="P222" s="83" t="s">
        <v>148</v>
      </c>
      <c r="Q222" s="177" t="s">
        <v>149</v>
      </c>
      <c r="R222" s="83"/>
    </row>
    <row r="223" spans="1:18">
      <c r="A223" s="177">
        <v>80859226</v>
      </c>
      <c r="B223" s="177" t="s">
        <v>197</v>
      </c>
      <c r="C223" s="178" t="s">
        <v>155</v>
      </c>
      <c r="D223" s="177" t="s">
        <v>174</v>
      </c>
      <c r="E223" s="176" t="s">
        <v>145</v>
      </c>
      <c r="F223" s="179">
        <v>45999</v>
      </c>
      <c r="G223" s="177">
        <v>4323</v>
      </c>
      <c r="H223" s="179">
        <v>45964</v>
      </c>
      <c r="I223" s="179" t="s">
        <v>175</v>
      </c>
      <c r="J223" s="83">
        <v>3481906223</v>
      </c>
      <c r="K223" s="179"/>
      <c r="L223" s="179">
        <v>45964</v>
      </c>
      <c r="M223" s="180">
        <v>45987</v>
      </c>
      <c r="N223" s="181">
        <v>6.6604460999999997</v>
      </c>
      <c r="O223" s="181" t="s">
        <v>147</v>
      </c>
      <c r="P223" s="83" t="s">
        <v>148</v>
      </c>
      <c r="Q223" s="177" t="s">
        <v>149</v>
      </c>
      <c r="R223" s="83"/>
    </row>
    <row r="224" spans="1:18">
      <c r="A224" s="177">
        <v>80813622</v>
      </c>
      <c r="B224" s="177" t="s">
        <v>198</v>
      </c>
      <c r="C224" s="178" t="s">
        <v>155</v>
      </c>
      <c r="D224" s="177" t="s">
        <v>174</v>
      </c>
      <c r="E224" s="176" t="s">
        <v>145</v>
      </c>
      <c r="F224" s="179">
        <v>45999</v>
      </c>
      <c r="G224" s="177">
        <v>179</v>
      </c>
      <c r="H224" s="179">
        <v>45964</v>
      </c>
      <c r="I224" s="179" t="s">
        <v>175</v>
      </c>
      <c r="J224" s="83">
        <v>3481906290</v>
      </c>
      <c r="K224" s="179"/>
      <c r="L224" s="179">
        <v>45964</v>
      </c>
      <c r="M224" s="180">
        <v>45987</v>
      </c>
      <c r="N224" s="181">
        <v>0.42934939999999999</v>
      </c>
      <c r="O224" s="181" t="s">
        <v>147</v>
      </c>
      <c r="P224" s="83" t="s">
        <v>148</v>
      </c>
      <c r="Q224" s="177" t="s">
        <v>149</v>
      </c>
      <c r="R224" s="83"/>
    </row>
    <row r="225" spans="1:18">
      <c r="A225" s="177">
        <v>80813616</v>
      </c>
      <c r="B225" s="177" t="s">
        <v>199</v>
      </c>
      <c r="C225" s="178" t="s">
        <v>155</v>
      </c>
      <c r="D225" s="177" t="s">
        <v>174</v>
      </c>
      <c r="E225" s="176" t="s">
        <v>145</v>
      </c>
      <c r="F225" s="179">
        <v>45999</v>
      </c>
      <c r="G225" s="177">
        <v>26</v>
      </c>
      <c r="H225" s="179">
        <v>45964</v>
      </c>
      <c r="I225" s="179" t="s">
        <v>175</v>
      </c>
      <c r="J225" s="83">
        <v>3481906292</v>
      </c>
      <c r="K225" s="179"/>
      <c r="L225" s="179">
        <v>45964</v>
      </c>
      <c r="M225" s="180">
        <v>45987</v>
      </c>
      <c r="N225" s="181">
        <v>5.8908200000000001E-2</v>
      </c>
      <c r="O225" s="181" t="s">
        <v>147</v>
      </c>
      <c r="P225" s="83" t="s">
        <v>148</v>
      </c>
      <c r="Q225" s="177" t="s">
        <v>149</v>
      </c>
      <c r="R225" s="83"/>
    </row>
    <row r="226" spans="1:18">
      <c r="A226" s="177">
        <v>80823143</v>
      </c>
      <c r="B226" s="177" t="s">
        <v>200</v>
      </c>
      <c r="C226" s="178" t="s">
        <v>154</v>
      </c>
      <c r="D226" s="177" t="s">
        <v>174</v>
      </c>
      <c r="E226" s="176" t="s">
        <v>145</v>
      </c>
      <c r="F226" s="179">
        <v>45999</v>
      </c>
      <c r="G226" s="177">
        <v>40</v>
      </c>
      <c r="H226" s="179">
        <v>45964</v>
      </c>
      <c r="I226" s="179" t="s">
        <v>175</v>
      </c>
      <c r="J226" s="83">
        <v>3481906293</v>
      </c>
      <c r="K226" s="179"/>
      <c r="L226" s="179">
        <v>45964</v>
      </c>
      <c r="M226" s="180">
        <v>45987</v>
      </c>
      <c r="N226" s="181">
        <v>4.9787999999999999E-2</v>
      </c>
      <c r="O226" s="181" t="s">
        <v>147</v>
      </c>
      <c r="P226" s="83" t="s">
        <v>148</v>
      </c>
      <c r="Q226" s="177" t="s">
        <v>149</v>
      </c>
      <c r="R226" s="83"/>
    </row>
    <row r="227" spans="1:18">
      <c r="A227" s="177">
        <v>80859232</v>
      </c>
      <c r="B227" s="177" t="s">
        <v>173</v>
      </c>
      <c r="C227" s="178" t="s">
        <v>150</v>
      </c>
      <c r="D227" s="177" t="s">
        <v>201</v>
      </c>
      <c r="E227" s="177" t="s">
        <v>172</v>
      </c>
      <c r="F227" s="179">
        <v>45973</v>
      </c>
      <c r="G227" s="177">
        <v>828.43146531033199</v>
      </c>
      <c r="H227" s="179">
        <v>45966</v>
      </c>
      <c r="I227" s="179" t="s">
        <v>202</v>
      </c>
      <c r="J227" s="83">
        <v>3483246363</v>
      </c>
      <c r="K227" s="179"/>
      <c r="L227" s="179">
        <v>45966</v>
      </c>
      <c r="M227" s="180">
        <v>45979</v>
      </c>
      <c r="N227" s="181">
        <v>1.3514202493607446</v>
      </c>
      <c r="O227" s="181" t="s">
        <v>170</v>
      </c>
      <c r="P227" s="83" t="s">
        <v>148</v>
      </c>
      <c r="Q227" s="177" t="s">
        <v>149</v>
      </c>
      <c r="R227" s="83"/>
    </row>
    <row r="228" spans="1:18">
      <c r="A228" s="177">
        <v>80815648</v>
      </c>
      <c r="B228" s="177" t="s">
        <v>176</v>
      </c>
      <c r="C228" s="178" t="s">
        <v>150</v>
      </c>
      <c r="D228" s="177" t="s">
        <v>201</v>
      </c>
      <c r="E228" s="177" t="s">
        <v>172</v>
      </c>
      <c r="F228" s="179">
        <v>45973</v>
      </c>
      <c r="G228" s="177">
        <v>1805.5018381677601</v>
      </c>
      <c r="H228" s="179">
        <v>45966</v>
      </c>
      <c r="I228" s="179" t="s">
        <v>202</v>
      </c>
      <c r="J228" s="83">
        <v>3483246368</v>
      </c>
      <c r="K228" s="179"/>
      <c r="L228" s="179">
        <v>45966</v>
      </c>
      <c r="M228" s="180">
        <v>45979</v>
      </c>
      <c r="N228" s="181">
        <v>3.5180203316698804</v>
      </c>
      <c r="O228" s="181" t="s">
        <v>170</v>
      </c>
      <c r="P228" s="83" t="s">
        <v>148</v>
      </c>
      <c r="Q228" s="177" t="s">
        <v>149</v>
      </c>
      <c r="R228" s="83"/>
    </row>
    <row r="229" spans="1:18">
      <c r="A229" s="177">
        <v>80815643</v>
      </c>
      <c r="B229" s="177" t="s">
        <v>178</v>
      </c>
      <c r="C229" s="178" t="s">
        <v>150</v>
      </c>
      <c r="D229" s="177" t="s">
        <v>201</v>
      </c>
      <c r="E229" s="177" t="s">
        <v>172</v>
      </c>
      <c r="F229" s="179">
        <v>45973</v>
      </c>
      <c r="G229" s="177">
        <v>1286.96399165562</v>
      </c>
      <c r="H229" s="179">
        <v>45966</v>
      </c>
      <c r="I229" s="179" t="s">
        <v>202</v>
      </c>
      <c r="J229" s="83">
        <v>3483246369</v>
      </c>
      <c r="K229" s="179"/>
      <c r="L229" s="179">
        <v>45966</v>
      </c>
      <c r="M229" s="180">
        <v>45979</v>
      </c>
      <c r="N229" s="181">
        <v>2.5076493377409754</v>
      </c>
      <c r="O229" s="181" t="s">
        <v>170</v>
      </c>
      <c r="P229" s="83" t="s">
        <v>148</v>
      </c>
      <c r="Q229" s="177" t="s">
        <v>149</v>
      </c>
      <c r="R229" s="83"/>
    </row>
    <row r="230" spans="1:18">
      <c r="A230" s="177">
        <v>80815642</v>
      </c>
      <c r="B230" s="177" t="s">
        <v>180</v>
      </c>
      <c r="C230" s="178" t="s">
        <v>150</v>
      </c>
      <c r="D230" s="177" t="s">
        <v>201</v>
      </c>
      <c r="E230" s="177" t="s">
        <v>172</v>
      </c>
      <c r="F230" s="179">
        <v>45973</v>
      </c>
      <c r="G230" s="177">
        <v>1905.2694962236901</v>
      </c>
      <c r="H230" s="179">
        <v>45966</v>
      </c>
      <c r="I230" s="179" t="s">
        <v>202</v>
      </c>
      <c r="J230" s="83">
        <v>3483246370</v>
      </c>
      <c r="K230" s="179"/>
      <c r="L230" s="179">
        <v>45966</v>
      </c>
      <c r="M230" s="180">
        <v>45979</v>
      </c>
      <c r="N230" s="181">
        <v>3.7124176133918603</v>
      </c>
      <c r="O230" s="181" t="s">
        <v>170</v>
      </c>
      <c r="P230" s="83" t="s">
        <v>148</v>
      </c>
      <c r="Q230" s="177" t="s">
        <v>149</v>
      </c>
      <c r="R230" s="83"/>
    </row>
    <row r="231" spans="1:18">
      <c r="A231" s="177">
        <v>80815644</v>
      </c>
      <c r="B231" s="177" t="s">
        <v>182</v>
      </c>
      <c r="C231" s="178" t="s">
        <v>150</v>
      </c>
      <c r="D231" s="177" t="s">
        <v>201</v>
      </c>
      <c r="E231" s="177" t="s">
        <v>172</v>
      </c>
      <c r="F231" s="179">
        <v>45973</v>
      </c>
      <c r="G231" s="177">
        <v>863.38457237693797</v>
      </c>
      <c r="H231" s="179">
        <v>45966</v>
      </c>
      <c r="I231" s="179" t="s">
        <v>202</v>
      </c>
      <c r="J231" s="83">
        <v>3483246371</v>
      </c>
      <c r="K231" s="179"/>
      <c r="L231" s="179">
        <v>45966</v>
      </c>
      <c r="M231" s="180">
        <v>45979</v>
      </c>
      <c r="N231" s="181">
        <v>1.6823048392764637</v>
      </c>
      <c r="O231" s="181" t="s">
        <v>170</v>
      </c>
      <c r="P231" s="83" t="s">
        <v>148</v>
      </c>
      <c r="Q231" s="177" t="s">
        <v>149</v>
      </c>
      <c r="R231" s="83"/>
    </row>
    <row r="232" spans="1:18">
      <c r="A232" s="177">
        <v>80815645</v>
      </c>
      <c r="B232" s="177" t="s">
        <v>195</v>
      </c>
      <c r="C232" s="178" t="s">
        <v>150</v>
      </c>
      <c r="D232" s="177" t="s">
        <v>201</v>
      </c>
      <c r="E232" s="177" t="s">
        <v>172</v>
      </c>
      <c r="F232" s="179">
        <v>45973</v>
      </c>
      <c r="G232" s="177">
        <v>1318.3672810631699</v>
      </c>
      <c r="H232" s="179">
        <v>45966</v>
      </c>
      <c r="I232" s="179" t="s">
        <v>202</v>
      </c>
      <c r="J232" s="83">
        <v>3483246372</v>
      </c>
      <c r="K232" s="179"/>
      <c r="L232" s="179">
        <v>45966</v>
      </c>
      <c r="M232" s="180">
        <v>45979</v>
      </c>
      <c r="N232" s="181">
        <v>2.5688386471515865</v>
      </c>
      <c r="O232" s="181" t="s">
        <v>170</v>
      </c>
      <c r="P232" s="83" t="s">
        <v>148</v>
      </c>
      <c r="Q232" s="177" t="s">
        <v>149</v>
      </c>
      <c r="R232" s="83"/>
    </row>
    <row r="233" spans="1:18">
      <c r="A233" s="177">
        <v>80859226</v>
      </c>
      <c r="B233" s="177" t="s">
        <v>197</v>
      </c>
      <c r="C233" s="178" t="s">
        <v>150</v>
      </c>
      <c r="D233" s="177" t="s">
        <v>201</v>
      </c>
      <c r="E233" s="177" t="s">
        <v>172</v>
      </c>
      <c r="F233" s="179">
        <v>45973</v>
      </c>
      <c r="G233" s="177">
        <v>1735.2032634771399</v>
      </c>
      <c r="H233" s="179">
        <v>45966</v>
      </c>
      <c r="I233" s="179" t="s">
        <v>202</v>
      </c>
      <c r="J233" s="83">
        <v>3483246373</v>
      </c>
      <c r="K233" s="179"/>
      <c r="L233" s="179">
        <v>45966</v>
      </c>
      <c r="M233" s="180">
        <v>45979</v>
      </c>
      <c r="N233" s="181">
        <v>2.6734276680392295</v>
      </c>
      <c r="O233" s="181" t="s">
        <v>170</v>
      </c>
      <c r="P233" s="83" t="s">
        <v>148</v>
      </c>
      <c r="Q233" s="177" t="s">
        <v>149</v>
      </c>
      <c r="R233" s="83"/>
    </row>
    <row r="234" spans="1:18">
      <c r="A234" s="177">
        <v>80849337</v>
      </c>
      <c r="B234" s="177" t="s">
        <v>203</v>
      </c>
      <c r="C234" s="178" t="s">
        <v>151</v>
      </c>
      <c r="D234" s="177" t="s">
        <v>204</v>
      </c>
      <c r="E234" s="177" t="s">
        <v>205</v>
      </c>
      <c r="F234" s="179">
        <v>45999</v>
      </c>
      <c r="G234" s="177">
        <v>2215</v>
      </c>
      <c r="H234" s="179">
        <v>45968</v>
      </c>
      <c r="I234" s="179" t="s">
        <v>206</v>
      </c>
      <c r="J234" s="83">
        <v>3484562989</v>
      </c>
      <c r="K234" s="179"/>
      <c r="L234" s="179">
        <v>45968</v>
      </c>
      <c r="M234" s="180">
        <v>45985</v>
      </c>
      <c r="N234" s="181">
        <v>4.7175070000000003</v>
      </c>
      <c r="O234" s="181" t="s">
        <v>170</v>
      </c>
      <c r="P234" s="83" t="s">
        <v>148</v>
      </c>
      <c r="Q234" s="177" t="s">
        <v>149</v>
      </c>
      <c r="R234" s="83"/>
    </row>
    <row r="235" spans="1:18">
      <c r="A235" s="177">
        <v>80854035</v>
      </c>
      <c r="B235" s="177" t="s">
        <v>207</v>
      </c>
      <c r="C235" s="178" t="s">
        <v>151</v>
      </c>
      <c r="D235" s="177" t="s">
        <v>204</v>
      </c>
      <c r="E235" s="177" t="s">
        <v>205</v>
      </c>
      <c r="F235" s="179">
        <v>45999</v>
      </c>
      <c r="G235" s="177">
        <v>1108</v>
      </c>
      <c r="H235" s="179">
        <v>45968</v>
      </c>
      <c r="I235" s="179" t="s">
        <v>206</v>
      </c>
      <c r="J235" s="83">
        <v>3484562992</v>
      </c>
      <c r="K235" s="179"/>
      <c r="L235" s="179">
        <v>45968</v>
      </c>
      <c r="M235" s="180">
        <v>45985</v>
      </c>
      <c r="N235" s="181">
        <v>0.72396720000000003</v>
      </c>
      <c r="O235" s="181" t="s">
        <v>170</v>
      </c>
      <c r="P235" s="83" t="s">
        <v>148</v>
      </c>
      <c r="Q235" s="177" t="s">
        <v>149</v>
      </c>
      <c r="R235" s="83"/>
    </row>
    <row r="236" spans="1:18">
      <c r="A236" s="177">
        <v>80854030</v>
      </c>
      <c r="B236" s="177" t="s">
        <v>208</v>
      </c>
      <c r="C236" s="178" t="s">
        <v>151</v>
      </c>
      <c r="D236" s="177" t="s">
        <v>204</v>
      </c>
      <c r="E236" s="177" t="s">
        <v>205</v>
      </c>
      <c r="F236" s="179">
        <v>45999</v>
      </c>
      <c r="G236" s="177">
        <v>2110</v>
      </c>
      <c r="H236" s="179">
        <v>45968</v>
      </c>
      <c r="I236" s="179" t="s">
        <v>206</v>
      </c>
      <c r="J236" s="83">
        <v>3484562994</v>
      </c>
      <c r="K236" s="179"/>
      <c r="L236" s="179">
        <v>45968</v>
      </c>
      <c r="M236" s="180">
        <v>45985</v>
      </c>
      <c r="N236" s="181">
        <v>1.7726109999999999</v>
      </c>
      <c r="O236" s="181" t="s">
        <v>170</v>
      </c>
      <c r="P236" s="83" t="s">
        <v>148</v>
      </c>
      <c r="Q236" s="177" t="s">
        <v>149</v>
      </c>
      <c r="R236" s="83"/>
    </row>
    <row r="237" spans="1:18">
      <c r="A237" s="177">
        <v>80854034</v>
      </c>
      <c r="B237" s="177" t="s">
        <v>209</v>
      </c>
      <c r="C237" s="178" t="s">
        <v>151</v>
      </c>
      <c r="D237" s="177" t="s">
        <v>204</v>
      </c>
      <c r="E237" s="177" t="s">
        <v>205</v>
      </c>
      <c r="F237" s="179">
        <v>45999</v>
      </c>
      <c r="G237" s="177">
        <v>1055</v>
      </c>
      <c r="H237" s="179">
        <v>45968</v>
      </c>
      <c r="I237" s="179" t="s">
        <v>206</v>
      </c>
      <c r="J237" s="83">
        <v>3484562995</v>
      </c>
      <c r="K237" s="179"/>
      <c r="L237" s="179">
        <v>45968</v>
      </c>
      <c r="M237" s="180">
        <v>45985</v>
      </c>
      <c r="N237" s="181">
        <v>0.39393699999999998</v>
      </c>
      <c r="O237" s="181" t="s">
        <v>170</v>
      </c>
      <c r="P237" s="83" t="s">
        <v>148</v>
      </c>
      <c r="Q237" s="177" t="s">
        <v>149</v>
      </c>
      <c r="R237" s="83"/>
    </row>
    <row r="238" spans="1:18">
      <c r="A238" s="177">
        <v>80799279</v>
      </c>
      <c r="B238" s="177" t="s">
        <v>210</v>
      </c>
      <c r="C238" s="178" t="s">
        <v>155</v>
      </c>
      <c r="D238" s="177" t="s">
        <v>211</v>
      </c>
      <c r="E238" s="177" t="s">
        <v>172</v>
      </c>
      <c r="F238" s="179">
        <v>45974</v>
      </c>
      <c r="G238" s="177">
        <v>4200</v>
      </c>
      <c r="H238" s="179">
        <v>45968</v>
      </c>
      <c r="I238" s="179" t="s">
        <v>175</v>
      </c>
      <c r="J238" s="83">
        <v>3484562997</v>
      </c>
      <c r="K238" s="179"/>
      <c r="L238" s="179">
        <v>45968</v>
      </c>
      <c r="M238" s="180">
        <v>45972</v>
      </c>
      <c r="N238" s="181">
        <v>8.9451599999999996</v>
      </c>
      <c r="O238" s="181" t="s">
        <v>170</v>
      </c>
      <c r="P238" s="83" t="s">
        <v>148</v>
      </c>
      <c r="Q238" s="177" t="s">
        <v>149</v>
      </c>
      <c r="R238" s="83"/>
    </row>
    <row r="239" spans="1:18">
      <c r="A239" s="177">
        <v>80823133</v>
      </c>
      <c r="B239" s="177" t="s">
        <v>212</v>
      </c>
      <c r="C239" s="178" t="s">
        <v>150</v>
      </c>
      <c r="D239" s="177" t="s">
        <v>213</v>
      </c>
      <c r="E239" s="177" t="s">
        <v>172</v>
      </c>
      <c r="F239" s="179">
        <v>45978</v>
      </c>
      <c r="G239" s="177">
        <v>2000</v>
      </c>
      <c r="H239" s="179">
        <v>45973</v>
      </c>
      <c r="I239" s="179" t="s">
        <v>214</v>
      </c>
      <c r="J239" s="83">
        <v>3487714235</v>
      </c>
      <c r="K239" s="183" t="s">
        <v>215</v>
      </c>
      <c r="L239" s="179">
        <v>45973</v>
      </c>
      <c r="M239" s="180">
        <v>45978</v>
      </c>
      <c r="N239" s="181">
        <v>5.4922000000000004</v>
      </c>
      <c r="O239" s="181" t="s">
        <v>170</v>
      </c>
      <c r="P239" s="83" t="s">
        <v>148</v>
      </c>
      <c r="Q239" s="177" t="s">
        <v>149</v>
      </c>
      <c r="R239" s="83"/>
    </row>
    <row r="240" spans="1:18">
      <c r="A240" s="177">
        <v>80823132</v>
      </c>
      <c r="B240" s="177" t="s">
        <v>216</v>
      </c>
      <c r="C240" s="178" t="s">
        <v>150</v>
      </c>
      <c r="D240" s="177" t="s">
        <v>213</v>
      </c>
      <c r="E240" s="177" t="s">
        <v>172</v>
      </c>
      <c r="F240" s="179">
        <v>45978</v>
      </c>
      <c r="G240" s="177">
        <v>3000</v>
      </c>
      <c r="H240" s="179">
        <v>45973</v>
      </c>
      <c r="I240" s="179" t="s">
        <v>214</v>
      </c>
      <c r="J240" s="83">
        <v>3487714236</v>
      </c>
      <c r="K240" s="183" t="s">
        <v>215</v>
      </c>
      <c r="L240" s="179">
        <v>45973</v>
      </c>
      <c r="M240" s="180">
        <v>45978</v>
      </c>
      <c r="N240" s="181">
        <v>8.2383000000000006</v>
      </c>
      <c r="O240" s="181" t="s">
        <v>170</v>
      </c>
      <c r="P240" s="83" t="s">
        <v>148</v>
      </c>
      <c r="Q240" s="177" t="s">
        <v>149</v>
      </c>
      <c r="R240" s="83"/>
    </row>
    <row r="241" spans="1:18">
      <c r="A241" s="177">
        <v>80859237</v>
      </c>
      <c r="B241" s="177" t="s">
        <v>217</v>
      </c>
      <c r="C241" s="178" t="s">
        <v>155</v>
      </c>
      <c r="D241" s="177" t="s">
        <v>218</v>
      </c>
      <c r="E241" s="177" t="s">
        <v>172</v>
      </c>
      <c r="F241" s="179">
        <v>45978</v>
      </c>
      <c r="G241" s="177">
        <v>726</v>
      </c>
      <c r="H241" s="179">
        <v>45973</v>
      </c>
      <c r="I241" s="179" t="s">
        <v>202</v>
      </c>
      <c r="J241" s="83">
        <v>3487714237</v>
      </c>
      <c r="K241" s="183" t="s">
        <v>219</v>
      </c>
      <c r="L241" s="179">
        <v>45973</v>
      </c>
      <c r="M241" s="180">
        <v>45978</v>
      </c>
      <c r="N241" s="181">
        <v>3.2898689999999999</v>
      </c>
      <c r="O241" s="181" t="s">
        <v>170</v>
      </c>
      <c r="P241" s="83" t="s">
        <v>148</v>
      </c>
      <c r="Q241" s="177" t="s">
        <v>149</v>
      </c>
      <c r="R241" s="83"/>
    </row>
    <row r="242" spans="1:18">
      <c r="A242" s="177">
        <v>80859237</v>
      </c>
      <c r="B242" s="177" t="s">
        <v>217</v>
      </c>
      <c r="C242" s="178" t="s">
        <v>150</v>
      </c>
      <c r="D242" s="177" t="s">
        <v>218</v>
      </c>
      <c r="E242" s="177" t="s">
        <v>172</v>
      </c>
      <c r="F242" s="179">
        <v>45978</v>
      </c>
      <c r="G242" s="177">
        <v>1104</v>
      </c>
      <c r="H242" s="179">
        <v>45973</v>
      </c>
      <c r="I242" s="179" t="s">
        <v>202</v>
      </c>
      <c r="J242" s="83">
        <v>3487715318</v>
      </c>
      <c r="K242" s="183" t="s">
        <v>219</v>
      </c>
      <c r="L242" s="179">
        <v>45973</v>
      </c>
      <c r="M242" s="180">
        <v>45978</v>
      </c>
      <c r="N242" s="181">
        <v>5.0027759999999999</v>
      </c>
      <c r="O242" s="181" t="s">
        <v>170</v>
      </c>
      <c r="P242" s="83" t="s">
        <v>148</v>
      </c>
      <c r="Q242" s="177" t="s">
        <v>149</v>
      </c>
      <c r="R242" s="83"/>
    </row>
    <row r="243" spans="1:18">
      <c r="A243" s="177">
        <v>80859237</v>
      </c>
      <c r="B243" s="177" t="s">
        <v>217</v>
      </c>
      <c r="C243" s="178" t="s">
        <v>151</v>
      </c>
      <c r="D243" s="177" t="s">
        <v>218</v>
      </c>
      <c r="E243" s="177" t="s">
        <v>172</v>
      </c>
      <c r="F243" s="179">
        <v>45978</v>
      </c>
      <c r="G243" s="177">
        <v>1556</v>
      </c>
      <c r="H243" s="179">
        <v>45973</v>
      </c>
      <c r="I243" s="179" t="s">
        <v>202</v>
      </c>
      <c r="J243" s="83">
        <v>3487715319</v>
      </c>
      <c r="K243" s="183" t="s">
        <v>219</v>
      </c>
      <c r="L243" s="179">
        <v>45973</v>
      </c>
      <c r="M243" s="180">
        <v>45978</v>
      </c>
      <c r="N243" s="181">
        <v>7.0510140000000003</v>
      </c>
      <c r="O243" s="181" t="s">
        <v>170</v>
      </c>
      <c r="P243" s="83" t="s">
        <v>148</v>
      </c>
      <c r="Q243" s="177" t="s">
        <v>149</v>
      </c>
      <c r="R243" s="83"/>
    </row>
    <row r="244" spans="1:18">
      <c r="A244" s="177">
        <v>80859239</v>
      </c>
      <c r="B244" s="177" t="s">
        <v>220</v>
      </c>
      <c r="C244" s="178" t="s">
        <v>155</v>
      </c>
      <c r="D244" s="177" t="s">
        <v>218</v>
      </c>
      <c r="E244" s="177" t="s">
        <v>172</v>
      </c>
      <c r="F244" s="179">
        <v>45978</v>
      </c>
      <c r="G244" s="177">
        <v>1489</v>
      </c>
      <c r="H244" s="179">
        <v>45973</v>
      </c>
      <c r="I244" s="179" t="s">
        <v>202</v>
      </c>
      <c r="J244" s="83">
        <v>3487715323</v>
      </c>
      <c r="K244" s="179"/>
      <c r="L244" s="179">
        <v>45973</v>
      </c>
      <c r="M244" s="180">
        <v>45979</v>
      </c>
      <c r="N244" s="181">
        <v>5.0605153999999999</v>
      </c>
      <c r="O244" s="181" t="s">
        <v>170</v>
      </c>
      <c r="P244" s="83" t="s">
        <v>148</v>
      </c>
      <c r="Q244" s="177" t="s">
        <v>149</v>
      </c>
      <c r="R244" s="83"/>
    </row>
    <row r="245" spans="1:18">
      <c r="A245" s="177">
        <v>80859239</v>
      </c>
      <c r="B245" s="177" t="s">
        <v>220</v>
      </c>
      <c r="C245" s="178" t="s">
        <v>150</v>
      </c>
      <c r="D245" s="177" t="s">
        <v>218</v>
      </c>
      <c r="E245" s="177" t="s">
        <v>172</v>
      </c>
      <c r="F245" s="179">
        <v>45978</v>
      </c>
      <c r="G245" s="177">
        <v>2265</v>
      </c>
      <c r="H245" s="179">
        <v>45973</v>
      </c>
      <c r="I245" s="179" t="s">
        <v>202</v>
      </c>
      <c r="J245" s="83">
        <v>3487715324</v>
      </c>
      <c r="K245" s="179"/>
      <c r="L245" s="179">
        <v>45973</v>
      </c>
      <c r="M245" s="180">
        <v>45979</v>
      </c>
      <c r="N245" s="181">
        <v>7.6978289999999996</v>
      </c>
      <c r="O245" s="181" t="s">
        <v>170</v>
      </c>
      <c r="P245" s="83" t="s">
        <v>148</v>
      </c>
      <c r="Q245" s="177" t="s">
        <v>149</v>
      </c>
      <c r="R245" s="83"/>
    </row>
    <row r="246" spans="1:18">
      <c r="A246" s="177">
        <v>80859239</v>
      </c>
      <c r="B246" s="177" t="s">
        <v>220</v>
      </c>
      <c r="C246" s="178" t="s">
        <v>151</v>
      </c>
      <c r="D246" s="177" t="s">
        <v>218</v>
      </c>
      <c r="E246" s="177" t="s">
        <v>172</v>
      </c>
      <c r="F246" s="179">
        <v>45978</v>
      </c>
      <c r="G246" s="177">
        <v>3191</v>
      </c>
      <c r="H246" s="179">
        <v>45973</v>
      </c>
      <c r="I246" s="179" t="s">
        <v>202</v>
      </c>
      <c r="J246" s="83">
        <v>3487715325</v>
      </c>
      <c r="K246" s="179"/>
      <c r="L246" s="179">
        <v>45973</v>
      </c>
      <c r="M246" s="180">
        <v>45979</v>
      </c>
      <c r="N246" s="181">
        <v>10.8449326</v>
      </c>
      <c r="O246" s="181" t="s">
        <v>170</v>
      </c>
      <c r="P246" s="83" t="s">
        <v>148</v>
      </c>
      <c r="Q246" s="177" t="s">
        <v>149</v>
      </c>
      <c r="R246" s="83"/>
    </row>
    <row r="247" spans="1:18">
      <c r="A247" s="177">
        <v>80773752</v>
      </c>
      <c r="B247" s="177" t="s">
        <v>221</v>
      </c>
      <c r="C247" s="178" t="s">
        <v>151</v>
      </c>
      <c r="D247" s="177" t="s">
        <v>222</v>
      </c>
      <c r="E247" s="177" t="s">
        <v>205</v>
      </c>
      <c r="F247" s="179">
        <v>46008</v>
      </c>
      <c r="G247" s="177">
        <v>4300</v>
      </c>
      <c r="H247" s="179">
        <v>45978</v>
      </c>
      <c r="I247" s="179" t="s">
        <v>206</v>
      </c>
      <c r="J247" s="83">
        <v>3491054689</v>
      </c>
      <c r="K247" s="179" t="s">
        <v>223</v>
      </c>
      <c r="L247" s="179">
        <v>45978</v>
      </c>
      <c r="M247" s="180">
        <v>45989</v>
      </c>
      <c r="N247" s="181">
        <v>9.1581399999999995</v>
      </c>
      <c r="O247" s="181" t="s">
        <v>170</v>
      </c>
      <c r="P247" s="83" t="s">
        <v>148</v>
      </c>
      <c r="Q247" s="177" t="s">
        <v>149</v>
      </c>
      <c r="R247" s="83"/>
    </row>
    <row r="248" spans="1:18">
      <c r="A248" s="177">
        <v>80773752</v>
      </c>
      <c r="B248" s="177" t="s">
        <v>221</v>
      </c>
      <c r="C248" s="178" t="s">
        <v>112</v>
      </c>
      <c r="D248" s="177" t="s">
        <v>222</v>
      </c>
      <c r="E248" s="177" t="s">
        <v>205</v>
      </c>
      <c r="F248" s="179">
        <v>46008</v>
      </c>
      <c r="G248" s="177">
        <v>3000</v>
      </c>
      <c r="H248" s="179">
        <v>45978</v>
      </c>
      <c r="I248" s="179" t="s">
        <v>206</v>
      </c>
      <c r="J248" s="83">
        <v>3491054690</v>
      </c>
      <c r="K248" s="179"/>
      <c r="L248" s="179">
        <v>45978</v>
      </c>
      <c r="M248" s="180">
        <v>45999</v>
      </c>
      <c r="N248" s="181">
        <v>6.3894000000000002</v>
      </c>
      <c r="O248" s="181" t="s">
        <v>170</v>
      </c>
      <c r="P248" s="83" t="s">
        <v>148</v>
      </c>
      <c r="Q248" s="177" t="s">
        <v>149</v>
      </c>
      <c r="R248" s="83"/>
    </row>
    <row r="249" spans="1:18">
      <c r="A249" s="177">
        <v>80864679</v>
      </c>
      <c r="B249" s="177" t="s">
        <v>224</v>
      </c>
      <c r="C249" s="178" t="s">
        <v>151</v>
      </c>
      <c r="D249" s="177" t="s">
        <v>222</v>
      </c>
      <c r="E249" s="177" t="s">
        <v>205</v>
      </c>
      <c r="F249" s="179">
        <v>46008</v>
      </c>
      <c r="G249" s="177">
        <v>8900</v>
      </c>
      <c r="H249" s="179">
        <v>45978</v>
      </c>
      <c r="I249" s="179" t="s">
        <v>206</v>
      </c>
      <c r="J249" s="83">
        <v>3491054691</v>
      </c>
      <c r="K249" s="179" t="s">
        <v>225</v>
      </c>
      <c r="L249" s="179">
        <v>45978</v>
      </c>
      <c r="M249" s="180">
        <v>45989</v>
      </c>
      <c r="N249" s="181">
        <v>16.031569999999999</v>
      </c>
      <c r="O249" s="181" t="s">
        <v>170</v>
      </c>
      <c r="P249" s="83" t="s">
        <v>148</v>
      </c>
      <c r="Q249" s="177" t="s">
        <v>149</v>
      </c>
      <c r="R249" s="83"/>
    </row>
    <row r="250" spans="1:18">
      <c r="A250" s="177">
        <v>80883601</v>
      </c>
      <c r="B250" s="177" t="s">
        <v>159</v>
      </c>
      <c r="C250" s="178" t="s">
        <v>151</v>
      </c>
      <c r="D250" s="177" t="s">
        <v>160</v>
      </c>
      <c r="E250" s="177" t="s">
        <v>172</v>
      </c>
      <c r="F250" s="179">
        <v>46001</v>
      </c>
      <c r="G250" s="177">
        <v>792</v>
      </c>
      <c r="H250" s="179">
        <v>45978</v>
      </c>
      <c r="I250" s="179" t="s">
        <v>161</v>
      </c>
      <c r="J250" s="83">
        <v>3491054692</v>
      </c>
      <c r="K250" s="179"/>
      <c r="L250" s="179">
        <v>45978</v>
      </c>
      <c r="M250" s="180">
        <v>45992</v>
      </c>
      <c r="N250" s="181">
        <v>2.1533688</v>
      </c>
      <c r="O250" s="181" t="s">
        <v>170</v>
      </c>
      <c r="P250" s="83" t="s">
        <v>148</v>
      </c>
      <c r="Q250" s="177" t="s">
        <v>149</v>
      </c>
      <c r="R250" s="83"/>
    </row>
    <row r="251" spans="1:18">
      <c r="A251" s="177">
        <v>80883601</v>
      </c>
      <c r="B251" s="177" t="s">
        <v>159</v>
      </c>
      <c r="C251" s="178" t="s">
        <v>150</v>
      </c>
      <c r="D251" s="177" t="s">
        <v>160</v>
      </c>
      <c r="E251" s="177" t="s">
        <v>172</v>
      </c>
      <c r="F251" s="179">
        <v>46001</v>
      </c>
      <c r="G251" s="177">
        <v>481</v>
      </c>
      <c r="H251" s="179">
        <v>45978</v>
      </c>
      <c r="I251" s="179" t="s">
        <v>161</v>
      </c>
      <c r="J251" s="83">
        <v>3491054693</v>
      </c>
      <c r="K251" s="179"/>
      <c r="L251" s="179">
        <v>45978</v>
      </c>
      <c r="M251" s="180">
        <v>45992</v>
      </c>
      <c r="N251" s="181">
        <v>1.3077909000000001</v>
      </c>
      <c r="O251" s="181" t="s">
        <v>170</v>
      </c>
      <c r="P251" s="83" t="s">
        <v>148</v>
      </c>
      <c r="Q251" s="177" t="s">
        <v>149</v>
      </c>
      <c r="R251" s="83"/>
    </row>
    <row r="252" spans="1:18">
      <c r="A252" s="177">
        <v>80883601</v>
      </c>
      <c r="B252" s="177" t="s">
        <v>159</v>
      </c>
      <c r="C252" s="178" t="s">
        <v>155</v>
      </c>
      <c r="D252" s="177" t="s">
        <v>160</v>
      </c>
      <c r="E252" s="177" t="s">
        <v>172</v>
      </c>
      <c r="F252" s="179">
        <v>46001</v>
      </c>
      <c r="G252" s="177">
        <v>1079</v>
      </c>
      <c r="H252" s="179">
        <v>45978</v>
      </c>
      <c r="I252" s="179" t="s">
        <v>161</v>
      </c>
      <c r="J252" s="83">
        <v>3491054694</v>
      </c>
      <c r="K252" s="179"/>
      <c r="L252" s="179">
        <v>45978</v>
      </c>
      <c r="M252" s="180">
        <v>45992</v>
      </c>
      <c r="N252" s="181">
        <v>2.9336931000000002</v>
      </c>
      <c r="O252" s="181" t="s">
        <v>170</v>
      </c>
      <c r="P252" s="83" t="s">
        <v>148</v>
      </c>
      <c r="Q252" s="177" t="s">
        <v>149</v>
      </c>
      <c r="R252" s="83"/>
    </row>
    <row r="253" spans="1:18">
      <c r="A253" s="177">
        <v>80883593</v>
      </c>
      <c r="B253" s="177" t="s">
        <v>163</v>
      </c>
      <c r="C253" s="178" t="s">
        <v>151</v>
      </c>
      <c r="D253" s="177" t="s">
        <v>160</v>
      </c>
      <c r="E253" s="177" t="s">
        <v>172</v>
      </c>
      <c r="F253" s="179">
        <v>46001</v>
      </c>
      <c r="G253" s="177">
        <v>600</v>
      </c>
      <c r="H253" s="179">
        <v>45978</v>
      </c>
      <c r="I253" s="179" t="s">
        <v>161</v>
      </c>
      <c r="J253" s="83">
        <v>3491054695</v>
      </c>
      <c r="K253" s="179"/>
      <c r="L253" s="179">
        <v>45978</v>
      </c>
      <c r="M253" s="180">
        <v>45992</v>
      </c>
      <c r="N253" s="181">
        <v>1.63134</v>
      </c>
      <c r="O253" s="181" t="s">
        <v>170</v>
      </c>
      <c r="P253" s="83" t="s">
        <v>148</v>
      </c>
      <c r="Q253" s="177" t="s">
        <v>149</v>
      </c>
      <c r="R253" s="83"/>
    </row>
    <row r="254" spans="1:18">
      <c r="A254" s="177">
        <v>80883593</v>
      </c>
      <c r="B254" s="177" t="s">
        <v>163</v>
      </c>
      <c r="C254" s="178" t="s">
        <v>150</v>
      </c>
      <c r="D254" s="177" t="s">
        <v>160</v>
      </c>
      <c r="E254" s="177" t="s">
        <v>172</v>
      </c>
      <c r="F254" s="179">
        <v>46001</v>
      </c>
      <c r="G254" s="177">
        <v>260</v>
      </c>
      <c r="H254" s="179">
        <v>45978</v>
      </c>
      <c r="I254" s="179" t="s">
        <v>161</v>
      </c>
      <c r="J254" s="83">
        <v>3491054696</v>
      </c>
      <c r="K254" s="179"/>
      <c r="L254" s="179">
        <v>45978</v>
      </c>
      <c r="M254" s="180">
        <v>45992</v>
      </c>
      <c r="N254" s="181">
        <v>0.70691400000000004</v>
      </c>
      <c r="O254" s="181" t="s">
        <v>170</v>
      </c>
      <c r="P254" s="83" t="s">
        <v>148</v>
      </c>
      <c r="Q254" s="177" t="s">
        <v>149</v>
      </c>
      <c r="R254" s="83"/>
    </row>
    <row r="255" spans="1:18">
      <c r="A255" s="177">
        <v>80883593</v>
      </c>
      <c r="B255" s="177" t="s">
        <v>163</v>
      </c>
      <c r="C255" s="178" t="s">
        <v>155</v>
      </c>
      <c r="D255" s="177" t="s">
        <v>160</v>
      </c>
      <c r="E255" s="177" t="s">
        <v>172</v>
      </c>
      <c r="F255" s="179">
        <v>46001</v>
      </c>
      <c r="G255" s="177">
        <v>777</v>
      </c>
      <c r="H255" s="179">
        <v>45978</v>
      </c>
      <c r="I255" s="179" t="s">
        <v>161</v>
      </c>
      <c r="J255" s="83">
        <v>3491054697</v>
      </c>
      <c r="K255" s="179"/>
      <c r="L255" s="179">
        <v>45978</v>
      </c>
      <c r="M255" s="180">
        <v>45992</v>
      </c>
      <c r="N255" s="181">
        <v>2.1125853000000001</v>
      </c>
      <c r="O255" s="181" t="s">
        <v>170</v>
      </c>
      <c r="P255" s="83" t="s">
        <v>148</v>
      </c>
      <c r="Q255" s="177" t="s">
        <v>149</v>
      </c>
      <c r="R255" s="83"/>
    </row>
    <row r="256" spans="1:18">
      <c r="A256" s="177">
        <v>80883600</v>
      </c>
      <c r="B256" s="177" t="s">
        <v>164</v>
      </c>
      <c r="C256" s="178" t="s">
        <v>151</v>
      </c>
      <c r="D256" s="177" t="s">
        <v>160</v>
      </c>
      <c r="E256" s="177" t="s">
        <v>172</v>
      </c>
      <c r="F256" s="179">
        <v>46001</v>
      </c>
      <c r="G256" s="177">
        <v>481</v>
      </c>
      <c r="H256" s="179">
        <v>45978</v>
      </c>
      <c r="I256" s="179" t="s">
        <v>161</v>
      </c>
      <c r="J256" s="83">
        <v>3491055038</v>
      </c>
      <c r="K256" s="179"/>
      <c r="L256" s="179">
        <v>45978</v>
      </c>
      <c r="M256" s="180">
        <v>45992</v>
      </c>
      <c r="N256" s="181">
        <v>1.0898017</v>
      </c>
      <c r="O256" s="181" t="s">
        <v>170</v>
      </c>
      <c r="P256" s="83" t="s">
        <v>148</v>
      </c>
      <c r="Q256" s="177" t="s">
        <v>149</v>
      </c>
      <c r="R256" s="83"/>
    </row>
    <row r="257" spans="1:18">
      <c r="A257" s="177">
        <v>80883600</v>
      </c>
      <c r="B257" s="177" t="s">
        <v>164</v>
      </c>
      <c r="C257" s="178" t="s">
        <v>150</v>
      </c>
      <c r="D257" s="177" t="s">
        <v>160</v>
      </c>
      <c r="E257" s="177" t="s">
        <v>172</v>
      </c>
      <c r="F257" s="179">
        <v>46001</v>
      </c>
      <c r="G257" s="177">
        <v>292</v>
      </c>
      <c r="H257" s="179">
        <v>45978</v>
      </c>
      <c r="I257" s="179" t="s">
        <v>161</v>
      </c>
      <c r="J257" s="83">
        <v>3491055039</v>
      </c>
      <c r="K257" s="179"/>
      <c r="L257" s="179">
        <v>45978</v>
      </c>
      <c r="M257" s="180">
        <v>45992</v>
      </c>
      <c r="N257" s="181">
        <v>0.66158439999999996</v>
      </c>
      <c r="O257" s="181" t="s">
        <v>170</v>
      </c>
      <c r="P257" s="83" t="s">
        <v>148</v>
      </c>
      <c r="Q257" s="177" t="s">
        <v>149</v>
      </c>
      <c r="R257" s="83"/>
    </row>
    <row r="258" spans="1:18">
      <c r="A258" s="177">
        <v>80883600</v>
      </c>
      <c r="B258" s="177" t="s">
        <v>164</v>
      </c>
      <c r="C258" s="178" t="s">
        <v>155</v>
      </c>
      <c r="D258" s="177" t="s">
        <v>160</v>
      </c>
      <c r="E258" s="177" t="s">
        <v>172</v>
      </c>
      <c r="F258" s="179">
        <v>46001</v>
      </c>
      <c r="G258" s="177">
        <v>655</v>
      </c>
      <c r="H258" s="179">
        <v>45978</v>
      </c>
      <c r="I258" s="179" t="s">
        <v>161</v>
      </c>
      <c r="J258" s="83">
        <v>3491055040</v>
      </c>
      <c r="K258" s="179"/>
      <c r="L258" s="179">
        <v>45978</v>
      </c>
      <c r="M258" s="180">
        <v>45992</v>
      </c>
      <c r="N258" s="181">
        <v>1.4840335</v>
      </c>
      <c r="O258" s="181" t="s">
        <v>170</v>
      </c>
      <c r="P258" s="83" t="s">
        <v>148</v>
      </c>
      <c r="Q258" s="177" t="s">
        <v>149</v>
      </c>
      <c r="R258" s="83"/>
    </row>
    <row r="259" spans="1:18">
      <c r="A259" s="177">
        <v>80883623</v>
      </c>
      <c r="B259" s="177" t="s">
        <v>165</v>
      </c>
      <c r="C259" s="178" t="s">
        <v>151</v>
      </c>
      <c r="D259" s="177" t="s">
        <v>160</v>
      </c>
      <c r="E259" s="177" t="s">
        <v>172</v>
      </c>
      <c r="F259" s="179">
        <v>46001</v>
      </c>
      <c r="G259" s="177">
        <v>475</v>
      </c>
      <c r="H259" s="179">
        <v>45978</v>
      </c>
      <c r="I259" s="179" t="s">
        <v>161</v>
      </c>
      <c r="J259" s="83">
        <v>3491055041</v>
      </c>
      <c r="K259" s="179"/>
      <c r="L259" s="179">
        <v>45978</v>
      </c>
      <c r="M259" s="180">
        <v>45992</v>
      </c>
      <c r="N259" s="181">
        <v>1.0762075</v>
      </c>
      <c r="O259" s="181" t="s">
        <v>170</v>
      </c>
      <c r="P259" s="83" t="s">
        <v>148</v>
      </c>
      <c r="Q259" s="177" t="s">
        <v>149</v>
      </c>
      <c r="R259" s="83"/>
    </row>
    <row r="260" spans="1:18">
      <c r="A260" s="177">
        <v>80883623</v>
      </c>
      <c r="B260" s="177" t="s">
        <v>165</v>
      </c>
      <c r="C260" s="178" t="s">
        <v>150</v>
      </c>
      <c r="D260" s="177" t="s">
        <v>160</v>
      </c>
      <c r="E260" s="177" t="s">
        <v>172</v>
      </c>
      <c r="F260" s="179">
        <v>46001</v>
      </c>
      <c r="G260" s="177">
        <v>206</v>
      </c>
      <c r="H260" s="179">
        <v>45978</v>
      </c>
      <c r="I260" s="179" t="s">
        <v>161</v>
      </c>
      <c r="J260" s="83">
        <v>3491055202</v>
      </c>
      <c r="K260" s="179"/>
      <c r="L260" s="179">
        <v>45978</v>
      </c>
      <c r="M260" s="180">
        <v>45992</v>
      </c>
      <c r="N260" s="181">
        <v>0.46673419999999999</v>
      </c>
      <c r="O260" s="181" t="s">
        <v>170</v>
      </c>
      <c r="P260" s="83" t="s">
        <v>148</v>
      </c>
      <c r="Q260" s="177" t="s">
        <v>149</v>
      </c>
      <c r="R260" s="83"/>
    </row>
    <row r="261" spans="1:18">
      <c r="A261" s="177">
        <v>80883623</v>
      </c>
      <c r="B261" s="177" t="s">
        <v>165</v>
      </c>
      <c r="C261" s="178" t="s">
        <v>155</v>
      </c>
      <c r="D261" s="177" t="s">
        <v>160</v>
      </c>
      <c r="E261" s="177" t="s">
        <v>172</v>
      </c>
      <c r="F261" s="179">
        <v>46001</v>
      </c>
      <c r="G261" s="177">
        <v>616</v>
      </c>
      <c r="H261" s="179">
        <v>45978</v>
      </c>
      <c r="I261" s="179" t="s">
        <v>161</v>
      </c>
      <c r="J261" s="83">
        <v>3491055206</v>
      </c>
      <c r="K261" s="179"/>
      <c r="L261" s="179">
        <v>45978</v>
      </c>
      <c r="M261" s="180">
        <v>45992</v>
      </c>
      <c r="N261" s="181">
        <v>1.3956712</v>
      </c>
      <c r="O261" s="181" t="s">
        <v>170</v>
      </c>
      <c r="P261" s="83" t="s">
        <v>148</v>
      </c>
      <c r="Q261" s="177" t="s">
        <v>149</v>
      </c>
      <c r="R261" s="83"/>
    </row>
    <row r="262" spans="1:18">
      <c r="A262" s="177">
        <v>80883601</v>
      </c>
      <c r="B262" s="177" t="s">
        <v>159</v>
      </c>
      <c r="C262" s="178" t="s">
        <v>151</v>
      </c>
      <c r="D262" s="177" t="s">
        <v>160</v>
      </c>
      <c r="E262" s="177" t="s">
        <v>172</v>
      </c>
      <c r="F262" s="179">
        <v>46011</v>
      </c>
      <c r="G262" s="177">
        <v>1716</v>
      </c>
      <c r="H262" s="179">
        <v>45978</v>
      </c>
      <c r="I262" s="179" t="s">
        <v>161</v>
      </c>
      <c r="J262" s="83">
        <v>3491055208</v>
      </c>
      <c r="K262" s="179"/>
      <c r="L262" s="179">
        <v>45978</v>
      </c>
      <c r="M262" s="180">
        <v>45992</v>
      </c>
      <c r="N262" s="181">
        <v>4.6656323999999998</v>
      </c>
      <c r="O262" s="181" t="s">
        <v>170</v>
      </c>
      <c r="P262" s="83" t="s">
        <v>148</v>
      </c>
      <c r="Q262" s="177" t="s">
        <v>149</v>
      </c>
      <c r="R262" s="83"/>
    </row>
    <row r="263" spans="1:18">
      <c r="A263" s="177">
        <v>80883601</v>
      </c>
      <c r="B263" s="177" t="s">
        <v>159</v>
      </c>
      <c r="C263" s="178" t="s">
        <v>150</v>
      </c>
      <c r="D263" s="177" t="s">
        <v>160</v>
      </c>
      <c r="E263" s="177" t="s">
        <v>172</v>
      </c>
      <c r="F263" s="179">
        <v>46011</v>
      </c>
      <c r="G263" s="177">
        <v>1042</v>
      </c>
      <c r="H263" s="179">
        <v>45978</v>
      </c>
      <c r="I263" s="179" t="s">
        <v>161</v>
      </c>
      <c r="J263" s="83">
        <v>3491055209</v>
      </c>
      <c r="K263" s="179"/>
      <c r="L263" s="179">
        <v>45978</v>
      </c>
      <c r="M263" s="180">
        <v>45992</v>
      </c>
      <c r="N263" s="181">
        <v>2.8330937999999999</v>
      </c>
      <c r="O263" s="181" t="s">
        <v>170</v>
      </c>
      <c r="P263" s="83" t="s">
        <v>148</v>
      </c>
      <c r="Q263" s="177" t="s">
        <v>149</v>
      </c>
      <c r="R263" s="83"/>
    </row>
    <row r="264" spans="1:18">
      <c r="A264" s="177">
        <v>80883601</v>
      </c>
      <c r="B264" s="177" t="s">
        <v>159</v>
      </c>
      <c r="C264" s="178" t="s">
        <v>155</v>
      </c>
      <c r="D264" s="177" t="s">
        <v>160</v>
      </c>
      <c r="E264" s="177" t="s">
        <v>172</v>
      </c>
      <c r="F264" s="179">
        <v>46011</v>
      </c>
      <c r="G264" s="177">
        <v>2338</v>
      </c>
      <c r="H264" s="179">
        <v>45978</v>
      </c>
      <c r="I264" s="179" t="s">
        <v>161</v>
      </c>
      <c r="J264" s="83">
        <v>3491055210</v>
      </c>
      <c r="K264" s="179"/>
      <c r="L264" s="179">
        <v>45978</v>
      </c>
      <c r="M264" s="180">
        <v>45992</v>
      </c>
      <c r="N264" s="181">
        <v>6.3567882000000004</v>
      </c>
      <c r="O264" s="181" t="s">
        <v>170</v>
      </c>
      <c r="P264" s="83" t="s">
        <v>148</v>
      </c>
      <c r="Q264" s="177" t="s">
        <v>149</v>
      </c>
      <c r="R264" s="83"/>
    </row>
    <row r="265" spans="1:18">
      <c r="A265" s="177">
        <v>80883593</v>
      </c>
      <c r="B265" s="177" t="s">
        <v>163</v>
      </c>
      <c r="C265" s="178" t="s">
        <v>151</v>
      </c>
      <c r="D265" s="177" t="s">
        <v>160</v>
      </c>
      <c r="E265" s="177" t="s">
        <v>172</v>
      </c>
      <c r="F265" s="179">
        <v>46011</v>
      </c>
      <c r="G265" s="177">
        <v>1299</v>
      </c>
      <c r="H265" s="179">
        <v>45978</v>
      </c>
      <c r="I265" s="179" t="s">
        <v>161</v>
      </c>
      <c r="J265" s="83">
        <v>3491055213</v>
      </c>
      <c r="K265" s="179"/>
      <c r="L265" s="179">
        <v>45978</v>
      </c>
      <c r="M265" s="180">
        <v>45992</v>
      </c>
      <c r="N265" s="181">
        <v>3.5318510999999999</v>
      </c>
      <c r="O265" s="181" t="s">
        <v>170</v>
      </c>
      <c r="P265" s="83" t="s">
        <v>148</v>
      </c>
      <c r="Q265" s="177" t="s">
        <v>149</v>
      </c>
      <c r="R265" s="83"/>
    </row>
    <row r="266" spans="1:18">
      <c r="A266" s="177">
        <v>80883593</v>
      </c>
      <c r="B266" s="177" t="s">
        <v>163</v>
      </c>
      <c r="C266" s="178" t="s">
        <v>150</v>
      </c>
      <c r="D266" s="177" t="s">
        <v>160</v>
      </c>
      <c r="E266" s="177" t="s">
        <v>172</v>
      </c>
      <c r="F266" s="179">
        <v>46011</v>
      </c>
      <c r="G266" s="177">
        <v>562</v>
      </c>
      <c r="H266" s="179">
        <v>45978</v>
      </c>
      <c r="I266" s="179" t="s">
        <v>161</v>
      </c>
      <c r="J266" s="83">
        <v>3491055214</v>
      </c>
      <c r="K266" s="179"/>
      <c r="L266" s="179">
        <v>45978</v>
      </c>
      <c r="M266" s="180">
        <v>45992</v>
      </c>
      <c r="N266" s="181">
        <v>1.5280218000000001</v>
      </c>
      <c r="O266" s="181" t="s">
        <v>170</v>
      </c>
      <c r="P266" s="83" t="s">
        <v>148</v>
      </c>
      <c r="Q266" s="177" t="s">
        <v>149</v>
      </c>
      <c r="R266" s="83"/>
    </row>
    <row r="267" spans="1:18">
      <c r="A267" s="177">
        <v>80883593</v>
      </c>
      <c r="B267" s="177" t="s">
        <v>163</v>
      </c>
      <c r="C267" s="178" t="s">
        <v>155</v>
      </c>
      <c r="D267" s="177" t="s">
        <v>160</v>
      </c>
      <c r="E267" s="177" t="s">
        <v>172</v>
      </c>
      <c r="F267" s="179">
        <v>46011</v>
      </c>
      <c r="G267" s="177">
        <v>1684</v>
      </c>
      <c r="H267" s="179">
        <v>45978</v>
      </c>
      <c r="I267" s="179" t="s">
        <v>161</v>
      </c>
      <c r="J267" s="83">
        <v>3491055215</v>
      </c>
      <c r="K267" s="179"/>
      <c r="L267" s="179">
        <v>45978</v>
      </c>
      <c r="M267" s="180">
        <v>45992</v>
      </c>
      <c r="N267" s="181">
        <v>4.5786275999999999</v>
      </c>
      <c r="O267" s="181" t="s">
        <v>170</v>
      </c>
      <c r="P267" s="83" t="s">
        <v>148</v>
      </c>
      <c r="Q267" s="177" t="s">
        <v>149</v>
      </c>
      <c r="R267" s="83"/>
    </row>
    <row r="268" spans="1:18">
      <c r="A268" s="177">
        <v>80883600</v>
      </c>
      <c r="B268" s="177" t="s">
        <v>164</v>
      </c>
      <c r="C268" s="178" t="s">
        <v>151</v>
      </c>
      <c r="D268" s="177" t="s">
        <v>160</v>
      </c>
      <c r="E268" s="177" t="s">
        <v>172</v>
      </c>
      <c r="F268" s="179">
        <v>46011</v>
      </c>
      <c r="G268" s="177">
        <v>1041</v>
      </c>
      <c r="H268" s="179">
        <v>45978</v>
      </c>
      <c r="I268" s="179" t="s">
        <v>161</v>
      </c>
      <c r="J268" s="83">
        <v>3491055216</v>
      </c>
      <c r="K268" s="179"/>
      <c r="L268" s="179">
        <v>45978</v>
      </c>
      <c r="M268" s="180">
        <v>45992</v>
      </c>
      <c r="N268" s="181">
        <v>2.3585937000000001</v>
      </c>
      <c r="O268" s="181" t="s">
        <v>170</v>
      </c>
      <c r="P268" s="83" t="s">
        <v>148</v>
      </c>
      <c r="Q268" s="177" t="s">
        <v>149</v>
      </c>
      <c r="R268" s="83"/>
    </row>
    <row r="269" spans="1:18">
      <c r="A269" s="177">
        <v>80883600</v>
      </c>
      <c r="B269" s="177" t="s">
        <v>164</v>
      </c>
      <c r="C269" s="178" t="s">
        <v>150</v>
      </c>
      <c r="D269" s="177" t="s">
        <v>160</v>
      </c>
      <c r="E269" s="177" t="s">
        <v>172</v>
      </c>
      <c r="F269" s="179">
        <v>46011</v>
      </c>
      <c r="G269" s="177">
        <v>632</v>
      </c>
      <c r="H269" s="179">
        <v>45978</v>
      </c>
      <c r="I269" s="179" t="s">
        <v>161</v>
      </c>
      <c r="J269" s="83">
        <v>3491055217</v>
      </c>
      <c r="K269" s="179"/>
      <c r="L269" s="179">
        <v>45978</v>
      </c>
      <c r="M269" s="180">
        <v>45992</v>
      </c>
      <c r="N269" s="181">
        <v>1.4319223999999999</v>
      </c>
      <c r="O269" s="181" t="s">
        <v>170</v>
      </c>
      <c r="P269" s="83" t="s">
        <v>148</v>
      </c>
      <c r="Q269" s="177" t="s">
        <v>149</v>
      </c>
      <c r="R269" s="83"/>
    </row>
    <row r="270" spans="1:18">
      <c r="A270" s="177">
        <v>80883600</v>
      </c>
      <c r="B270" s="177" t="s">
        <v>164</v>
      </c>
      <c r="C270" s="178" t="s">
        <v>155</v>
      </c>
      <c r="D270" s="177" t="s">
        <v>160</v>
      </c>
      <c r="E270" s="177" t="s">
        <v>172</v>
      </c>
      <c r="F270" s="179">
        <v>46011</v>
      </c>
      <c r="G270" s="177">
        <v>1419</v>
      </c>
      <c r="H270" s="179">
        <v>45978</v>
      </c>
      <c r="I270" s="179" t="s">
        <v>161</v>
      </c>
      <c r="J270" s="83">
        <v>3491055358</v>
      </c>
      <c r="K270" s="179"/>
      <c r="L270" s="179">
        <v>45978</v>
      </c>
      <c r="M270" s="180">
        <v>45992</v>
      </c>
      <c r="N270" s="181">
        <v>3.2150283000000002</v>
      </c>
      <c r="O270" s="181" t="s">
        <v>170</v>
      </c>
      <c r="P270" s="83" t="s">
        <v>148</v>
      </c>
      <c r="Q270" s="177" t="s">
        <v>149</v>
      </c>
      <c r="R270" s="83"/>
    </row>
    <row r="271" spans="1:18">
      <c r="A271" s="177">
        <v>80883623</v>
      </c>
      <c r="B271" s="177" t="s">
        <v>165</v>
      </c>
      <c r="C271" s="178" t="s">
        <v>151</v>
      </c>
      <c r="D271" s="177" t="s">
        <v>160</v>
      </c>
      <c r="E271" s="177" t="s">
        <v>172</v>
      </c>
      <c r="F271" s="179">
        <v>46011</v>
      </c>
      <c r="G271" s="177">
        <v>1030</v>
      </c>
      <c r="H271" s="179">
        <v>45978</v>
      </c>
      <c r="I271" s="179" t="s">
        <v>161</v>
      </c>
      <c r="J271" s="83">
        <v>3491055359</v>
      </c>
      <c r="K271" s="179"/>
      <c r="L271" s="179">
        <v>45978</v>
      </c>
      <c r="M271" s="180">
        <v>45992</v>
      </c>
      <c r="N271" s="181">
        <v>2.3336709999999998</v>
      </c>
      <c r="O271" s="181" t="s">
        <v>170</v>
      </c>
      <c r="P271" s="83" t="s">
        <v>148</v>
      </c>
      <c r="Q271" s="177" t="s">
        <v>149</v>
      </c>
      <c r="R271" s="83"/>
    </row>
    <row r="272" spans="1:18">
      <c r="A272" s="177">
        <v>80883623</v>
      </c>
      <c r="B272" s="177" t="s">
        <v>165</v>
      </c>
      <c r="C272" s="178" t="s">
        <v>150</v>
      </c>
      <c r="D272" s="177" t="s">
        <v>160</v>
      </c>
      <c r="E272" s="177" t="s">
        <v>172</v>
      </c>
      <c r="F272" s="179">
        <v>46011</v>
      </c>
      <c r="G272" s="177">
        <v>446</v>
      </c>
      <c r="H272" s="179">
        <v>45978</v>
      </c>
      <c r="I272" s="179" t="s">
        <v>161</v>
      </c>
      <c r="J272" s="83">
        <v>3491055360</v>
      </c>
      <c r="K272" s="179"/>
      <c r="L272" s="179">
        <v>45978</v>
      </c>
      <c r="M272" s="180">
        <v>45992</v>
      </c>
      <c r="N272" s="181">
        <v>1.0105021999999999</v>
      </c>
      <c r="O272" s="181" t="s">
        <v>170</v>
      </c>
      <c r="P272" s="83" t="s">
        <v>148</v>
      </c>
      <c r="Q272" s="177" t="s">
        <v>149</v>
      </c>
      <c r="R272" s="83"/>
    </row>
    <row r="273" spans="1:18">
      <c r="A273" s="177">
        <v>80883623</v>
      </c>
      <c r="B273" s="177" t="s">
        <v>165</v>
      </c>
      <c r="C273" s="178" t="s">
        <v>155</v>
      </c>
      <c r="D273" s="177" t="s">
        <v>160</v>
      </c>
      <c r="E273" s="177" t="s">
        <v>172</v>
      </c>
      <c r="F273" s="179">
        <v>46011</v>
      </c>
      <c r="G273" s="177">
        <v>1335</v>
      </c>
      <c r="H273" s="179">
        <v>45978</v>
      </c>
      <c r="I273" s="179" t="s">
        <v>161</v>
      </c>
      <c r="J273" s="83">
        <v>3491055361</v>
      </c>
      <c r="K273" s="179"/>
      <c r="L273" s="179">
        <v>45978</v>
      </c>
      <c r="M273" s="180">
        <v>45992</v>
      </c>
      <c r="N273" s="181">
        <v>3.0247095000000002</v>
      </c>
      <c r="O273" s="181" t="s">
        <v>170</v>
      </c>
      <c r="P273" s="83" t="s">
        <v>148</v>
      </c>
      <c r="Q273" s="177" t="s">
        <v>149</v>
      </c>
      <c r="R273" s="83"/>
    </row>
    <row r="274" spans="1:18">
      <c r="A274" s="177">
        <v>80883601</v>
      </c>
      <c r="B274" s="177" t="s">
        <v>159</v>
      </c>
      <c r="C274" s="178" t="s">
        <v>151</v>
      </c>
      <c r="D274" s="177" t="s">
        <v>160</v>
      </c>
      <c r="E274" s="177" t="s">
        <v>172</v>
      </c>
      <c r="F274" s="179">
        <v>46042</v>
      </c>
      <c r="G274" s="177">
        <v>1089</v>
      </c>
      <c r="H274" s="179">
        <v>45978</v>
      </c>
      <c r="I274" s="179" t="s">
        <v>161</v>
      </c>
      <c r="J274" s="83">
        <v>3491055362</v>
      </c>
      <c r="K274" s="179"/>
      <c r="L274" s="179">
        <v>45978</v>
      </c>
      <c r="M274" s="180">
        <v>45992</v>
      </c>
      <c r="N274" s="181">
        <v>2.9608821000000001</v>
      </c>
      <c r="O274" s="181" t="s">
        <v>170</v>
      </c>
      <c r="P274" s="83" t="s">
        <v>148</v>
      </c>
      <c r="Q274" s="177" t="s">
        <v>149</v>
      </c>
      <c r="R274" s="83"/>
    </row>
    <row r="275" spans="1:18">
      <c r="A275" s="177">
        <v>80883601</v>
      </c>
      <c r="B275" s="177" t="s">
        <v>159</v>
      </c>
      <c r="C275" s="178" t="s">
        <v>150</v>
      </c>
      <c r="D275" s="177" t="s">
        <v>160</v>
      </c>
      <c r="E275" s="177" t="s">
        <v>172</v>
      </c>
      <c r="F275" s="179">
        <v>46042</v>
      </c>
      <c r="G275" s="177">
        <v>661</v>
      </c>
      <c r="H275" s="179">
        <v>45978</v>
      </c>
      <c r="I275" s="179" t="s">
        <v>161</v>
      </c>
      <c r="J275" s="83">
        <v>3491055372</v>
      </c>
      <c r="K275" s="179"/>
      <c r="L275" s="179">
        <v>45978</v>
      </c>
      <c r="M275" s="180">
        <v>45992</v>
      </c>
      <c r="N275" s="181">
        <v>1.7971929</v>
      </c>
      <c r="O275" s="181" t="s">
        <v>170</v>
      </c>
      <c r="P275" s="83" t="s">
        <v>148</v>
      </c>
      <c r="Q275" s="177" t="s">
        <v>149</v>
      </c>
      <c r="R275" s="83"/>
    </row>
    <row r="276" spans="1:18">
      <c r="A276" s="177">
        <v>80883601</v>
      </c>
      <c r="B276" s="177" t="s">
        <v>159</v>
      </c>
      <c r="C276" s="178" t="s">
        <v>155</v>
      </c>
      <c r="D276" s="177" t="s">
        <v>160</v>
      </c>
      <c r="E276" s="177" t="s">
        <v>172</v>
      </c>
      <c r="F276" s="179">
        <v>46042</v>
      </c>
      <c r="G276" s="177">
        <v>1484</v>
      </c>
      <c r="H276" s="179">
        <v>45978</v>
      </c>
      <c r="I276" s="179" t="s">
        <v>161</v>
      </c>
      <c r="J276" s="83">
        <v>3491055514</v>
      </c>
      <c r="K276" s="179"/>
      <c r="L276" s="179">
        <v>45978</v>
      </c>
      <c r="M276" s="180">
        <v>45992</v>
      </c>
      <c r="N276" s="181">
        <v>4.0348476</v>
      </c>
      <c r="O276" s="181" t="s">
        <v>170</v>
      </c>
      <c r="P276" s="83" t="s">
        <v>148</v>
      </c>
      <c r="Q276" s="177" t="s">
        <v>149</v>
      </c>
      <c r="R276" s="83"/>
    </row>
    <row r="277" spans="1:18">
      <c r="A277" s="177">
        <v>80883593</v>
      </c>
      <c r="B277" s="177" t="s">
        <v>163</v>
      </c>
      <c r="C277" s="178" t="s">
        <v>151</v>
      </c>
      <c r="D277" s="177" t="s">
        <v>160</v>
      </c>
      <c r="E277" s="177" t="s">
        <v>172</v>
      </c>
      <c r="F277" s="179">
        <v>46042</v>
      </c>
      <c r="G277" s="177">
        <v>824</v>
      </c>
      <c r="H277" s="179">
        <v>45978</v>
      </c>
      <c r="I277" s="179" t="s">
        <v>161</v>
      </c>
      <c r="J277" s="83">
        <v>3491055593</v>
      </c>
      <c r="K277" s="179"/>
      <c r="L277" s="179">
        <v>45978</v>
      </c>
      <c r="M277" s="180">
        <v>45992</v>
      </c>
      <c r="N277" s="181">
        <v>2.2403735999999999</v>
      </c>
      <c r="O277" s="181" t="s">
        <v>170</v>
      </c>
      <c r="P277" s="83" t="s">
        <v>148</v>
      </c>
      <c r="Q277" s="177" t="s">
        <v>149</v>
      </c>
      <c r="R277" s="83"/>
    </row>
    <row r="278" spans="1:18">
      <c r="A278" s="177">
        <v>80883593</v>
      </c>
      <c r="B278" s="177" t="s">
        <v>163</v>
      </c>
      <c r="C278" s="178" t="s">
        <v>150</v>
      </c>
      <c r="D278" s="177" t="s">
        <v>160</v>
      </c>
      <c r="E278" s="177" t="s">
        <v>172</v>
      </c>
      <c r="F278" s="179">
        <v>46042</v>
      </c>
      <c r="G278" s="177">
        <v>357</v>
      </c>
      <c r="H278" s="179">
        <v>45978</v>
      </c>
      <c r="I278" s="179" t="s">
        <v>161</v>
      </c>
      <c r="J278" s="83">
        <v>3491055609</v>
      </c>
      <c r="K278" s="179"/>
      <c r="L278" s="179">
        <v>45978</v>
      </c>
      <c r="M278" s="180">
        <v>45992</v>
      </c>
      <c r="N278" s="181">
        <v>0.97064729999999999</v>
      </c>
      <c r="O278" s="181" t="s">
        <v>170</v>
      </c>
      <c r="P278" s="83" t="s">
        <v>148</v>
      </c>
      <c r="Q278" s="177" t="s">
        <v>149</v>
      </c>
      <c r="R278" s="83"/>
    </row>
    <row r="279" spans="1:18">
      <c r="A279" s="177">
        <v>80883593</v>
      </c>
      <c r="B279" s="177" t="s">
        <v>163</v>
      </c>
      <c r="C279" s="178" t="s">
        <v>155</v>
      </c>
      <c r="D279" s="177" t="s">
        <v>160</v>
      </c>
      <c r="E279" s="177" t="s">
        <v>172</v>
      </c>
      <c r="F279" s="179">
        <v>46042</v>
      </c>
      <c r="G279" s="177">
        <v>1069</v>
      </c>
      <c r="H279" s="179">
        <v>45978</v>
      </c>
      <c r="I279" s="179" t="s">
        <v>161</v>
      </c>
      <c r="J279" s="83">
        <v>3491055616</v>
      </c>
      <c r="K279" s="179"/>
      <c r="L279" s="179">
        <v>45978</v>
      </c>
      <c r="M279" s="180">
        <v>45992</v>
      </c>
      <c r="N279" s="181">
        <v>2.9065040999999998</v>
      </c>
      <c r="O279" s="181" t="s">
        <v>170</v>
      </c>
      <c r="P279" s="83" t="s">
        <v>148</v>
      </c>
      <c r="Q279" s="177" t="s">
        <v>149</v>
      </c>
      <c r="R279" s="83"/>
    </row>
    <row r="280" spans="1:18">
      <c r="A280" s="177">
        <v>80883600</v>
      </c>
      <c r="B280" s="177" t="s">
        <v>164</v>
      </c>
      <c r="C280" s="178" t="s">
        <v>151</v>
      </c>
      <c r="D280" s="177" t="s">
        <v>160</v>
      </c>
      <c r="E280" s="177" t="s">
        <v>172</v>
      </c>
      <c r="F280" s="179">
        <v>46042</v>
      </c>
      <c r="G280" s="177">
        <v>661</v>
      </c>
      <c r="H280" s="179">
        <v>45978</v>
      </c>
      <c r="I280" s="179" t="s">
        <v>161</v>
      </c>
      <c r="J280" s="83">
        <v>3491055643</v>
      </c>
      <c r="K280" s="179"/>
      <c r="L280" s="179">
        <v>45978</v>
      </c>
      <c r="M280" s="180">
        <v>45992</v>
      </c>
      <c r="N280" s="181">
        <v>1.4976277</v>
      </c>
      <c r="O280" s="181" t="s">
        <v>170</v>
      </c>
      <c r="P280" s="83" t="s">
        <v>148</v>
      </c>
      <c r="Q280" s="177" t="s">
        <v>149</v>
      </c>
      <c r="R280" s="83"/>
    </row>
    <row r="281" spans="1:18">
      <c r="A281" s="177">
        <v>80883600</v>
      </c>
      <c r="B281" s="177" t="s">
        <v>164</v>
      </c>
      <c r="C281" s="178" t="s">
        <v>150</v>
      </c>
      <c r="D281" s="177" t="s">
        <v>160</v>
      </c>
      <c r="E281" s="177" t="s">
        <v>172</v>
      </c>
      <c r="F281" s="179">
        <v>46042</v>
      </c>
      <c r="G281" s="177">
        <v>401</v>
      </c>
      <c r="H281" s="179">
        <v>45978</v>
      </c>
      <c r="I281" s="179" t="s">
        <v>161</v>
      </c>
      <c r="J281" s="83">
        <v>3491055644</v>
      </c>
      <c r="K281" s="179"/>
      <c r="L281" s="179">
        <v>45978</v>
      </c>
      <c r="M281" s="180">
        <v>45992</v>
      </c>
      <c r="N281" s="181">
        <v>0.90854570000000001</v>
      </c>
      <c r="O281" s="181" t="s">
        <v>170</v>
      </c>
      <c r="P281" s="83" t="s">
        <v>148</v>
      </c>
      <c r="Q281" s="177" t="s">
        <v>149</v>
      </c>
      <c r="R281" s="83"/>
    </row>
    <row r="282" spans="1:18">
      <c r="A282" s="177">
        <v>80883600</v>
      </c>
      <c r="B282" s="177" t="s">
        <v>164</v>
      </c>
      <c r="C282" s="178" t="s">
        <v>155</v>
      </c>
      <c r="D282" s="177" t="s">
        <v>160</v>
      </c>
      <c r="E282" s="177" t="s">
        <v>172</v>
      </c>
      <c r="F282" s="179">
        <v>46042</v>
      </c>
      <c r="G282" s="177">
        <v>900</v>
      </c>
      <c r="H282" s="179">
        <v>45978</v>
      </c>
      <c r="I282" s="179" t="s">
        <v>161</v>
      </c>
      <c r="J282" s="83">
        <v>3491055645</v>
      </c>
      <c r="K282" s="179"/>
      <c r="L282" s="179">
        <v>45978</v>
      </c>
      <c r="M282" s="180">
        <v>45992</v>
      </c>
      <c r="N282" s="181">
        <v>2.0391300000000001</v>
      </c>
      <c r="O282" s="181" t="s">
        <v>170</v>
      </c>
      <c r="P282" s="83" t="s">
        <v>148</v>
      </c>
      <c r="Q282" s="177" t="s">
        <v>149</v>
      </c>
      <c r="R282" s="83"/>
    </row>
    <row r="283" spans="1:18">
      <c r="A283" s="177">
        <v>80883623</v>
      </c>
      <c r="B283" s="177" t="s">
        <v>165</v>
      </c>
      <c r="C283" s="178" t="s">
        <v>151</v>
      </c>
      <c r="D283" s="177" t="s">
        <v>160</v>
      </c>
      <c r="E283" s="177" t="s">
        <v>172</v>
      </c>
      <c r="F283" s="179">
        <v>46042</v>
      </c>
      <c r="G283" s="177">
        <v>654</v>
      </c>
      <c r="H283" s="179">
        <v>45978</v>
      </c>
      <c r="I283" s="179" t="s">
        <v>161</v>
      </c>
      <c r="J283" s="83">
        <v>3491055646</v>
      </c>
      <c r="K283" s="179"/>
      <c r="L283" s="179">
        <v>45978</v>
      </c>
      <c r="M283" s="180">
        <v>45992</v>
      </c>
      <c r="N283" s="181">
        <v>1.4817678000000001</v>
      </c>
      <c r="O283" s="181" t="s">
        <v>170</v>
      </c>
      <c r="P283" s="83" t="s">
        <v>148</v>
      </c>
      <c r="Q283" s="177" t="s">
        <v>149</v>
      </c>
      <c r="R283" s="83"/>
    </row>
    <row r="284" spans="1:18">
      <c r="A284" s="177">
        <v>80883623</v>
      </c>
      <c r="B284" s="177" t="s">
        <v>165</v>
      </c>
      <c r="C284" s="178" t="s">
        <v>150</v>
      </c>
      <c r="D284" s="177" t="s">
        <v>160</v>
      </c>
      <c r="E284" s="177" t="s">
        <v>172</v>
      </c>
      <c r="F284" s="179">
        <v>46042</v>
      </c>
      <c r="G284" s="177">
        <v>283</v>
      </c>
      <c r="H284" s="179">
        <v>45978</v>
      </c>
      <c r="I284" s="179" t="s">
        <v>161</v>
      </c>
      <c r="J284" s="83">
        <v>3491055647</v>
      </c>
      <c r="K284" s="179"/>
      <c r="L284" s="179">
        <v>45978</v>
      </c>
      <c r="M284" s="180">
        <v>45992</v>
      </c>
      <c r="N284" s="181">
        <v>0.64119309999999996</v>
      </c>
      <c r="O284" s="181" t="s">
        <v>170</v>
      </c>
      <c r="P284" s="83" t="s">
        <v>148</v>
      </c>
      <c r="Q284" s="177" t="s">
        <v>149</v>
      </c>
      <c r="R284" s="83"/>
    </row>
    <row r="285" spans="1:18">
      <c r="A285" s="177">
        <v>80883623</v>
      </c>
      <c r="B285" s="177" t="s">
        <v>165</v>
      </c>
      <c r="C285" s="178" t="s">
        <v>155</v>
      </c>
      <c r="D285" s="177" t="s">
        <v>160</v>
      </c>
      <c r="E285" s="177" t="s">
        <v>172</v>
      </c>
      <c r="F285" s="179">
        <v>46042</v>
      </c>
      <c r="G285" s="177">
        <v>847</v>
      </c>
      <c r="H285" s="179">
        <v>45978</v>
      </c>
      <c r="I285" s="179" t="s">
        <v>161</v>
      </c>
      <c r="J285" s="83">
        <v>3491055648</v>
      </c>
      <c r="K285" s="179"/>
      <c r="L285" s="179">
        <v>45978</v>
      </c>
      <c r="M285" s="180">
        <v>45992</v>
      </c>
      <c r="N285" s="181">
        <v>1.9190479</v>
      </c>
      <c r="O285" s="181" t="s">
        <v>170</v>
      </c>
      <c r="P285" s="83" t="s">
        <v>148</v>
      </c>
      <c r="Q285" s="177" t="s">
        <v>149</v>
      </c>
      <c r="R285" s="83"/>
    </row>
    <row r="286" spans="1:18">
      <c r="A286" s="177">
        <v>80859237</v>
      </c>
      <c r="B286" s="177" t="s">
        <v>217</v>
      </c>
      <c r="C286" s="178" t="s">
        <v>155</v>
      </c>
      <c r="D286" s="177" t="s">
        <v>218</v>
      </c>
      <c r="E286" s="177" t="s">
        <v>172</v>
      </c>
      <c r="F286" s="179">
        <v>45985</v>
      </c>
      <c r="G286" s="177">
        <v>726</v>
      </c>
      <c r="H286" s="179">
        <v>45973</v>
      </c>
      <c r="I286" s="179" t="s">
        <v>226</v>
      </c>
      <c r="J286" s="83">
        <v>3491055649</v>
      </c>
      <c r="K286" s="179" t="s">
        <v>227</v>
      </c>
      <c r="L286" s="179">
        <v>45978</v>
      </c>
      <c r="M286" s="180">
        <v>45985</v>
      </c>
      <c r="N286" s="181">
        <v>3.2898689999999999</v>
      </c>
      <c r="O286" s="181" t="s">
        <v>170</v>
      </c>
      <c r="P286" s="83" t="s">
        <v>148</v>
      </c>
      <c r="Q286" s="177" t="s">
        <v>149</v>
      </c>
      <c r="R286" s="83"/>
    </row>
    <row r="287" spans="1:18">
      <c r="A287" s="177">
        <v>80859237</v>
      </c>
      <c r="B287" s="177" t="s">
        <v>217</v>
      </c>
      <c r="C287" s="178" t="s">
        <v>150</v>
      </c>
      <c r="D287" s="177" t="s">
        <v>218</v>
      </c>
      <c r="E287" s="177" t="s">
        <v>172</v>
      </c>
      <c r="F287" s="179">
        <v>45985</v>
      </c>
      <c r="G287" s="177">
        <v>3000</v>
      </c>
      <c r="H287" s="179">
        <v>45973</v>
      </c>
      <c r="I287" s="179" t="s">
        <v>226</v>
      </c>
      <c r="J287" s="83">
        <v>3491055650</v>
      </c>
      <c r="K287" s="179" t="s">
        <v>227</v>
      </c>
      <c r="L287" s="179">
        <v>45978</v>
      </c>
      <c r="M287" s="180">
        <v>45985</v>
      </c>
      <c r="N287" s="181">
        <v>13.5945</v>
      </c>
      <c r="O287" s="181" t="s">
        <v>170</v>
      </c>
      <c r="P287" s="83" t="s">
        <v>148</v>
      </c>
      <c r="Q287" s="177" t="s">
        <v>149</v>
      </c>
      <c r="R287" s="83"/>
    </row>
    <row r="288" spans="1:18">
      <c r="A288" s="177">
        <v>80859230</v>
      </c>
      <c r="B288" s="177" t="s">
        <v>228</v>
      </c>
      <c r="C288" s="178" t="s">
        <v>155</v>
      </c>
      <c r="D288" s="177" t="s">
        <v>218</v>
      </c>
      <c r="E288" s="177" t="s">
        <v>172</v>
      </c>
      <c r="F288" s="179">
        <v>45985</v>
      </c>
      <c r="G288" s="177">
        <v>1800</v>
      </c>
      <c r="H288" s="179">
        <v>45978</v>
      </c>
      <c r="I288" s="179" t="s">
        <v>226</v>
      </c>
      <c r="J288" s="83">
        <v>3491055651</v>
      </c>
      <c r="K288" s="179" t="s">
        <v>227</v>
      </c>
      <c r="L288" s="179">
        <v>45978</v>
      </c>
      <c r="M288" s="180">
        <v>45985</v>
      </c>
      <c r="N288" s="181">
        <v>8.1567000000000007</v>
      </c>
      <c r="O288" s="181" t="s">
        <v>170</v>
      </c>
      <c r="P288" s="83" t="s">
        <v>148</v>
      </c>
      <c r="Q288" s="177" t="s">
        <v>149</v>
      </c>
      <c r="R288" s="83"/>
    </row>
    <row r="289" spans="1:18">
      <c r="A289" s="177">
        <v>80859230</v>
      </c>
      <c r="B289" s="177" t="s">
        <v>228</v>
      </c>
      <c r="C289" s="178" t="s">
        <v>150</v>
      </c>
      <c r="D289" s="177" t="s">
        <v>218</v>
      </c>
      <c r="E289" s="177" t="s">
        <v>172</v>
      </c>
      <c r="F289" s="179">
        <v>45985</v>
      </c>
      <c r="G289" s="177">
        <v>3000</v>
      </c>
      <c r="H289" s="179">
        <v>45978</v>
      </c>
      <c r="I289" s="179" t="s">
        <v>226</v>
      </c>
      <c r="J289" s="83">
        <v>3491055652</v>
      </c>
      <c r="K289" s="179" t="s">
        <v>227</v>
      </c>
      <c r="L289" s="179">
        <v>45978</v>
      </c>
      <c r="M289" s="180">
        <v>45985</v>
      </c>
      <c r="N289" s="181">
        <v>13.5945</v>
      </c>
      <c r="O289" s="181" t="s">
        <v>170</v>
      </c>
      <c r="P289" s="83" t="s">
        <v>148</v>
      </c>
      <c r="Q289" s="177" t="s">
        <v>149</v>
      </c>
      <c r="R289" s="83"/>
    </row>
    <row r="290" spans="1:18">
      <c r="A290" s="177">
        <v>80859248</v>
      </c>
      <c r="B290" s="177" t="s">
        <v>229</v>
      </c>
      <c r="C290" s="178" t="s">
        <v>150</v>
      </c>
      <c r="D290" s="177" t="s">
        <v>218</v>
      </c>
      <c r="E290" s="177" t="s">
        <v>172</v>
      </c>
      <c r="F290" s="179">
        <v>45985</v>
      </c>
      <c r="G290" s="177">
        <v>1800</v>
      </c>
      <c r="H290" s="179">
        <v>45978</v>
      </c>
      <c r="I290" s="179" t="s">
        <v>226</v>
      </c>
      <c r="J290" s="83">
        <v>3491055653</v>
      </c>
      <c r="K290" s="179" t="s">
        <v>227</v>
      </c>
      <c r="L290" s="179">
        <v>45978</v>
      </c>
      <c r="M290" s="180">
        <v>45985</v>
      </c>
      <c r="N290" s="181">
        <v>8.1567000000000007</v>
      </c>
      <c r="O290" s="181" t="s">
        <v>170</v>
      </c>
      <c r="P290" s="83" t="s">
        <v>148</v>
      </c>
      <c r="Q290" s="177" t="s">
        <v>149</v>
      </c>
      <c r="R290" s="83"/>
    </row>
    <row r="291" spans="1:18">
      <c r="A291" s="177">
        <v>80859248</v>
      </c>
      <c r="B291" s="177" t="s">
        <v>229</v>
      </c>
      <c r="C291" s="178" t="s">
        <v>155</v>
      </c>
      <c r="D291" s="177" t="s">
        <v>218</v>
      </c>
      <c r="E291" s="177" t="s">
        <v>172</v>
      </c>
      <c r="F291" s="179">
        <v>45985</v>
      </c>
      <c r="G291" s="177">
        <v>1800</v>
      </c>
      <c r="H291" s="179">
        <v>45978</v>
      </c>
      <c r="I291" s="179" t="s">
        <v>226</v>
      </c>
      <c r="J291" s="83">
        <v>3491055760</v>
      </c>
      <c r="K291" s="179" t="s">
        <v>227</v>
      </c>
      <c r="L291" s="179">
        <v>45978</v>
      </c>
      <c r="M291" s="180">
        <v>45985</v>
      </c>
      <c r="N291" s="181">
        <v>8.1567000000000007</v>
      </c>
      <c r="O291" s="181" t="s">
        <v>170</v>
      </c>
      <c r="P291" s="83" t="s">
        <v>148</v>
      </c>
      <c r="Q291" s="177" t="s">
        <v>149</v>
      </c>
      <c r="R291" s="83"/>
    </row>
    <row r="292" spans="1:18">
      <c r="A292" s="177">
        <v>80883601</v>
      </c>
      <c r="B292" s="177" t="s">
        <v>159</v>
      </c>
      <c r="C292" s="178" t="s">
        <v>151</v>
      </c>
      <c r="D292" s="177" t="s">
        <v>160</v>
      </c>
      <c r="E292" s="176" t="s">
        <v>145</v>
      </c>
      <c r="F292" s="179">
        <v>45996</v>
      </c>
      <c r="G292" s="177">
        <v>862</v>
      </c>
      <c r="H292" s="179">
        <v>45978</v>
      </c>
      <c r="I292" s="179" t="s">
        <v>161</v>
      </c>
      <c r="J292" s="83">
        <v>3491055771</v>
      </c>
      <c r="K292" s="179"/>
      <c r="L292" s="179">
        <v>45978</v>
      </c>
      <c r="M292" s="180">
        <v>45992</v>
      </c>
      <c r="N292" s="181">
        <v>2.3436918000000002</v>
      </c>
      <c r="O292" s="181" t="s">
        <v>147</v>
      </c>
      <c r="P292" s="83" t="s">
        <v>148</v>
      </c>
      <c r="Q292" s="177" t="s">
        <v>149</v>
      </c>
      <c r="R292" s="83"/>
    </row>
    <row r="293" spans="1:18">
      <c r="A293" s="177">
        <v>80883601</v>
      </c>
      <c r="B293" s="177" t="s">
        <v>159</v>
      </c>
      <c r="C293" s="178" t="s">
        <v>150</v>
      </c>
      <c r="D293" s="177" t="s">
        <v>160</v>
      </c>
      <c r="E293" s="176" t="s">
        <v>145</v>
      </c>
      <c r="F293" s="179">
        <v>45996</v>
      </c>
      <c r="G293" s="177">
        <v>523</v>
      </c>
      <c r="H293" s="179">
        <v>45978</v>
      </c>
      <c r="I293" s="179" t="s">
        <v>161</v>
      </c>
      <c r="J293" s="83">
        <v>3491055777</v>
      </c>
      <c r="K293" s="179"/>
      <c r="L293" s="179">
        <v>45978</v>
      </c>
      <c r="M293" s="180">
        <v>45992</v>
      </c>
      <c r="N293" s="181">
        <v>1.4219847000000001</v>
      </c>
      <c r="O293" s="181" t="s">
        <v>147</v>
      </c>
      <c r="P293" s="83" t="s">
        <v>148</v>
      </c>
      <c r="Q293" s="177" t="s">
        <v>149</v>
      </c>
      <c r="R293" s="83"/>
    </row>
    <row r="294" spans="1:18">
      <c r="A294" s="177">
        <v>80883601</v>
      </c>
      <c r="B294" s="177" t="s">
        <v>159</v>
      </c>
      <c r="C294" s="178" t="s">
        <v>155</v>
      </c>
      <c r="D294" s="177" t="s">
        <v>160</v>
      </c>
      <c r="E294" s="176" t="s">
        <v>145</v>
      </c>
      <c r="F294" s="179">
        <v>45996</v>
      </c>
      <c r="G294" s="177">
        <v>1174</v>
      </c>
      <c r="H294" s="179">
        <v>45978</v>
      </c>
      <c r="I294" s="179" t="s">
        <v>161</v>
      </c>
      <c r="J294" s="83">
        <v>3491055801</v>
      </c>
      <c r="K294" s="179"/>
      <c r="L294" s="179">
        <v>45978</v>
      </c>
      <c r="M294" s="180">
        <v>45992</v>
      </c>
      <c r="N294" s="181">
        <v>3.1919886000000002</v>
      </c>
      <c r="O294" s="181" t="s">
        <v>147</v>
      </c>
      <c r="P294" s="83" t="s">
        <v>148</v>
      </c>
      <c r="Q294" s="177" t="s">
        <v>149</v>
      </c>
      <c r="R294" s="83"/>
    </row>
    <row r="295" spans="1:18">
      <c r="A295" s="177">
        <v>80883593</v>
      </c>
      <c r="B295" s="177" t="s">
        <v>163</v>
      </c>
      <c r="C295" s="178" t="s">
        <v>151</v>
      </c>
      <c r="D295" s="177" t="s">
        <v>160</v>
      </c>
      <c r="E295" s="176" t="s">
        <v>145</v>
      </c>
      <c r="F295" s="179">
        <v>45996</v>
      </c>
      <c r="G295" s="177">
        <v>652</v>
      </c>
      <c r="H295" s="179">
        <v>45978</v>
      </c>
      <c r="I295" s="179" t="s">
        <v>161</v>
      </c>
      <c r="J295" s="83">
        <v>3491055803</v>
      </c>
      <c r="K295" s="179"/>
      <c r="L295" s="179">
        <v>45978</v>
      </c>
      <c r="M295" s="180">
        <v>45992</v>
      </c>
      <c r="N295" s="181">
        <v>1.7727227999999999</v>
      </c>
      <c r="O295" s="181" t="s">
        <v>147</v>
      </c>
      <c r="P295" s="83" t="s">
        <v>148</v>
      </c>
      <c r="Q295" s="177" t="s">
        <v>149</v>
      </c>
      <c r="R295" s="83"/>
    </row>
    <row r="296" spans="1:18">
      <c r="A296" s="177">
        <v>80883593</v>
      </c>
      <c r="B296" s="177" t="s">
        <v>163</v>
      </c>
      <c r="C296" s="178" t="s">
        <v>150</v>
      </c>
      <c r="D296" s="177" t="s">
        <v>160</v>
      </c>
      <c r="E296" s="176" t="s">
        <v>145</v>
      </c>
      <c r="F296" s="179">
        <v>45996</v>
      </c>
      <c r="G296" s="177">
        <v>282</v>
      </c>
      <c r="H296" s="179">
        <v>45978</v>
      </c>
      <c r="I296" s="179" t="s">
        <v>161</v>
      </c>
      <c r="J296" s="83">
        <v>3491055804</v>
      </c>
      <c r="K296" s="179"/>
      <c r="L296" s="179">
        <v>45978</v>
      </c>
      <c r="M296" s="180">
        <v>45992</v>
      </c>
      <c r="N296" s="181">
        <v>0.76672980000000002</v>
      </c>
      <c r="O296" s="181" t="s">
        <v>147</v>
      </c>
      <c r="P296" s="83" t="s">
        <v>148</v>
      </c>
      <c r="Q296" s="177" t="s">
        <v>149</v>
      </c>
      <c r="R296" s="83"/>
    </row>
    <row r="297" spans="1:18">
      <c r="A297" s="177">
        <v>80883593</v>
      </c>
      <c r="B297" s="177" t="s">
        <v>163</v>
      </c>
      <c r="C297" s="178" t="s">
        <v>155</v>
      </c>
      <c r="D297" s="177" t="s">
        <v>160</v>
      </c>
      <c r="E297" s="176" t="s">
        <v>145</v>
      </c>
      <c r="F297" s="179">
        <v>45996</v>
      </c>
      <c r="G297" s="177">
        <v>845</v>
      </c>
      <c r="H297" s="179">
        <v>45978</v>
      </c>
      <c r="I297" s="179" t="s">
        <v>161</v>
      </c>
      <c r="J297" s="83">
        <v>3491055816</v>
      </c>
      <c r="K297" s="179"/>
      <c r="L297" s="179">
        <v>45978</v>
      </c>
      <c r="M297" s="180">
        <v>45992</v>
      </c>
      <c r="N297" s="181">
        <v>2.2974705000000002</v>
      </c>
      <c r="O297" s="181" t="s">
        <v>147</v>
      </c>
      <c r="P297" s="83" t="s">
        <v>148</v>
      </c>
      <c r="Q297" s="177" t="s">
        <v>149</v>
      </c>
      <c r="R297" s="83"/>
    </row>
    <row r="298" spans="1:18">
      <c r="A298" s="177">
        <v>80883600</v>
      </c>
      <c r="B298" s="177" t="s">
        <v>164</v>
      </c>
      <c r="C298" s="178" t="s">
        <v>151</v>
      </c>
      <c r="D298" s="177" t="s">
        <v>160</v>
      </c>
      <c r="E298" s="176" t="s">
        <v>145</v>
      </c>
      <c r="F298" s="179">
        <v>45996</v>
      </c>
      <c r="G298" s="177">
        <v>522</v>
      </c>
      <c r="H298" s="179">
        <v>45978</v>
      </c>
      <c r="I298" s="179" t="s">
        <v>161</v>
      </c>
      <c r="J298" s="83">
        <v>3491055843</v>
      </c>
      <c r="K298" s="179"/>
      <c r="L298" s="179">
        <v>45978</v>
      </c>
      <c r="M298" s="180">
        <v>45992</v>
      </c>
      <c r="N298" s="181">
        <v>1.1826954000000001</v>
      </c>
      <c r="O298" s="181" t="s">
        <v>147</v>
      </c>
      <c r="P298" s="83" t="s">
        <v>148</v>
      </c>
      <c r="Q298" s="177" t="s">
        <v>149</v>
      </c>
      <c r="R298" s="83"/>
    </row>
    <row r="299" spans="1:18">
      <c r="A299" s="177">
        <v>80883600</v>
      </c>
      <c r="B299" s="177" t="s">
        <v>164</v>
      </c>
      <c r="C299" s="178" t="s">
        <v>150</v>
      </c>
      <c r="D299" s="177" t="s">
        <v>160</v>
      </c>
      <c r="E299" s="176" t="s">
        <v>145</v>
      </c>
      <c r="F299" s="179">
        <v>45996</v>
      </c>
      <c r="G299" s="177">
        <v>318</v>
      </c>
      <c r="H299" s="179">
        <v>45978</v>
      </c>
      <c r="I299" s="179" t="s">
        <v>161</v>
      </c>
      <c r="J299" s="83">
        <v>3491055844</v>
      </c>
      <c r="K299" s="179"/>
      <c r="L299" s="179">
        <v>45978</v>
      </c>
      <c r="M299" s="180">
        <v>45992</v>
      </c>
      <c r="N299" s="181">
        <v>0.72049260000000004</v>
      </c>
      <c r="O299" s="181" t="s">
        <v>147</v>
      </c>
      <c r="P299" s="83" t="s">
        <v>148</v>
      </c>
      <c r="Q299" s="177" t="s">
        <v>149</v>
      </c>
      <c r="R299" s="83"/>
    </row>
    <row r="300" spans="1:18">
      <c r="A300" s="177">
        <v>80883600</v>
      </c>
      <c r="B300" s="177" t="s">
        <v>164</v>
      </c>
      <c r="C300" s="178" t="s">
        <v>155</v>
      </c>
      <c r="D300" s="177" t="s">
        <v>160</v>
      </c>
      <c r="E300" s="176" t="s">
        <v>145</v>
      </c>
      <c r="F300" s="179">
        <v>45996</v>
      </c>
      <c r="G300" s="177">
        <v>712</v>
      </c>
      <c r="H300" s="179">
        <v>45978</v>
      </c>
      <c r="I300" s="179" t="s">
        <v>161</v>
      </c>
      <c r="J300" s="83">
        <v>3491055937</v>
      </c>
      <c r="K300" s="179"/>
      <c r="L300" s="179">
        <v>45978</v>
      </c>
      <c r="M300" s="180">
        <v>45992</v>
      </c>
      <c r="N300" s="181">
        <v>1.6131784</v>
      </c>
      <c r="O300" s="181" t="s">
        <v>147</v>
      </c>
      <c r="P300" s="83" t="s">
        <v>148</v>
      </c>
      <c r="Q300" s="177" t="s">
        <v>149</v>
      </c>
      <c r="R300" s="83"/>
    </row>
    <row r="301" spans="1:18">
      <c r="A301" s="177">
        <v>80883623</v>
      </c>
      <c r="B301" s="177" t="s">
        <v>165</v>
      </c>
      <c r="C301" s="178" t="s">
        <v>151</v>
      </c>
      <c r="D301" s="177" t="s">
        <v>160</v>
      </c>
      <c r="E301" s="176" t="s">
        <v>145</v>
      </c>
      <c r="F301" s="179">
        <v>45996</v>
      </c>
      <c r="G301" s="177">
        <v>517</v>
      </c>
      <c r="H301" s="179">
        <v>45978</v>
      </c>
      <c r="I301" s="179" t="s">
        <v>161</v>
      </c>
      <c r="J301" s="83">
        <v>3491055999</v>
      </c>
      <c r="K301" s="179"/>
      <c r="L301" s="179">
        <v>45978</v>
      </c>
      <c r="M301" s="180">
        <v>45992</v>
      </c>
      <c r="N301" s="181">
        <v>1.1713669</v>
      </c>
      <c r="O301" s="181" t="s">
        <v>147</v>
      </c>
      <c r="P301" s="83" t="s">
        <v>148</v>
      </c>
      <c r="Q301" s="177" t="s">
        <v>149</v>
      </c>
      <c r="R301" s="83"/>
    </row>
    <row r="302" spans="1:18">
      <c r="A302" s="177">
        <v>80883623</v>
      </c>
      <c r="B302" s="177" t="s">
        <v>165</v>
      </c>
      <c r="C302" s="178" t="s">
        <v>150</v>
      </c>
      <c r="D302" s="177" t="s">
        <v>160</v>
      </c>
      <c r="E302" s="176" t="s">
        <v>145</v>
      </c>
      <c r="F302" s="179">
        <v>45996</v>
      </c>
      <c r="G302" s="177">
        <v>224</v>
      </c>
      <c r="H302" s="179">
        <v>45978</v>
      </c>
      <c r="I302" s="179" t="s">
        <v>161</v>
      </c>
      <c r="J302" s="83">
        <v>3491056010</v>
      </c>
      <c r="K302" s="179"/>
      <c r="L302" s="179">
        <v>45978</v>
      </c>
      <c r="M302" s="180">
        <v>45992</v>
      </c>
      <c r="N302" s="181">
        <v>0.50751679999999999</v>
      </c>
      <c r="O302" s="181" t="s">
        <v>147</v>
      </c>
      <c r="P302" s="83" t="s">
        <v>148</v>
      </c>
      <c r="Q302" s="177" t="s">
        <v>149</v>
      </c>
      <c r="R302" s="83"/>
    </row>
    <row r="303" spans="1:18">
      <c r="A303" s="177">
        <v>80883623</v>
      </c>
      <c r="B303" s="177" t="s">
        <v>165</v>
      </c>
      <c r="C303" s="178" t="s">
        <v>155</v>
      </c>
      <c r="D303" s="177" t="s">
        <v>160</v>
      </c>
      <c r="E303" s="176" t="s">
        <v>145</v>
      </c>
      <c r="F303" s="179">
        <v>45996</v>
      </c>
      <c r="G303" s="177">
        <v>671</v>
      </c>
      <c r="H303" s="179">
        <v>45978</v>
      </c>
      <c r="I303" s="179" t="s">
        <v>161</v>
      </c>
      <c r="J303" s="83">
        <v>3491056021</v>
      </c>
      <c r="K303" s="179"/>
      <c r="L303" s="179">
        <v>45978</v>
      </c>
      <c r="M303" s="180">
        <v>45992</v>
      </c>
      <c r="N303" s="181">
        <v>1.5202846999999999</v>
      </c>
      <c r="O303" s="181" t="s">
        <v>147</v>
      </c>
      <c r="P303" s="83" t="s">
        <v>148</v>
      </c>
      <c r="Q303" s="177" t="s">
        <v>149</v>
      </c>
      <c r="R303" s="83"/>
    </row>
    <row r="304" spans="1:18">
      <c r="A304" s="177">
        <v>80830278</v>
      </c>
      <c r="B304" s="177" t="s">
        <v>230</v>
      </c>
      <c r="C304" s="178" t="s">
        <v>150</v>
      </c>
      <c r="D304" s="177" t="s">
        <v>231</v>
      </c>
      <c r="E304" s="176" t="s">
        <v>145</v>
      </c>
      <c r="F304" s="179">
        <v>46006</v>
      </c>
      <c r="G304" s="177">
        <v>911</v>
      </c>
      <c r="H304" s="179">
        <v>45979</v>
      </c>
      <c r="I304" s="179" t="s">
        <v>232</v>
      </c>
      <c r="J304" s="83">
        <v>3491773042</v>
      </c>
      <c r="K304" s="179" t="s">
        <v>233</v>
      </c>
      <c r="L304" s="179">
        <v>45979</v>
      </c>
      <c r="M304" s="180">
        <v>45989</v>
      </c>
      <c r="N304" s="181">
        <v>1.9815160999999999</v>
      </c>
      <c r="O304" s="181" t="s">
        <v>147</v>
      </c>
      <c r="P304" s="83" t="s">
        <v>148</v>
      </c>
      <c r="Q304" s="177" t="s">
        <v>149</v>
      </c>
      <c r="R304" s="83"/>
    </row>
    <row r="305" spans="1:18">
      <c r="A305" s="177">
        <v>80830278</v>
      </c>
      <c r="B305" s="177" t="s">
        <v>230</v>
      </c>
      <c r="C305" s="178" t="s">
        <v>151</v>
      </c>
      <c r="D305" s="177" t="s">
        <v>231</v>
      </c>
      <c r="E305" s="176" t="s">
        <v>145</v>
      </c>
      <c r="F305" s="179">
        <v>46006</v>
      </c>
      <c r="G305" s="177">
        <v>869</v>
      </c>
      <c r="H305" s="179">
        <v>45979</v>
      </c>
      <c r="I305" s="179" t="s">
        <v>232</v>
      </c>
      <c r="J305" s="83">
        <v>3491773043</v>
      </c>
      <c r="K305" s="179" t="s">
        <v>233</v>
      </c>
      <c r="L305" s="179">
        <v>45979</v>
      </c>
      <c r="M305" s="180">
        <v>45989</v>
      </c>
      <c r="N305" s="181">
        <v>1.8901619000000001</v>
      </c>
      <c r="O305" s="181" t="s">
        <v>147</v>
      </c>
      <c r="P305" s="83" t="s">
        <v>148</v>
      </c>
      <c r="Q305" s="177" t="s">
        <v>149</v>
      </c>
      <c r="R305" s="83"/>
    </row>
    <row r="306" spans="1:18">
      <c r="A306" s="177">
        <v>80830278</v>
      </c>
      <c r="B306" s="177" t="s">
        <v>230</v>
      </c>
      <c r="C306" s="178" t="s">
        <v>143</v>
      </c>
      <c r="D306" s="177" t="s">
        <v>231</v>
      </c>
      <c r="E306" s="176" t="s">
        <v>145</v>
      </c>
      <c r="F306" s="179">
        <v>46006</v>
      </c>
      <c r="G306" s="177">
        <v>787</v>
      </c>
      <c r="H306" s="179">
        <v>45979</v>
      </c>
      <c r="I306" s="179" t="s">
        <v>232</v>
      </c>
      <c r="J306" s="83">
        <v>3491773044</v>
      </c>
      <c r="K306" s="179" t="s">
        <v>233</v>
      </c>
      <c r="L306" s="179">
        <v>45979</v>
      </c>
      <c r="M306" s="180">
        <v>45989</v>
      </c>
      <c r="N306" s="181">
        <v>1.7118036999999999</v>
      </c>
      <c r="O306" s="181" t="s">
        <v>147</v>
      </c>
      <c r="P306" s="83" t="s">
        <v>148</v>
      </c>
      <c r="Q306" s="177" t="s">
        <v>149</v>
      </c>
      <c r="R306" s="83"/>
    </row>
    <row r="307" spans="1:18">
      <c r="A307" s="177">
        <v>80830278</v>
      </c>
      <c r="B307" s="177" t="s">
        <v>230</v>
      </c>
      <c r="C307" s="178" t="s">
        <v>152</v>
      </c>
      <c r="D307" s="177" t="s">
        <v>231</v>
      </c>
      <c r="E307" s="176" t="s">
        <v>145</v>
      </c>
      <c r="F307" s="179">
        <v>46006</v>
      </c>
      <c r="G307" s="177">
        <v>745</v>
      </c>
      <c r="H307" s="179">
        <v>45979</v>
      </c>
      <c r="I307" s="179" t="s">
        <v>232</v>
      </c>
      <c r="J307" s="83">
        <v>3491773045</v>
      </c>
      <c r="K307" s="179" t="s">
        <v>233</v>
      </c>
      <c r="L307" s="179">
        <v>45979</v>
      </c>
      <c r="M307" s="180">
        <v>45989</v>
      </c>
      <c r="N307" s="181">
        <v>1.6204495000000001</v>
      </c>
      <c r="O307" s="181" t="s">
        <v>147</v>
      </c>
      <c r="P307" s="83" t="s">
        <v>148</v>
      </c>
      <c r="Q307" s="177" t="s">
        <v>149</v>
      </c>
      <c r="R307" s="83"/>
    </row>
    <row r="308" spans="1:18">
      <c r="A308" s="177">
        <v>80830278</v>
      </c>
      <c r="B308" s="177" t="s">
        <v>230</v>
      </c>
      <c r="C308" s="178" t="s">
        <v>155</v>
      </c>
      <c r="D308" s="177" t="s">
        <v>231</v>
      </c>
      <c r="E308" s="176" t="s">
        <v>145</v>
      </c>
      <c r="F308" s="179">
        <v>46006</v>
      </c>
      <c r="G308" s="177">
        <v>828</v>
      </c>
      <c r="H308" s="179">
        <v>45979</v>
      </c>
      <c r="I308" s="179" t="s">
        <v>232</v>
      </c>
      <c r="J308" s="83">
        <v>3491773046</v>
      </c>
      <c r="K308" s="179" t="s">
        <v>233</v>
      </c>
      <c r="L308" s="179">
        <v>45979</v>
      </c>
      <c r="M308" s="180">
        <v>45989</v>
      </c>
      <c r="N308" s="181">
        <v>1.8009828000000001</v>
      </c>
      <c r="O308" s="181" t="s">
        <v>147</v>
      </c>
      <c r="P308" s="83" t="s">
        <v>148</v>
      </c>
      <c r="Q308" s="177" t="s">
        <v>149</v>
      </c>
      <c r="R308" s="83"/>
    </row>
    <row r="309" spans="1:18">
      <c r="A309" s="177">
        <v>80703933</v>
      </c>
      <c r="B309" s="177" t="s">
        <v>166</v>
      </c>
      <c r="C309" s="178" t="s">
        <v>150</v>
      </c>
      <c r="D309" s="177" t="s">
        <v>231</v>
      </c>
      <c r="E309" s="176" t="s">
        <v>145</v>
      </c>
      <c r="F309" s="179">
        <v>46006</v>
      </c>
      <c r="G309" s="177">
        <v>1004</v>
      </c>
      <c r="H309" s="179">
        <v>45979</v>
      </c>
      <c r="I309" s="179" t="s">
        <v>232</v>
      </c>
      <c r="J309" s="83">
        <v>3491773047</v>
      </c>
      <c r="K309" s="179"/>
      <c r="L309" s="179">
        <v>45979</v>
      </c>
      <c r="M309" s="180">
        <v>45982</v>
      </c>
      <c r="N309" s="181">
        <v>2.0473568000000002</v>
      </c>
      <c r="O309" s="181" t="s">
        <v>147</v>
      </c>
      <c r="P309" s="83" t="s">
        <v>148</v>
      </c>
      <c r="Q309" s="177" t="s">
        <v>149</v>
      </c>
      <c r="R309" s="83"/>
    </row>
    <row r="310" spans="1:18">
      <c r="A310" s="177">
        <v>80703933</v>
      </c>
      <c r="B310" s="177" t="s">
        <v>166</v>
      </c>
      <c r="C310" s="178" t="s">
        <v>151</v>
      </c>
      <c r="D310" s="177" t="s">
        <v>231</v>
      </c>
      <c r="E310" s="176" t="s">
        <v>145</v>
      </c>
      <c r="F310" s="179">
        <v>46006</v>
      </c>
      <c r="G310" s="177">
        <v>958</v>
      </c>
      <c r="H310" s="179">
        <v>45979</v>
      </c>
      <c r="I310" s="179" t="s">
        <v>232</v>
      </c>
      <c r="J310" s="83">
        <v>3491773048</v>
      </c>
      <c r="K310" s="179"/>
      <c r="L310" s="179">
        <v>45979</v>
      </c>
      <c r="M310" s="180">
        <v>45982</v>
      </c>
      <c r="N310" s="181">
        <v>1.9535536</v>
      </c>
      <c r="O310" s="181" t="s">
        <v>147</v>
      </c>
      <c r="P310" s="83" t="s">
        <v>148</v>
      </c>
      <c r="Q310" s="177" t="s">
        <v>149</v>
      </c>
      <c r="R310" s="83"/>
    </row>
    <row r="311" spans="1:18">
      <c r="A311" s="177">
        <v>80703933</v>
      </c>
      <c r="B311" s="177" t="s">
        <v>166</v>
      </c>
      <c r="C311" s="178" t="s">
        <v>143</v>
      </c>
      <c r="D311" s="177" t="s">
        <v>231</v>
      </c>
      <c r="E311" s="176" t="s">
        <v>145</v>
      </c>
      <c r="F311" s="179">
        <v>46006</v>
      </c>
      <c r="G311" s="177">
        <v>867</v>
      </c>
      <c r="H311" s="179">
        <v>45979</v>
      </c>
      <c r="I311" s="179" t="s">
        <v>232</v>
      </c>
      <c r="J311" s="83">
        <v>3491773049</v>
      </c>
      <c r="K311" s="179"/>
      <c r="L311" s="179">
        <v>45979</v>
      </c>
      <c r="M311" s="180">
        <v>45982</v>
      </c>
      <c r="N311" s="181">
        <v>1.7679864000000001</v>
      </c>
      <c r="O311" s="181" t="s">
        <v>147</v>
      </c>
      <c r="P311" s="83" t="s">
        <v>148</v>
      </c>
      <c r="Q311" s="177" t="s">
        <v>149</v>
      </c>
      <c r="R311" s="83"/>
    </row>
    <row r="312" spans="1:18">
      <c r="A312" s="177">
        <v>80703933</v>
      </c>
      <c r="B312" s="177" t="s">
        <v>166</v>
      </c>
      <c r="C312" s="178" t="s">
        <v>152</v>
      </c>
      <c r="D312" s="177" t="s">
        <v>231</v>
      </c>
      <c r="E312" s="176" t="s">
        <v>145</v>
      </c>
      <c r="F312" s="179">
        <v>46006</v>
      </c>
      <c r="G312" s="177">
        <v>821</v>
      </c>
      <c r="H312" s="179">
        <v>45979</v>
      </c>
      <c r="I312" s="179" t="s">
        <v>232</v>
      </c>
      <c r="J312" s="83">
        <v>3491773050</v>
      </c>
      <c r="K312" s="179"/>
      <c r="L312" s="179">
        <v>45979</v>
      </c>
      <c r="M312" s="180">
        <v>45982</v>
      </c>
      <c r="N312" s="181">
        <v>1.6741832000000001</v>
      </c>
      <c r="O312" s="181" t="s">
        <v>147</v>
      </c>
      <c r="P312" s="83" t="s">
        <v>148</v>
      </c>
      <c r="Q312" s="177" t="s">
        <v>149</v>
      </c>
      <c r="R312" s="83"/>
    </row>
    <row r="313" spans="1:18">
      <c r="A313" s="177">
        <v>80703933</v>
      </c>
      <c r="B313" s="177" t="s">
        <v>166</v>
      </c>
      <c r="C313" s="178" t="s">
        <v>155</v>
      </c>
      <c r="D313" s="177" t="s">
        <v>231</v>
      </c>
      <c r="E313" s="176" t="s">
        <v>145</v>
      </c>
      <c r="F313" s="179">
        <v>46006</v>
      </c>
      <c r="G313" s="177">
        <v>913</v>
      </c>
      <c r="H313" s="179">
        <v>45979</v>
      </c>
      <c r="I313" s="179" t="s">
        <v>232</v>
      </c>
      <c r="J313" s="83">
        <v>3491773051</v>
      </c>
      <c r="K313" s="179"/>
      <c r="L313" s="179">
        <v>45979</v>
      </c>
      <c r="M313" s="180">
        <v>45982</v>
      </c>
      <c r="N313" s="181">
        <v>1.8617896</v>
      </c>
      <c r="O313" s="181" t="s">
        <v>147</v>
      </c>
      <c r="P313" s="83" t="s">
        <v>148</v>
      </c>
      <c r="Q313" s="177" t="s">
        <v>149</v>
      </c>
      <c r="R313" s="83"/>
    </row>
    <row r="314" spans="1:18">
      <c r="A314" s="177">
        <v>80879045</v>
      </c>
      <c r="B314" s="177" t="s">
        <v>171</v>
      </c>
      <c r="C314" s="178" t="s">
        <v>150</v>
      </c>
      <c r="D314" s="177" t="s">
        <v>231</v>
      </c>
      <c r="E314" s="176" t="s">
        <v>145</v>
      </c>
      <c r="F314" s="179">
        <v>46006</v>
      </c>
      <c r="G314" s="177">
        <v>648</v>
      </c>
      <c r="H314" s="179">
        <v>45979</v>
      </c>
      <c r="I314" s="179" t="s">
        <v>232</v>
      </c>
      <c r="J314" s="83">
        <v>3491773052</v>
      </c>
      <c r="K314" s="179" t="s">
        <v>233</v>
      </c>
      <c r="L314" s="179">
        <v>45979</v>
      </c>
      <c r="M314" s="180">
        <v>45989</v>
      </c>
      <c r="N314" s="181">
        <v>1.6737192000000001</v>
      </c>
      <c r="O314" s="181" t="s">
        <v>147</v>
      </c>
      <c r="P314" s="83" t="s">
        <v>148</v>
      </c>
      <c r="Q314" s="177" t="s">
        <v>149</v>
      </c>
      <c r="R314" s="83"/>
    </row>
    <row r="315" spans="1:18">
      <c r="A315" s="177">
        <v>80879045</v>
      </c>
      <c r="B315" s="177" t="s">
        <v>171</v>
      </c>
      <c r="C315" s="178" t="s">
        <v>151</v>
      </c>
      <c r="D315" s="177" t="s">
        <v>231</v>
      </c>
      <c r="E315" s="176" t="s">
        <v>145</v>
      </c>
      <c r="F315" s="179">
        <v>46006</v>
      </c>
      <c r="G315" s="177">
        <v>619</v>
      </c>
      <c r="H315" s="179">
        <v>45979</v>
      </c>
      <c r="I315" s="179" t="s">
        <v>232</v>
      </c>
      <c r="J315" s="83">
        <v>3491773053</v>
      </c>
      <c r="K315" s="179" t="s">
        <v>233</v>
      </c>
      <c r="L315" s="179">
        <v>45979</v>
      </c>
      <c r="M315" s="180">
        <v>45989</v>
      </c>
      <c r="N315" s="181">
        <v>1.5988150999999999</v>
      </c>
      <c r="O315" s="181" t="s">
        <v>147</v>
      </c>
      <c r="P315" s="83" t="s">
        <v>148</v>
      </c>
      <c r="Q315" s="177" t="s">
        <v>149</v>
      </c>
      <c r="R315" s="83"/>
    </row>
    <row r="316" spans="1:18">
      <c r="A316" s="177">
        <v>80879045</v>
      </c>
      <c r="B316" s="177" t="s">
        <v>171</v>
      </c>
      <c r="C316" s="178" t="s">
        <v>143</v>
      </c>
      <c r="D316" s="177" t="s">
        <v>231</v>
      </c>
      <c r="E316" s="176" t="s">
        <v>145</v>
      </c>
      <c r="F316" s="179">
        <v>46006</v>
      </c>
      <c r="G316" s="177">
        <v>560</v>
      </c>
      <c r="H316" s="179">
        <v>45979</v>
      </c>
      <c r="I316" s="179" t="s">
        <v>232</v>
      </c>
      <c r="J316" s="83">
        <v>3491773054</v>
      </c>
      <c r="K316" s="179" t="s">
        <v>233</v>
      </c>
      <c r="L316" s="179">
        <v>45979</v>
      </c>
      <c r="M316" s="180">
        <v>45989</v>
      </c>
      <c r="N316" s="181">
        <v>1.4464239999999999</v>
      </c>
      <c r="O316" s="181" t="s">
        <v>147</v>
      </c>
      <c r="P316" s="83" t="s">
        <v>148</v>
      </c>
      <c r="Q316" s="177" t="s">
        <v>149</v>
      </c>
      <c r="R316" s="83"/>
    </row>
    <row r="317" spans="1:18">
      <c r="A317" s="177">
        <v>80879045</v>
      </c>
      <c r="B317" s="177" t="s">
        <v>171</v>
      </c>
      <c r="C317" s="178" t="s">
        <v>152</v>
      </c>
      <c r="D317" s="177" t="s">
        <v>231</v>
      </c>
      <c r="E317" s="176" t="s">
        <v>145</v>
      </c>
      <c r="F317" s="179">
        <v>46006</v>
      </c>
      <c r="G317" s="177">
        <v>530</v>
      </c>
      <c r="H317" s="179">
        <v>45979</v>
      </c>
      <c r="I317" s="179" t="s">
        <v>232</v>
      </c>
      <c r="J317" s="83">
        <v>3491773055</v>
      </c>
      <c r="K317" s="179" t="s">
        <v>233</v>
      </c>
      <c r="L317" s="179">
        <v>45979</v>
      </c>
      <c r="M317" s="180">
        <v>45989</v>
      </c>
      <c r="N317" s="181">
        <v>1.3689370000000001</v>
      </c>
      <c r="O317" s="181" t="s">
        <v>147</v>
      </c>
      <c r="P317" s="83" t="s">
        <v>148</v>
      </c>
      <c r="Q317" s="177" t="s">
        <v>149</v>
      </c>
      <c r="R317" s="83"/>
    </row>
    <row r="318" spans="1:18">
      <c r="A318" s="177">
        <v>80879045</v>
      </c>
      <c r="B318" s="177" t="s">
        <v>171</v>
      </c>
      <c r="C318" s="178" t="s">
        <v>155</v>
      </c>
      <c r="D318" s="177" t="s">
        <v>231</v>
      </c>
      <c r="E318" s="176" t="s">
        <v>145</v>
      </c>
      <c r="F318" s="179">
        <v>46006</v>
      </c>
      <c r="G318" s="177">
        <v>589</v>
      </c>
      <c r="H318" s="179">
        <v>45979</v>
      </c>
      <c r="I318" s="179" t="s">
        <v>232</v>
      </c>
      <c r="J318" s="83">
        <v>3491773056</v>
      </c>
      <c r="K318" s="179" t="s">
        <v>233</v>
      </c>
      <c r="L318" s="179">
        <v>45979</v>
      </c>
      <c r="M318" s="180">
        <v>45989</v>
      </c>
      <c r="N318" s="181">
        <v>1.5213281000000001</v>
      </c>
      <c r="O318" s="181" t="s">
        <v>147</v>
      </c>
      <c r="P318" s="83" t="s">
        <v>148</v>
      </c>
      <c r="Q318" s="177" t="s">
        <v>149</v>
      </c>
      <c r="R318" s="83"/>
    </row>
    <row r="319" spans="1:18">
      <c r="A319" s="177">
        <v>80863700</v>
      </c>
      <c r="B319" s="177" t="s">
        <v>234</v>
      </c>
      <c r="C319" s="178" t="s">
        <v>150</v>
      </c>
      <c r="D319" s="177" t="s">
        <v>231</v>
      </c>
      <c r="E319" s="176" t="s">
        <v>145</v>
      </c>
      <c r="F319" s="179">
        <v>46006</v>
      </c>
      <c r="G319" s="177">
        <v>233</v>
      </c>
      <c r="H319" s="179">
        <v>45979</v>
      </c>
      <c r="I319" s="179" t="s">
        <v>232</v>
      </c>
      <c r="J319" s="83">
        <v>3491773057</v>
      </c>
      <c r="K319" s="179"/>
      <c r="L319" s="179">
        <v>45979</v>
      </c>
      <c r="M319" s="180">
        <v>45982</v>
      </c>
      <c r="N319" s="181">
        <v>0.48568850000000002</v>
      </c>
      <c r="O319" s="181" t="s">
        <v>147</v>
      </c>
      <c r="P319" s="83" t="s">
        <v>148</v>
      </c>
      <c r="Q319" s="177" t="s">
        <v>149</v>
      </c>
      <c r="R319" s="83"/>
    </row>
    <row r="320" spans="1:18">
      <c r="A320" s="177">
        <v>80863700</v>
      </c>
      <c r="B320" s="177" t="s">
        <v>234</v>
      </c>
      <c r="C320" s="178" t="s">
        <v>151</v>
      </c>
      <c r="D320" s="177" t="s">
        <v>231</v>
      </c>
      <c r="E320" s="176" t="s">
        <v>145</v>
      </c>
      <c r="F320" s="179">
        <v>46006</v>
      </c>
      <c r="G320" s="177">
        <v>222</v>
      </c>
      <c r="H320" s="179">
        <v>45979</v>
      </c>
      <c r="I320" s="179" t="s">
        <v>232</v>
      </c>
      <c r="J320" s="83">
        <v>3491773098</v>
      </c>
      <c r="K320" s="179"/>
      <c r="L320" s="179">
        <v>45979</v>
      </c>
      <c r="M320" s="180">
        <v>45982</v>
      </c>
      <c r="N320" s="181">
        <v>0.46275899999999998</v>
      </c>
      <c r="O320" s="181" t="s">
        <v>147</v>
      </c>
      <c r="P320" s="83" t="s">
        <v>148</v>
      </c>
      <c r="Q320" s="177" t="s">
        <v>149</v>
      </c>
      <c r="R320" s="83"/>
    </row>
    <row r="321" spans="1:18">
      <c r="A321" s="177">
        <v>80863700</v>
      </c>
      <c r="B321" s="177" t="s">
        <v>234</v>
      </c>
      <c r="C321" s="178" t="s">
        <v>143</v>
      </c>
      <c r="D321" s="177" t="s">
        <v>231</v>
      </c>
      <c r="E321" s="176" t="s">
        <v>145</v>
      </c>
      <c r="F321" s="179">
        <v>46006</v>
      </c>
      <c r="G321" s="177">
        <v>201</v>
      </c>
      <c r="H321" s="179">
        <v>45979</v>
      </c>
      <c r="I321" s="179" t="s">
        <v>232</v>
      </c>
      <c r="J321" s="83">
        <v>3491773099</v>
      </c>
      <c r="K321" s="179"/>
      <c r="L321" s="179">
        <v>45979</v>
      </c>
      <c r="M321" s="180">
        <v>45982</v>
      </c>
      <c r="N321" s="181">
        <v>0.41898449999999998</v>
      </c>
      <c r="O321" s="181" t="s">
        <v>147</v>
      </c>
      <c r="P321" s="83" t="s">
        <v>148</v>
      </c>
      <c r="Q321" s="177" t="s">
        <v>149</v>
      </c>
      <c r="R321" s="83"/>
    </row>
    <row r="322" spans="1:18">
      <c r="A322" s="177">
        <v>80863700</v>
      </c>
      <c r="B322" s="177" t="s">
        <v>234</v>
      </c>
      <c r="C322" s="178" t="s">
        <v>152</v>
      </c>
      <c r="D322" s="177" t="s">
        <v>231</v>
      </c>
      <c r="E322" s="176" t="s">
        <v>145</v>
      </c>
      <c r="F322" s="179">
        <v>46006</v>
      </c>
      <c r="G322" s="177">
        <v>191</v>
      </c>
      <c r="H322" s="179">
        <v>45979</v>
      </c>
      <c r="I322" s="179" t="s">
        <v>232</v>
      </c>
      <c r="J322" s="83">
        <v>3491773100</v>
      </c>
      <c r="K322" s="179"/>
      <c r="L322" s="179">
        <v>45979</v>
      </c>
      <c r="M322" s="180">
        <v>45982</v>
      </c>
      <c r="N322" s="181">
        <v>0.39813949999999998</v>
      </c>
      <c r="O322" s="181" t="s">
        <v>147</v>
      </c>
      <c r="P322" s="83" t="s">
        <v>148</v>
      </c>
      <c r="Q322" s="177" t="s">
        <v>149</v>
      </c>
      <c r="R322" s="83"/>
    </row>
    <row r="323" spans="1:18">
      <c r="A323" s="177">
        <v>80863700</v>
      </c>
      <c r="B323" s="177" t="s">
        <v>234</v>
      </c>
      <c r="C323" s="178" t="s">
        <v>155</v>
      </c>
      <c r="D323" s="177" t="s">
        <v>231</v>
      </c>
      <c r="E323" s="176" t="s">
        <v>145</v>
      </c>
      <c r="F323" s="179">
        <v>46006</v>
      </c>
      <c r="G323" s="177">
        <v>212</v>
      </c>
      <c r="H323" s="179">
        <v>45979</v>
      </c>
      <c r="I323" s="179" t="s">
        <v>232</v>
      </c>
      <c r="J323" s="83">
        <v>3491773101</v>
      </c>
      <c r="K323" s="179"/>
      <c r="L323" s="179">
        <v>45979</v>
      </c>
      <c r="M323" s="180">
        <v>45982</v>
      </c>
      <c r="N323" s="181">
        <v>0.44191399999999997</v>
      </c>
      <c r="O323" s="181" t="s">
        <v>147</v>
      </c>
      <c r="P323" s="83" t="s">
        <v>148</v>
      </c>
      <c r="Q323" s="177" t="s">
        <v>149</v>
      </c>
      <c r="R323" s="83"/>
    </row>
    <row r="324" spans="1:18">
      <c r="A324" s="177">
        <v>80863691</v>
      </c>
      <c r="B324" s="177" t="s">
        <v>235</v>
      </c>
      <c r="C324" s="178" t="s">
        <v>150</v>
      </c>
      <c r="D324" s="177" t="s">
        <v>231</v>
      </c>
      <c r="E324" s="176" t="s">
        <v>145</v>
      </c>
      <c r="F324" s="179">
        <v>46006</v>
      </c>
      <c r="G324" s="177">
        <v>572</v>
      </c>
      <c r="H324" s="179">
        <v>45979</v>
      </c>
      <c r="I324" s="179" t="s">
        <v>232</v>
      </c>
      <c r="J324" s="83">
        <v>3491773102</v>
      </c>
      <c r="K324" s="179"/>
      <c r="L324" s="179">
        <v>45979</v>
      </c>
      <c r="M324" s="180">
        <v>45982</v>
      </c>
      <c r="N324" s="181">
        <v>1.6070340000000001</v>
      </c>
      <c r="O324" s="181" t="s">
        <v>147</v>
      </c>
      <c r="P324" s="83" t="s">
        <v>148</v>
      </c>
      <c r="Q324" s="177" t="s">
        <v>149</v>
      </c>
      <c r="R324" s="83"/>
    </row>
    <row r="325" spans="1:18">
      <c r="A325" s="177">
        <v>80863691</v>
      </c>
      <c r="B325" s="177" t="s">
        <v>235</v>
      </c>
      <c r="C325" s="178" t="s">
        <v>151</v>
      </c>
      <c r="D325" s="177" t="s">
        <v>231</v>
      </c>
      <c r="E325" s="176" t="s">
        <v>145</v>
      </c>
      <c r="F325" s="179">
        <v>46006</v>
      </c>
      <c r="G325" s="177">
        <v>546</v>
      </c>
      <c r="H325" s="179">
        <v>45979</v>
      </c>
      <c r="I325" s="179" t="s">
        <v>232</v>
      </c>
      <c r="J325" s="83">
        <v>3491773103</v>
      </c>
      <c r="K325" s="179"/>
      <c r="L325" s="179">
        <v>45979</v>
      </c>
      <c r="M325" s="180">
        <v>45982</v>
      </c>
      <c r="N325" s="181">
        <v>1.533987</v>
      </c>
      <c r="O325" s="181" t="s">
        <v>147</v>
      </c>
      <c r="P325" s="83" t="s">
        <v>148</v>
      </c>
      <c r="Q325" s="177" t="s">
        <v>149</v>
      </c>
      <c r="R325" s="83"/>
    </row>
    <row r="326" spans="1:18">
      <c r="A326" s="177">
        <v>80863691</v>
      </c>
      <c r="B326" s="177" t="s">
        <v>235</v>
      </c>
      <c r="C326" s="178" t="s">
        <v>143</v>
      </c>
      <c r="D326" s="177" t="s">
        <v>231</v>
      </c>
      <c r="E326" s="176" t="s">
        <v>145</v>
      </c>
      <c r="F326" s="179">
        <v>46006</v>
      </c>
      <c r="G326" s="177">
        <v>494</v>
      </c>
      <c r="H326" s="179">
        <v>45979</v>
      </c>
      <c r="I326" s="179" t="s">
        <v>232</v>
      </c>
      <c r="J326" s="83">
        <v>3491773104</v>
      </c>
      <c r="K326" s="179"/>
      <c r="L326" s="179">
        <v>45979</v>
      </c>
      <c r="M326" s="180">
        <v>45982</v>
      </c>
      <c r="N326" s="181">
        <v>1.387893</v>
      </c>
      <c r="O326" s="181" t="s">
        <v>147</v>
      </c>
      <c r="P326" s="83" t="s">
        <v>148</v>
      </c>
      <c r="Q326" s="177" t="s">
        <v>149</v>
      </c>
      <c r="R326" s="83"/>
    </row>
    <row r="327" spans="1:18">
      <c r="A327" s="177">
        <v>80863691</v>
      </c>
      <c r="B327" s="177" t="s">
        <v>235</v>
      </c>
      <c r="C327" s="178" t="s">
        <v>152</v>
      </c>
      <c r="D327" s="177" t="s">
        <v>231</v>
      </c>
      <c r="E327" s="176" t="s">
        <v>145</v>
      </c>
      <c r="F327" s="179">
        <v>46006</v>
      </c>
      <c r="G327" s="177">
        <v>468</v>
      </c>
      <c r="H327" s="179">
        <v>45979</v>
      </c>
      <c r="I327" s="179" t="s">
        <v>232</v>
      </c>
      <c r="J327" s="83">
        <v>3491773105</v>
      </c>
      <c r="K327" s="179"/>
      <c r="L327" s="179">
        <v>45979</v>
      </c>
      <c r="M327" s="180">
        <v>45982</v>
      </c>
      <c r="N327" s="181">
        <v>1.314846</v>
      </c>
      <c r="O327" s="181" t="s">
        <v>147</v>
      </c>
      <c r="P327" s="83" t="s">
        <v>148</v>
      </c>
      <c r="Q327" s="177" t="s">
        <v>149</v>
      </c>
      <c r="R327" s="83"/>
    </row>
    <row r="328" spans="1:18">
      <c r="A328" s="177">
        <v>80863691</v>
      </c>
      <c r="B328" s="177" t="s">
        <v>235</v>
      </c>
      <c r="C328" s="178" t="s">
        <v>155</v>
      </c>
      <c r="D328" s="177" t="s">
        <v>231</v>
      </c>
      <c r="E328" s="176" t="s">
        <v>145</v>
      </c>
      <c r="F328" s="179">
        <v>46006</v>
      </c>
      <c r="G328" s="177">
        <v>520</v>
      </c>
      <c r="H328" s="179">
        <v>45979</v>
      </c>
      <c r="I328" s="179" t="s">
        <v>232</v>
      </c>
      <c r="J328" s="83">
        <v>3491773106</v>
      </c>
      <c r="K328" s="179"/>
      <c r="L328" s="179">
        <v>45979</v>
      </c>
      <c r="M328" s="180">
        <v>45982</v>
      </c>
      <c r="N328" s="181">
        <v>1.4609399999999999</v>
      </c>
      <c r="O328" s="181" t="s">
        <v>147</v>
      </c>
      <c r="P328" s="83" t="s">
        <v>148</v>
      </c>
      <c r="Q328" s="177" t="s">
        <v>149</v>
      </c>
      <c r="R328" s="83"/>
    </row>
    <row r="329" spans="1:18">
      <c r="A329" s="177">
        <v>80893099</v>
      </c>
      <c r="B329" s="177" t="s">
        <v>236</v>
      </c>
      <c r="C329" s="178" t="s">
        <v>155</v>
      </c>
      <c r="D329" s="177" t="s">
        <v>237</v>
      </c>
      <c r="E329" s="177" t="s">
        <v>172</v>
      </c>
      <c r="F329" s="179">
        <v>45995</v>
      </c>
      <c r="G329" s="177">
        <v>7062</v>
      </c>
      <c r="H329" s="179">
        <v>45980</v>
      </c>
      <c r="I329" s="179" t="s">
        <v>206</v>
      </c>
      <c r="J329" s="83">
        <v>3492474577</v>
      </c>
      <c r="K329" s="179" t="s">
        <v>238</v>
      </c>
      <c r="L329" s="179">
        <v>45980</v>
      </c>
      <c r="M329" s="180">
        <v>45986</v>
      </c>
      <c r="N329" s="181">
        <v>16.000373400000001</v>
      </c>
      <c r="O329" s="181" t="s">
        <v>170</v>
      </c>
      <c r="P329" s="180" t="s">
        <v>148</v>
      </c>
      <c r="Q329" s="177" t="s">
        <v>149</v>
      </c>
      <c r="R329" s="83"/>
    </row>
    <row r="330" spans="1:18">
      <c r="A330" s="177">
        <v>80893099</v>
      </c>
      <c r="B330" s="177" t="s">
        <v>236</v>
      </c>
      <c r="C330" s="178" t="s">
        <v>151</v>
      </c>
      <c r="D330" s="177" t="s">
        <v>237</v>
      </c>
      <c r="E330" s="177" t="s">
        <v>172</v>
      </c>
      <c r="F330" s="179">
        <v>45995</v>
      </c>
      <c r="G330" s="177">
        <v>1324</v>
      </c>
      <c r="H330" s="179">
        <v>45980</v>
      </c>
      <c r="I330" s="179" t="s">
        <v>206</v>
      </c>
      <c r="J330" s="83">
        <v>3492474658</v>
      </c>
      <c r="K330" s="179" t="s">
        <v>238</v>
      </c>
      <c r="L330" s="179">
        <v>45980</v>
      </c>
      <c r="M330" s="180">
        <v>45986</v>
      </c>
      <c r="N330" s="181">
        <v>2.9997867999999999</v>
      </c>
      <c r="O330" s="181" t="s">
        <v>170</v>
      </c>
      <c r="P330" s="180" t="s">
        <v>148</v>
      </c>
      <c r="Q330" s="177" t="s">
        <v>149</v>
      </c>
      <c r="R330" s="83"/>
    </row>
    <row r="331" spans="1:18">
      <c r="A331" s="177">
        <v>80893099</v>
      </c>
      <c r="B331" s="177" t="s">
        <v>236</v>
      </c>
      <c r="C331" s="178" t="s">
        <v>150</v>
      </c>
      <c r="D331" s="177" t="s">
        <v>237</v>
      </c>
      <c r="E331" s="177" t="s">
        <v>172</v>
      </c>
      <c r="F331" s="179">
        <v>45995</v>
      </c>
      <c r="G331" s="177">
        <v>5738</v>
      </c>
      <c r="H331" s="179">
        <v>45980</v>
      </c>
      <c r="I331" s="179" t="s">
        <v>206</v>
      </c>
      <c r="J331" s="83">
        <v>3492474659</v>
      </c>
      <c r="K331" s="179" t="s">
        <v>238</v>
      </c>
      <c r="L331" s="179">
        <v>45980</v>
      </c>
      <c r="M331" s="180">
        <v>45986</v>
      </c>
      <c r="N331" s="181">
        <v>13.0005866</v>
      </c>
      <c r="O331" s="181" t="s">
        <v>170</v>
      </c>
      <c r="P331" s="180" t="s">
        <v>148</v>
      </c>
      <c r="Q331" s="177" t="s">
        <v>149</v>
      </c>
      <c r="R331" s="83"/>
    </row>
    <row r="332" spans="1:18">
      <c r="A332" s="177">
        <v>80880193</v>
      </c>
      <c r="B332" s="177" t="s">
        <v>239</v>
      </c>
      <c r="C332" s="178" t="s">
        <v>155</v>
      </c>
      <c r="D332" s="177" t="s">
        <v>240</v>
      </c>
      <c r="E332" s="177" t="s">
        <v>172</v>
      </c>
      <c r="F332" s="179">
        <v>45995</v>
      </c>
      <c r="G332" s="177">
        <v>21627</v>
      </c>
      <c r="H332" s="179">
        <v>45980</v>
      </c>
      <c r="I332" s="179" t="s">
        <v>161</v>
      </c>
      <c r="J332" s="83">
        <v>3492474660</v>
      </c>
      <c r="K332" s="179" t="s">
        <v>238</v>
      </c>
      <c r="L332" s="179">
        <v>45980</v>
      </c>
      <c r="M332" s="180">
        <v>45986</v>
      </c>
      <c r="N332" s="181">
        <v>49.000293900000003</v>
      </c>
      <c r="O332" s="181" t="s">
        <v>170</v>
      </c>
      <c r="P332" s="180" t="s">
        <v>148</v>
      </c>
      <c r="Q332" s="177" t="s">
        <v>149</v>
      </c>
      <c r="R332" s="83"/>
    </row>
    <row r="333" spans="1:18">
      <c r="A333" s="177">
        <v>80880193</v>
      </c>
      <c r="B333" s="177" t="s">
        <v>239</v>
      </c>
      <c r="C333" s="178" t="s">
        <v>151</v>
      </c>
      <c r="D333" s="177" t="s">
        <v>240</v>
      </c>
      <c r="E333" s="177" t="s">
        <v>172</v>
      </c>
      <c r="F333" s="179">
        <v>45995</v>
      </c>
      <c r="G333" s="177">
        <v>4414</v>
      </c>
      <c r="H333" s="179">
        <v>45980</v>
      </c>
      <c r="I333" s="179" t="s">
        <v>161</v>
      </c>
      <c r="J333" s="83">
        <v>3492474661</v>
      </c>
      <c r="K333" s="179" t="s">
        <v>238</v>
      </c>
      <c r="L333" s="179">
        <v>45980</v>
      </c>
      <c r="M333" s="180">
        <v>45986</v>
      </c>
      <c r="N333" s="181">
        <v>10.000799799999999</v>
      </c>
      <c r="O333" s="181" t="s">
        <v>170</v>
      </c>
      <c r="P333" s="180" t="s">
        <v>148</v>
      </c>
      <c r="Q333" s="177" t="s">
        <v>149</v>
      </c>
      <c r="R333" s="83"/>
    </row>
    <row r="334" spans="1:18">
      <c r="A334" s="177">
        <v>80880193</v>
      </c>
      <c r="B334" s="177" t="s">
        <v>239</v>
      </c>
      <c r="C334" s="178" t="s">
        <v>150</v>
      </c>
      <c r="D334" s="177" t="s">
        <v>240</v>
      </c>
      <c r="E334" s="177" t="s">
        <v>172</v>
      </c>
      <c r="F334" s="179">
        <v>45995</v>
      </c>
      <c r="G334" s="177">
        <v>17213</v>
      </c>
      <c r="H334" s="179">
        <v>45980</v>
      </c>
      <c r="I334" s="179" t="s">
        <v>161</v>
      </c>
      <c r="J334" s="83">
        <v>3492474663</v>
      </c>
      <c r="K334" s="179" t="s">
        <v>238</v>
      </c>
      <c r="L334" s="179">
        <v>45980</v>
      </c>
      <c r="M334" s="180">
        <v>45986</v>
      </c>
      <c r="N334" s="181">
        <v>38.9994941</v>
      </c>
      <c r="O334" s="181" t="s">
        <v>170</v>
      </c>
      <c r="P334" s="180" t="s">
        <v>148</v>
      </c>
      <c r="Q334" s="177" t="s">
        <v>149</v>
      </c>
      <c r="R334" s="83"/>
    </row>
    <row r="335" spans="1:18">
      <c r="A335" s="177">
        <v>80859233</v>
      </c>
      <c r="B335" s="177" t="s">
        <v>241</v>
      </c>
      <c r="C335" s="178" t="s">
        <v>150</v>
      </c>
      <c r="D335" s="177" t="s">
        <v>174</v>
      </c>
      <c r="E335" s="176" t="s">
        <v>145</v>
      </c>
      <c r="F335" s="179">
        <v>45999</v>
      </c>
      <c r="G335" s="177">
        <v>3206</v>
      </c>
      <c r="H335" s="179">
        <v>45985</v>
      </c>
      <c r="I335" s="179" t="s">
        <v>175</v>
      </c>
      <c r="J335" s="83">
        <v>3495904318</v>
      </c>
      <c r="K335" s="179" t="s">
        <v>242</v>
      </c>
      <c r="L335" s="179">
        <v>45985</v>
      </c>
      <c r="M335" s="180">
        <v>45987</v>
      </c>
      <c r="N335" s="181">
        <v>5.2299477999999997</v>
      </c>
      <c r="O335" s="181" t="s">
        <v>147</v>
      </c>
      <c r="P335" s="83" t="s">
        <v>148</v>
      </c>
      <c r="Q335" s="177" t="s">
        <v>149</v>
      </c>
      <c r="R335" s="83"/>
    </row>
    <row r="336" spans="1:18">
      <c r="A336" s="177">
        <v>80859233</v>
      </c>
      <c r="B336" s="177" t="s">
        <v>241</v>
      </c>
      <c r="C336" s="178" t="s">
        <v>151</v>
      </c>
      <c r="D336" s="177" t="s">
        <v>174</v>
      </c>
      <c r="E336" s="176" t="s">
        <v>145</v>
      </c>
      <c r="F336" s="179">
        <v>45999</v>
      </c>
      <c r="G336" s="177">
        <v>2023</v>
      </c>
      <c r="H336" s="179">
        <v>45985</v>
      </c>
      <c r="I336" s="179" t="s">
        <v>175</v>
      </c>
      <c r="J336" s="83">
        <v>3495904319</v>
      </c>
      <c r="K336" s="179" t="s">
        <v>242</v>
      </c>
      <c r="L336" s="179">
        <v>45985</v>
      </c>
      <c r="M336" s="180">
        <v>45987</v>
      </c>
      <c r="N336" s="181">
        <v>3.3001198999999999</v>
      </c>
      <c r="O336" s="181" t="s">
        <v>147</v>
      </c>
      <c r="P336" s="83" t="s">
        <v>148</v>
      </c>
      <c r="Q336" s="177" t="s">
        <v>149</v>
      </c>
      <c r="R336" s="83"/>
    </row>
    <row r="337" spans="1:18">
      <c r="A337" s="177">
        <v>80859233</v>
      </c>
      <c r="B337" s="177" t="s">
        <v>241</v>
      </c>
      <c r="C337" s="178" t="s">
        <v>152</v>
      </c>
      <c r="D337" s="177" t="s">
        <v>174</v>
      </c>
      <c r="E337" s="176" t="s">
        <v>145</v>
      </c>
      <c r="F337" s="179">
        <v>45999</v>
      </c>
      <c r="G337" s="177">
        <v>92</v>
      </c>
      <c r="H337" s="179">
        <v>45985</v>
      </c>
      <c r="I337" s="179" t="s">
        <v>175</v>
      </c>
      <c r="J337" s="83">
        <v>3495904321</v>
      </c>
      <c r="K337" s="179" t="s">
        <v>242</v>
      </c>
      <c r="L337" s="179">
        <v>45985</v>
      </c>
      <c r="M337" s="180">
        <v>45987</v>
      </c>
      <c r="N337" s="181">
        <v>0.15007960000000001</v>
      </c>
      <c r="O337" s="181" t="s">
        <v>147</v>
      </c>
      <c r="P337" s="83" t="s">
        <v>148</v>
      </c>
      <c r="Q337" s="177" t="s">
        <v>149</v>
      </c>
      <c r="R337" s="83"/>
    </row>
    <row r="338" spans="1:18">
      <c r="A338" s="177">
        <v>80859233</v>
      </c>
      <c r="B338" s="177" t="s">
        <v>241</v>
      </c>
      <c r="C338" s="178" t="s">
        <v>153</v>
      </c>
      <c r="D338" s="177" t="s">
        <v>174</v>
      </c>
      <c r="E338" s="176" t="s">
        <v>145</v>
      </c>
      <c r="F338" s="179">
        <v>45999</v>
      </c>
      <c r="G338" s="177">
        <v>687</v>
      </c>
      <c r="H338" s="179">
        <v>45985</v>
      </c>
      <c r="I338" s="179" t="s">
        <v>175</v>
      </c>
      <c r="J338" s="83">
        <v>3495904322</v>
      </c>
      <c r="K338" s="179" t="s">
        <v>242</v>
      </c>
      <c r="L338" s="179">
        <v>45985</v>
      </c>
      <c r="M338" s="180">
        <v>45987</v>
      </c>
      <c r="N338" s="181">
        <v>1.1207031000000001</v>
      </c>
      <c r="O338" s="181" t="s">
        <v>147</v>
      </c>
      <c r="P338" s="83" t="s">
        <v>148</v>
      </c>
      <c r="Q338" s="177" t="s">
        <v>149</v>
      </c>
      <c r="R338" s="83"/>
    </row>
    <row r="339" spans="1:18">
      <c r="A339" s="177">
        <v>80859233</v>
      </c>
      <c r="B339" s="177" t="s">
        <v>241</v>
      </c>
      <c r="C339" s="178" t="s">
        <v>155</v>
      </c>
      <c r="D339" s="177" t="s">
        <v>174</v>
      </c>
      <c r="E339" s="176" t="s">
        <v>145</v>
      </c>
      <c r="F339" s="179">
        <v>45999</v>
      </c>
      <c r="G339" s="177">
        <v>3850</v>
      </c>
      <c r="H339" s="179">
        <v>45985</v>
      </c>
      <c r="I339" s="179" t="s">
        <v>175</v>
      </c>
      <c r="J339" s="83">
        <v>3495904323</v>
      </c>
      <c r="K339" s="179" t="s">
        <v>242</v>
      </c>
      <c r="L339" s="179">
        <v>45985</v>
      </c>
      <c r="M339" s="180">
        <v>45987</v>
      </c>
      <c r="N339" s="181">
        <v>6.2805049999999998</v>
      </c>
      <c r="O339" s="181" t="s">
        <v>147</v>
      </c>
      <c r="P339" s="83" t="s">
        <v>148</v>
      </c>
      <c r="Q339" s="177" t="s">
        <v>149</v>
      </c>
      <c r="R339" s="83"/>
    </row>
    <row r="340" spans="1:18">
      <c r="A340" s="177">
        <v>80859241</v>
      </c>
      <c r="B340" s="177" t="s">
        <v>243</v>
      </c>
      <c r="C340" s="178" t="s">
        <v>150</v>
      </c>
      <c r="D340" s="177" t="s">
        <v>174</v>
      </c>
      <c r="E340" s="176" t="s">
        <v>145</v>
      </c>
      <c r="F340" s="179">
        <v>45999</v>
      </c>
      <c r="G340" s="177">
        <v>4732</v>
      </c>
      <c r="H340" s="179">
        <v>45985</v>
      </c>
      <c r="I340" s="179" t="s">
        <v>175</v>
      </c>
      <c r="J340" s="83">
        <v>3495904324</v>
      </c>
      <c r="K340" s="179" t="s">
        <v>242</v>
      </c>
      <c r="L340" s="179">
        <v>45985</v>
      </c>
      <c r="M340" s="180">
        <v>45987</v>
      </c>
      <c r="N340" s="181">
        <v>7.7193116000000002</v>
      </c>
      <c r="O340" s="181" t="s">
        <v>147</v>
      </c>
      <c r="P340" s="83" t="s">
        <v>148</v>
      </c>
      <c r="Q340" s="177" t="s">
        <v>149</v>
      </c>
      <c r="R340" s="83"/>
    </row>
    <row r="341" spans="1:18">
      <c r="A341" s="177">
        <v>80859241</v>
      </c>
      <c r="B341" s="177" t="s">
        <v>243</v>
      </c>
      <c r="C341" s="178" t="s">
        <v>151</v>
      </c>
      <c r="D341" s="177" t="s">
        <v>174</v>
      </c>
      <c r="E341" s="176" t="s">
        <v>145</v>
      </c>
      <c r="F341" s="179">
        <v>45999</v>
      </c>
      <c r="G341" s="177">
        <v>3972</v>
      </c>
      <c r="H341" s="179">
        <v>45985</v>
      </c>
      <c r="I341" s="179" t="s">
        <v>175</v>
      </c>
      <c r="J341" s="83">
        <v>3495904325</v>
      </c>
      <c r="K341" s="179" t="s">
        <v>242</v>
      </c>
      <c r="L341" s="179">
        <v>45985</v>
      </c>
      <c r="M341" s="180">
        <v>45987</v>
      </c>
      <c r="N341" s="181">
        <v>6.4795236000000003</v>
      </c>
      <c r="O341" s="181" t="s">
        <v>147</v>
      </c>
      <c r="P341" s="83" t="s">
        <v>148</v>
      </c>
      <c r="Q341" s="177" t="s">
        <v>149</v>
      </c>
      <c r="R341" s="83"/>
    </row>
    <row r="342" spans="1:18">
      <c r="A342" s="177">
        <v>80859241</v>
      </c>
      <c r="B342" s="177" t="s">
        <v>243</v>
      </c>
      <c r="C342" s="178" t="s">
        <v>152</v>
      </c>
      <c r="D342" s="177" t="s">
        <v>174</v>
      </c>
      <c r="E342" s="176" t="s">
        <v>145</v>
      </c>
      <c r="F342" s="179">
        <v>45999</v>
      </c>
      <c r="G342" s="177">
        <v>576</v>
      </c>
      <c r="H342" s="179">
        <v>45985</v>
      </c>
      <c r="I342" s="179" t="s">
        <v>175</v>
      </c>
      <c r="J342" s="83">
        <v>3495904326</v>
      </c>
      <c r="K342" s="179" t="s">
        <v>242</v>
      </c>
      <c r="L342" s="179">
        <v>45985</v>
      </c>
      <c r="M342" s="180">
        <v>45987</v>
      </c>
      <c r="N342" s="181">
        <v>0.93962880000000004</v>
      </c>
      <c r="O342" s="181" t="s">
        <v>147</v>
      </c>
      <c r="P342" s="83" t="s">
        <v>148</v>
      </c>
      <c r="Q342" s="177" t="s">
        <v>149</v>
      </c>
      <c r="R342" s="83"/>
    </row>
    <row r="343" spans="1:18">
      <c r="A343" s="177">
        <v>80859241</v>
      </c>
      <c r="B343" s="177" t="s">
        <v>243</v>
      </c>
      <c r="C343" s="178" t="s">
        <v>153</v>
      </c>
      <c r="D343" s="177" t="s">
        <v>174</v>
      </c>
      <c r="E343" s="176" t="s">
        <v>145</v>
      </c>
      <c r="F343" s="179">
        <v>45999</v>
      </c>
      <c r="G343" s="177">
        <v>1146</v>
      </c>
      <c r="H343" s="179">
        <v>45985</v>
      </c>
      <c r="I343" s="179" t="s">
        <v>175</v>
      </c>
      <c r="J343" s="83">
        <v>3495904327</v>
      </c>
      <c r="K343" s="179" t="s">
        <v>242</v>
      </c>
      <c r="L343" s="179">
        <v>45985</v>
      </c>
      <c r="M343" s="180">
        <v>45987</v>
      </c>
      <c r="N343" s="181">
        <v>1.8694698000000001</v>
      </c>
      <c r="O343" s="181" t="s">
        <v>147</v>
      </c>
      <c r="P343" s="83" t="s">
        <v>148</v>
      </c>
      <c r="Q343" s="177" t="s">
        <v>149</v>
      </c>
      <c r="R343" s="83"/>
    </row>
    <row r="344" spans="1:18">
      <c r="A344" s="177">
        <v>80859241</v>
      </c>
      <c r="B344" s="177" t="s">
        <v>243</v>
      </c>
      <c r="C344" s="178" t="s">
        <v>155</v>
      </c>
      <c r="D344" s="177" t="s">
        <v>174</v>
      </c>
      <c r="E344" s="176" t="s">
        <v>145</v>
      </c>
      <c r="F344" s="179">
        <v>45999</v>
      </c>
      <c r="G344" s="177">
        <v>4818</v>
      </c>
      <c r="H344" s="179">
        <v>45985</v>
      </c>
      <c r="I344" s="179" t="s">
        <v>175</v>
      </c>
      <c r="J344" s="83">
        <v>3495904328</v>
      </c>
      <c r="K344" s="179" t="s">
        <v>242</v>
      </c>
      <c r="L344" s="179">
        <v>45985</v>
      </c>
      <c r="M344" s="180">
        <v>45987</v>
      </c>
      <c r="N344" s="181">
        <v>7.8596034000000001</v>
      </c>
      <c r="O344" s="181" t="s">
        <v>147</v>
      </c>
      <c r="P344" s="83" t="s">
        <v>148</v>
      </c>
      <c r="Q344" s="177" t="s">
        <v>149</v>
      </c>
      <c r="R344" s="83"/>
    </row>
    <row r="345" spans="1:18">
      <c r="A345" s="177">
        <v>80859236</v>
      </c>
      <c r="B345" s="177" t="s">
        <v>244</v>
      </c>
      <c r="C345" s="178" t="s">
        <v>143</v>
      </c>
      <c r="D345" s="177" t="s">
        <v>174</v>
      </c>
      <c r="E345" s="176" t="s">
        <v>145</v>
      </c>
      <c r="F345" s="179">
        <v>45999</v>
      </c>
      <c r="G345" s="177">
        <v>25</v>
      </c>
      <c r="H345" s="179">
        <v>45985</v>
      </c>
      <c r="I345" s="179" t="s">
        <v>175</v>
      </c>
      <c r="J345" s="83">
        <v>3495904329</v>
      </c>
      <c r="K345" s="179" t="s">
        <v>242</v>
      </c>
      <c r="L345" s="179">
        <v>45985</v>
      </c>
      <c r="M345" s="180">
        <v>45987</v>
      </c>
      <c r="N345" s="181">
        <v>4.0782499999999999E-2</v>
      </c>
      <c r="O345" s="181" t="s">
        <v>147</v>
      </c>
      <c r="P345" s="83" t="s">
        <v>148</v>
      </c>
      <c r="Q345" s="177" t="s">
        <v>149</v>
      </c>
      <c r="R345" s="83"/>
    </row>
    <row r="346" spans="1:18">
      <c r="A346" s="177">
        <v>80859236</v>
      </c>
      <c r="B346" s="177" t="s">
        <v>244</v>
      </c>
      <c r="C346" s="178" t="s">
        <v>150</v>
      </c>
      <c r="D346" s="177" t="s">
        <v>174</v>
      </c>
      <c r="E346" s="176" t="s">
        <v>145</v>
      </c>
      <c r="F346" s="179">
        <v>45999</v>
      </c>
      <c r="G346" s="177">
        <v>2336</v>
      </c>
      <c r="H346" s="179">
        <v>45985</v>
      </c>
      <c r="I346" s="179" t="s">
        <v>175</v>
      </c>
      <c r="J346" s="83">
        <v>3495904330</v>
      </c>
      <c r="K346" s="179" t="s">
        <v>242</v>
      </c>
      <c r="L346" s="179">
        <v>45985</v>
      </c>
      <c r="M346" s="180">
        <v>45987</v>
      </c>
      <c r="N346" s="181">
        <v>3.8107167999999998</v>
      </c>
      <c r="O346" s="181" t="s">
        <v>147</v>
      </c>
      <c r="P346" s="83" t="s">
        <v>148</v>
      </c>
      <c r="Q346" s="177" t="s">
        <v>149</v>
      </c>
      <c r="R346" s="83"/>
    </row>
    <row r="347" spans="1:18">
      <c r="A347" s="177">
        <v>80859236</v>
      </c>
      <c r="B347" s="177" t="s">
        <v>244</v>
      </c>
      <c r="C347" s="178" t="s">
        <v>151</v>
      </c>
      <c r="D347" s="177" t="s">
        <v>174</v>
      </c>
      <c r="E347" s="176" t="s">
        <v>145</v>
      </c>
      <c r="F347" s="179">
        <v>45999</v>
      </c>
      <c r="G347" s="177">
        <v>2109</v>
      </c>
      <c r="H347" s="179">
        <v>45985</v>
      </c>
      <c r="I347" s="179" t="s">
        <v>175</v>
      </c>
      <c r="J347" s="83">
        <v>3495904331</v>
      </c>
      <c r="K347" s="179" t="s">
        <v>242</v>
      </c>
      <c r="L347" s="179">
        <v>45985</v>
      </c>
      <c r="M347" s="180">
        <v>45987</v>
      </c>
      <c r="N347" s="181">
        <v>3.4404116999999999</v>
      </c>
      <c r="O347" s="181" t="s">
        <v>147</v>
      </c>
      <c r="P347" s="83" t="s">
        <v>148</v>
      </c>
      <c r="Q347" s="177" t="s">
        <v>149</v>
      </c>
      <c r="R347" s="83"/>
    </row>
    <row r="348" spans="1:18">
      <c r="A348" s="177">
        <v>80859236</v>
      </c>
      <c r="B348" s="177" t="s">
        <v>244</v>
      </c>
      <c r="C348" s="178" t="s">
        <v>152</v>
      </c>
      <c r="D348" s="177" t="s">
        <v>174</v>
      </c>
      <c r="E348" s="176" t="s">
        <v>145</v>
      </c>
      <c r="F348" s="179">
        <v>45999</v>
      </c>
      <c r="G348" s="177">
        <v>595</v>
      </c>
      <c r="H348" s="179">
        <v>45985</v>
      </c>
      <c r="I348" s="179" t="s">
        <v>175</v>
      </c>
      <c r="J348" s="83">
        <v>3495904332</v>
      </c>
      <c r="K348" s="179" t="s">
        <v>242</v>
      </c>
      <c r="L348" s="179">
        <v>45985</v>
      </c>
      <c r="M348" s="180">
        <v>45987</v>
      </c>
      <c r="N348" s="181">
        <v>0.97062349999999997</v>
      </c>
      <c r="O348" s="181" t="s">
        <v>147</v>
      </c>
      <c r="P348" s="83" t="s">
        <v>148</v>
      </c>
      <c r="Q348" s="177" t="s">
        <v>149</v>
      </c>
      <c r="R348" s="83"/>
    </row>
    <row r="349" spans="1:18">
      <c r="A349" s="177">
        <v>80859236</v>
      </c>
      <c r="B349" s="177" t="s">
        <v>244</v>
      </c>
      <c r="C349" s="178" t="s">
        <v>153</v>
      </c>
      <c r="D349" s="177" t="s">
        <v>174</v>
      </c>
      <c r="E349" s="176" t="s">
        <v>145</v>
      </c>
      <c r="F349" s="179">
        <v>45999</v>
      </c>
      <c r="G349" s="177">
        <v>386</v>
      </c>
      <c r="H349" s="179">
        <v>45985</v>
      </c>
      <c r="I349" s="179" t="s">
        <v>175</v>
      </c>
      <c r="J349" s="83">
        <v>3495904333</v>
      </c>
      <c r="K349" s="179" t="s">
        <v>242</v>
      </c>
      <c r="L349" s="179">
        <v>45985</v>
      </c>
      <c r="M349" s="180">
        <v>45987</v>
      </c>
      <c r="N349" s="181">
        <v>0.62968179999999996</v>
      </c>
      <c r="O349" s="181" t="s">
        <v>147</v>
      </c>
      <c r="P349" s="83" t="s">
        <v>148</v>
      </c>
      <c r="Q349" s="177" t="s">
        <v>149</v>
      </c>
      <c r="R349" s="83"/>
    </row>
    <row r="350" spans="1:18">
      <c r="A350" s="177">
        <v>80859236</v>
      </c>
      <c r="B350" s="177" t="s">
        <v>244</v>
      </c>
      <c r="C350" s="178" t="s">
        <v>155</v>
      </c>
      <c r="D350" s="177" t="s">
        <v>174</v>
      </c>
      <c r="E350" s="176" t="s">
        <v>145</v>
      </c>
      <c r="F350" s="179">
        <v>45999</v>
      </c>
      <c r="G350" s="177">
        <v>2795</v>
      </c>
      <c r="H350" s="179">
        <v>45985</v>
      </c>
      <c r="I350" s="179" t="s">
        <v>175</v>
      </c>
      <c r="J350" s="83">
        <v>3495904335</v>
      </c>
      <c r="K350" s="179" t="s">
        <v>242</v>
      </c>
      <c r="L350" s="179">
        <v>45985</v>
      </c>
      <c r="M350" s="180">
        <v>45987</v>
      </c>
      <c r="N350" s="181">
        <v>4.5594834999999998</v>
      </c>
      <c r="O350" s="181" t="s">
        <v>147</v>
      </c>
      <c r="P350" s="83" t="s">
        <v>148</v>
      </c>
      <c r="Q350" s="177" t="s">
        <v>149</v>
      </c>
      <c r="R350" s="83"/>
    </row>
    <row r="351" spans="1:18">
      <c r="A351" s="177">
        <v>80859246</v>
      </c>
      <c r="B351" s="177" t="s">
        <v>245</v>
      </c>
      <c r="C351" s="178" t="s">
        <v>143</v>
      </c>
      <c r="D351" s="177" t="s">
        <v>174</v>
      </c>
      <c r="E351" s="176" t="s">
        <v>145</v>
      </c>
      <c r="F351" s="179">
        <v>45999</v>
      </c>
      <c r="G351" s="177">
        <v>202</v>
      </c>
      <c r="H351" s="179">
        <v>45985</v>
      </c>
      <c r="I351" s="179" t="s">
        <v>175</v>
      </c>
      <c r="J351" s="83">
        <v>3495904336</v>
      </c>
      <c r="K351" s="179" t="s">
        <v>242</v>
      </c>
      <c r="L351" s="179">
        <v>45985</v>
      </c>
      <c r="M351" s="180">
        <v>45987</v>
      </c>
      <c r="N351" s="181">
        <v>0.3295226</v>
      </c>
      <c r="O351" s="181" t="s">
        <v>147</v>
      </c>
      <c r="P351" s="83" t="s">
        <v>148</v>
      </c>
      <c r="Q351" s="177" t="s">
        <v>149</v>
      </c>
      <c r="R351" s="83"/>
    </row>
    <row r="352" spans="1:18">
      <c r="A352" s="177">
        <v>80859246</v>
      </c>
      <c r="B352" s="177" t="s">
        <v>245</v>
      </c>
      <c r="C352" s="178" t="s">
        <v>150</v>
      </c>
      <c r="D352" s="177" t="s">
        <v>174</v>
      </c>
      <c r="E352" s="176" t="s">
        <v>145</v>
      </c>
      <c r="F352" s="179">
        <v>45999</v>
      </c>
      <c r="G352" s="177">
        <v>4475</v>
      </c>
      <c r="H352" s="179">
        <v>45985</v>
      </c>
      <c r="I352" s="179" t="s">
        <v>175</v>
      </c>
      <c r="J352" s="83">
        <v>3495904337</v>
      </c>
      <c r="K352" s="179" t="s">
        <v>242</v>
      </c>
      <c r="L352" s="179">
        <v>45985</v>
      </c>
      <c r="M352" s="180">
        <v>45987</v>
      </c>
      <c r="N352" s="181">
        <v>7.3000674999999999</v>
      </c>
      <c r="O352" s="181" t="s">
        <v>147</v>
      </c>
      <c r="P352" s="83" t="s">
        <v>148</v>
      </c>
      <c r="Q352" s="177" t="s">
        <v>149</v>
      </c>
      <c r="R352" s="83"/>
    </row>
    <row r="353" spans="1:18">
      <c r="A353" s="177">
        <v>80859246</v>
      </c>
      <c r="B353" s="177" t="s">
        <v>245</v>
      </c>
      <c r="C353" s="178" t="s">
        <v>151</v>
      </c>
      <c r="D353" s="177" t="s">
        <v>174</v>
      </c>
      <c r="E353" s="176" t="s">
        <v>145</v>
      </c>
      <c r="F353" s="179">
        <v>45999</v>
      </c>
      <c r="G353" s="177">
        <v>3145</v>
      </c>
      <c r="H353" s="179">
        <v>45985</v>
      </c>
      <c r="I353" s="179" t="s">
        <v>175</v>
      </c>
      <c r="J353" s="83">
        <v>3495904338</v>
      </c>
      <c r="K353" s="179" t="s">
        <v>242</v>
      </c>
      <c r="L353" s="179">
        <v>45985</v>
      </c>
      <c r="M353" s="180">
        <v>45987</v>
      </c>
      <c r="N353" s="181">
        <v>5.1304385000000003</v>
      </c>
      <c r="O353" s="181" t="s">
        <v>147</v>
      </c>
      <c r="P353" s="83" t="s">
        <v>148</v>
      </c>
      <c r="Q353" s="177" t="s">
        <v>149</v>
      </c>
      <c r="R353" s="83"/>
    </row>
    <row r="354" spans="1:18">
      <c r="A354" s="177">
        <v>80859246</v>
      </c>
      <c r="B354" s="177" t="s">
        <v>245</v>
      </c>
      <c r="C354" s="178" t="s">
        <v>152</v>
      </c>
      <c r="D354" s="177" t="s">
        <v>174</v>
      </c>
      <c r="E354" s="176" t="s">
        <v>145</v>
      </c>
      <c r="F354" s="179">
        <v>45999</v>
      </c>
      <c r="G354" s="177">
        <v>343</v>
      </c>
      <c r="H354" s="179">
        <v>45985</v>
      </c>
      <c r="I354" s="179" t="s">
        <v>175</v>
      </c>
      <c r="J354" s="83">
        <v>3495904339</v>
      </c>
      <c r="K354" s="179" t="s">
        <v>242</v>
      </c>
      <c r="L354" s="179">
        <v>45985</v>
      </c>
      <c r="M354" s="180">
        <v>45987</v>
      </c>
      <c r="N354" s="181">
        <v>0.55953589999999997</v>
      </c>
      <c r="O354" s="181" t="s">
        <v>147</v>
      </c>
      <c r="P354" s="83" t="s">
        <v>148</v>
      </c>
      <c r="Q354" s="177" t="s">
        <v>149</v>
      </c>
      <c r="R354" s="83"/>
    </row>
    <row r="355" spans="1:18">
      <c r="A355" s="177">
        <v>80859246</v>
      </c>
      <c r="B355" s="177" t="s">
        <v>245</v>
      </c>
      <c r="C355" s="178" t="s">
        <v>153</v>
      </c>
      <c r="D355" s="177" t="s">
        <v>174</v>
      </c>
      <c r="E355" s="176" t="s">
        <v>145</v>
      </c>
      <c r="F355" s="179">
        <v>45999</v>
      </c>
      <c r="G355" s="177">
        <v>546</v>
      </c>
      <c r="H355" s="179">
        <v>45985</v>
      </c>
      <c r="I355" s="179" t="s">
        <v>175</v>
      </c>
      <c r="J355" s="83">
        <v>3495904340</v>
      </c>
      <c r="K355" s="179" t="s">
        <v>242</v>
      </c>
      <c r="L355" s="179">
        <v>45985</v>
      </c>
      <c r="M355" s="180">
        <v>45987</v>
      </c>
      <c r="N355" s="181">
        <v>0.89068979999999998</v>
      </c>
      <c r="O355" s="181" t="s">
        <v>147</v>
      </c>
      <c r="P355" s="83" t="s">
        <v>148</v>
      </c>
      <c r="Q355" s="177" t="s">
        <v>149</v>
      </c>
      <c r="R355" s="83"/>
    </row>
    <row r="356" spans="1:18">
      <c r="A356" s="177">
        <v>80859246</v>
      </c>
      <c r="B356" s="177" t="s">
        <v>245</v>
      </c>
      <c r="C356" s="178" t="s">
        <v>155</v>
      </c>
      <c r="D356" s="177" t="s">
        <v>174</v>
      </c>
      <c r="E356" s="176" t="s">
        <v>145</v>
      </c>
      <c r="F356" s="179">
        <v>45999</v>
      </c>
      <c r="G356" s="177">
        <v>5002</v>
      </c>
      <c r="H356" s="179">
        <v>45985</v>
      </c>
      <c r="I356" s="179" t="s">
        <v>175</v>
      </c>
      <c r="J356" s="83">
        <v>3495904341</v>
      </c>
      <c r="K356" s="179" t="s">
        <v>242</v>
      </c>
      <c r="L356" s="179">
        <v>45985</v>
      </c>
      <c r="M356" s="180">
        <v>45987</v>
      </c>
      <c r="N356" s="181">
        <v>8.1597626000000005</v>
      </c>
      <c r="O356" s="181" t="s">
        <v>147</v>
      </c>
      <c r="P356" s="83" t="s">
        <v>148</v>
      </c>
      <c r="Q356" s="177" t="s">
        <v>149</v>
      </c>
      <c r="R356" s="83"/>
    </row>
    <row r="357" spans="1:18">
      <c r="A357" s="177">
        <v>80859250</v>
      </c>
      <c r="B357" s="177" t="s">
        <v>246</v>
      </c>
      <c r="C357" s="178" t="s">
        <v>150</v>
      </c>
      <c r="D357" s="177" t="s">
        <v>174</v>
      </c>
      <c r="E357" s="176" t="s">
        <v>145</v>
      </c>
      <c r="F357" s="179">
        <v>45999</v>
      </c>
      <c r="G357" s="177">
        <v>1324</v>
      </c>
      <c r="H357" s="179">
        <v>45985</v>
      </c>
      <c r="I357" s="179" t="s">
        <v>175</v>
      </c>
      <c r="J357" s="83">
        <v>3495904342</v>
      </c>
      <c r="K357" s="179" t="s">
        <v>242</v>
      </c>
      <c r="L357" s="179">
        <v>45985</v>
      </c>
      <c r="M357" s="180">
        <v>45987</v>
      </c>
      <c r="N357" s="181">
        <v>2.0398868000000001</v>
      </c>
      <c r="O357" s="181" t="s">
        <v>147</v>
      </c>
      <c r="P357" s="83" t="s">
        <v>148</v>
      </c>
      <c r="Q357" s="177" t="s">
        <v>149</v>
      </c>
      <c r="R357" s="83"/>
    </row>
    <row r="358" spans="1:18">
      <c r="A358" s="177">
        <v>80859250</v>
      </c>
      <c r="B358" s="177" t="s">
        <v>246</v>
      </c>
      <c r="C358" s="178" t="s">
        <v>151</v>
      </c>
      <c r="D358" s="177" t="s">
        <v>174</v>
      </c>
      <c r="E358" s="176" t="s">
        <v>145</v>
      </c>
      <c r="F358" s="179">
        <v>45999</v>
      </c>
      <c r="G358" s="177">
        <v>441</v>
      </c>
      <c r="H358" s="179">
        <v>45985</v>
      </c>
      <c r="I358" s="179" t="s">
        <v>175</v>
      </c>
      <c r="J358" s="83">
        <v>3495904343</v>
      </c>
      <c r="K358" s="179" t="s">
        <v>242</v>
      </c>
      <c r="L358" s="179">
        <v>45985</v>
      </c>
      <c r="M358" s="180">
        <v>45987</v>
      </c>
      <c r="N358" s="181">
        <v>0.67944870000000002</v>
      </c>
      <c r="O358" s="181" t="s">
        <v>147</v>
      </c>
      <c r="P358" s="83" t="s">
        <v>148</v>
      </c>
      <c r="Q358" s="177" t="s">
        <v>149</v>
      </c>
      <c r="R358" s="83"/>
    </row>
    <row r="359" spans="1:18">
      <c r="A359" s="177">
        <v>80859250</v>
      </c>
      <c r="B359" s="177" t="s">
        <v>246</v>
      </c>
      <c r="C359" s="178" t="s">
        <v>152</v>
      </c>
      <c r="D359" s="177" t="s">
        <v>174</v>
      </c>
      <c r="E359" s="176" t="s">
        <v>145</v>
      </c>
      <c r="F359" s="179">
        <v>45999</v>
      </c>
      <c r="G359" s="177">
        <v>149</v>
      </c>
      <c r="H359" s="179">
        <v>45985</v>
      </c>
      <c r="I359" s="179" t="s">
        <v>175</v>
      </c>
      <c r="J359" s="83">
        <v>3495904344</v>
      </c>
      <c r="K359" s="179" t="s">
        <v>242</v>
      </c>
      <c r="L359" s="179">
        <v>45985</v>
      </c>
      <c r="M359" s="180">
        <v>45987</v>
      </c>
      <c r="N359" s="181">
        <v>0.2295643</v>
      </c>
      <c r="O359" s="181" t="s">
        <v>147</v>
      </c>
      <c r="P359" s="83" t="s">
        <v>148</v>
      </c>
      <c r="Q359" s="177" t="s">
        <v>149</v>
      </c>
      <c r="R359" s="83"/>
    </row>
    <row r="360" spans="1:18">
      <c r="A360" s="177">
        <v>80859250</v>
      </c>
      <c r="B360" s="177" t="s">
        <v>246</v>
      </c>
      <c r="C360" s="178" t="s">
        <v>153</v>
      </c>
      <c r="D360" s="177" t="s">
        <v>174</v>
      </c>
      <c r="E360" s="176" t="s">
        <v>145</v>
      </c>
      <c r="F360" s="179">
        <v>45999</v>
      </c>
      <c r="G360" s="177">
        <v>1071</v>
      </c>
      <c r="H360" s="179">
        <v>45985</v>
      </c>
      <c r="I360" s="179" t="s">
        <v>175</v>
      </c>
      <c r="J360" s="83">
        <v>3495904345</v>
      </c>
      <c r="K360" s="179" t="s">
        <v>242</v>
      </c>
      <c r="L360" s="179">
        <v>45985</v>
      </c>
      <c r="M360" s="180">
        <v>45987</v>
      </c>
      <c r="N360" s="181">
        <v>1.6500897000000001</v>
      </c>
      <c r="O360" s="181" t="s">
        <v>147</v>
      </c>
      <c r="P360" s="83" t="s">
        <v>148</v>
      </c>
      <c r="Q360" s="177" t="s">
        <v>149</v>
      </c>
      <c r="R360" s="83"/>
    </row>
    <row r="361" spans="1:18">
      <c r="A361" s="177">
        <v>80859250</v>
      </c>
      <c r="B361" s="177" t="s">
        <v>246</v>
      </c>
      <c r="C361" s="178" t="s">
        <v>155</v>
      </c>
      <c r="D361" s="177" t="s">
        <v>174</v>
      </c>
      <c r="E361" s="176" t="s">
        <v>145</v>
      </c>
      <c r="F361" s="179">
        <v>45999</v>
      </c>
      <c r="G361" s="177">
        <v>2700</v>
      </c>
      <c r="H361" s="179">
        <v>45985</v>
      </c>
      <c r="I361" s="179" t="s">
        <v>175</v>
      </c>
      <c r="J361" s="83">
        <v>3495904346</v>
      </c>
      <c r="K361" s="179" t="s">
        <v>242</v>
      </c>
      <c r="L361" s="179">
        <v>45985</v>
      </c>
      <c r="M361" s="180">
        <v>45987</v>
      </c>
      <c r="N361" s="181">
        <v>4.1598899999999999</v>
      </c>
      <c r="O361" s="181" t="s">
        <v>147</v>
      </c>
      <c r="P361" s="83" t="s">
        <v>148</v>
      </c>
      <c r="Q361" s="177" t="s">
        <v>149</v>
      </c>
      <c r="R361" s="83"/>
    </row>
    <row r="362" spans="1:18">
      <c r="A362" s="177">
        <v>80859227</v>
      </c>
      <c r="B362" s="177" t="s">
        <v>247</v>
      </c>
      <c r="C362" s="178" t="s">
        <v>150</v>
      </c>
      <c r="D362" s="177" t="s">
        <v>174</v>
      </c>
      <c r="E362" s="176" t="s">
        <v>145</v>
      </c>
      <c r="F362" s="179">
        <v>45999</v>
      </c>
      <c r="G362" s="177">
        <v>2453</v>
      </c>
      <c r="H362" s="179">
        <v>45985</v>
      </c>
      <c r="I362" s="179" t="s">
        <v>175</v>
      </c>
      <c r="J362" s="83">
        <v>3495904347</v>
      </c>
      <c r="K362" s="179" t="s">
        <v>242</v>
      </c>
      <c r="L362" s="179">
        <v>45985</v>
      </c>
      <c r="M362" s="180">
        <v>45987</v>
      </c>
      <c r="N362" s="181">
        <v>3.7793370999999998</v>
      </c>
      <c r="O362" s="181" t="s">
        <v>147</v>
      </c>
      <c r="P362" s="83" t="s">
        <v>148</v>
      </c>
      <c r="Q362" s="177" t="s">
        <v>149</v>
      </c>
      <c r="R362" s="83"/>
    </row>
    <row r="363" spans="1:18">
      <c r="A363" s="177">
        <v>80859227</v>
      </c>
      <c r="B363" s="177" t="s">
        <v>247</v>
      </c>
      <c r="C363" s="178" t="s">
        <v>151</v>
      </c>
      <c r="D363" s="177" t="s">
        <v>174</v>
      </c>
      <c r="E363" s="176" t="s">
        <v>145</v>
      </c>
      <c r="F363" s="179">
        <v>45999</v>
      </c>
      <c r="G363" s="177">
        <v>4790</v>
      </c>
      <c r="H363" s="179">
        <v>45985</v>
      </c>
      <c r="I363" s="179" t="s">
        <v>175</v>
      </c>
      <c r="J363" s="83">
        <v>3495904348</v>
      </c>
      <c r="K363" s="179" t="s">
        <v>242</v>
      </c>
      <c r="L363" s="179">
        <v>45985</v>
      </c>
      <c r="M363" s="180">
        <v>45987</v>
      </c>
      <c r="N363" s="181">
        <v>7.3799530000000004</v>
      </c>
      <c r="O363" s="181" t="s">
        <v>147</v>
      </c>
      <c r="P363" s="83" t="s">
        <v>148</v>
      </c>
      <c r="Q363" s="177" t="s">
        <v>149</v>
      </c>
      <c r="R363" s="83"/>
    </row>
    <row r="364" spans="1:18">
      <c r="A364" s="177">
        <v>80859227</v>
      </c>
      <c r="B364" s="177" t="s">
        <v>247</v>
      </c>
      <c r="C364" s="178" t="s">
        <v>152</v>
      </c>
      <c r="D364" s="177" t="s">
        <v>174</v>
      </c>
      <c r="E364" s="176" t="s">
        <v>145</v>
      </c>
      <c r="F364" s="179">
        <v>45999</v>
      </c>
      <c r="G364" s="177">
        <v>669</v>
      </c>
      <c r="H364" s="179">
        <v>45985</v>
      </c>
      <c r="I364" s="179" t="s">
        <v>175</v>
      </c>
      <c r="J364" s="83">
        <v>3495904349</v>
      </c>
      <c r="K364" s="179" t="s">
        <v>242</v>
      </c>
      <c r="L364" s="179">
        <v>45985</v>
      </c>
      <c r="M364" s="180">
        <v>45987</v>
      </c>
      <c r="N364" s="181">
        <v>1.0307283</v>
      </c>
      <c r="O364" s="181" t="s">
        <v>147</v>
      </c>
      <c r="P364" s="83" t="s">
        <v>148</v>
      </c>
      <c r="Q364" s="177" t="s">
        <v>149</v>
      </c>
      <c r="R364" s="83"/>
    </row>
    <row r="365" spans="1:18">
      <c r="A365" s="177">
        <v>80859227</v>
      </c>
      <c r="B365" s="177" t="s">
        <v>247</v>
      </c>
      <c r="C365" s="178" t="s">
        <v>153</v>
      </c>
      <c r="D365" s="177" t="s">
        <v>174</v>
      </c>
      <c r="E365" s="176" t="s">
        <v>145</v>
      </c>
      <c r="F365" s="179">
        <v>45999</v>
      </c>
      <c r="G365" s="177">
        <v>2265</v>
      </c>
      <c r="H365" s="179">
        <v>45985</v>
      </c>
      <c r="I365" s="179" t="s">
        <v>175</v>
      </c>
      <c r="J365" s="83">
        <v>3495904350</v>
      </c>
      <c r="K365" s="179" t="s">
        <v>242</v>
      </c>
      <c r="L365" s="179">
        <v>45985</v>
      </c>
      <c r="M365" s="180">
        <v>45987</v>
      </c>
      <c r="N365" s="181">
        <v>3.4896855000000002</v>
      </c>
      <c r="O365" s="181" t="s">
        <v>147</v>
      </c>
      <c r="P365" s="83" t="s">
        <v>148</v>
      </c>
      <c r="Q365" s="177" t="s">
        <v>149</v>
      </c>
      <c r="R365" s="83"/>
    </row>
    <row r="366" spans="1:18">
      <c r="A366" s="177">
        <v>80859227</v>
      </c>
      <c r="B366" s="177" t="s">
        <v>247</v>
      </c>
      <c r="C366" s="178" t="s">
        <v>155</v>
      </c>
      <c r="D366" s="177" t="s">
        <v>174</v>
      </c>
      <c r="E366" s="176" t="s">
        <v>145</v>
      </c>
      <c r="F366" s="179">
        <v>45999</v>
      </c>
      <c r="G366" s="177">
        <v>3829</v>
      </c>
      <c r="H366" s="179">
        <v>45985</v>
      </c>
      <c r="I366" s="179" t="s">
        <v>175</v>
      </c>
      <c r="J366" s="83">
        <v>3495904351</v>
      </c>
      <c r="K366" s="179" t="s">
        <v>242</v>
      </c>
      <c r="L366" s="179">
        <v>45985</v>
      </c>
      <c r="M366" s="180">
        <v>45987</v>
      </c>
      <c r="N366" s="181">
        <v>5.8993403000000004</v>
      </c>
      <c r="O366" s="181" t="s">
        <v>147</v>
      </c>
      <c r="P366" s="83" t="s">
        <v>148</v>
      </c>
      <c r="Q366" s="177" t="s">
        <v>149</v>
      </c>
      <c r="R366" s="83"/>
    </row>
    <row r="367" spans="1:18">
      <c r="A367" s="177">
        <v>80859240</v>
      </c>
      <c r="B367" s="177" t="s">
        <v>248</v>
      </c>
      <c r="C367" s="178" t="s">
        <v>150</v>
      </c>
      <c r="D367" s="177" t="s">
        <v>174</v>
      </c>
      <c r="E367" s="176" t="s">
        <v>145</v>
      </c>
      <c r="F367" s="179">
        <v>45999</v>
      </c>
      <c r="G367" s="177">
        <v>4816</v>
      </c>
      <c r="H367" s="179">
        <v>45985</v>
      </c>
      <c r="I367" s="179" t="s">
        <v>175</v>
      </c>
      <c r="J367" s="83">
        <v>3495904352</v>
      </c>
      <c r="K367" s="179" t="s">
        <v>242</v>
      </c>
      <c r="L367" s="179">
        <v>45985</v>
      </c>
      <c r="M367" s="180">
        <v>45987</v>
      </c>
      <c r="N367" s="181">
        <v>7.4200112000000003</v>
      </c>
      <c r="O367" s="181" t="s">
        <v>147</v>
      </c>
      <c r="P367" s="83" t="s">
        <v>148</v>
      </c>
      <c r="Q367" s="177" t="s">
        <v>149</v>
      </c>
      <c r="R367" s="83"/>
    </row>
    <row r="368" spans="1:18">
      <c r="A368" s="177">
        <v>80859240</v>
      </c>
      <c r="B368" s="177" t="s">
        <v>248</v>
      </c>
      <c r="C368" s="178" t="s">
        <v>151</v>
      </c>
      <c r="D368" s="177" t="s">
        <v>174</v>
      </c>
      <c r="E368" s="176" t="s">
        <v>145</v>
      </c>
      <c r="F368" s="179">
        <v>45999</v>
      </c>
      <c r="G368" s="177">
        <v>4394</v>
      </c>
      <c r="H368" s="179">
        <v>45985</v>
      </c>
      <c r="I368" s="179" t="s">
        <v>175</v>
      </c>
      <c r="J368" s="83">
        <v>3495904353</v>
      </c>
      <c r="K368" s="179" t="s">
        <v>242</v>
      </c>
      <c r="L368" s="179">
        <v>45985</v>
      </c>
      <c r="M368" s="180">
        <v>45987</v>
      </c>
      <c r="N368" s="181">
        <v>6.7698358000000001</v>
      </c>
      <c r="O368" s="181" t="s">
        <v>147</v>
      </c>
      <c r="P368" s="83" t="s">
        <v>148</v>
      </c>
      <c r="Q368" s="177" t="s">
        <v>149</v>
      </c>
      <c r="R368" s="83"/>
    </row>
    <row r="369" spans="1:18">
      <c r="A369" s="177">
        <v>80859240</v>
      </c>
      <c r="B369" s="177" t="s">
        <v>248</v>
      </c>
      <c r="C369" s="178" t="s">
        <v>152</v>
      </c>
      <c r="D369" s="177" t="s">
        <v>174</v>
      </c>
      <c r="E369" s="176" t="s">
        <v>145</v>
      </c>
      <c r="F369" s="179">
        <v>45999</v>
      </c>
      <c r="G369" s="177">
        <v>467</v>
      </c>
      <c r="H369" s="179">
        <v>45985</v>
      </c>
      <c r="I369" s="179" t="s">
        <v>175</v>
      </c>
      <c r="J369" s="83">
        <v>3495904355</v>
      </c>
      <c r="K369" s="179" t="s">
        <v>242</v>
      </c>
      <c r="L369" s="179">
        <v>45985</v>
      </c>
      <c r="M369" s="180">
        <v>45987</v>
      </c>
      <c r="N369" s="181">
        <v>0.71950689999999995</v>
      </c>
      <c r="O369" s="181" t="s">
        <v>147</v>
      </c>
      <c r="P369" s="83" t="s">
        <v>148</v>
      </c>
      <c r="Q369" s="177" t="s">
        <v>149</v>
      </c>
      <c r="R369" s="83"/>
    </row>
    <row r="370" spans="1:18">
      <c r="A370" s="177">
        <v>80859240</v>
      </c>
      <c r="B370" s="177" t="s">
        <v>248</v>
      </c>
      <c r="C370" s="178" t="s">
        <v>153</v>
      </c>
      <c r="D370" s="177" t="s">
        <v>174</v>
      </c>
      <c r="E370" s="176" t="s">
        <v>145</v>
      </c>
      <c r="F370" s="179">
        <v>45999</v>
      </c>
      <c r="G370" s="177">
        <v>1181</v>
      </c>
      <c r="H370" s="179">
        <v>45985</v>
      </c>
      <c r="I370" s="179" t="s">
        <v>175</v>
      </c>
      <c r="J370" s="83">
        <v>3495904356</v>
      </c>
      <c r="K370" s="179" t="s">
        <v>242</v>
      </c>
      <c r="L370" s="179">
        <v>45985</v>
      </c>
      <c r="M370" s="180">
        <v>45987</v>
      </c>
      <c r="N370" s="181">
        <v>1.8195667</v>
      </c>
      <c r="O370" s="181" t="s">
        <v>147</v>
      </c>
      <c r="P370" s="83" t="s">
        <v>148</v>
      </c>
      <c r="Q370" s="177" t="s">
        <v>149</v>
      </c>
      <c r="R370" s="83"/>
    </row>
    <row r="371" spans="1:18">
      <c r="A371" s="177">
        <v>80859240</v>
      </c>
      <c r="B371" s="177" t="s">
        <v>248</v>
      </c>
      <c r="C371" s="178" t="s">
        <v>155</v>
      </c>
      <c r="D371" s="177" t="s">
        <v>174</v>
      </c>
      <c r="E371" s="176" t="s">
        <v>145</v>
      </c>
      <c r="F371" s="179">
        <v>45999</v>
      </c>
      <c r="G371" s="177">
        <v>3031</v>
      </c>
      <c r="H371" s="179">
        <v>45985</v>
      </c>
      <c r="I371" s="179" t="s">
        <v>175</v>
      </c>
      <c r="J371" s="83">
        <v>3495904357</v>
      </c>
      <c r="K371" s="179" t="s">
        <v>242</v>
      </c>
      <c r="L371" s="179">
        <v>45985</v>
      </c>
      <c r="M371" s="180">
        <v>45987</v>
      </c>
      <c r="N371" s="181">
        <v>4.6698617000000002</v>
      </c>
      <c r="O371" s="181" t="s">
        <v>147</v>
      </c>
      <c r="P371" s="83" t="s">
        <v>148</v>
      </c>
      <c r="Q371" s="177" t="s">
        <v>149</v>
      </c>
      <c r="R371" s="83"/>
    </row>
    <row r="372" spans="1:18">
      <c r="A372" s="177">
        <v>80859242</v>
      </c>
      <c r="B372" s="177" t="s">
        <v>249</v>
      </c>
      <c r="C372" s="178" t="s">
        <v>143</v>
      </c>
      <c r="D372" s="177" t="s">
        <v>174</v>
      </c>
      <c r="E372" s="176" t="s">
        <v>145</v>
      </c>
      <c r="F372" s="179">
        <v>45999</v>
      </c>
      <c r="G372" s="177">
        <v>156</v>
      </c>
      <c r="H372" s="179">
        <v>45985</v>
      </c>
      <c r="I372" s="179" t="s">
        <v>175</v>
      </c>
      <c r="J372" s="83">
        <v>3495904358</v>
      </c>
      <c r="K372" s="179" t="s">
        <v>242</v>
      </c>
      <c r="L372" s="179">
        <v>45985</v>
      </c>
      <c r="M372" s="180">
        <v>45987</v>
      </c>
      <c r="N372" s="181">
        <v>0.24034920000000001</v>
      </c>
      <c r="O372" s="181" t="s">
        <v>147</v>
      </c>
      <c r="P372" s="83" t="s">
        <v>148</v>
      </c>
      <c r="Q372" s="177" t="s">
        <v>149</v>
      </c>
      <c r="R372" s="83"/>
    </row>
    <row r="373" spans="1:18">
      <c r="A373" s="177">
        <v>80859242</v>
      </c>
      <c r="B373" s="177" t="s">
        <v>249</v>
      </c>
      <c r="C373" s="178" t="s">
        <v>150</v>
      </c>
      <c r="D373" s="177" t="s">
        <v>174</v>
      </c>
      <c r="E373" s="176" t="s">
        <v>145</v>
      </c>
      <c r="F373" s="179">
        <v>45999</v>
      </c>
      <c r="G373" s="177">
        <v>1863</v>
      </c>
      <c r="H373" s="179">
        <v>45985</v>
      </c>
      <c r="I373" s="179" t="s">
        <v>175</v>
      </c>
      <c r="J373" s="83">
        <v>3495904359</v>
      </c>
      <c r="K373" s="179" t="s">
        <v>242</v>
      </c>
      <c r="L373" s="179">
        <v>45985</v>
      </c>
      <c r="M373" s="180">
        <v>45987</v>
      </c>
      <c r="N373" s="181">
        <v>2.8703240999999999</v>
      </c>
      <c r="O373" s="181" t="s">
        <v>147</v>
      </c>
      <c r="P373" s="83" t="s">
        <v>148</v>
      </c>
      <c r="Q373" s="177" t="s">
        <v>149</v>
      </c>
      <c r="R373" s="83"/>
    </row>
    <row r="374" spans="1:18">
      <c r="A374" s="177">
        <v>80859242</v>
      </c>
      <c r="B374" s="177" t="s">
        <v>249</v>
      </c>
      <c r="C374" s="178" t="s">
        <v>151</v>
      </c>
      <c r="D374" s="177" t="s">
        <v>174</v>
      </c>
      <c r="E374" s="176" t="s">
        <v>145</v>
      </c>
      <c r="F374" s="179">
        <v>45999</v>
      </c>
      <c r="G374" s="177">
        <v>2103</v>
      </c>
      <c r="H374" s="179">
        <v>45985</v>
      </c>
      <c r="I374" s="179" t="s">
        <v>175</v>
      </c>
      <c r="J374" s="83">
        <v>3495904360</v>
      </c>
      <c r="K374" s="179" t="s">
        <v>242</v>
      </c>
      <c r="L374" s="179">
        <v>45985</v>
      </c>
      <c r="M374" s="180">
        <v>45987</v>
      </c>
      <c r="N374" s="181">
        <v>3.2400921</v>
      </c>
      <c r="O374" s="181" t="s">
        <v>147</v>
      </c>
      <c r="P374" s="83" t="s">
        <v>148</v>
      </c>
      <c r="Q374" s="177" t="s">
        <v>149</v>
      </c>
      <c r="R374" s="83"/>
    </row>
    <row r="375" spans="1:18">
      <c r="A375" s="177">
        <v>80859242</v>
      </c>
      <c r="B375" s="177" t="s">
        <v>249</v>
      </c>
      <c r="C375" s="178" t="s">
        <v>152</v>
      </c>
      <c r="D375" s="177" t="s">
        <v>174</v>
      </c>
      <c r="E375" s="176" t="s">
        <v>145</v>
      </c>
      <c r="F375" s="179">
        <v>45999</v>
      </c>
      <c r="G375" s="177">
        <v>389</v>
      </c>
      <c r="H375" s="179">
        <v>45985</v>
      </c>
      <c r="I375" s="179" t="s">
        <v>175</v>
      </c>
      <c r="J375" s="83">
        <v>3495904361</v>
      </c>
      <c r="K375" s="179" t="s">
        <v>242</v>
      </c>
      <c r="L375" s="179">
        <v>45985</v>
      </c>
      <c r="M375" s="180">
        <v>45987</v>
      </c>
      <c r="N375" s="181">
        <v>0.59933230000000004</v>
      </c>
      <c r="O375" s="181" t="s">
        <v>147</v>
      </c>
      <c r="P375" s="83" t="s">
        <v>148</v>
      </c>
      <c r="Q375" s="177" t="s">
        <v>149</v>
      </c>
      <c r="R375" s="83"/>
    </row>
    <row r="376" spans="1:18">
      <c r="A376" s="177">
        <v>80859242</v>
      </c>
      <c r="B376" s="177" t="s">
        <v>249</v>
      </c>
      <c r="C376" s="178" t="s">
        <v>153</v>
      </c>
      <c r="D376" s="177" t="s">
        <v>174</v>
      </c>
      <c r="E376" s="176" t="s">
        <v>145</v>
      </c>
      <c r="F376" s="179">
        <v>45999</v>
      </c>
      <c r="G376" s="177">
        <v>480</v>
      </c>
      <c r="H376" s="179">
        <v>45985</v>
      </c>
      <c r="I376" s="179" t="s">
        <v>175</v>
      </c>
      <c r="J376" s="83">
        <v>3495904362</v>
      </c>
      <c r="K376" s="179" t="s">
        <v>242</v>
      </c>
      <c r="L376" s="179">
        <v>45985</v>
      </c>
      <c r="M376" s="180">
        <v>45987</v>
      </c>
      <c r="N376" s="181">
        <v>0.73953599999999997</v>
      </c>
      <c r="O376" s="181" t="s">
        <v>147</v>
      </c>
      <c r="P376" s="83" t="s">
        <v>148</v>
      </c>
      <c r="Q376" s="177" t="s">
        <v>149</v>
      </c>
      <c r="R376" s="83"/>
    </row>
    <row r="377" spans="1:18">
      <c r="A377" s="177">
        <v>80859242</v>
      </c>
      <c r="B377" s="177" t="s">
        <v>249</v>
      </c>
      <c r="C377" s="178" t="s">
        <v>155</v>
      </c>
      <c r="D377" s="177" t="s">
        <v>174</v>
      </c>
      <c r="E377" s="176" t="s">
        <v>145</v>
      </c>
      <c r="F377" s="179">
        <v>45999</v>
      </c>
      <c r="G377" s="177">
        <v>2473</v>
      </c>
      <c r="H377" s="179">
        <v>45985</v>
      </c>
      <c r="I377" s="179" t="s">
        <v>175</v>
      </c>
      <c r="J377" s="83">
        <v>3495904363</v>
      </c>
      <c r="K377" s="179" t="s">
        <v>242</v>
      </c>
      <c r="L377" s="179">
        <v>45985</v>
      </c>
      <c r="M377" s="180">
        <v>45987</v>
      </c>
      <c r="N377" s="181">
        <v>3.8101511000000001</v>
      </c>
      <c r="O377" s="181" t="s">
        <v>147</v>
      </c>
      <c r="P377" s="83" t="s">
        <v>148</v>
      </c>
      <c r="Q377" s="177" t="s">
        <v>149</v>
      </c>
      <c r="R377" s="83"/>
    </row>
    <row r="378" spans="1:18">
      <c r="A378" s="177">
        <v>80859238</v>
      </c>
      <c r="B378" s="177" t="s">
        <v>250</v>
      </c>
      <c r="C378" s="178" t="s">
        <v>150</v>
      </c>
      <c r="D378" s="177" t="s">
        <v>174</v>
      </c>
      <c r="E378" s="176" t="s">
        <v>145</v>
      </c>
      <c r="F378" s="179">
        <v>45999</v>
      </c>
      <c r="G378" s="177">
        <v>2356</v>
      </c>
      <c r="H378" s="179">
        <v>45985</v>
      </c>
      <c r="I378" s="179" t="s">
        <v>175</v>
      </c>
      <c r="J378" s="83">
        <v>3495904364</v>
      </c>
      <c r="K378" s="179" t="s">
        <v>242</v>
      </c>
      <c r="L378" s="179">
        <v>45985</v>
      </c>
      <c r="M378" s="180">
        <v>45987</v>
      </c>
      <c r="N378" s="181">
        <v>3.6298892</v>
      </c>
      <c r="O378" s="181" t="s">
        <v>147</v>
      </c>
      <c r="P378" s="83" t="s">
        <v>148</v>
      </c>
      <c r="Q378" s="177" t="s">
        <v>149</v>
      </c>
      <c r="R378" s="83"/>
    </row>
    <row r="379" spans="1:18">
      <c r="A379" s="177">
        <v>80859238</v>
      </c>
      <c r="B379" s="177" t="s">
        <v>250</v>
      </c>
      <c r="C379" s="178" t="s">
        <v>151</v>
      </c>
      <c r="D379" s="177" t="s">
        <v>174</v>
      </c>
      <c r="E379" s="176" t="s">
        <v>145</v>
      </c>
      <c r="F379" s="179">
        <v>45999</v>
      </c>
      <c r="G379" s="177">
        <v>2518</v>
      </c>
      <c r="H379" s="179">
        <v>45985</v>
      </c>
      <c r="I379" s="179" t="s">
        <v>175</v>
      </c>
      <c r="J379" s="83">
        <v>3495904365</v>
      </c>
      <c r="K379" s="179" t="s">
        <v>242</v>
      </c>
      <c r="L379" s="179">
        <v>45985</v>
      </c>
      <c r="M379" s="180">
        <v>45987</v>
      </c>
      <c r="N379" s="181">
        <v>3.8794825999999998</v>
      </c>
      <c r="O379" s="181" t="s">
        <v>147</v>
      </c>
      <c r="P379" s="83" t="s">
        <v>148</v>
      </c>
      <c r="Q379" s="177" t="s">
        <v>149</v>
      </c>
      <c r="R379" s="83"/>
    </row>
    <row r="380" spans="1:18">
      <c r="A380" s="177">
        <v>80859238</v>
      </c>
      <c r="B380" s="177" t="s">
        <v>250</v>
      </c>
      <c r="C380" s="178" t="s">
        <v>152</v>
      </c>
      <c r="D380" s="177" t="s">
        <v>174</v>
      </c>
      <c r="E380" s="176" t="s">
        <v>145</v>
      </c>
      <c r="F380" s="179">
        <v>45999</v>
      </c>
      <c r="G380" s="177">
        <v>545</v>
      </c>
      <c r="H380" s="179">
        <v>45985</v>
      </c>
      <c r="I380" s="179" t="s">
        <v>175</v>
      </c>
      <c r="J380" s="83">
        <v>3495904366</v>
      </c>
      <c r="K380" s="179" t="s">
        <v>242</v>
      </c>
      <c r="L380" s="179">
        <v>45985</v>
      </c>
      <c r="M380" s="180">
        <v>45987</v>
      </c>
      <c r="N380" s="181">
        <v>0.83968149999999997</v>
      </c>
      <c r="O380" s="181" t="s">
        <v>147</v>
      </c>
      <c r="P380" s="83" t="s">
        <v>148</v>
      </c>
      <c r="Q380" s="177" t="s">
        <v>149</v>
      </c>
      <c r="R380" s="83"/>
    </row>
    <row r="381" spans="1:18">
      <c r="A381" s="177">
        <v>80859238</v>
      </c>
      <c r="B381" s="177" t="s">
        <v>250</v>
      </c>
      <c r="C381" s="178" t="s">
        <v>153</v>
      </c>
      <c r="D381" s="177" t="s">
        <v>174</v>
      </c>
      <c r="E381" s="176" t="s">
        <v>145</v>
      </c>
      <c r="F381" s="179">
        <v>45999</v>
      </c>
      <c r="G381" s="177">
        <v>643</v>
      </c>
      <c r="H381" s="179">
        <v>45985</v>
      </c>
      <c r="I381" s="179" t="s">
        <v>175</v>
      </c>
      <c r="J381" s="83">
        <v>3495904367</v>
      </c>
      <c r="K381" s="179" t="s">
        <v>242</v>
      </c>
      <c r="L381" s="179">
        <v>45985</v>
      </c>
      <c r="M381" s="180">
        <v>45987</v>
      </c>
      <c r="N381" s="181">
        <v>0.9906701</v>
      </c>
      <c r="O381" s="181" t="s">
        <v>147</v>
      </c>
      <c r="P381" s="83" t="s">
        <v>148</v>
      </c>
      <c r="Q381" s="177" t="s">
        <v>149</v>
      </c>
      <c r="R381" s="83"/>
    </row>
    <row r="382" spans="1:18">
      <c r="A382" s="177">
        <v>80859238</v>
      </c>
      <c r="B382" s="177" t="s">
        <v>250</v>
      </c>
      <c r="C382" s="178" t="s">
        <v>155</v>
      </c>
      <c r="D382" s="177" t="s">
        <v>174</v>
      </c>
      <c r="E382" s="176" t="s">
        <v>145</v>
      </c>
      <c r="F382" s="179">
        <v>45999</v>
      </c>
      <c r="G382" s="177">
        <v>2174</v>
      </c>
      <c r="H382" s="179">
        <v>45985</v>
      </c>
      <c r="I382" s="179" t="s">
        <v>175</v>
      </c>
      <c r="J382" s="83">
        <v>3495904368</v>
      </c>
      <c r="K382" s="179" t="s">
        <v>242</v>
      </c>
      <c r="L382" s="179">
        <v>45985</v>
      </c>
      <c r="M382" s="180">
        <v>45987</v>
      </c>
      <c r="N382" s="181">
        <v>3.3494818</v>
      </c>
      <c r="O382" s="181" t="s">
        <v>147</v>
      </c>
      <c r="P382" s="83" t="s">
        <v>148</v>
      </c>
      <c r="Q382" s="177" t="s">
        <v>149</v>
      </c>
      <c r="R382" s="83"/>
    </row>
    <row r="383" spans="1:18">
      <c r="A383" s="177">
        <v>80814089</v>
      </c>
      <c r="B383" s="177" t="s">
        <v>251</v>
      </c>
      <c r="C383" s="178" t="s">
        <v>155</v>
      </c>
      <c r="D383" s="177" t="s">
        <v>252</v>
      </c>
      <c r="E383" s="177" t="s">
        <v>205</v>
      </c>
      <c r="F383" s="179">
        <v>45989</v>
      </c>
      <c r="G383" s="177">
        <v>405</v>
      </c>
      <c r="H383" s="179">
        <v>45986</v>
      </c>
      <c r="I383" s="179" t="s">
        <v>253</v>
      </c>
      <c r="J383" s="83">
        <v>3496601457</v>
      </c>
      <c r="K383" s="179"/>
      <c r="L383" s="179">
        <v>45986</v>
      </c>
      <c r="M383" s="180">
        <v>45992</v>
      </c>
      <c r="N383" s="181">
        <v>0.73406249999999995</v>
      </c>
      <c r="O383" s="181" t="s">
        <v>170</v>
      </c>
      <c r="P383" s="83" t="s">
        <v>148</v>
      </c>
      <c r="Q383" s="177" t="s">
        <v>149</v>
      </c>
      <c r="R383" s="83"/>
    </row>
    <row r="384" spans="1:18">
      <c r="A384" s="177">
        <v>80814098</v>
      </c>
      <c r="B384" s="177" t="s">
        <v>254</v>
      </c>
      <c r="C384" s="178" t="s">
        <v>155</v>
      </c>
      <c r="D384" s="177" t="s">
        <v>252</v>
      </c>
      <c r="E384" s="177" t="s">
        <v>205</v>
      </c>
      <c r="F384" s="179">
        <v>45989</v>
      </c>
      <c r="G384" s="177">
        <v>405</v>
      </c>
      <c r="H384" s="179">
        <v>45986</v>
      </c>
      <c r="I384" s="179" t="s">
        <v>253</v>
      </c>
      <c r="J384" s="83">
        <v>3496601638</v>
      </c>
      <c r="K384" s="179"/>
      <c r="L384" s="179">
        <v>45986</v>
      </c>
      <c r="M384" s="180">
        <v>45992</v>
      </c>
      <c r="N384" s="181">
        <v>0.73406249999999995</v>
      </c>
      <c r="O384" s="181" t="s">
        <v>170</v>
      </c>
      <c r="P384" s="83" t="s">
        <v>148</v>
      </c>
      <c r="Q384" s="177" t="s">
        <v>149</v>
      </c>
      <c r="R384" s="83"/>
    </row>
    <row r="385" spans="1:18">
      <c r="A385" s="177">
        <v>80814097</v>
      </c>
      <c r="B385" s="177" t="s">
        <v>255</v>
      </c>
      <c r="C385" s="178" t="s">
        <v>155</v>
      </c>
      <c r="D385" s="177" t="s">
        <v>252</v>
      </c>
      <c r="E385" s="177" t="s">
        <v>205</v>
      </c>
      <c r="F385" s="179">
        <v>45989</v>
      </c>
      <c r="G385" s="177">
        <v>405</v>
      </c>
      <c r="H385" s="179">
        <v>45986</v>
      </c>
      <c r="I385" s="179" t="s">
        <v>253</v>
      </c>
      <c r="J385" s="83">
        <v>3496601639</v>
      </c>
      <c r="K385" s="179"/>
      <c r="L385" s="179">
        <v>45986</v>
      </c>
      <c r="M385" s="180">
        <v>45992</v>
      </c>
      <c r="N385" s="181">
        <v>0.73406249999999995</v>
      </c>
      <c r="O385" s="181" t="s">
        <v>170</v>
      </c>
      <c r="P385" s="83" t="s">
        <v>148</v>
      </c>
      <c r="Q385" s="177" t="s">
        <v>149</v>
      </c>
      <c r="R385" s="83"/>
    </row>
    <row r="386" spans="1:18">
      <c r="A386" s="177">
        <v>80814081</v>
      </c>
      <c r="B386" s="177" t="s">
        <v>256</v>
      </c>
      <c r="C386" s="178" t="s">
        <v>155</v>
      </c>
      <c r="D386" s="177" t="s">
        <v>252</v>
      </c>
      <c r="E386" s="177" t="s">
        <v>205</v>
      </c>
      <c r="F386" s="179">
        <v>45989</v>
      </c>
      <c r="G386" s="177">
        <v>405</v>
      </c>
      <c r="H386" s="179">
        <v>45986</v>
      </c>
      <c r="I386" s="179" t="s">
        <v>253</v>
      </c>
      <c r="J386" s="83">
        <v>3496601640</v>
      </c>
      <c r="K386" s="179"/>
      <c r="L386" s="179">
        <v>45986</v>
      </c>
      <c r="M386" s="180">
        <v>45992</v>
      </c>
      <c r="N386" s="181">
        <v>0.73406249999999995</v>
      </c>
      <c r="O386" s="181" t="s">
        <v>170</v>
      </c>
      <c r="P386" s="83" t="s">
        <v>148</v>
      </c>
      <c r="Q386" s="177" t="s">
        <v>149</v>
      </c>
      <c r="R386" s="83"/>
    </row>
    <row r="387" spans="1:18">
      <c r="A387" s="177">
        <v>80815648</v>
      </c>
      <c r="B387" s="177" t="s">
        <v>257</v>
      </c>
      <c r="C387" s="178" t="s">
        <v>155</v>
      </c>
      <c r="D387" s="177" t="s">
        <v>252</v>
      </c>
      <c r="E387" s="177" t="s">
        <v>205</v>
      </c>
      <c r="F387" s="179">
        <v>45989</v>
      </c>
      <c r="G387" s="177">
        <v>753</v>
      </c>
      <c r="H387" s="179">
        <v>45986</v>
      </c>
      <c r="I387" s="179" t="s">
        <v>253</v>
      </c>
      <c r="J387" s="83">
        <v>3496601641</v>
      </c>
      <c r="K387" s="179"/>
      <c r="L387" s="179">
        <v>45986</v>
      </c>
      <c r="M387" s="180">
        <v>45992</v>
      </c>
      <c r="N387" s="181">
        <v>1.4672205</v>
      </c>
      <c r="O387" s="181" t="s">
        <v>170</v>
      </c>
      <c r="P387" s="83" t="s">
        <v>148</v>
      </c>
      <c r="Q387" s="177" t="s">
        <v>149</v>
      </c>
      <c r="R387" s="83"/>
    </row>
    <row r="388" spans="1:18">
      <c r="A388" s="177">
        <v>80815643</v>
      </c>
      <c r="B388" s="177" t="s">
        <v>258</v>
      </c>
      <c r="C388" s="178" t="s">
        <v>155</v>
      </c>
      <c r="D388" s="177" t="s">
        <v>252</v>
      </c>
      <c r="E388" s="177" t="s">
        <v>205</v>
      </c>
      <c r="F388" s="179">
        <v>45989</v>
      </c>
      <c r="G388" s="177">
        <v>753</v>
      </c>
      <c r="H388" s="179">
        <v>45986</v>
      </c>
      <c r="I388" s="179" t="s">
        <v>253</v>
      </c>
      <c r="J388" s="83">
        <v>3496601644</v>
      </c>
      <c r="K388" s="179"/>
      <c r="L388" s="179">
        <v>45986</v>
      </c>
      <c r="M388" s="180">
        <v>45992</v>
      </c>
      <c r="N388" s="181">
        <v>1.4672205</v>
      </c>
      <c r="O388" s="181" t="s">
        <v>170</v>
      </c>
      <c r="P388" s="83" t="s">
        <v>148</v>
      </c>
      <c r="Q388" s="177" t="s">
        <v>149</v>
      </c>
      <c r="R388" s="83"/>
    </row>
    <row r="389" spans="1:18">
      <c r="A389" s="177">
        <v>80815642</v>
      </c>
      <c r="B389" s="177" t="s">
        <v>259</v>
      </c>
      <c r="C389" s="178" t="s">
        <v>155</v>
      </c>
      <c r="D389" s="177" t="s">
        <v>252</v>
      </c>
      <c r="E389" s="177" t="s">
        <v>205</v>
      </c>
      <c r="F389" s="179">
        <v>45989</v>
      </c>
      <c r="G389" s="177">
        <v>753</v>
      </c>
      <c r="H389" s="179">
        <v>45986</v>
      </c>
      <c r="I389" s="179" t="s">
        <v>253</v>
      </c>
      <c r="J389" s="83">
        <v>3496601645</v>
      </c>
      <c r="K389" s="179"/>
      <c r="L389" s="179">
        <v>45986</v>
      </c>
      <c r="M389" s="180">
        <v>45992</v>
      </c>
      <c r="N389" s="181">
        <v>1.4672205</v>
      </c>
      <c r="O389" s="181" t="s">
        <v>170</v>
      </c>
      <c r="P389" s="83" t="s">
        <v>148</v>
      </c>
      <c r="Q389" s="177" t="s">
        <v>149</v>
      </c>
      <c r="R389" s="83"/>
    </row>
    <row r="390" spans="1:18">
      <c r="A390" s="177">
        <v>80815644</v>
      </c>
      <c r="B390" s="177" t="s">
        <v>260</v>
      </c>
      <c r="C390" s="178" t="s">
        <v>155</v>
      </c>
      <c r="D390" s="177" t="s">
        <v>252</v>
      </c>
      <c r="E390" s="177" t="s">
        <v>205</v>
      </c>
      <c r="F390" s="179">
        <v>45989</v>
      </c>
      <c r="G390" s="177">
        <v>377</v>
      </c>
      <c r="H390" s="179">
        <v>45986</v>
      </c>
      <c r="I390" s="179" t="s">
        <v>253</v>
      </c>
      <c r="J390" s="83">
        <v>3496601646</v>
      </c>
      <c r="K390" s="179"/>
      <c r="L390" s="179">
        <v>45986</v>
      </c>
      <c r="M390" s="180">
        <v>45992</v>
      </c>
      <c r="N390" s="181">
        <v>0.73458449999999997</v>
      </c>
      <c r="O390" s="181" t="s">
        <v>170</v>
      </c>
      <c r="P390" s="83" t="s">
        <v>148</v>
      </c>
      <c r="Q390" s="177" t="s">
        <v>149</v>
      </c>
      <c r="R390" s="83"/>
    </row>
    <row r="391" spans="1:18">
      <c r="A391" s="177">
        <v>80815645</v>
      </c>
      <c r="B391" s="177" t="s">
        <v>261</v>
      </c>
      <c r="C391" s="178" t="s">
        <v>155</v>
      </c>
      <c r="D391" s="177" t="s">
        <v>252</v>
      </c>
      <c r="E391" s="177" t="s">
        <v>205</v>
      </c>
      <c r="F391" s="179">
        <v>45989</v>
      </c>
      <c r="G391" s="177">
        <v>753</v>
      </c>
      <c r="H391" s="179">
        <v>45986</v>
      </c>
      <c r="I391" s="179" t="s">
        <v>253</v>
      </c>
      <c r="J391" s="83">
        <v>3496601647</v>
      </c>
      <c r="K391" s="179"/>
      <c r="L391" s="179">
        <v>45986</v>
      </c>
      <c r="M391" s="180">
        <v>45992</v>
      </c>
      <c r="N391" s="181">
        <v>1.4672205</v>
      </c>
      <c r="O391" s="181" t="s">
        <v>170</v>
      </c>
      <c r="P391" s="83" t="s">
        <v>148</v>
      </c>
      <c r="Q391" s="177" t="s">
        <v>149</v>
      </c>
      <c r="R391" s="83"/>
    </row>
    <row r="392" spans="1:18">
      <c r="A392" s="177">
        <v>80815647</v>
      </c>
      <c r="B392" s="177" t="s">
        <v>262</v>
      </c>
      <c r="C392" s="178" t="s">
        <v>155</v>
      </c>
      <c r="D392" s="177" t="s">
        <v>252</v>
      </c>
      <c r="E392" s="177" t="s">
        <v>205</v>
      </c>
      <c r="F392" s="179">
        <v>45989</v>
      </c>
      <c r="G392" s="177">
        <v>377</v>
      </c>
      <c r="H392" s="179">
        <v>45986</v>
      </c>
      <c r="I392" s="179" t="s">
        <v>253</v>
      </c>
      <c r="J392" s="83">
        <v>3496601648</v>
      </c>
      <c r="K392" s="179"/>
      <c r="L392" s="179">
        <v>45986</v>
      </c>
      <c r="M392" s="180">
        <v>45992</v>
      </c>
      <c r="N392" s="181">
        <v>0.73458449999999997</v>
      </c>
      <c r="O392" s="181" t="s">
        <v>170</v>
      </c>
      <c r="P392" s="83" t="s">
        <v>148</v>
      </c>
      <c r="Q392" s="177" t="s">
        <v>149</v>
      </c>
      <c r="R392" s="83"/>
    </row>
    <row r="393" spans="1:18">
      <c r="A393" s="177">
        <v>80813610</v>
      </c>
      <c r="B393" s="177" t="s">
        <v>263</v>
      </c>
      <c r="C393" s="178" t="s">
        <v>155</v>
      </c>
      <c r="D393" s="177" t="s">
        <v>252</v>
      </c>
      <c r="E393" s="177" t="s">
        <v>205</v>
      </c>
      <c r="F393" s="179">
        <v>45989</v>
      </c>
      <c r="G393" s="177">
        <v>405</v>
      </c>
      <c r="H393" s="179">
        <v>45986</v>
      </c>
      <c r="I393" s="179" t="s">
        <v>253</v>
      </c>
      <c r="J393" s="83">
        <v>3496601649</v>
      </c>
      <c r="K393" s="179"/>
      <c r="L393" s="179">
        <v>45986</v>
      </c>
      <c r="M393" s="180">
        <v>45992</v>
      </c>
      <c r="N393" s="181">
        <v>0.73410299999999995</v>
      </c>
      <c r="O393" s="181" t="s">
        <v>170</v>
      </c>
      <c r="P393" s="83" t="s">
        <v>148</v>
      </c>
      <c r="Q393" s="177" t="s">
        <v>149</v>
      </c>
      <c r="R393" s="83"/>
    </row>
    <row r="394" spans="1:18">
      <c r="A394" s="177">
        <v>80813619</v>
      </c>
      <c r="B394" s="177" t="s">
        <v>264</v>
      </c>
      <c r="C394" s="178" t="s">
        <v>155</v>
      </c>
      <c r="D394" s="177" t="s">
        <v>252</v>
      </c>
      <c r="E394" s="177" t="s">
        <v>205</v>
      </c>
      <c r="F394" s="179">
        <v>45989</v>
      </c>
      <c r="G394" s="177">
        <v>405</v>
      </c>
      <c r="H394" s="179">
        <v>45986</v>
      </c>
      <c r="I394" s="179" t="s">
        <v>253</v>
      </c>
      <c r="J394" s="83">
        <v>3496601650</v>
      </c>
      <c r="K394" s="179"/>
      <c r="L394" s="179">
        <v>45986</v>
      </c>
      <c r="M394" s="180">
        <v>45992</v>
      </c>
      <c r="N394" s="181">
        <v>0.73410299999999995</v>
      </c>
      <c r="O394" s="181" t="s">
        <v>170</v>
      </c>
      <c r="P394" s="83" t="s">
        <v>148</v>
      </c>
      <c r="Q394" s="177" t="s">
        <v>149</v>
      </c>
      <c r="R394" s="83"/>
    </row>
    <row r="395" spans="1:18">
      <c r="A395" s="177">
        <v>80813615</v>
      </c>
      <c r="B395" s="177" t="s">
        <v>265</v>
      </c>
      <c r="C395" s="178" t="s">
        <v>155</v>
      </c>
      <c r="D395" s="177" t="s">
        <v>252</v>
      </c>
      <c r="E395" s="177" t="s">
        <v>205</v>
      </c>
      <c r="F395" s="179">
        <v>45989</v>
      </c>
      <c r="G395" s="177">
        <v>405</v>
      </c>
      <c r="H395" s="179">
        <v>45986</v>
      </c>
      <c r="I395" s="179" t="s">
        <v>253</v>
      </c>
      <c r="J395" s="83">
        <v>3496601651</v>
      </c>
      <c r="K395" s="179"/>
      <c r="L395" s="179">
        <v>45986</v>
      </c>
      <c r="M395" s="180">
        <v>45992</v>
      </c>
      <c r="N395" s="181">
        <v>0.73410299999999995</v>
      </c>
      <c r="O395" s="181" t="s">
        <v>170</v>
      </c>
      <c r="P395" s="83" t="s">
        <v>148</v>
      </c>
      <c r="Q395" s="177" t="s">
        <v>149</v>
      </c>
      <c r="R395" s="83"/>
    </row>
    <row r="396" spans="1:18">
      <c r="A396" s="177">
        <v>80813637</v>
      </c>
      <c r="B396" s="177" t="s">
        <v>266</v>
      </c>
      <c r="C396" s="178" t="s">
        <v>155</v>
      </c>
      <c r="D396" s="177" t="s">
        <v>252</v>
      </c>
      <c r="E396" s="177" t="s">
        <v>205</v>
      </c>
      <c r="F396" s="179">
        <v>45989</v>
      </c>
      <c r="G396" s="177">
        <v>405</v>
      </c>
      <c r="H396" s="179">
        <v>45986</v>
      </c>
      <c r="I396" s="179" t="s">
        <v>253</v>
      </c>
      <c r="J396" s="83">
        <v>3496601652</v>
      </c>
      <c r="K396" s="179"/>
      <c r="L396" s="179">
        <v>45986</v>
      </c>
      <c r="M396" s="180">
        <v>45992</v>
      </c>
      <c r="N396" s="181">
        <v>0.73410299999999995</v>
      </c>
      <c r="O396" s="181" t="s">
        <v>170</v>
      </c>
      <c r="P396" s="83" t="s">
        <v>148</v>
      </c>
      <c r="Q396" s="177" t="s">
        <v>149</v>
      </c>
      <c r="R396" s="83"/>
    </row>
    <row r="397" spans="1:18">
      <c r="A397" s="177">
        <v>80813617</v>
      </c>
      <c r="B397" s="177" t="s">
        <v>267</v>
      </c>
      <c r="C397" s="178" t="s">
        <v>155</v>
      </c>
      <c r="D397" s="177" t="s">
        <v>252</v>
      </c>
      <c r="E397" s="177" t="s">
        <v>205</v>
      </c>
      <c r="F397" s="179">
        <v>45989</v>
      </c>
      <c r="G397" s="177">
        <v>405</v>
      </c>
      <c r="H397" s="179">
        <v>45986</v>
      </c>
      <c r="I397" s="179" t="s">
        <v>253</v>
      </c>
      <c r="J397" s="83">
        <v>3496601653</v>
      </c>
      <c r="K397" s="179"/>
      <c r="L397" s="179">
        <v>45986</v>
      </c>
      <c r="M397" s="180">
        <v>45992</v>
      </c>
      <c r="N397" s="181">
        <v>0.73410299999999995</v>
      </c>
      <c r="O397" s="181" t="s">
        <v>170</v>
      </c>
      <c r="P397" s="83" t="s">
        <v>148</v>
      </c>
      <c r="Q397" s="177" t="s">
        <v>149</v>
      </c>
      <c r="R397" s="83"/>
    </row>
    <row r="398" spans="1:18">
      <c r="A398" s="177">
        <v>80813629</v>
      </c>
      <c r="B398" s="177" t="s">
        <v>268</v>
      </c>
      <c r="C398" s="178" t="s">
        <v>155</v>
      </c>
      <c r="D398" s="177" t="s">
        <v>252</v>
      </c>
      <c r="E398" s="177" t="s">
        <v>205</v>
      </c>
      <c r="F398" s="179">
        <v>45989</v>
      </c>
      <c r="G398" s="177">
        <v>405</v>
      </c>
      <c r="H398" s="179">
        <v>45986</v>
      </c>
      <c r="I398" s="179" t="s">
        <v>253</v>
      </c>
      <c r="J398" s="83">
        <v>3496601654</v>
      </c>
      <c r="K398" s="179"/>
      <c r="L398" s="179">
        <v>45986</v>
      </c>
      <c r="M398" s="180">
        <v>45992</v>
      </c>
      <c r="N398" s="181">
        <v>0.73410299999999995</v>
      </c>
      <c r="O398" s="181" t="s">
        <v>170</v>
      </c>
      <c r="P398" s="83" t="s">
        <v>148</v>
      </c>
      <c r="Q398" s="177" t="s">
        <v>149</v>
      </c>
      <c r="R398" s="83"/>
    </row>
    <row r="399" spans="1:18">
      <c r="A399" s="177">
        <v>80820462</v>
      </c>
      <c r="B399" s="177" t="s">
        <v>269</v>
      </c>
      <c r="C399" s="178" t="s">
        <v>155</v>
      </c>
      <c r="D399" s="177" t="s">
        <v>252</v>
      </c>
      <c r="E399" s="177" t="s">
        <v>205</v>
      </c>
      <c r="F399" s="179">
        <v>45989</v>
      </c>
      <c r="G399" s="177">
        <v>810</v>
      </c>
      <c r="H399" s="179">
        <v>45986</v>
      </c>
      <c r="I399" s="179" t="s">
        <v>253</v>
      </c>
      <c r="J399" s="83">
        <v>3496601655</v>
      </c>
      <c r="K399" s="179" t="s">
        <v>270</v>
      </c>
      <c r="L399" s="179">
        <v>45986</v>
      </c>
      <c r="M399" s="180">
        <v>45987</v>
      </c>
      <c r="N399" s="181">
        <v>1.4682059999999999</v>
      </c>
      <c r="O399" s="181" t="s">
        <v>170</v>
      </c>
      <c r="P399" s="83" t="s">
        <v>148</v>
      </c>
      <c r="Q399" s="177" t="s">
        <v>149</v>
      </c>
      <c r="R399" s="83"/>
    </row>
    <row r="400" spans="1:18">
      <c r="A400" s="177">
        <v>80820459</v>
      </c>
      <c r="B400" s="177" t="s">
        <v>271</v>
      </c>
      <c r="C400" s="178" t="s">
        <v>155</v>
      </c>
      <c r="D400" s="177" t="s">
        <v>252</v>
      </c>
      <c r="E400" s="177" t="s">
        <v>205</v>
      </c>
      <c r="F400" s="179">
        <v>45989</v>
      </c>
      <c r="G400" s="177">
        <v>405</v>
      </c>
      <c r="H400" s="179">
        <v>45986</v>
      </c>
      <c r="I400" s="179" t="s">
        <v>253</v>
      </c>
      <c r="J400" s="83">
        <v>3496601656</v>
      </c>
      <c r="K400" s="179" t="s">
        <v>270</v>
      </c>
      <c r="L400" s="179">
        <v>45986</v>
      </c>
      <c r="M400" s="180">
        <v>45987</v>
      </c>
      <c r="N400" s="181">
        <v>0.73410299999999995</v>
      </c>
      <c r="O400" s="181" t="s">
        <v>170</v>
      </c>
      <c r="P400" s="83" t="s">
        <v>148</v>
      </c>
      <c r="Q400" s="177" t="s">
        <v>149</v>
      </c>
      <c r="R400" s="83"/>
    </row>
    <row r="401" spans="1:18">
      <c r="A401" s="177">
        <v>80820464</v>
      </c>
      <c r="B401" s="177" t="s">
        <v>272</v>
      </c>
      <c r="C401" s="178" t="s">
        <v>155</v>
      </c>
      <c r="D401" s="177" t="s">
        <v>252</v>
      </c>
      <c r="E401" s="177" t="s">
        <v>205</v>
      </c>
      <c r="F401" s="179">
        <v>45989</v>
      </c>
      <c r="G401" s="177">
        <v>405</v>
      </c>
      <c r="H401" s="179">
        <v>45986</v>
      </c>
      <c r="I401" s="179" t="s">
        <v>253</v>
      </c>
      <c r="J401" s="83">
        <v>3496601657</v>
      </c>
      <c r="K401" s="179" t="s">
        <v>270</v>
      </c>
      <c r="L401" s="179">
        <v>45986</v>
      </c>
      <c r="M401" s="180">
        <v>45987</v>
      </c>
      <c r="N401" s="181">
        <v>0.73410299999999995</v>
      </c>
      <c r="O401" s="181" t="s">
        <v>170</v>
      </c>
      <c r="P401" s="83" t="s">
        <v>148</v>
      </c>
      <c r="Q401" s="177" t="s">
        <v>149</v>
      </c>
      <c r="R401" s="83"/>
    </row>
    <row r="402" spans="1:18">
      <c r="A402" s="177">
        <v>80820469</v>
      </c>
      <c r="B402" s="177" t="s">
        <v>273</v>
      </c>
      <c r="C402" s="178" t="s">
        <v>155</v>
      </c>
      <c r="D402" s="177" t="s">
        <v>252</v>
      </c>
      <c r="E402" s="177" t="s">
        <v>205</v>
      </c>
      <c r="F402" s="179">
        <v>45989</v>
      </c>
      <c r="G402" s="177">
        <v>810</v>
      </c>
      <c r="H402" s="179">
        <v>45986</v>
      </c>
      <c r="I402" s="179" t="s">
        <v>253</v>
      </c>
      <c r="J402" s="83">
        <v>3496601658</v>
      </c>
      <c r="K402" s="179" t="s">
        <v>270</v>
      </c>
      <c r="L402" s="179">
        <v>45986</v>
      </c>
      <c r="M402" s="180">
        <v>45987</v>
      </c>
      <c r="N402" s="181">
        <v>1.4682059999999999</v>
      </c>
      <c r="O402" s="181" t="s">
        <v>170</v>
      </c>
      <c r="P402" s="83" t="s">
        <v>148</v>
      </c>
      <c r="Q402" s="177" t="s">
        <v>149</v>
      </c>
      <c r="R402" s="83"/>
    </row>
    <row r="403" spans="1:18">
      <c r="A403" s="177">
        <v>80814089</v>
      </c>
      <c r="B403" s="177" t="s">
        <v>251</v>
      </c>
      <c r="C403" s="178" t="s">
        <v>151</v>
      </c>
      <c r="D403" s="177" t="s">
        <v>252</v>
      </c>
      <c r="E403" s="177" t="s">
        <v>205</v>
      </c>
      <c r="F403" s="179">
        <v>45989</v>
      </c>
      <c r="G403" s="177">
        <v>405</v>
      </c>
      <c r="H403" s="179">
        <v>45986</v>
      </c>
      <c r="I403" s="179" t="s">
        <v>253</v>
      </c>
      <c r="J403" s="83">
        <v>3496601659</v>
      </c>
      <c r="K403" s="179" t="s">
        <v>274</v>
      </c>
      <c r="L403" s="179">
        <v>45986</v>
      </c>
      <c r="M403" s="180">
        <v>45992</v>
      </c>
      <c r="N403" s="181">
        <v>0.73406249999999995</v>
      </c>
      <c r="O403" s="181" t="s">
        <v>170</v>
      </c>
      <c r="P403" s="83" t="s">
        <v>148</v>
      </c>
      <c r="Q403" s="177" t="s">
        <v>149</v>
      </c>
      <c r="R403" s="83"/>
    </row>
    <row r="404" spans="1:18">
      <c r="A404" s="177">
        <v>80814098</v>
      </c>
      <c r="B404" s="177" t="s">
        <v>254</v>
      </c>
      <c r="C404" s="178" t="s">
        <v>151</v>
      </c>
      <c r="D404" s="177" t="s">
        <v>252</v>
      </c>
      <c r="E404" s="177" t="s">
        <v>205</v>
      </c>
      <c r="F404" s="179">
        <v>45989</v>
      </c>
      <c r="G404" s="177">
        <v>405</v>
      </c>
      <c r="H404" s="179">
        <v>45986</v>
      </c>
      <c r="I404" s="179" t="s">
        <v>253</v>
      </c>
      <c r="J404" s="83">
        <v>3496601660</v>
      </c>
      <c r="K404" s="179" t="s">
        <v>274</v>
      </c>
      <c r="L404" s="179">
        <v>45986</v>
      </c>
      <c r="M404" s="180">
        <v>45992</v>
      </c>
      <c r="N404" s="181">
        <v>0.73406249999999995</v>
      </c>
      <c r="O404" s="181" t="s">
        <v>170</v>
      </c>
      <c r="P404" s="83" t="s">
        <v>148</v>
      </c>
      <c r="Q404" s="177" t="s">
        <v>149</v>
      </c>
      <c r="R404" s="83"/>
    </row>
    <row r="405" spans="1:18">
      <c r="A405" s="177">
        <v>80814097</v>
      </c>
      <c r="B405" s="177" t="s">
        <v>255</v>
      </c>
      <c r="C405" s="178" t="s">
        <v>151</v>
      </c>
      <c r="D405" s="177" t="s">
        <v>252</v>
      </c>
      <c r="E405" s="177" t="s">
        <v>205</v>
      </c>
      <c r="F405" s="179">
        <v>45989</v>
      </c>
      <c r="G405" s="177">
        <v>405</v>
      </c>
      <c r="H405" s="179">
        <v>45986</v>
      </c>
      <c r="I405" s="179" t="s">
        <v>253</v>
      </c>
      <c r="J405" s="83">
        <v>3496601661</v>
      </c>
      <c r="K405" s="179" t="s">
        <v>274</v>
      </c>
      <c r="L405" s="179">
        <v>45986</v>
      </c>
      <c r="M405" s="180">
        <v>45992</v>
      </c>
      <c r="N405" s="181">
        <v>0.73406249999999995</v>
      </c>
      <c r="O405" s="181" t="s">
        <v>170</v>
      </c>
      <c r="P405" s="83" t="s">
        <v>148</v>
      </c>
      <c r="Q405" s="177" t="s">
        <v>149</v>
      </c>
      <c r="R405" s="83"/>
    </row>
    <row r="406" spans="1:18">
      <c r="A406" s="177">
        <v>80814081</v>
      </c>
      <c r="B406" s="177" t="s">
        <v>256</v>
      </c>
      <c r="C406" s="178" t="s">
        <v>151</v>
      </c>
      <c r="D406" s="177" t="s">
        <v>252</v>
      </c>
      <c r="E406" s="177" t="s">
        <v>205</v>
      </c>
      <c r="F406" s="179">
        <v>45989</v>
      </c>
      <c r="G406" s="177">
        <v>405</v>
      </c>
      <c r="H406" s="179">
        <v>45986</v>
      </c>
      <c r="I406" s="179" t="s">
        <v>253</v>
      </c>
      <c r="J406" s="83">
        <v>3496601662</v>
      </c>
      <c r="K406" s="179" t="s">
        <v>274</v>
      </c>
      <c r="L406" s="179">
        <v>45986</v>
      </c>
      <c r="M406" s="180">
        <v>45992</v>
      </c>
      <c r="N406" s="181">
        <v>0.73406249999999995</v>
      </c>
      <c r="O406" s="181" t="s">
        <v>170</v>
      </c>
      <c r="P406" s="83" t="s">
        <v>148</v>
      </c>
      <c r="Q406" s="177" t="s">
        <v>149</v>
      </c>
      <c r="R406" s="83"/>
    </row>
    <row r="407" spans="1:18">
      <c r="A407" s="177">
        <v>80815648</v>
      </c>
      <c r="B407" s="177" t="s">
        <v>257</v>
      </c>
      <c r="C407" s="178" t="s">
        <v>151</v>
      </c>
      <c r="D407" s="177" t="s">
        <v>252</v>
      </c>
      <c r="E407" s="177" t="s">
        <v>205</v>
      </c>
      <c r="F407" s="179">
        <v>45989</v>
      </c>
      <c r="G407" s="177">
        <v>753</v>
      </c>
      <c r="H407" s="179">
        <v>45986</v>
      </c>
      <c r="I407" s="179" t="s">
        <v>253</v>
      </c>
      <c r="J407" s="83">
        <v>3496601663</v>
      </c>
      <c r="K407" s="179" t="s">
        <v>274</v>
      </c>
      <c r="L407" s="179">
        <v>45986</v>
      </c>
      <c r="M407" s="180">
        <v>45992</v>
      </c>
      <c r="N407" s="181">
        <v>1.4672205</v>
      </c>
      <c r="O407" s="181" t="s">
        <v>170</v>
      </c>
      <c r="P407" s="83" t="s">
        <v>148</v>
      </c>
      <c r="Q407" s="177" t="s">
        <v>149</v>
      </c>
      <c r="R407" s="83"/>
    </row>
    <row r="408" spans="1:18">
      <c r="A408" s="177">
        <v>80815643</v>
      </c>
      <c r="B408" s="177" t="s">
        <v>258</v>
      </c>
      <c r="C408" s="178" t="s">
        <v>151</v>
      </c>
      <c r="D408" s="177" t="s">
        <v>252</v>
      </c>
      <c r="E408" s="177" t="s">
        <v>205</v>
      </c>
      <c r="F408" s="179">
        <v>45989</v>
      </c>
      <c r="G408" s="177">
        <v>753</v>
      </c>
      <c r="H408" s="179">
        <v>45986</v>
      </c>
      <c r="I408" s="179" t="s">
        <v>253</v>
      </c>
      <c r="J408" s="83">
        <v>3496601664</v>
      </c>
      <c r="K408" s="179" t="s">
        <v>274</v>
      </c>
      <c r="L408" s="179">
        <v>45986</v>
      </c>
      <c r="M408" s="180">
        <v>45992</v>
      </c>
      <c r="N408" s="181">
        <v>1.4672205</v>
      </c>
      <c r="O408" s="181" t="s">
        <v>170</v>
      </c>
      <c r="P408" s="83" t="s">
        <v>148</v>
      </c>
      <c r="Q408" s="177" t="s">
        <v>149</v>
      </c>
      <c r="R408" s="83"/>
    </row>
    <row r="409" spans="1:18">
      <c r="A409" s="177">
        <v>80815642</v>
      </c>
      <c r="B409" s="177" t="s">
        <v>259</v>
      </c>
      <c r="C409" s="178" t="s">
        <v>151</v>
      </c>
      <c r="D409" s="177" t="s">
        <v>252</v>
      </c>
      <c r="E409" s="177" t="s">
        <v>205</v>
      </c>
      <c r="F409" s="179">
        <v>45989</v>
      </c>
      <c r="G409" s="177">
        <v>753</v>
      </c>
      <c r="H409" s="179">
        <v>45986</v>
      </c>
      <c r="I409" s="179" t="s">
        <v>253</v>
      </c>
      <c r="J409" s="83">
        <v>3496601665</v>
      </c>
      <c r="K409" s="179" t="s">
        <v>274</v>
      </c>
      <c r="L409" s="179">
        <v>45986</v>
      </c>
      <c r="M409" s="180">
        <v>45992</v>
      </c>
      <c r="N409" s="181">
        <v>1.4672205</v>
      </c>
      <c r="O409" s="181" t="s">
        <v>170</v>
      </c>
      <c r="P409" s="83" t="s">
        <v>148</v>
      </c>
      <c r="Q409" s="177" t="s">
        <v>149</v>
      </c>
      <c r="R409" s="83"/>
    </row>
    <row r="410" spans="1:18">
      <c r="A410" s="177">
        <v>80815644</v>
      </c>
      <c r="B410" s="177" t="s">
        <v>260</v>
      </c>
      <c r="C410" s="178" t="s">
        <v>151</v>
      </c>
      <c r="D410" s="177" t="s">
        <v>252</v>
      </c>
      <c r="E410" s="177" t="s">
        <v>205</v>
      </c>
      <c r="F410" s="179">
        <v>45989</v>
      </c>
      <c r="G410" s="177">
        <v>377</v>
      </c>
      <c r="H410" s="179">
        <v>45986</v>
      </c>
      <c r="I410" s="179" t="s">
        <v>253</v>
      </c>
      <c r="J410" s="83">
        <v>3496601666</v>
      </c>
      <c r="K410" s="179" t="s">
        <v>274</v>
      </c>
      <c r="L410" s="179">
        <v>45986</v>
      </c>
      <c r="M410" s="180">
        <v>45992</v>
      </c>
      <c r="N410" s="181">
        <v>0.73458449999999997</v>
      </c>
      <c r="O410" s="181" t="s">
        <v>170</v>
      </c>
      <c r="P410" s="83" t="s">
        <v>148</v>
      </c>
      <c r="Q410" s="177" t="s">
        <v>149</v>
      </c>
      <c r="R410" s="83"/>
    </row>
    <row r="411" spans="1:18">
      <c r="A411" s="177">
        <v>80815645</v>
      </c>
      <c r="B411" s="177" t="s">
        <v>261</v>
      </c>
      <c r="C411" s="178" t="s">
        <v>151</v>
      </c>
      <c r="D411" s="177" t="s">
        <v>252</v>
      </c>
      <c r="E411" s="177" t="s">
        <v>205</v>
      </c>
      <c r="F411" s="179">
        <v>45989</v>
      </c>
      <c r="G411" s="177">
        <v>753</v>
      </c>
      <c r="H411" s="179">
        <v>45986</v>
      </c>
      <c r="I411" s="179" t="s">
        <v>253</v>
      </c>
      <c r="J411" s="83">
        <v>3496601667</v>
      </c>
      <c r="K411" s="179" t="s">
        <v>274</v>
      </c>
      <c r="L411" s="179">
        <v>45986</v>
      </c>
      <c r="M411" s="180">
        <v>45992</v>
      </c>
      <c r="N411" s="181">
        <v>1.4672205</v>
      </c>
      <c r="O411" s="181" t="s">
        <v>170</v>
      </c>
      <c r="P411" s="83" t="s">
        <v>148</v>
      </c>
      <c r="Q411" s="177" t="s">
        <v>149</v>
      </c>
      <c r="R411" s="83"/>
    </row>
    <row r="412" spans="1:18">
      <c r="A412" s="177">
        <v>80815647</v>
      </c>
      <c r="B412" s="177" t="s">
        <v>262</v>
      </c>
      <c r="C412" s="178" t="s">
        <v>151</v>
      </c>
      <c r="D412" s="177" t="s">
        <v>252</v>
      </c>
      <c r="E412" s="177" t="s">
        <v>205</v>
      </c>
      <c r="F412" s="179">
        <v>45989</v>
      </c>
      <c r="G412" s="177">
        <v>377</v>
      </c>
      <c r="H412" s="179">
        <v>45986</v>
      </c>
      <c r="I412" s="179" t="s">
        <v>253</v>
      </c>
      <c r="J412" s="83">
        <v>3496601668</v>
      </c>
      <c r="K412" s="179" t="s">
        <v>274</v>
      </c>
      <c r="L412" s="179">
        <v>45986</v>
      </c>
      <c r="M412" s="180">
        <v>45992</v>
      </c>
      <c r="N412" s="181">
        <v>0.73458449999999997</v>
      </c>
      <c r="O412" s="181" t="s">
        <v>170</v>
      </c>
      <c r="P412" s="83" t="s">
        <v>148</v>
      </c>
      <c r="Q412" s="177" t="s">
        <v>149</v>
      </c>
      <c r="R412" s="83"/>
    </row>
    <row r="413" spans="1:18">
      <c r="A413" s="177">
        <v>80813610</v>
      </c>
      <c r="B413" s="177" t="s">
        <v>263</v>
      </c>
      <c r="C413" s="178" t="s">
        <v>151</v>
      </c>
      <c r="D413" s="177" t="s">
        <v>252</v>
      </c>
      <c r="E413" s="177" t="s">
        <v>205</v>
      </c>
      <c r="F413" s="179">
        <v>45989</v>
      </c>
      <c r="G413" s="177">
        <v>405</v>
      </c>
      <c r="H413" s="179">
        <v>45986</v>
      </c>
      <c r="I413" s="179" t="s">
        <v>253</v>
      </c>
      <c r="J413" s="83">
        <v>3496601671</v>
      </c>
      <c r="K413" s="179" t="s">
        <v>274</v>
      </c>
      <c r="L413" s="179">
        <v>45986</v>
      </c>
      <c r="M413" s="180">
        <v>45992</v>
      </c>
      <c r="N413" s="181">
        <v>0.73410299999999995</v>
      </c>
      <c r="O413" s="181" t="s">
        <v>170</v>
      </c>
      <c r="P413" s="83" t="s">
        <v>148</v>
      </c>
      <c r="Q413" s="177" t="s">
        <v>149</v>
      </c>
      <c r="R413" s="83"/>
    </row>
    <row r="414" spans="1:18">
      <c r="A414" s="177">
        <v>80813619</v>
      </c>
      <c r="B414" s="177" t="s">
        <v>264</v>
      </c>
      <c r="C414" s="178" t="s">
        <v>151</v>
      </c>
      <c r="D414" s="177" t="s">
        <v>252</v>
      </c>
      <c r="E414" s="177" t="s">
        <v>205</v>
      </c>
      <c r="F414" s="179">
        <v>45989</v>
      </c>
      <c r="G414" s="177">
        <v>405</v>
      </c>
      <c r="H414" s="179">
        <v>45986</v>
      </c>
      <c r="I414" s="179" t="s">
        <v>253</v>
      </c>
      <c r="J414" s="83">
        <v>3496601672</v>
      </c>
      <c r="K414" s="179" t="s">
        <v>274</v>
      </c>
      <c r="L414" s="179">
        <v>45986</v>
      </c>
      <c r="M414" s="180">
        <v>45992</v>
      </c>
      <c r="N414" s="181">
        <v>0.73410299999999995</v>
      </c>
      <c r="O414" s="181" t="s">
        <v>170</v>
      </c>
      <c r="P414" s="83" t="s">
        <v>148</v>
      </c>
      <c r="Q414" s="177" t="s">
        <v>149</v>
      </c>
      <c r="R414" s="83"/>
    </row>
    <row r="415" spans="1:18">
      <c r="A415" s="177">
        <v>80813615</v>
      </c>
      <c r="B415" s="177" t="s">
        <v>265</v>
      </c>
      <c r="C415" s="178" t="s">
        <v>151</v>
      </c>
      <c r="D415" s="177" t="s">
        <v>252</v>
      </c>
      <c r="E415" s="177" t="s">
        <v>205</v>
      </c>
      <c r="F415" s="179">
        <v>45989</v>
      </c>
      <c r="G415" s="177">
        <v>405</v>
      </c>
      <c r="H415" s="179">
        <v>45986</v>
      </c>
      <c r="I415" s="179" t="s">
        <v>253</v>
      </c>
      <c r="J415" s="83">
        <v>3496601673</v>
      </c>
      <c r="K415" s="179" t="s">
        <v>274</v>
      </c>
      <c r="L415" s="179">
        <v>45986</v>
      </c>
      <c r="M415" s="180">
        <v>45992</v>
      </c>
      <c r="N415" s="181">
        <v>0.73410299999999995</v>
      </c>
      <c r="O415" s="181" t="s">
        <v>170</v>
      </c>
      <c r="P415" s="83" t="s">
        <v>148</v>
      </c>
      <c r="Q415" s="177" t="s">
        <v>149</v>
      </c>
      <c r="R415" s="83"/>
    </row>
    <row r="416" spans="1:18">
      <c r="A416" s="177">
        <v>80813637</v>
      </c>
      <c r="B416" s="177" t="s">
        <v>266</v>
      </c>
      <c r="C416" s="178" t="s">
        <v>151</v>
      </c>
      <c r="D416" s="177" t="s">
        <v>252</v>
      </c>
      <c r="E416" s="177" t="s">
        <v>205</v>
      </c>
      <c r="F416" s="179">
        <v>45989</v>
      </c>
      <c r="G416" s="177">
        <v>405</v>
      </c>
      <c r="H416" s="179">
        <v>45986</v>
      </c>
      <c r="I416" s="179" t="s">
        <v>253</v>
      </c>
      <c r="J416" s="83">
        <v>3496601674</v>
      </c>
      <c r="K416" s="179" t="s">
        <v>274</v>
      </c>
      <c r="L416" s="179">
        <v>45986</v>
      </c>
      <c r="M416" s="180">
        <v>45992</v>
      </c>
      <c r="N416" s="181">
        <v>0.73410299999999995</v>
      </c>
      <c r="O416" s="181" t="s">
        <v>170</v>
      </c>
      <c r="P416" s="83" t="s">
        <v>148</v>
      </c>
      <c r="Q416" s="177" t="s">
        <v>149</v>
      </c>
      <c r="R416" s="83"/>
    </row>
    <row r="417" spans="1:18">
      <c r="A417" s="177">
        <v>80813617</v>
      </c>
      <c r="B417" s="177" t="s">
        <v>267</v>
      </c>
      <c r="C417" s="178" t="s">
        <v>151</v>
      </c>
      <c r="D417" s="177" t="s">
        <v>252</v>
      </c>
      <c r="E417" s="177" t="s">
        <v>205</v>
      </c>
      <c r="F417" s="179">
        <v>45989</v>
      </c>
      <c r="G417" s="177">
        <v>405</v>
      </c>
      <c r="H417" s="179">
        <v>45986</v>
      </c>
      <c r="I417" s="179" t="s">
        <v>253</v>
      </c>
      <c r="J417" s="83">
        <v>3496601675</v>
      </c>
      <c r="K417" s="179" t="s">
        <v>274</v>
      </c>
      <c r="L417" s="179">
        <v>45986</v>
      </c>
      <c r="M417" s="180">
        <v>45992</v>
      </c>
      <c r="N417" s="181">
        <v>0.73410299999999995</v>
      </c>
      <c r="O417" s="181" t="s">
        <v>170</v>
      </c>
      <c r="P417" s="83" t="s">
        <v>148</v>
      </c>
      <c r="Q417" s="177" t="s">
        <v>149</v>
      </c>
      <c r="R417" s="83"/>
    </row>
    <row r="418" spans="1:18">
      <c r="A418" s="177">
        <v>80813629</v>
      </c>
      <c r="B418" s="177" t="s">
        <v>268</v>
      </c>
      <c r="C418" s="178" t="s">
        <v>151</v>
      </c>
      <c r="D418" s="177" t="s">
        <v>252</v>
      </c>
      <c r="E418" s="177" t="s">
        <v>205</v>
      </c>
      <c r="F418" s="179">
        <v>45989</v>
      </c>
      <c r="G418" s="177">
        <v>405</v>
      </c>
      <c r="H418" s="179">
        <v>45986</v>
      </c>
      <c r="I418" s="179" t="s">
        <v>253</v>
      </c>
      <c r="J418" s="83">
        <v>3496601676</v>
      </c>
      <c r="K418" s="179" t="s">
        <v>274</v>
      </c>
      <c r="L418" s="179">
        <v>45986</v>
      </c>
      <c r="M418" s="180">
        <v>45992</v>
      </c>
      <c r="N418" s="181">
        <v>0.73410299999999995</v>
      </c>
      <c r="O418" s="181" t="s">
        <v>170</v>
      </c>
      <c r="P418" s="83" t="s">
        <v>148</v>
      </c>
      <c r="Q418" s="177" t="s">
        <v>149</v>
      </c>
      <c r="R418" s="83"/>
    </row>
    <row r="419" spans="1:18">
      <c r="A419" s="177">
        <v>80820462</v>
      </c>
      <c r="B419" s="177" t="s">
        <v>269</v>
      </c>
      <c r="C419" s="178" t="s">
        <v>151</v>
      </c>
      <c r="D419" s="177" t="s">
        <v>252</v>
      </c>
      <c r="E419" s="177" t="s">
        <v>205</v>
      </c>
      <c r="F419" s="179">
        <v>45989</v>
      </c>
      <c r="G419" s="177">
        <v>810</v>
      </c>
      <c r="H419" s="179">
        <v>45986</v>
      </c>
      <c r="I419" s="179" t="s">
        <v>253</v>
      </c>
      <c r="J419" s="83">
        <v>3496601677</v>
      </c>
      <c r="K419" s="179" t="s">
        <v>270</v>
      </c>
      <c r="L419" s="179">
        <v>45986</v>
      </c>
      <c r="M419" s="180">
        <v>45987</v>
      </c>
      <c r="N419" s="181">
        <v>1.4682059999999999</v>
      </c>
      <c r="O419" s="181" t="s">
        <v>170</v>
      </c>
      <c r="P419" s="83" t="s">
        <v>148</v>
      </c>
      <c r="Q419" s="177" t="s">
        <v>149</v>
      </c>
      <c r="R419" s="83"/>
    </row>
    <row r="420" spans="1:18">
      <c r="A420" s="177">
        <v>80820459</v>
      </c>
      <c r="B420" s="177" t="s">
        <v>271</v>
      </c>
      <c r="C420" s="178" t="s">
        <v>151</v>
      </c>
      <c r="D420" s="177" t="s">
        <v>252</v>
      </c>
      <c r="E420" s="177" t="s">
        <v>205</v>
      </c>
      <c r="F420" s="179">
        <v>45989</v>
      </c>
      <c r="G420" s="177">
        <v>405</v>
      </c>
      <c r="H420" s="179">
        <v>45986</v>
      </c>
      <c r="I420" s="179" t="s">
        <v>253</v>
      </c>
      <c r="J420" s="83">
        <v>3496601698</v>
      </c>
      <c r="K420" s="179" t="s">
        <v>270</v>
      </c>
      <c r="L420" s="179">
        <v>45986</v>
      </c>
      <c r="M420" s="180">
        <v>45987</v>
      </c>
      <c r="N420" s="181">
        <v>0.73410299999999995</v>
      </c>
      <c r="O420" s="181" t="s">
        <v>170</v>
      </c>
      <c r="P420" s="83" t="s">
        <v>148</v>
      </c>
      <c r="Q420" s="177" t="s">
        <v>149</v>
      </c>
      <c r="R420" s="83"/>
    </row>
    <row r="421" spans="1:18">
      <c r="A421" s="177">
        <v>80820464</v>
      </c>
      <c r="B421" s="177" t="s">
        <v>272</v>
      </c>
      <c r="C421" s="178" t="s">
        <v>151</v>
      </c>
      <c r="D421" s="177" t="s">
        <v>252</v>
      </c>
      <c r="E421" s="177" t="s">
        <v>205</v>
      </c>
      <c r="F421" s="179">
        <v>45989</v>
      </c>
      <c r="G421" s="177">
        <v>405</v>
      </c>
      <c r="H421" s="179">
        <v>45986</v>
      </c>
      <c r="I421" s="179" t="s">
        <v>253</v>
      </c>
      <c r="J421" s="83">
        <v>3496601699</v>
      </c>
      <c r="K421" s="179" t="s">
        <v>270</v>
      </c>
      <c r="L421" s="179">
        <v>45986</v>
      </c>
      <c r="M421" s="180">
        <v>45987</v>
      </c>
      <c r="N421" s="181">
        <v>0.73410299999999995</v>
      </c>
      <c r="O421" s="181" t="s">
        <v>170</v>
      </c>
      <c r="P421" s="83" t="s">
        <v>148</v>
      </c>
      <c r="Q421" s="177" t="s">
        <v>149</v>
      </c>
      <c r="R421" s="83"/>
    </row>
    <row r="422" spans="1:18">
      <c r="A422" s="177">
        <v>80820469</v>
      </c>
      <c r="B422" s="177" t="s">
        <v>273</v>
      </c>
      <c r="C422" s="178" t="s">
        <v>151</v>
      </c>
      <c r="D422" s="177" t="s">
        <v>252</v>
      </c>
      <c r="E422" s="177" t="s">
        <v>205</v>
      </c>
      <c r="F422" s="179">
        <v>45989</v>
      </c>
      <c r="G422" s="177">
        <v>810</v>
      </c>
      <c r="H422" s="179">
        <v>45986</v>
      </c>
      <c r="I422" s="179" t="s">
        <v>253</v>
      </c>
      <c r="J422" s="83">
        <v>3496601700</v>
      </c>
      <c r="K422" s="179" t="s">
        <v>270</v>
      </c>
      <c r="L422" s="179">
        <v>45986</v>
      </c>
      <c r="M422" s="180">
        <v>45987</v>
      </c>
      <c r="N422" s="181">
        <v>1.4682059999999999</v>
      </c>
      <c r="O422" s="181" t="s">
        <v>170</v>
      </c>
      <c r="P422" s="83" t="s">
        <v>148</v>
      </c>
      <c r="Q422" s="177" t="s">
        <v>149</v>
      </c>
      <c r="R422" s="83"/>
    </row>
    <row r="423" spans="1:18">
      <c r="A423" s="177">
        <v>80814089</v>
      </c>
      <c r="B423" s="177" t="s">
        <v>251</v>
      </c>
      <c r="C423" s="178" t="s">
        <v>150</v>
      </c>
      <c r="D423" s="177" t="s">
        <v>252</v>
      </c>
      <c r="E423" s="177" t="s">
        <v>205</v>
      </c>
      <c r="F423" s="179">
        <v>45989</v>
      </c>
      <c r="G423" s="177">
        <v>405</v>
      </c>
      <c r="H423" s="179">
        <v>45986</v>
      </c>
      <c r="I423" s="179" t="s">
        <v>253</v>
      </c>
      <c r="J423" s="83">
        <v>3496601701</v>
      </c>
      <c r="K423" s="179" t="s">
        <v>274</v>
      </c>
      <c r="L423" s="179">
        <v>45986</v>
      </c>
      <c r="M423" s="180">
        <v>45992</v>
      </c>
      <c r="N423" s="181">
        <v>0.73406249999999995</v>
      </c>
      <c r="O423" s="181" t="s">
        <v>170</v>
      </c>
      <c r="P423" s="83" t="s">
        <v>148</v>
      </c>
      <c r="Q423" s="177" t="s">
        <v>149</v>
      </c>
      <c r="R423" s="83"/>
    </row>
    <row r="424" spans="1:18">
      <c r="A424" s="177">
        <v>80814098</v>
      </c>
      <c r="B424" s="177" t="s">
        <v>254</v>
      </c>
      <c r="C424" s="178" t="s">
        <v>150</v>
      </c>
      <c r="D424" s="177" t="s">
        <v>252</v>
      </c>
      <c r="E424" s="177" t="s">
        <v>205</v>
      </c>
      <c r="F424" s="179">
        <v>45989</v>
      </c>
      <c r="G424" s="177">
        <v>405</v>
      </c>
      <c r="H424" s="179">
        <v>45986</v>
      </c>
      <c r="I424" s="179" t="s">
        <v>253</v>
      </c>
      <c r="J424" s="83">
        <v>3496601702</v>
      </c>
      <c r="K424" s="179" t="s">
        <v>274</v>
      </c>
      <c r="L424" s="179">
        <v>45986</v>
      </c>
      <c r="M424" s="180">
        <v>45992</v>
      </c>
      <c r="N424" s="181">
        <v>0.73406249999999995</v>
      </c>
      <c r="O424" s="181" t="s">
        <v>170</v>
      </c>
      <c r="P424" s="83" t="s">
        <v>148</v>
      </c>
      <c r="Q424" s="177" t="s">
        <v>149</v>
      </c>
      <c r="R424" s="83"/>
    </row>
    <row r="425" spans="1:18">
      <c r="A425" s="177">
        <v>80814097</v>
      </c>
      <c r="B425" s="177" t="s">
        <v>255</v>
      </c>
      <c r="C425" s="178" t="s">
        <v>150</v>
      </c>
      <c r="D425" s="177" t="s">
        <v>252</v>
      </c>
      <c r="E425" s="177" t="s">
        <v>205</v>
      </c>
      <c r="F425" s="179">
        <v>45989</v>
      </c>
      <c r="G425" s="177">
        <v>405</v>
      </c>
      <c r="H425" s="179">
        <v>45986</v>
      </c>
      <c r="I425" s="179" t="s">
        <v>253</v>
      </c>
      <c r="J425" s="83">
        <v>3496601703</v>
      </c>
      <c r="K425" s="179" t="s">
        <v>274</v>
      </c>
      <c r="L425" s="179">
        <v>45986</v>
      </c>
      <c r="M425" s="180">
        <v>45992</v>
      </c>
      <c r="N425" s="181">
        <v>0.73406249999999995</v>
      </c>
      <c r="O425" s="181" t="s">
        <v>170</v>
      </c>
      <c r="P425" s="83" t="s">
        <v>148</v>
      </c>
      <c r="Q425" s="177" t="s">
        <v>149</v>
      </c>
      <c r="R425" s="83"/>
    </row>
    <row r="426" spans="1:18">
      <c r="A426" s="177">
        <v>80814081</v>
      </c>
      <c r="B426" s="177" t="s">
        <v>256</v>
      </c>
      <c r="C426" s="178" t="s">
        <v>150</v>
      </c>
      <c r="D426" s="177" t="s">
        <v>252</v>
      </c>
      <c r="E426" s="177" t="s">
        <v>205</v>
      </c>
      <c r="F426" s="179">
        <v>45989</v>
      </c>
      <c r="G426" s="177">
        <v>405</v>
      </c>
      <c r="H426" s="179">
        <v>45986</v>
      </c>
      <c r="I426" s="179" t="s">
        <v>253</v>
      </c>
      <c r="J426" s="83">
        <v>3496601704</v>
      </c>
      <c r="K426" s="179" t="s">
        <v>274</v>
      </c>
      <c r="L426" s="179">
        <v>45986</v>
      </c>
      <c r="M426" s="180">
        <v>45992</v>
      </c>
      <c r="N426" s="181">
        <v>0.73406249999999995</v>
      </c>
      <c r="O426" s="181" t="s">
        <v>170</v>
      </c>
      <c r="P426" s="83" t="s">
        <v>148</v>
      </c>
      <c r="Q426" s="177" t="s">
        <v>149</v>
      </c>
      <c r="R426" s="83"/>
    </row>
    <row r="427" spans="1:18">
      <c r="A427" s="177">
        <v>80815648</v>
      </c>
      <c r="B427" s="177" t="s">
        <v>257</v>
      </c>
      <c r="C427" s="178" t="s">
        <v>150</v>
      </c>
      <c r="D427" s="177" t="s">
        <v>252</v>
      </c>
      <c r="E427" s="177" t="s">
        <v>205</v>
      </c>
      <c r="F427" s="179">
        <v>45989</v>
      </c>
      <c r="G427" s="177">
        <v>753</v>
      </c>
      <c r="H427" s="179">
        <v>45986</v>
      </c>
      <c r="I427" s="179" t="s">
        <v>253</v>
      </c>
      <c r="J427" s="83">
        <v>3496601705</v>
      </c>
      <c r="K427" s="179" t="s">
        <v>274</v>
      </c>
      <c r="L427" s="179">
        <v>45986</v>
      </c>
      <c r="M427" s="180">
        <v>45992</v>
      </c>
      <c r="N427" s="181">
        <v>1.4672205</v>
      </c>
      <c r="O427" s="181" t="s">
        <v>170</v>
      </c>
      <c r="P427" s="83" t="s">
        <v>148</v>
      </c>
      <c r="Q427" s="177" t="s">
        <v>149</v>
      </c>
      <c r="R427" s="83"/>
    </row>
    <row r="428" spans="1:18">
      <c r="A428" s="177">
        <v>80815643</v>
      </c>
      <c r="B428" s="177" t="s">
        <v>258</v>
      </c>
      <c r="C428" s="178" t="s">
        <v>150</v>
      </c>
      <c r="D428" s="177" t="s">
        <v>252</v>
      </c>
      <c r="E428" s="177" t="s">
        <v>205</v>
      </c>
      <c r="F428" s="179">
        <v>45989</v>
      </c>
      <c r="G428" s="177">
        <v>753</v>
      </c>
      <c r="H428" s="179">
        <v>45986</v>
      </c>
      <c r="I428" s="179" t="s">
        <v>253</v>
      </c>
      <c r="J428" s="83">
        <v>3496601706</v>
      </c>
      <c r="K428" s="179" t="s">
        <v>274</v>
      </c>
      <c r="L428" s="179">
        <v>45986</v>
      </c>
      <c r="M428" s="180">
        <v>45992</v>
      </c>
      <c r="N428" s="181">
        <v>1.4672205</v>
      </c>
      <c r="O428" s="181" t="s">
        <v>170</v>
      </c>
      <c r="P428" s="83" t="s">
        <v>148</v>
      </c>
      <c r="Q428" s="177" t="s">
        <v>149</v>
      </c>
      <c r="R428" s="83"/>
    </row>
    <row r="429" spans="1:18">
      <c r="A429" s="177">
        <v>80815642</v>
      </c>
      <c r="B429" s="177" t="s">
        <v>259</v>
      </c>
      <c r="C429" s="178" t="s">
        <v>150</v>
      </c>
      <c r="D429" s="177" t="s">
        <v>252</v>
      </c>
      <c r="E429" s="177" t="s">
        <v>205</v>
      </c>
      <c r="F429" s="179">
        <v>45989</v>
      </c>
      <c r="G429" s="177">
        <v>753</v>
      </c>
      <c r="H429" s="179">
        <v>45986</v>
      </c>
      <c r="I429" s="179" t="s">
        <v>253</v>
      </c>
      <c r="J429" s="83">
        <v>3496601707</v>
      </c>
      <c r="K429" s="179" t="s">
        <v>274</v>
      </c>
      <c r="L429" s="179">
        <v>45986</v>
      </c>
      <c r="M429" s="180">
        <v>45992</v>
      </c>
      <c r="N429" s="181">
        <v>1.4672205</v>
      </c>
      <c r="O429" s="181" t="s">
        <v>170</v>
      </c>
      <c r="P429" s="83" t="s">
        <v>148</v>
      </c>
      <c r="Q429" s="177" t="s">
        <v>149</v>
      </c>
      <c r="R429" s="83"/>
    </row>
    <row r="430" spans="1:18">
      <c r="A430" s="177">
        <v>80815644</v>
      </c>
      <c r="B430" s="177" t="s">
        <v>260</v>
      </c>
      <c r="C430" s="178" t="s">
        <v>150</v>
      </c>
      <c r="D430" s="177" t="s">
        <v>252</v>
      </c>
      <c r="E430" s="177" t="s">
        <v>205</v>
      </c>
      <c r="F430" s="179">
        <v>45989</v>
      </c>
      <c r="G430" s="177">
        <v>377</v>
      </c>
      <c r="H430" s="179">
        <v>45986</v>
      </c>
      <c r="I430" s="179" t="s">
        <v>253</v>
      </c>
      <c r="J430" s="83">
        <v>3496601708</v>
      </c>
      <c r="K430" s="179" t="s">
        <v>274</v>
      </c>
      <c r="L430" s="179">
        <v>45986</v>
      </c>
      <c r="M430" s="180">
        <v>45992</v>
      </c>
      <c r="N430" s="181">
        <v>0.73458449999999997</v>
      </c>
      <c r="O430" s="181" t="s">
        <v>170</v>
      </c>
      <c r="P430" s="83" t="s">
        <v>148</v>
      </c>
      <c r="Q430" s="177" t="s">
        <v>149</v>
      </c>
      <c r="R430" s="83"/>
    </row>
    <row r="431" spans="1:18">
      <c r="A431" s="177">
        <v>80815645</v>
      </c>
      <c r="B431" s="177" t="s">
        <v>261</v>
      </c>
      <c r="C431" s="178" t="s">
        <v>150</v>
      </c>
      <c r="D431" s="177" t="s">
        <v>252</v>
      </c>
      <c r="E431" s="177" t="s">
        <v>205</v>
      </c>
      <c r="F431" s="179">
        <v>45989</v>
      </c>
      <c r="G431" s="177">
        <v>753</v>
      </c>
      <c r="H431" s="179">
        <v>45986</v>
      </c>
      <c r="I431" s="179" t="s">
        <v>253</v>
      </c>
      <c r="J431" s="83">
        <v>3496601709</v>
      </c>
      <c r="K431" s="179" t="s">
        <v>274</v>
      </c>
      <c r="L431" s="179">
        <v>45986</v>
      </c>
      <c r="M431" s="180">
        <v>45992</v>
      </c>
      <c r="N431" s="181">
        <v>1.4672205</v>
      </c>
      <c r="O431" s="181" t="s">
        <v>170</v>
      </c>
      <c r="P431" s="83" t="s">
        <v>148</v>
      </c>
      <c r="Q431" s="177" t="s">
        <v>149</v>
      </c>
      <c r="R431" s="83"/>
    </row>
    <row r="432" spans="1:18">
      <c r="A432" s="177">
        <v>80815647</v>
      </c>
      <c r="B432" s="177" t="s">
        <v>262</v>
      </c>
      <c r="C432" s="178" t="s">
        <v>150</v>
      </c>
      <c r="D432" s="177" t="s">
        <v>252</v>
      </c>
      <c r="E432" s="177" t="s">
        <v>205</v>
      </c>
      <c r="F432" s="179">
        <v>45989</v>
      </c>
      <c r="G432" s="177">
        <v>377</v>
      </c>
      <c r="H432" s="179">
        <v>45986</v>
      </c>
      <c r="I432" s="179" t="s">
        <v>253</v>
      </c>
      <c r="J432" s="83">
        <v>3496601710</v>
      </c>
      <c r="K432" s="179" t="s">
        <v>274</v>
      </c>
      <c r="L432" s="179">
        <v>45986</v>
      </c>
      <c r="M432" s="180">
        <v>45992</v>
      </c>
      <c r="N432" s="181">
        <v>0.73458449999999997</v>
      </c>
      <c r="O432" s="181" t="s">
        <v>170</v>
      </c>
      <c r="P432" s="83" t="s">
        <v>148</v>
      </c>
      <c r="Q432" s="177" t="s">
        <v>149</v>
      </c>
      <c r="R432" s="83"/>
    </row>
    <row r="433" spans="1:18">
      <c r="A433" s="177">
        <v>80813610</v>
      </c>
      <c r="B433" s="177" t="s">
        <v>263</v>
      </c>
      <c r="C433" s="178" t="s">
        <v>150</v>
      </c>
      <c r="D433" s="177" t="s">
        <v>252</v>
      </c>
      <c r="E433" s="177" t="s">
        <v>205</v>
      </c>
      <c r="F433" s="179">
        <v>45989</v>
      </c>
      <c r="G433" s="177">
        <v>405</v>
      </c>
      <c r="H433" s="179">
        <v>45986</v>
      </c>
      <c r="I433" s="179" t="s">
        <v>253</v>
      </c>
      <c r="J433" s="83">
        <v>3496601711</v>
      </c>
      <c r="K433" s="179" t="s">
        <v>274</v>
      </c>
      <c r="L433" s="179">
        <v>45986</v>
      </c>
      <c r="M433" s="180">
        <v>45992</v>
      </c>
      <c r="N433" s="181">
        <v>0.73410299999999995</v>
      </c>
      <c r="O433" s="181" t="s">
        <v>170</v>
      </c>
      <c r="P433" s="83" t="s">
        <v>148</v>
      </c>
      <c r="Q433" s="177" t="s">
        <v>149</v>
      </c>
      <c r="R433" s="83"/>
    </row>
    <row r="434" spans="1:18">
      <c r="A434" s="177">
        <v>80813619</v>
      </c>
      <c r="B434" s="177" t="s">
        <v>264</v>
      </c>
      <c r="C434" s="178" t="s">
        <v>150</v>
      </c>
      <c r="D434" s="177" t="s">
        <v>252</v>
      </c>
      <c r="E434" s="177" t="s">
        <v>205</v>
      </c>
      <c r="F434" s="179">
        <v>45989</v>
      </c>
      <c r="G434" s="177">
        <v>405</v>
      </c>
      <c r="H434" s="179">
        <v>45986</v>
      </c>
      <c r="I434" s="179" t="s">
        <v>253</v>
      </c>
      <c r="J434" s="83">
        <v>3496601738</v>
      </c>
      <c r="K434" s="179" t="s">
        <v>274</v>
      </c>
      <c r="L434" s="179">
        <v>45986</v>
      </c>
      <c r="M434" s="180">
        <v>45992</v>
      </c>
      <c r="N434" s="181">
        <v>0.73410299999999995</v>
      </c>
      <c r="O434" s="181" t="s">
        <v>170</v>
      </c>
      <c r="P434" s="83" t="s">
        <v>148</v>
      </c>
      <c r="Q434" s="177" t="s">
        <v>149</v>
      </c>
      <c r="R434" s="83"/>
    </row>
    <row r="435" spans="1:18">
      <c r="A435" s="177">
        <v>80813615</v>
      </c>
      <c r="B435" s="177" t="s">
        <v>265</v>
      </c>
      <c r="C435" s="178" t="s">
        <v>150</v>
      </c>
      <c r="D435" s="177" t="s">
        <v>252</v>
      </c>
      <c r="E435" s="177" t="s">
        <v>205</v>
      </c>
      <c r="F435" s="179">
        <v>45989</v>
      </c>
      <c r="G435" s="177">
        <v>405</v>
      </c>
      <c r="H435" s="179">
        <v>45986</v>
      </c>
      <c r="I435" s="179" t="s">
        <v>253</v>
      </c>
      <c r="J435" s="83">
        <v>3496601739</v>
      </c>
      <c r="K435" s="179" t="s">
        <v>274</v>
      </c>
      <c r="L435" s="179">
        <v>45986</v>
      </c>
      <c r="M435" s="180">
        <v>45992</v>
      </c>
      <c r="N435" s="181">
        <v>0.73410299999999995</v>
      </c>
      <c r="O435" s="181" t="s">
        <v>170</v>
      </c>
      <c r="P435" s="83" t="s">
        <v>148</v>
      </c>
      <c r="Q435" s="177" t="s">
        <v>149</v>
      </c>
      <c r="R435" s="83"/>
    </row>
    <row r="436" spans="1:18">
      <c r="A436" s="177">
        <v>80813637</v>
      </c>
      <c r="B436" s="177" t="s">
        <v>266</v>
      </c>
      <c r="C436" s="178" t="s">
        <v>150</v>
      </c>
      <c r="D436" s="177" t="s">
        <v>252</v>
      </c>
      <c r="E436" s="177" t="s">
        <v>205</v>
      </c>
      <c r="F436" s="179">
        <v>45989</v>
      </c>
      <c r="G436" s="177">
        <v>405</v>
      </c>
      <c r="H436" s="179">
        <v>45986</v>
      </c>
      <c r="I436" s="179" t="s">
        <v>253</v>
      </c>
      <c r="J436" s="83">
        <v>3496601740</v>
      </c>
      <c r="K436" s="179" t="s">
        <v>274</v>
      </c>
      <c r="L436" s="179">
        <v>45986</v>
      </c>
      <c r="M436" s="180">
        <v>45992</v>
      </c>
      <c r="N436" s="181">
        <v>0.73410299999999995</v>
      </c>
      <c r="O436" s="181" t="s">
        <v>170</v>
      </c>
      <c r="P436" s="83" t="s">
        <v>148</v>
      </c>
      <c r="Q436" s="177" t="s">
        <v>149</v>
      </c>
      <c r="R436" s="83"/>
    </row>
    <row r="437" spans="1:18">
      <c r="A437" s="177">
        <v>80813617</v>
      </c>
      <c r="B437" s="177" t="s">
        <v>267</v>
      </c>
      <c r="C437" s="178" t="s">
        <v>150</v>
      </c>
      <c r="D437" s="177" t="s">
        <v>252</v>
      </c>
      <c r="E437" s="177" t="s">
        <v>205</v>
      </c>
      <c r="F437" s="179">
        <v>45989</v>
      </c>
      <c r="G437" s="177">
        <v>405</v>
      </c>
      <c r="H437" s="179">
        <v>45986</v>
      </c>
      <c r="I437" s="179" t="s">
        <v>253</v>
      </c>
      <c r="J437" s="83">
        <v>3496601741</v>
      </c>
      <c r="K437" s="179" t="s">
        <v>274</v>
      </c>
      <c r="L437" s="179">
        <v>45986</v>
      </c>
      <c r="M437" s="180">
        <v>45992</v>
      </c>
      <c r="N437" s="181">
        <v>0.73410299999999995</v>
      </c>
      <c r="O437" s="181" t="s">
        <v>170</v>
      </c>
      <c r="P437" s="83" t="s">
        <v>148</v>
      </c>
      <c r="Q437" s="177" t="s">
        <v>149</v>
      </c>
      <c r="R437" s="83"/>
    </row>
    <row r="438" spans="1:18">
      <c r="A438" s="177">
        <v>80813629</v>
      </c>
      <c r="B438" s="177" t="s">
        <v>268</v>
      </c>
      <c r="C438" s="178" t="s">
        <v>150</v>
      </c>
      <c r="D438" s="177" t="s">
        <v>252</v>
      </c>
      <c r="E438" s="177" t="s">
        <v>205</v>
      </c>
      <c r="F438" s="179">
        <v>45989</v>
      </c>
      <c r="G438" s="177">
        <v>405</v>
      </c>
      <c r="H438" s="179">
        <v>45986</v>
      </c>
      <c r="I438" s="179" t="s">
        <v>253</v>
      </c>
      <c r="J438" s="83">
        <v>3496601742</v>
      </c>
      <c r="K438" s="179" t="s">
        <v>274</v>
      </c>
      <c r="L438" s="179">
        <v>45986</v>
      </c>
      <c r="M438" s="180">
        <v>45992</v>
      </c>
      <c r="N438" s="181">
        <v>0.73410299999999995</v>
      </c>
      <c r="O438" s="181" t="s">
        <v>170</v>
      </c>
      <c r="P438" s="83" t="s">
        <v>148</v>
      </c>
      <c r="Q438" s="177" t="s">
        <v>149</v>
      </c>
      <c r="R438" s="83"/>
    </row>
    <row r="439" spans="1:18">
      <c r="A439" s="177">
        <v>80820462</v>
      </c>
      <c r="B439" s="177" t="s">
        <v>269</v>
      </c>
      <c r="C439" s="178" t="s">
        <v>150</v>
      </c>
      <c r="D439" s="177" t="s">
        <v>252</v>
      </c>
      <c r="E439" s="177" t="s">
        <v>205</v>
      </c>
      <c r="F439" s="179">
        <v>45989</v>
      </c>
      <c r="G439" s="177">
        <v>810</v>
      </c>
      <c r="H439" s="179">
        <v>45986</v>
      </c>
      <c r="I439" s="179" t="s">
        <v>253</v>
      </c>
      <c r="J439" s="83">
        <v>3496601743</v>
      </c>
      <c r="K439" s="179" t="s">
        <v>270</v>
      </c>
      <c r="L439" s="179">
        <v>45986</v>
      </c>
      <c r="M439" s="180">
        <v>45987</v>
      </c>
      <c r="N439" s="181">
        <v>1.4682059999999999</v>
      </c>
      <c r="O439" s="181" t="s">
        <v>170</v>
      </c>
      <c r="P439" s="83" t="s">
        <v>148</v>
      </c>
      <c r="Q439" s="177" t="s">
        <v>149</v>
      </c>
      <c r="R439" s="83"/>
    </row>
    <row r="440" spans="1:18">
      <c r="A440" s="177">
        <v>80820459</v>
      </c>
      <c r="B440" s="177" t="s">
        <v>271</v>
      </c>
      <c r="C440" s="178" t="s">
        <v>150</v>
      </c>
      <c r="D440" s="177" t="s">
        <v>252</v>
      </c>
      <c r="E440" s="177" t="s">
        <v>205</v>
      </c>
      <c r="F440" s="179">
        <v>45989</v>
      </c>
      <c r="G440" s="177">
        <v>405</v>
      </c>
      <c r="H440" s="179">
        <v>45986</v>
      </c>
      <c r="I440" s="179" t="s">
        <v>253</v>
      </c>
      <c r="J440" s="83">
        <v>3496601744</v>
      </c>
      <c r="K440" s="179" t="s">
        <v>270</v>
      </c>
      <c r="L440" s="179">
        <v>45986</v>
      </c>
      <c r="M440" s="180">
        <v>45987</v>
      </c>
      <c r="N440" s="181">
        <v>0.73410299999999995</v>
      </c>
      <c r="O440" s="181" t="s">
        <v>170</v>
      </c>
      <c r="P440" s="83" t="s">
        <v>148</v>
      </c>
      <c r="Q440" s="177" t="s">
        <v>149</v>
      </c>
      <c r="R440" s="83"/>
    </row>
    <row r="441" spans="1:18">
      <c r="A441" s="177">
        <v>80820464</v>
      </c>
      <c r="B441" s="177" t="s">
        <v>272</v>
      </c>
      <c r="C441" s="178" t="s">
        <v>150</v>
      </c>
      <c r="D441" s="177" t="s">
        <v>252</v>
      </c>
      <c r="E441" s="177" t="s">
        <v>205</v>
      </c>
      <c r="F441" s="179">
        <v>45989</v>
      </c>
      <c r="G441" s="177">
        <v>405</v>
      </c>
      <c r="H441" s="179">
        <v>45986</v>
      </c>
      <c r="I441" s="179" t="s">
        <v>253</v>
      </c>
      <c r="J441" s="83">
        <v>3496601745</v>
      </c>
      <c r="K441" s="179" t="s">
        <v>270</v>
      </c>
      <c r="L441" s="179">
        <v>45986</v>
      </c>
      <c r="M441" s="180">
        <v>45987</v>
      </c>
      <c r="N441" s="181">
        <v>0.73410299999999995</v>
      </c>
      <c r="O441" s="181" t="s">
        <v>170</v>
      </c>
      <c r="P441" s="83" t="s">
        <v>148</v>
      </c>
      <c r="Q441" s="177" t="s">
        <v>149</v>
      </c>
      <c r="R441" s="83"/>
    </row>
    <row r="442" spans="1:18">
      <c r="A442" s="177">
        <v>80820469</v>
      </c>
      <c r="B442" s="177" t="s">
        <v>273</v>
      </c>
      <c r="C442" s="178" t="s">
        <v>150</v>
      </c>
      <c r="D442" s="177" t="s">
        <v>252</v>
      </c>
      <c r="E442" s="177" t="s">
        <v>205</v>
      </c>
      <c r="F442" s="179">
        <v>45989</v>
      </c>
      <c r="G442" s="177">
        <v>810</v>
      </c>
      <c r="H442" s="179">
        <v>45986</v>
      </c>
      <c r="I442" s="179" t="s">
        <v>253</v>
      </c>
      <c r="J442" s="83">
        <v>3496601746</v>
      </c>
      <c r="K442" s="179" t="s">
        <v>270</v>
      </c>
      <c r="L442" s="179">
        <v>45986</v>
      </c>
      <c r="M442" s="180">
        <v>45987</v>
      </c>
      <c r="N442" s="181">
        <v>1.4682059999999999</v>
      </c>
      <c r="O442" s="181" t="s">
        <v>170</v>
      </c>
      <c r="P442" s="83" t="s">
        <v>148</v>
      </c>
      <c r="Q442" s="177" t="s">
        <v>149</v>
      </c>
      <c r="R442" s="83"/>
    </row>
    <row r="443" spans="1:18">
      <c r="A443" s="177">
        <v>80814089</v>
      </c>
      <c r="B443" s="177" t="s">
        <v>251</v>
      </c>
      <c r="C443" s="178" t="s">
        <v>155</v>
      </c>
      <c r="D443" s="177" t="s">
        <v>252</v>
      </c>
      <c r="E443" s="177" t="s">
        <v>205</v>
      </c>
      <c r="F443" s="179">
        <v>45996</v>
      </c>
      <c r="G443" s="177">
        <v>405</v>
      </c>
      <c r="H443" s="179">
        <v>45986</v>
      </c>
      <c r="I443" s="179" t="s">
        <v>253</v>
      </c>
      <c r="J443" s="83">
        <v>3496601747</v>
      </c>
      <c r="K443" s="179"/>
      <c r="L443" s="179">
        <v>45986</v>
      </c>
      <c r="M443" s="180">
        <v>46006</v>
      </c>
      <c r="N443" s="181">
        <v>0.73406249999999995</v>
      </c>
      <c r="O443" s="181" t="s">
        <v>170</v>
      </c>
      <c r="P443" s="83" t="s">
        <v>148</v>
      </c>
      <c r="Q443" s="177" t="s">
        <v>149</v>
      </c>
      <c r="R443" s="83"/>
    </row>
    <row r="444" spans="1:18">
      <c r="A444" s="177">
        <v>80814098</v>
      </c>
      <c r="B444" s="177" t="s">
        <v>254</v>
      </c>
      <c r="C444" s="178" t="s">
        <v>155</v>
      </c>
      <c r="D444" s="177" t="s">
        <v>252</v>
      </c>
      <c r="E444" s="177" t="s">
        <v>205</v>
      </c>
      <c r="F444" s="179">
        <v>45996</v>
      </c>
      <c r="G444" s="177">
        <v>405</v>
      </c>
      <c r="H444" s="179">
        <v>45986</v>
      </c>
      <c r="I444" s="179" t="s">
        <v>253</v>
      </c>
      <c r="J444" s="83">
        <v>3496601748</v>
      </c>
      <c r="K444" s="179"/>
      <c r="L444" s="179">
        <v>45986</v>
      </c>
      <c r="M444" s="180">
        <v>46006</v>
      </c>
      <c r="N444" s="181">
        <v>0.73406249999999995</v>
      </c>
      <c r="O444" s="181" t="s">
        <v>170</v>
      </c>
      <c r="P444" s="83" t="s">
        <v>148</v>
      </c>
      <c r="Q444" s="177" t="s">
        <v>149</v>
      </c>
      <c r="R444" s="83"/>
    </row>
    <row r="445" spans="1:18">
      <c r="A445" s="177">
        <v>80814097</v>
      </c>
      <c r="B445" s="177" t="s">
        <v>255</v>
      </c>
      <c r="C445" s="178" t="s">
        <v>155</v>
      </c>
      <c r="D445" s="177" t="s">
        <v>252</v>
      </c>
      <c r="E445" s="177" t="s">
        <v>205</v>
      </c>
      <c r="F445" s="179">
        <v>45996</v>
      </c>
      <c r="G445" s="177">
        <v>405</v>
      </c>
      <c r="H445" s="179">
        <v>45986</v>
      </c>
      <c r="I445" s="179" t="s">
        <v>253</v>
      </c>
      <c r="J445" s="83">
        <v>3496601749</v>
      </c>
      <c r="K445" s="179"/>
      <c r="L445" s="179">
        <v>45986</v>
      </c>
      <c r="M445" s="180">
        <v>46006</v>
      </c>
      <c r="N445" s="181">
        <v>0.73406249999999995</v>
      </c>
      <c r="O445" s="181" t="s">
        <v>170</v>
      </c>
      <c r="P445" s="83" t="s">
        <v>148</v>
      </c>
      <c r="Q445" s="177" t="s">
        <v>149</v>
      </c>
      <c r="R445" s="83"/>
    </row>
    <row r="446" spans="1:18">
      <c r="A446" s="177">
        <v>80814081</v>
      </c>
      <c r="B446" s="177" t="s">
        <v>256</v>
      </c>
      <c r="C446" s="178" t="s">
        <v>155</v>
      </c>
      <c r="D446" s="177" t="s">
        <v>252</v>
      </c>
      <c r="E446" s="177" t="s">
        <v>205</v>
      </c>
      <c r="F446" s="179">
        <v>45996</v>
      </c>
      <c r="G446" s="177">
        <v>405</v>
      </c>
      <c r="H446" s="179">
        <v>45986</v>
      </c>
      <c r="I446" s="179" t="s">
        <v>253</v>
      </c>
      <c r="J446" s="83">
        <v>3496601750</v>
      </c>
      <c r="K446" s="179"/>
      <c r="L446" s="179">
        <v>45986</v>
      </c>
      <c r="M446" s="180">
        <v>46006</v>
      </c>
      <c r="N446" s="181">
        <v>0.73406249999999995</v>
      </c>
      <c r="O446" s="181" t="s">
        <v>170</v>
      </c>
      <c r="P446" s="83" t="s">
        <v>148</v>
      </c>
      <c r="Q446" s="177" t="s">
        <v>149</v>
      </c>
      <c r="R446" s="83"/>
    </row>
    <row r="447" spans="1:18">
      <c r="A447" s="177">
        <v>80815648</v>
      </c>
      <c r="B447" s="177" t="s">
        <v>257</v>
      </c>
      <c r="C447" s="178" t="s">
        <v>155</v>
      </c>
      <c r="D447" s="177" t="s">
        <v>252</v>
      </c>
      <c r="E447" s="177" t="s">
        <v>205</v>
      </c>
      <c r="F447" s="179">
        <v>45996</v>
      </c>
      <c r="G447" s="177">
        <v>753</v>
      </c>
      <c r="H447" s="179">
        <v>45986</v>
      </c>
      <c r="I447" s="179" t="s">
        <v>253</v>
      </c>
      <c r="J447" s="83">
        <v>3496601751</v>
      </c>
      <c r="K447" s="179"/>
      <c r="L447" s="179">
        <v>45986</v>
      </c>
      <c r="M447" s="180">
        <v>46006</v>
      </c>
      <c r="N447" s="181">
        <v>1.4672205</v>
      </c>
      <c r="O447" s="181" t="s">
        <v>170</v>
      </c>
      <c r="P447" s="83" t="s">
        <v>148</v>
      </c>
      <c r="Q447" s="177" t="s">
        <v>149</v>
      </c>
      <c r="R447" s="83"/>
    </row>
    <row r="448" spans="1:18">
      <c r="A448" s="177">
        <v>80815643</v>
      </c>
      <c r="B448" s="177" t="s">
        <v>258</v>
      </c>
      <c r="C448" s="178" t="s">
        <v>155</v>
      </c>
      <c r="D448" s="177" t="s">
        <v>252</v>
      </c>
      <c r="E448" s="177" t="s">
        <v>205</v>
      </c>
      <c r="F448" s="179">
        <v>45996</v>
      </c>
      <c r="G448" s="177">
        <v>753</v>
      </c>
      <c r="H448" s="179">
        <v>45986</v>
      </c>
      <c r="I448" s="179" t="s">
        <v>253</v>
      </c>
      <c r="J448" s="83">
        <v>3496601752</v>
      </c>
      <c r="K448" s="179"/>
      <c r="L448" s="179">
        <v>45986</v>
      </c>
      <c r="M448" s="180">
        <v>46006</v>
      </c>
      <c r="N448" s="181">
        <v>1.4672205</v>
      </c>
      <c r="O448" s="181" t="s">
        <v>170</v>
      </c>
      <c r="P448" s="83" t="s">
        <v>148</v>
      </c>
      <c r="Q448" s="177" t="s">
        <v>149</v>
      </c>
      <c r="R448" s="83"/>
    </row>
    <row r="449" spans="1:18">
      <c r="A449" s="177">
        <v>80815642</v>
      </c>
      <c r="B449" s="177" t="s">
        <v>259</v>
      </c>
      <c r="C449" s="178" t="s">
        <v>155</v>
      </c>
      <c r="D449" s="177" t="s">
        <v>252</v>
      </c>
      <c r="E449" s="177" t="s">
        <v>205</v>
      </c>
      <c r="F449" s="179">
        <v>45996</v>
      </c>
      <c r="G449" s="177">
        <v>753</v>
      </c>
      <c r="H449" s="179">
        <v>45986</v>
      </c>
      <c r="I449" s="179" t="s">
        <v>253</v>
      </c>
      <c r="J449" s="83">
        <v>3496601753</v>
      </c>
      <c r="K449" s="179"/>
      <c r="L449" s="179">
        <v>45986</v>
      </c>
      <c r="M449" s="180">
        <v>46006</v>
      </c>
      <c r="N449" s="181">
        <v>1.4672205</v>
      </c>
      <c r="O449" s="181" t="s">
        <v>170</v>
      </c>
      <c r="P449" s="83" t="s">
        <v>148</v>
      </c>
      <c r="Q449" s="177" t="s">
        <v>149</v>
      </c>
      <c r="R449" s="83"/>
    </row>
    <row r="450" spans="1:18">
      <c r="A450" s="177">
        <v>80815644</v>
      </c>
      <c r="B450" s="177" t="s">
        <v>260</v>
      </c>
      <c r="C450" s="178" t="s">
        <v>155</v>
      </c>
      <c r="D450" s="177" t="s">
        <v>252</v>
      </c>
      <c r="E450" s="177" t="s">
        <v>205</v>
      </c>
      <c r="F450" s="179">
        <v>45996</v>
      </c>
      <c r="G450" s="177">
        <v>377</v>
      </c>
      <c r="H450" s="179">
        <v>45986</v>
      </c>
      <c r="I450" s="179" t="s">
        <v>253</v>
      </c>
      <c r="J450" s="83">
        <v>3496601754</v>
      </c>
      <c r="K450" s="179"/>
      <c r="L450" s="179">
        <v>45986</v>
      </c>
      <c r="M450" s="180">
        <v>46006</v>
      </c>
      <c r="N450" s="181">
        <v>0.73458449999999997</v>
      </c>
      <c r="O450" s="181" t="s">
        <v>170</v>
      </c>
      <c r="P450" s="83" t="s">
        <v>148</v>
      </c>
      <c r="Q450" s="177" t="s">
        <v>149</v>
      </c>
      <c r="R450" s="83"/>
    </row>
    <row r="451" spans="1:18">
      <c r="A451" s="177">
        <v>80815645</v>
      </c>
      <c r="B451" s="177" t="s">
        <v>261</v>
      </c>
      <c r="C451" s="178" t="s">
        <v>155</v>
      </c>
      <c r="D451" s="177" t="s">
        <v>252</v>
      </c>
      <c r="E451" s="177" t="s">
        <v>205</v>
      </c>
      <c r="F451" s="179">
        <v>45996</v>
      </c>
      <c r="G451" s="177">
        <v>753</v>
      </c>
      <c r="H451" s="179">
        <v>45986</v>
      </c>
      <c r="I451" s="179" t="s">
        <v>253</v>
      </c>
      <c r="J451" s="83">
        <v>3496601755</v>
      </c>
      <c r="K451" s="179"/>
      <c r="L451" s="179">
        <v>45986</v>
      </c>
      <c r="M451" s="180">
        <v>46006</v>
      </c>
      <c r="N451" s="181">
        <v>1.4672205</v>
      </c>
      <c r="O451" s="181" t="s">
        <v>170</v>
      </c>
      <c r="P451" s="83" t="s">
        <v>148</v>
      </c>
      <c r="Q451" s="177" t="s">
        <v>149</v>
      </c>
      <c r="R451" s="83"/>
    </row>
    <row r="452" spans="1:18">
      <c r="A452" s="177">
        <v>80815647</v>
      </c>
      <c r="B452" s="177" t="s">
        <v>262</v>
      </c>
      <c r="C452" s="178" t="s">
        <v>155</v>
      </c>
      <c r="D452" s="177" t="s">
        <v>252</v>
      </c>
      <c r="E452" s="177" t="s">
        <v>205</v>
      </c>
      <c r="F452" s="179">
        <v>45996</v>
      </c>
      <c r="G452" s="177">
        <v>377</v>
      </c>
      <c r="H452" s="179">
        <v>45986</v>
      </c>
      <c r="I452" s="179" t="s">
        <v>253</v>
      </c>
      <c r="J452" s="83">
        <v>3496601756</v>
      </c>
      <c r="K452" s="179"/>
      <c r="L452" s="179">
        <v>45986</v>
      </c>
      <c r="M452" s="180">
        <v>46006</v>
      </c>
      <c r="N452" s="181">
        <v>0.73458449999999997</v>
      </c>
      <c r="O452" s="181" t="s">
        <v>170</v>
      </c>
      <c r="P452" s="83" t="s">
        <v>148</v>
      </c>
      <c r="Q452" s="177" t="s">
        <v>149</v>
      </c>
      <c r="R452" s="83"/>
    </row>
    <row r="453" spans="1:18">
      <c r="A453" s="177">
        <v>80813610</v>
      </c>
      <c r="B453" s="177" t="s">
        <v>263</v>
      </c>
      <c r="C453" s="178" t="s">
        <v>155</v>
      </c>
      <c r="D453" s="177" t="s">
        <v>252</v>
      </c>
      <c r="E453" s="177" t="s">
        <v>205</v>
      </c>
      <c r="F453" s="179">
        <v>45996</v>
      </c>
      <c r="G453" s="177">
        <v>405</v>
      </c>
      <c r="H453" s="179">
        <v>45986</v>
      </c>
      <c r="I453" s="179" t="s">
        <v>253</v>
      </c>
      <c r="J453" s="83">
        <v>3496601757</v>
      </c>
      <c r="K453" s="179"/>
      <c r="L453" s="179">
        <v>45986</v>
      </c>
      <c r="M453" s="180">
        <v>46006</v>
      </c>
      <c r="N453" s="181">
        <v>0.73410299999999995</v>
      </c>
      <c r="O453" s="181" t="s">
        <v>170</v>
      </c>
      <c r="P453" s="83" t="s">
        <v>148</v>
      </c>
      <c r="Q453" s="177" t="s">
        <v>149</v>
      </c>
      <c r="R453" s="83"/>
    </row>
    <row r="454" spans="1:18">
      <c r="A454" s="177">
        <v>80813619</v>
      </c>
      <c r="B454" s="177" t="s">
        <v>264</v>
      </c>
      <c r="C454" s="178" t="s">
        <v>155</v>
      </c>
      <c r="D454" s="177" t="s">
        <v>252</v>
      </c>
      <c r="E454" s="177" t="s">
        <v>205</v>
      </c>
      <c r="F454" s="179">
        <v>45996</v>
      </c>
      <c r="G454" s="177">
        <v>405</v>
      </c>
      <c r="H454" s="179">
        <v>45986</v>
      </c>
      <c r="I454" s="179" t="s">
        <v>253</v>
      </c>
      <c r="J454" s="83">
        <v>3496601758</v>
      </c>
      <c r="K454" s="179"/>
      <c r="L454" s="179">
        <v>45986</v>
      </c>
      <c r="M454" s="180">
        <v>46006</v>
      </c>
      <c r="N454" s="181">
        <v>0.73410299999999995</v>
      </c>
      <c r="O454" s="181" t="s">
        <v>170</v>
      </c>
      <c r="P454" s="83" t="s">
        <v>148</v>
      </c>
      <c r="Q454" s="177" t="s">
        <v>149</v>
      </c>
      <c r="R454" s="83"/>
    </row>
    <row r="455" spans="1:18">
      <c r="A455" s="177">
        <v>80813615</v>
      </c>
      <c r="B455" s="177" t="s">
        <v>265</v>
      </c>
      <c r="C455" s="178" t="s">
        <v>155</v>
      </c>
      <c r="D455" s="177" t="s">
        <v>252</v>
      </c>
      <c r="E455" s="177" t="s">
        <v>205</v>
      </c>
      <c r="F455" s="179">
        <v>45996</v>
      </c>
      <c r="G455" s="177">
        <v>405</v>
      </c>
      <c r="H455" s="179">
        <v>45986</v>
      </c>
      <c r="I455" s="179" t="s">
        <v>253</v>
      </c>
      <c r="J455" s="83">
        <v>3496601759</v>
      </c>
      <c r="K455" s="179"/>
      <c r="L455" s="179">
        <v>45986</v>
      </c>
      <c r="M455" s="180">
        <v>46006</v>
      </c>
      <c r="N455" s="181">
        <v>0.73410299999999995</v>
      </c>
      <c r="O455" s="181" t="s">
        <v>170</v>
      </c>
      <c r="P455" s="83" t="s">
        <v>148</v>
      </c>
      <c r="Q455" s="177" t="s">
        <v>149</v>
      </c>
      <c r="R455" s="83"/>
    </row>
    <row r="456" spans="1:18">
      <c r="A456" s="177">
        <v>80813637</v>
      </c>
      <c r="B456" s="177" t="s">
        <v>266</v>
      </c>
      <c r="C456" s="178" t="s">
        <v>155</v>
      </c>
      <c r="D456" s="177" t="s">
        <v>252</v>
      </c>
      <c r="E456" s="177" t="s">
        <v>205</v>
      </c>
      <c r="F456" s="179">
        <v>45996</v>
      </c>
      <c r="G456" s="177">
        <v>405</v>
      </c>
      <c r="H456" s="179">
        <v>45986</v>
      </c>
      <c r="I456" s="179" t="s">
        <v>253</v>
      </c>
      <c r="J456" s="83">
        <v>3496601760</v>
      </c>
      <c r="K456" s="179"/>
      <c r="L456" s="179">
        <v>45986</v>
      </c>
      <c r="M456" s="180">
        <v>46006</v>
      </c>
      <c r="N456" s="181">
        <v>0.73410299999999995</v>
      </c>
      <c r="O456" s="181" t="s">
        <v>170</v>
      </c>
      <c r="P456" s="83" t="s">
        <v>148</v>
      </c>
      <c r="Q456" s="177" t="s">
        <v>149</v>
      </c>
      <c r="R456" s="83"/>
    </row>
    <row r="457" spans="1:18">
      <c r="A457" s="177">
        <v>80813617</v>
      </c>
      <c r="B457" s="177" t="s">
        <v>267</v>
      </c>
      <c r="C457" s="178" t="s">
        <v>155</v>
      </c>
      <c r="D457" s="177" t="s">
        <v>252</v>
      </c>
      <c r="E457" s="177" t="s">
        <v>205</v>
      </c>
      <c r="F457" s="179">
        <v>45996</v>
      </c>
      <c r="G457" s="177">
        <v>405</v>
      </c>
      <c r="H457" s="179">
        <v>45986</v>
      </c>
      <c r="I457" s="179" t="s">
        <v>253</v>
      </c>
      <c r="J457" s="83">
        <v>3496601761</v>
      </c>
      <c r="K457" s="179"/>
      <c r="L457" s="179">
        <v>45986</v>
      </c>
      <c r="M457" s="180">
        <v>46006</v>
      </c>
      <c r="N457" s="181">
        <v>0.73410299999999995</v>
      </c>
      <c r="O457" s="181" t="s">
        <v>170</v>
      </c>
      <c r="P457" s="83" t="s">
        <v>148</v>
      </c>
      <c r="Q457" s="177" t="s">
        <v>149</v>
      </c>
      <c r="R457" s="83"/>
    </row>
    <row r="458" spans="1:18">
      <c r="A458" s="177">
        <v>80813629</v>
      </c>
      <c r="B458" s="177" t="s">
        <v>268</v>
      </c>
      <c r="C458" s="178" t="s">
        <v>155</v>
      </c>
      <c r="D458" s="177" t="s">
        <v>252</v>
      </c>
      <c r="E458" s="177" t="s">
        <v>205</v>
      </c>
      <c r="F458" s="179">
        <v>45996</v>
      </c>
      <c r="G458" s="177">
        <v>405</v>
      </c>
      <c r="H458" s="179">
        <v>45986</v>
      </c>
      <c r="I458" s="179" t="s">
        <v>253</v>
      </c>
      <c r="J458" s="83">
        <v>3496601762</v>
      </c>
      <c r="K458" s="179"/>
      <c r="L458" s="179">
        <v>45986</v>
      </c>
      <c r="M458" s="180">
        <v>46006</v>
      </c>
      <c r="N458" s="181">
        <v>0.73410299999999995</v>
      </c>
      <c r="O458" s="181" t="s">
        <v>170</v>
      </c>
      <c r="P458" s="83" t="s">
        <v>148</v>
      </c>
      <c r="Q458" s="177" t="s">
        <v>149</v>
      </c>
      <c r="R458" s="83"/>
    </row>
    <row r="459" spans="1:18">
      <c r="A459" s="177">
        <v>80820462</v>
      </c>
      <c r="B459" s="177" t="s">
        <v>269</v>
      </c>
      <c r="C459" s="178" t="s">
        <v>155</v>
      </c>
      <c r="D459" s="177" t="s">
        <v>252</v>
      </c>
      <c r="E459" s="177" t="s">
        <v>205</v>
      </c>
      <c r="F459" s="179">
        <v>45996</v>
      </c>
      <c r="G459" s="177">
        <v>810</v>
      </c>
      <c r="H459" s="179">
        <v>45986</v>
      </c>
      <c r="I459" s="179" t="s">
        <v>253</v>
      </c>
      <c r="J459" s="83">
        <v>3496601763</v>
      </c>
      <c r="K459" s="179" t="s">
        <v>270</v>
      </c>
      <c r="L459" s="179">
        <v>45986</v>
      </c>
      <c r="M459" s="180">
        <v>45987</v>
      </c>
      <c r="N459" s="181">
        <v>1.4682059999999999</v>
      </c>
      <c r="O459" s="181" t="s">
        <v>170</v>
      </c>
      <c r="P459" s="83" t="s">
        <v>148</v>
      </c>
      <c r="Q459" s="177" t="s">
        <v>149</v>
      </c>
      <c r="R459" s="83"/>
    </row>
    <row r="460" spans="1:18">
      <c r="A460" s="177">
        <v>80820459</v>
      </c>
      <c r="B460" s="177" t="s">
        <v>271</v>
      </c>
      <c r="C460" s="178" t="s">
        <v>155</v>
      </c>
      <c r="D460" s="177" t="s">
        <v>252</v>
      </c>
      <c r="E460" s="177" t="s">
        <v>205</v>
      </c>
      <c r="F460" s="179">
        <v>45996</v>
      </c>
      <c r="G460" s="177">
        <v>405</v>
      </c>
      <c r="H460" s="179">
        <v>45986</v>
      </c>
      <c r="I460" s="179" t="s">
        <v>253</v>
      </c>
      <c r="J460" s="83">
        <v>3496601764</v>
      </c>
      <c r="K460" s="179" t="s">
        <v>270</v>
      </c>
      <c r="L460" s="179">
        <v>45986</v>
      </c>
      <c r="M460" s="180">
        <v>45987</v>
      </c>
      <c r="N460" s="181">
        <v>0.73410299999999995</v>
      </c>
      <c r="O460" s="181" t="s">
        <v>170</v>
      </c>
      <c r="P460" s="83" t="s">
        <v>148</v>
      </c>
      <c r="Q460" s="177" t="s">
        <v>149</v>
      </c>
      <c r="R460" s="83"/>
    </row>
    <row r="461" spans="1:18">
      <c r="A461" s="177">
        <v>80820464</v>
      </c>
      <c r="B461" s="177" t="s">
        <v>272</v>
      </c>
      <c r="C461" s="178" t="s">
        <v>155</v>
      </c>
      <c r="D461" s="177" t="s">
        <v>252</v>
      </c>
      <c r="E461" s="177" t="s">
        <v>205</v>
      </c>
      <c r="F461" s="179">
        <v>45996</v>
      </c>
      <c r="G461" s="177">
        <v>405</v>
      </c>
      <c r="H461" s="179">
        <v>45986</v>
      </c>
      <c r="I461" s="179" t="s">
        <v>253</v>
      </c>
      <c r="J461" s="83">
        <v>3496601765</v>
      </c>
      <c r="K461" s="179" t="s">
        <v>270</v>
      </c>
      <c r="L461" s="179">
        <v>45986</v>
      </c>
      <c r="M461" s="180">
        <v>45987</v>
      </c>
      <c r="N461" s="181">
        <v>0.73410299999999995</v>
      </c>
      <c r="O461" s="181" t="s">
        <v>170</v>
      </c>
      <c r="P461" s="83" t="s">
        <v>148</v>
      </c>
      <c r="Q461" s="177" t="s">
        <v>149</v>
      </c>
      <c r="R461" s="83"/>
    </row>
    <row r="462" spans="1:18">
      <c r="A462" s="177">
        <v>80820469</v>
      </c>
      <c r="B462" s="177" t="s">
        <v>273</v>
      </c>
      <c r="C462" s="178" t="s">
        <v>155</v>
      </c>
      <c r="D462" s="177" t="s">
        <v>252</v>
      </c>
      <c r="E462" s="177" t="s">
        <v>205</v>
      </c>
      <c r="F462" s="179">
        <v>45996</v>
      </c>
      <c r="G462" s="177">
        <v>810</v>
      </c>
      <c r="H462" s="179">
        <v>45986</v>
      </c>
      <c r="I462" s="179" t="s">
        <v>253</v>
      </c>
      <c r="J462" s="83">
        <v>3496601766</v>
      </c>
      <c r="K462" s="179" t="s">
        <v>270</v>
      </c>
      <c r="L462" s="179">
        <v>45986</v>
      </c>
      <c r="M462" s="180">
        <v>45987</v>
      </c>
      <c r="N462" s="181">
        <v>1.4682059999999999</v>
      </c>
      <c r="O462" s="181" t="s">
        <v>170</v>
      </c>
      <c r="P462" s="83" t="s">
        <v>148</v>
      </c>
      <c r="Q462" s="177" t="s">
        <v>149</v>
      </c>
      <c r="R462" s="83"/>
    </row>
    <row r="463" spans="1:18">
      <c r="A463" s="177">
        <v>80814089</v>
      </c>
      <c r="B463" s="177" t="s">
        <v>251</v>
      </c>
      <c r="C463" s="178" t="s">
        <v>151</v>
      </c>
      <c r="D463" s="177" t="s">
        <v>252</v>
      </c>
      <c r="E463" s="177" t="s">
        <v>205</v>
      </c>
      <c r="F463" s="179">
        <v>45996</v>
      </c>
      <c r="G463" s="177">
        <v>405</v>
      </c>
      <c r="H463" s="179">
        <v>45986</v>
      </c>
      <c r="I463" s="179" t="s">
        <v>253</v>
      </c>
      <c r="J463" s="83">
        <v>3496601767</v>
      </c>
      <c r="K463" s="179"/>
      <c r="L463" s="179">
        <v>45986</v>
      </c>
      <c r="M463" s="180">
        <v>46006</v>
      </c>
      <c r="N463" s="181">
        <v>0.73406249999999995</v>
      </c>
      <c r="O463" s="181" t="s">
        <v>170</v>
      </c>
      <c r="P463" s="83" t="s">
        <v>148</v>
      </c>
      <c r="Q463" s="177" t="s">
        <v>149</v>
      </c>
      <c r="R463" s="83"/>
    </row>
    <row r="464" spans="1:18">
      <c r="A464" s="177">
        <v>80814098</v>
      </c>
      <c r="B464" s="177" t="s">
        <v>254</v>
      </c>
      <c r="C464" s="178" t="s">
        <v>151</v>
      </c>
      <c r="D464" s="177" t="s">
        <v>252</v>
      </c>
      <c r="E464" s="177" t="s">
        <v>205</v>
      </c>
      <c r="F464" s="179">
        <v>45996</v>
      </c>
      <c r="G464" s="177">
        <v>405</v>
      </c>
      <c r="H464" s="179">
        <v>45986</v>
      </c>
      <c r="I464" s="179" t="s">
        <v>253</v>
      </c>
      <c r="J464" s="83">
        <v>3496601768</v>
      </c>
      <c r="K464" s="179"/>
      <c r="L464" s="179">
        <v>45986</v>
      </c>
      <c r="M464" s="180">
        <v>46006</v>
      </c>
      <c r="N464" s="181">
        <v>0.73406249999999995</v>
      </c>
      <c r="O464" s="181" t="s">
        <v>170</v>
      </c>
      <c r="P464" s="83" t="s">
        <v>148</v>
      </c>
      <c r="Q464" s="177" t="s">
        <v>149</v>
      </c>
      <c r="R464" s="83"/>
    </row>
    <row r="465" spans="1:18">
      <c r="A465" s="177">
        <v>80814097</v>
      </c>
      <c r="B465" s="177" t="s">
        <v>255</v>
      </c>
      <c r="C465" s="178" t="s">
        <v>151</v>
      </c>
      <c r="D465" s="177" t="s">
        <v>252</v>
      </c>
      <c r="E465" s="177" t="s">
        <v>205</v>
      </c>
      <c r="F465" s="179">
        <v>45996</v>
      </c>
      <c r="G465" s="177">
        <v>405</v>
      </c>
      <c r="H465" s="179">
        <v>45986</v>
      </c>
      <c r="I465" s="179" t="s">
        <v>253</v>
      </c>
      <c r="J465" s="83">
        <v>3496601769</v>
      </c>
      <c r="K465" s="179"/>
      <c r="L465" s="179">
        <v>45986</v>
      </c>
      <c r="M465" s="180">
        <v>46006</v>
      </c>
      <c r="N465" s="181">
        <v>0.73406249999999995</v>
      </c>
      <c r="O465" s="181" t="s">
        <v>170</v>
      </c>
      <c r="P465" s="83" t="s">
        <v>148</v>
      </c>
      <c r="Q465" s="177" t="s">
        <v>149</v>
      </c>
      <c r="R465" s="83"/>
    </row>
    <row r="466" spans="1:18">
      <c r="A466" s="177">
        <v>80814081</v>
      </c>
      <c r="B466" s="177" t="s">
        <v>256</v>
      </c>
      <c r="C466" s="178" t="s">
        <v>151</v>
      </c>
      <c r="D466" s="177" t="s">
        <v>252</v>
      </c>
      <c r="E466" s="177" t="s">
        <v>205</v>
      </c>
      <c r="F466" s="179">
        <v>45996</v>
      </c>
      <c r="G466" s="177">
        <v>405</v>
      </c>
      <c r="H466" s="179">
        <v>45986</v>
      </c>
      <c r="I466" s="179" t="s">
        <v>253</v>
      </c>
      <c r="J466" s="83">
        <v>3496601770</v>
      </c>
      <c r="K466" s="179"/>
      <c r="L466" s="179">
        <v>45986</v>
      </c>
      <c r="M466" s="180">
        <v>46006</v>
      </c>
      <c r="N466" s="181">
        <v>0.73406249999999995</v>
      </c>
      <c r="O466" s="181" t="s">
        <v>170</v>
      </c>
      <c r="P466" s="83" t="s">
        <v>148</v>
      </c>
      <c r="Q466" s="177" t="s">
        <v>149</v>
      </c>
      <c r="R466" s="83"/>
    </row>
    <row r="467" spans="1:18">
      <c r="A467" s="177">
        <v>80815648</v>
      </c>
      <c r="B467" s="177" t="s">
        <v>257</v>
      </c>
      <c r="C467" s="178" t="s">
        <v>151</v>
      </c>
      <c r="D467" s="177" t="s">
        <v>252</v>
      </c>
      <c r="E467" s="177" t="s">
        <v>205</v>
      </c>
      <c r="F467" s="179">
        <v>45996</v>
      </c>
      <c r="G467" s="177">
        <v>753</v>
      </c>
      <c r="H467" s="179">
        <v>45986</v>
      </c>
      <c r="I467" s="179" t="s">
        <v>253</v>
      </c>
      <c r="J467" s="83">
        <v>3496601771</v>
      </c>
      <c r="K467" s="179"/>
      <c r="L467" s="179">
        <v>45986</v>
      </c>
      <c r="M467" s="180">
        <v>46006</v>
      </c>
      <c r="N467" s="181">
        <v>1.4672205</v>
      </c>
      <c r="O467" s="181" t="s">
        <v>170</v>
      </c>
      <c r="P467" s="83" t="s">
        <v>148</v>
      </c>
      <c r="Q467" s="177" t="s">
        <v>149</v>
      </c>
      <c r="R467" s="83"/>
    </row>
    <row r="468" spans="1:18">
      <c r="A468" s="177">
        <v>80815643</v>
      </c>
      <c r="B468" s="177" t="s">
        <v>258</v>
      </c>
      <c r="C468" s="178" t="s">
        <v>151</v>
      </c>
      <c r="D468" s="177" t="s">
        <v>252</v>
      </c>
      <c r="E468" s="177" t="s">
        <v>205</v>
      </c>
      <c r="F468" s="179">
        <v>45996</v>
      </c>
      <c r="G468" s="177">
        <v>753</v>
      </c>
      <c r="H468" s="179">
        <v>45986</v>
      </c>
      <c r="I468" s="179" t="s">
        <v>253</v>
      </c>
      <c r="J468" s="83">
        <v>3496601772</v>
      </c>
      <c r="K468" s="179"/>
      <c r="L468" s="179">
        <v>45986</v>
      </c>
      <c r="M468" s="180">
        <v>46006</v>
      </c>
      <c r="N468" s="181">
        <v>1.4672205</v>
      </c>
      <c r="O468" s="181" t="s">
        <v>170</v>
      </c>
      <c r="P468" s="83" t="s">
        <v>148</v>
      </c>
      <c r="Q468" s="177" t="s">
        <v>149</v>
      </c>
      <c r="R468" s="83"/>
    </row>
    <row r="469" spans="1:18">
      <c r="A469" s="177">
        <v>80815642</v>
      </c>
      <c r="B469" s="177" t="s">
        <v>259</v>
      </c>
      <c r="C469" s="178" t="s">
        <v>151</v>
      </c>
      <c r="D469" s="177" t="s">
        <v>252</v>
      </c>
      <c r="E469" s="177" t="s">
        <v>205</v>
      </c>
      <c r="F469" s="179">
        <v>45996</v>
      </c>
      <c r="G469" s="177">
        <v>753</v>
      </c>
      <c r="H469" s="179">
        <v>45986</v>
      </c>
      <c r="I469" s="179" t="s">
        <v>253</v>
      </c>
      <c r="J469" s="83">
        <v>3496601773</v>
      </c>
      <c r="K469" s="179"/>
      <c r="L469" s="179">
        <v>45986</v>
      </c>
      <c r="M469" s="180">
        <v>46006</v>
      </c>
      <c r="N469" s="181">
        <v>1.4672205</v>
      </c>
      <c r="O469" s="181" t="s">
        <v>170</v>
      </c>
      <c r="P469" s="83" t="s">
        <v>148</v>
      </c>
      <c r="Q469" s="177" t="s">
        <v>149</v>
      </c>
      <c r="R469" s="83"/>
    </row>
    <row r="470" spans="1:18">
      <c r="A470" s="177">
        <v>80815644</v>
      </c>
      <c r="B470" s="177" t="s">
        <v>260</v>
      </c>
      <c r="C470" s="178" t="s">
        <v>151</v>
      </c>
      <c r="D470" s="177" t="s">
        <v>252</v>
      </c>
      <c r="E470" s="177" t="s">
        <v>205</v>
      </c>
      <c r="F470" s="179">
        <v>45996</v>
      </c>
      <c r="G470" s="177">
        <v>377</v>
      </c>
      <c r="H470" s="179">
        <v>45986</v>
      </c>
      <c r="I470" s="179" t="s">
        <v>253</v>
      </c>
      <c r="J470" s="83">
        <v>3496601774</v>
      </c>
      <c r="K470" s="179"/>
      <c r="L470" s="179">
        <v>45986</v>
      </c>
      <c r="M470" s="180">
        <v>46006</v>
      </c>
      <c r="N470" s="181">
        <v>0.73458449999999997</v>
      </c>
      <c r="O470" s="181" t="s">
        <v>170</v>
      </c>
      <c r="P470" s="83" t="s">
        <v>148</v>
      </c>
      <c r="Q470" s="177" t="s">
        <v>149</v>
      </c>
      <c r="R470" s="83"/>
    </row>
    <row r="471" spans="1:18">
      <c r="A471" s="177">
        <v>80815645</v>
      </c>
      <c r="B471" s="177" t="s">
        <v>261</v>
      </c>
      <c r="C471" s="178" t="s">
        <v>151</v>
      </c>
      <c r="D471" s="177" t="s">
        <v>252</v>
      </c>
      <c r="E471" s="177" t="s">
        <v>205</v>
      </c>
      <c r="F471" s="179">
        <v>45996</v>
      </c>
      <c r="G471" s="177">
        <v>753</v>
      </c>
      <c r="H471" s="179">
        <v>45986</v>
      </c>
      <c r="I471" s="179" t="s">
        <v>253</v>
      </c>
      <c r="J471" s="83">
        <v>3496601775</v>
      </c>
      <c r="K471" s="179"/>
      <c r="L471" s="179">
        <v>45986</v>
      </c>
      <c r="M471" s="180">
        <v>46006</v>
      </c>
      <c r="N471" s="181">
        <v>1.4672205</v>
      </c>
      <c r="O471" s="181" t="s">
        <v>170</v>
      </c>
      <c r="P471" s="83" t="s">
        <v>148</v>
      </c>
      <c r="Q471" s="177" t="s">
        <v>149</v>
      </c>
      <c r="R471" s="83"/>
    </row>
    <row r="472" spans="1:18">
      <c r="A472" s="177">
        <v>80815647</v>
      </c>
      <c r="B472" s="177" t="s">
        <v>262</v>
      </c>
      <c r="C472" s="178" t="s">
        <v>151</v>
      </c>
      <c r="D472" s="177" t="s">
        <v>252</v>
      </c>
      <c r="E472" s="177" t="s">
        <v>205</v>
      </c>
      <c r="F472" s="179">
        <v>45996</v>
      </c>
      <c r="G472" s="177">
        <v>377</v>
      </c>
      <c r="H472" s="179">
        <v>45986</v>
      </c>
      <c r="I472" s="179" t="s">
        <v>253</v>
      </c>
      <c r="J472" s="83">
        <v>3496601776</v>
      </c>
      <c r="K472" s="179"/>
      <c r="L472" s="179">
        <v>45986</v>
      </c>
      <c r="M472" s="180">
        <v>46006</v>
      </c>
      <c r="N472" s="181">
        <v>0.73458449999999997</v>
      </c>
      <c r="O472" s="181" t="s">
        <v>170</v>
      </c>
      <c r="P472" s="83" t="s">
        <v>148</v>
      </c>
      <c r="Q472" s="177" t="s">
        <v>149</v>
      </c>
      <c r="R472" s="83"/>
    </row>
    <row r="473" spans="1:18">
      <c r="A473" s="177">
        <v>80813610</v>
      </c>
      <c r="B473" s="177" t="s">
        <v>263</v>
      </c>
      <c r="C473" s="178" t="s">
        <v>151</v>
      </c>
      <c r="D473" s="177" t="s">
        <v>252</v>
      </c>
      <c r="E473" s="177" t="s">
        <v>205</v>
      </c>
      <c r="F473" s="179">
        <v>45996</v>
      </c>
      <c r="G473" s="177">
        <v>405</v>
      </c>
      <c r="H473" s="179">
        <v>45986</v>
      </c>
      <c r="I473" s="179" t="s">
        <v>253</v>
      </c>
      <c r="J473" s="83">
        <v>3496601777</v>
      </c>
      <c r="K473" s="179"/>
      <c r="L473" s="179">
        <v>45986</v>
      </c>
      <c r="M473" s="180">
        <v>46006</v>
      </c>
      <c r="N473" s="181">
        <v>0.73410299999999995</v>
      </c>
      <c r="O473" s="181" t="s">
        <v>170</v>
      </c>
      <c r="P473" s="83" t="s">
        <v>148</v>
      </c>
      <c r="Q473" s="177" t="s">
        <v>149</v>
      </c>
      <c r="R473" s="83"/>
    </row>
    <row r="474" spans="1:18">
      <c r="A474" s="177">
        <v>80813619</v>
      </c>
      <c r="B474" s="177" t="s">
        <v>264</v>
      </c>
      <c r="C474" s="178" t="s">
        <v>151</v>
      </c>
      <c r="D474" s="177" t="s">
        <v>252</v>
      </c>
      <c r="E474" s="177" t="s">
        <v>205</v>
      </c>
      <c r="F474" s="179">
        <v>45996</v>
      </c>
      <c r="G474" s="177">
        <v>405</v>
      </c>
      <c r="H474" s="179">
        <v>45986</v>
      </c>
      <c r="I474" s="179" t="s">
        <v>253</v>
      </c>
      <c r="J474" s="83">
        <v>3496601858</v>
      </c>
      <c r="K474" s="179"/>
      <c r="L474" s="179">
        <v>45986</v>
      </c>
      <c r="M474" s="180">
        <v>46006</v>
      </c>
      <c r="N474" s="181">
        <v>0.73410299999999995</v>
      </c>
      <c r="O474" s="181" t="s">
        <v>170</v>
      </c>
      <c r="P474" s="83" t="s">
        <v>148</v>
      </c>
      <c r="Q474" s="177" t="s">
        <v>149</v>
      </c>
      <c r="R474" s="83"/>
    </row>
    <row r="475" spans="1:18">
      <c r="A475" s="177">
        <v>80813615</v>
      </c>
      <c r="B475" s="177" t="s">
        <v>265</v>
      </c>
      <c r="C475" s="178" t="s">
        <v>151</v>
      </c>
      <c r="D475" s="177" t="s">
        <v>252</v>
      </c>
      <c r="E475" s="177" t="s">
        <v>205</v>
      </c>
      <c r="F475" s="179">
        <v>45996</v>
      </c>
      <c r="G475" s="177">
        <v>405</v>
      </c>
      <c r="H475" s="179">
        <v>45986</v>
      </c>
      <c r="I475" s="179" t="s">
        <v>253</v>
      </c>
      <c r="J475" s="83">
        <v>3496601860</v>
      </c>
      <c r="K475" s="179"/>
      <c r="L475" s="179">
        <v>45986</v>
      </c>
      <c r="M475" s="180">
        <v>46006</v>
      </c>
      <c r="N475" s="181">
        <v>0.73410299999999995</v>
      </c>
      <c r="O475" s="181" t="s">
        <v>170</v>
      </c>
      <c r="P475" s="83" t="s">
        <v>148</v>
      </c>
      <c r="Q475" s="177" t="s">
        <v>149</v>
      </c>
      <c r="R475" s="83"/>
    </row>
    <row r="476" spans="1:18">
      <c r="A476" s="177">
        <v>80813637</v>
      </c>
      <c r="B476" s="177" t="s">
        <v>266</v>
      </c>
      <c r="C476" s="178" t="s">
        <v>151</v>
      </c>
      <c r="D476" s="177" t="s">
        <v>252</v>
      </c>
      <c r="E476" s="177" t="s">
        <v>205</v>
      </c>
      <c r="F476" s="179">
        <v>45996</v>
      </c>
      <c r="G476" s="177">
        <v>405</v>
      </c>
      <c r="H476" s="179">
        <v>45986</v>
      </c>
      <c r="I476" s="179" t="s">
        <v>253</v>
      </c>
      <c r="J476" s="83">
        <v>3496601862</v>
      </c>
      <c r="K476" s="179"/>
      <c r="L476" s="179">
        <v>45986</v>
      </c>
      <c r="M476" s="180">
        <v>46006</v>
      </c>
      <c r="N476" s="181">
        <v>0.73410299999999995</v>
      </c>
      <c r="O476" s="181" t="s">
        <v>170</v>
      </c>
      <c r="P476" s="83" t="s">
        <v>148</v>
      </c>
      <c r="Q476" s="177" t="s">
        <v>149</v>
      </c>
      <c r="R476" s="83"/>
    </row>
    <row r="477" spans="1:18">
      <c r="A477" s="177">
        <v>80813617</v>
      </c>
      <c r="B477" s="177" t="s">
        <v>267</v>
      </c>
      <c r="C477" s="178" t="s">
        <v>151</v>
      </c>
      <c r="D477" s="177" t="s">
        <v>252</v>
      </c>
      <c r="E477" s="177" t="s">
        <v>205</v>
      </c>
      <c r="F477" s="179">
        <v>45996</v>
      </c>
      <c r="G477" s="177">
        <v>405</v>
      </c>
      <c r="H477" s="179">
        <v>45986</v>
      </c>
      <c r="I477" s="179" t="s">
        <v>253</v>
      </c>
      <c r="J477" s="83">
        <v>3496601863</v>
      </c>
      <c r="K477" s="179"/>
      <c r="L477" s="179">
        <v>45986</v>
      </c>
      <c r="M477" s="180">
        <v>46006</v>
      </c>
      <c r="N477" s="181">
        <v>0.73410299999999995</v>
      </c>
      <c r="O477" s="181" t="s">
        <v>170</v>
      </c>
      <c r="P477" s="83" t="s">
        <v>148</v>
      </c>
      <c r="Q477" s="177" t="s">
        <v>149</v>
      </c>
      <c r="R477" s="83"/>
    </row>
    <row r="478" spans="1:18">
      <c r="A478" s="177">
        <v>80813629</v>
      </c>
      <c r="B478" s="177" t="s">
        <v>268</v>
      </c>
      <c r="C478" s="178" t="s">
        <v>151</v>
      </c>
      <c r="D478" s="177" t="s">
        <v>252</v>
      </c>
      <c r="E478" s="177" t="s">
        <v>205</v>
      </c>
      <c r="F478" s="179">
        <v>45996</v>
      </c>
      <c r="G478" s="177">
        <v>405</v>
      </c>
      <c r="H478" s="179">
        <v>45986</v>
      </c>
      <c r="I478" s="179" t="s">
        <v>253</v>
      </c>
      <c r="J478" s="83">
        <v>3496601865</v>
      </c>
      <c r="K478" s="179"/>
      <c r="L478" s="179">
        <v>45986</v>
      </c>
      <c r="M478" s="180">
        <v>46006</v>
      </c>
      <c r="N478" s="181">
        <v>0.73410299999999995</v>
      </c>
      <c r="O478" s="181" t="s">
        <v>170</v>
      </c>
      <c r="P478" s="83" t="s">
        <v>148</v>
      </c>
      <c r="Q478" s="177" t="s">
        <v>149</v>
      </c>
      <c r="R478" s="83"/>
    </row>
    <row r="479" spans="1:18">
      <c r="A479" s="177">
        <v>80820462</v>
      </c>
      <c r="B479" s="177" t="s">
        <v>269</v>
      </c>
      <c r="C479" s="178" t="s">
        <v>151</v>
      </c>
      <c r="D479" s="177" t="s">
        <v>252</v>
      </c>
      <c r="E479" s="177" t="s">
        <v>205</v>
      </c>
      <c r="F479" s="179">
        <v>45996</v>
      </c>
      <c r="G479" s="177">
        <v>810</v>
      </c>
      <c r="H479" s="179">
        <v>45986</v>
      </c>
      <c r="I479" s="179" t="s">
        <v>253</v>
      </c>
      <c r="J479" s="83">
        <v>3496601867</v>
      </c>
      <c r="K479" s="179" t="s">
        <v>270</v>
      </c>
      <c r="L479" s="179">
        <v>45986</v>
      </c>
      <c r="M479" s="180">
        <v>45987</v>
      </c>
      <c r="N479" s="181">
        <v>1.4682059999999999</v>
      </c>
      <c r="O479" s="181" t="s">
        <v>170</v>
      </c>
      <c r="P479" s="83" t="s">
        <v>148</v>
      </c>
      <c r="Q479" s="177" t="s">
        <v>149</v>
      </c>
      <c r="R479" s="83"/>
    </row>
    <row r="480" spans="1:18">
      <c r="A480" s="177">
        <v>80820459</v>
      </c>
      <c r="B480" s="177" t="s">
        <v>271</v>
      </c>
      <c r="C480" s="178" t="s">
        <v>151</v>
      </c>
      <c r="D480" s="177" t="s">
        <v>252</v>
      </c>
      <c r="E480" s="177" t="s">
        <v>205</v>
      </c>
      <c r="F480" s="179">
        <v>45996</v>
      </c>
      <c r="G480" s="177">
        <v>405</v>
      </c>
      <c r="H480" s="179">
        <v>45986</v>
      </c>
      <c r="I480" s="179" t="s">
        <v>253</v>
      </c>
      <c r="J480" s="83">
        <v>3496601868</v>
      </c>
      <c r="K480" s="179" t="s">
        <v>270</v>
      </c>
      <c r="L480" s="179">
        <v>45986</v>
      </c>
      <c r="M480" s="180">
        <v>45987</v>
      </c>
      <c r="N480" s="181">
        <v>0.73410299999999995</v>
      </c>
      <c r="O480" s="181" t="s">
        <v>170</v>
      </c>
      <c r="P480" s="83" t="s">
        <v>148</v>
      </c>
      <c r="Q480" s="177" t="s">
        <v>149</v>
      </c>
      <c r="R480" s="83"/>
    </row>
    <row r="481" spans="1:18">
      <c r="A481" s="177">
        <v>80820464</v>
      </c>
      <c r="B481" s="177" t="s">
        <v>272</v>
      </c>
      <c r="C481" s="178" t="s">
        <v>151</v>
      </c>
      <c r="D481" s="177" t="s">
        <v>252</v>
      </c>
      <c r="E481" s="177" t="s">
        <v>205</v>
      </c>
      <c r="F481" s="179">
        <v>45996</v>
      </c>
      <c r="G481" s="177">
        <v>405</v>
      </c>
      <c r="H481" s="179">
        <v>45986</v>
      </c>
      <c r="I481" s="179" t="s">
        <v>253</v>
      </c>
      <c r="J481" s="83">
        <v>3496601869</v>
      </c>
      <c r="K481" s="179" t="s">
        <v>270</v>
      </c>
      <c r="L481" s="179">
        <v>45986</v>
      </c>
      <c r="M481" s="180">
        <v>45987</v>
      </c>
      <c r="N481" s="181">
        <v>0.73410299999999995</v>
      </c>
      <c r="O481" s="181" t="s">
        <v>170</v>
      </c>
      <c r="P481" s="83" t="s">
        <v>148</v>
      </c>
      <c r="Q481" s="177" t="s">
        <v>149</v>
      </c>
      <c r="R481" s="83"/>
    </row>
    <row r="482" spans="1:18">
      <c r="A482" s="177">
        <v>80820469</v>
      </c>
      <c r="B482" s="177" t="s">
        <v>273</v>
      </c>
      <c r="C482" s="178" t="s">
        <v>151</v>
      </c>
      <c r="D482" s="177" t="s">
        <v>252</v>
      </c>
      <c r="E482" s="177" t="s">
        <v>205</v>
      </c>
      <c r="F482" s="179">
        <v>45996</v>
      </c>
      <c r="G482" s="177">
        <v>810</v>
      </c>
      <c r="H482" s="179">
        <v>45986</v>
      </c>
      <c r="I482" s="179" t="s">
        <v>253</v>
      </c>
      <c r="J482" s="83">
        <v>3496601872</v>
      </c>
      <c r="K482" s="179" t="s">
        <v>270</v>
      </c>
      <c r="L482" s="179">
        <v>45986</v>
      </c>
      <c r="M482" s="180">
        <v>45987</v>
      </c>
      <c r="N482" s="181">
        <v>1.4682059999999999</v>
      </c>
      <c r="O482" s="181" t="s">
        <v>170</v>
      </c>
      <c r="P482" s="83" t="s">
        <v>148</v>
      </c>
      <c r="Q482" s="177" t="s">
        <v>149</v>
      </c>
      <c r="R482" s="83"/>
    </row>
    <row r="483" spans="1:18">
      <c r="A483" s="177">
        <v>80814089</v>
      </c>
      <c r="B483" s="177" t="s">
        <v>251</v>
      </c>
      <c r="C483" s="178" t="s">
        <v>150</v>
      </c>
      <c r="D483" s="177" t="s">
        <v>252</v>
      </c>
      <c r="E483" s="177" t="s">
        <v>205</v>
      </c>
      <c r="F483" s="179">
        <v>45996</v>
      </c>
      <c r="G483" s="177">
        <v>405</v>
      </c>
      <c r="H483" s="179">
        <v>45986</v>
      </c>
      <c r="I483" s="179" t="s">
        <v>253</v>
      </c>
      <c r="J483" s="83">
        <v>3496601873</v>
      </c>
      <c r="K483" s="179"/>
      <c r="L483" s="179">
        <v>45986</v>
      </c>
      <c r="M483" s="180">
        <v>46006</v>
      </c>
      <c r="N483" s="181">
        <v>0.73406249999999995</v>
      </c>
      <c r="O483" s="181" t="s">
        <v>170</v>
      </c>
      <c r="P483" s="83" t="s">
        <v>148</v>
      </c>
      <c r="Q483" s="177" t="s">
        <v>149</v>
      </c>
      <c r="R483" s="83"/>
    </row>
    <row r="484" spans="1:18">
      <c r="A484" s="177">
        <v>80814098</v>
      </c>
      <c r="B484" s="177" t="s">
        <v>254</v>
      </c>
      <c r="C484" s="178" t="s">
        <v>150</v>
      </c>
      <c r="D484" s="177" t="s">
        <v>252</v>
      </c>
      <c r="E484" s="177" t="s">
        <v>205</v>
      </c>
      <c r="F484" s="179">
        <v>45996</v>
      </c>
      <c r="G484" s="177">
        <v>405</v>
      </c>
      <c r="H484" s="179">
        <v>45986</v>
      </c>
      <c r="I484" s="179" t="s">
        <v>253</v>
      </c>
      <c r="J484" s="83">
        <v>3496601874</v>
      </c>
      <c r="K484" s="179"/>
      <c r="L484" s="179">
        <v>45986</v>
      </c>
      <c r="M484" s="180">
        <v>46006</v>
      </c>
      <c r="N484" s="181">
        <v>0.73406249999999995</v>
      </c>
      <c r="O484" s="181" t="s">
        <v>170</v>
      </c>
      <c r="P484" s="83" t="s">
        <v>148</v>
      </c>
      <c r="Q484" s="177" t="s">
        <v>149</v>
      </c>
      <c r="R484" s="83"/>
    </row>
    <row r="485" spans="1:18">
      <c r="A485" s="177">
        <v>80814097</v>
      </c>
      <c r="B485" s="177" t="s">
        <v>255</v>
      </c>
      <c r="C485" s="178" t="s">
        <v>150</v>
      </c>
      <c r="D485" s="177" t="s">
        <v>252</v>
      </c>
      <c r="E485" s="177" t="s">
        <v>205</v>
      </c>
      <c r="F485" s="179">
        <v>45996</v>
      </c>
      <c r="G485" s="177">
        <v>405</v>
      </c>
      <c r="H485" s="179">
        <v>45986</v>
      </c>
      <c r="I485" s="179" t="s">
        <v>253</v>
      </c>
      <c r="J485" s="83">
        <v>3496601877</v>
      </c>
      <c r="K485" s="179"/>
      <c r="L485" s="179">
        <v>45986</v>
      </c>
      <c r="M485" s="180">
        <v>46006</v>
      </c>
      <c r="N485" s="181">
        <v>0.73406249999999995</v>
      </c>
      <c r="O485" s="181" t="s">
        <v>170</v>
      </c>
      <c r="P485" s="83" t="s">
        <v>148</v>
      </c>
      <c r="Q485" s="177" t="s">
        <v>149</v>
      </c>
      <c r="R485" s="83"/>
    </row>
    <row r="486" spans="1:18">
      <c r="A486" s="177">
        <v>80814081</v>
      </c>
      <c r="B486" s="177" t="s">
        <v>256</v>
      </c>
      <c r="C486" s="178" t="s">
        <v>150</v>
      </c>
      <c r="D486" s="177" t="s">
        <v>252</v>
      </c>
      <c r="E486" s="177" t="s">
        <v>205</v>
      </c>
      <c r="F486" s="179">
        <v>45996</v>
      </c>
      <c r="G486" s="177">
        <v>405</v>
      </c>
      <c r="H486" s="179">
        <v>45986</v>
      </c>
      <c r="I486" s="179" t="s">
        <v>253</v>
      </c>
      <c r="J486" s="83">
        <v>3496601898</v>
      </c>
      <c r="K486" s="179"/>
      <c r="L486" s="179">
        <v>45986</v>
      </c>
      <c r="M486" s="180">
        <v>46006</v>
      </c>
      <c r="N486" s="181">
        <v>0.73406249999999995</v>
      </c>
      <c r="O486" s="181" t="s">
        <v>170</v>
      </c>
      <c r="P486" s="83" t="s">
        <v>148</v>
      </c>
      <c r="Q486" s="177" t="s">
        <v>149</v>
      </c>
      <c r="R486" s="83"/>
    </row>
    <row r="487" spans="1:18">
      <c r="A487" s="177">
        <v>80815648</v>
      </c>
      <c r="B487" s="177" t="s">
        <v>257</v>
      </c>
      <c r="C487" s="178" t="s">
        <v>150</v>
      </c>
      <c r="D487" s="177" t="s">
        <v>252</v>
      </c>
      <c r="E487" s="177" t="s">
        <v>205</v>
      </c>
      <c r="F487" s="179">
        <v>45996</v>
      </c>
      <c r="G487" s="177">
        <v>753</v>
      </c>
      <c r="H487" s="179">
        <v>45986</v>
      </c>
      <c r="I487" s="179" t="s">
        <v>253</v>
      </c>
      <c r="J487" s="83">
        <v>3496601899</v>
      </c>
      <c r="K487" s="179"/>
      <c r="L487" s="179">
        <v>45986</v>
      </c>
      <c r="M487" s="180">
        <v>46006</v>
      </c>
      <c r="N487" s="181">
        <v>1.4672205</v>
      </c>
      <c r="O487" s="181" t="s">
        <v>170</v>
      </c>
      <c r="P487" s="83" t="s">
        <v>148</v>
      </c>
      <c r="Q487" s="177" t="s">
        <v>149</v>
      </c>
      <c r="R487" s="83"/>
    </row>
    <row r="488" spans="1:18">
      <c r="A488" s="177">
        <v>80815643</v>
      </c>
      <c r="B488" s="177" t="s">
        <v>258</v>
      </c>
      <c r="C488" s="178" t="s">
        <v>150</v>
      </c>
      <c r="D488" s="177" t="s">
        <v>252</v>
      </c>
      <c r="E488" s="177" t="s">
        <v>205</v>
      </c>
      <c r="F488" s="179">
        <v>45996</v>
      </c>
      <c r="G488" s="177">
        <v>753</v>
      </c>
      <c r="H488" s="179">
        <v>45986</v>
      </c>
      <c r="I488" s="179" t="s">
        <v>253</v>
      </c>
      <c r="J488" s="83">
        <v>3496601901</v>
      </c>
      <c r="K488" s="179"/>
      <c r="L488" s="179">
        <v>45986</v>
      </c>
      <c r="M488" s="180">
        <v>46006</v>
      </c>
      <c r="N488" s="181">
        <v>1.4672205</v>
      </c>
      <c r="O488" s="181" t="s">
        <v>170</v>
      </c>
      <c r="P488" s="83" t="s">
        <v>148</v>
      </c>
      <c r="Q488" s="177" t="s">
        <v>149</v>
      </c>
      <c r="R488" s="83"/>
    </row>
    <row r="489" spans="1:18">
      <c r="A489" s="177">
        <v>80815642</v>
      </c>
      <c r="B489" s="177" t="s">
        <v>259</v>
      </c>
      <c r="C489" s="178" t="s">
        <v>150</v>
      </c>
      <c r="D489" s="177" t="s">
        <v>252</v>
      </c>
      <c r="E489" s="177" t="s">
        <v>205</v>
      </c>
      <c r="F489" s="179">
        <v>45996</v>
      </c>
      <c r="G489" s="177">
        <v>753</v>
      </c>
      <c r="H489" s="179">
        <v>45986</v>
      </c>
      <c r="I489" s="179" t="s">
        <v>253</v>
      </c>
      <c r="J489" s="83">
        <v>3496601903</v>
      </c>
      <c r="K489" s="179"/>
      <c r="L489" s="179">
        <v>45986</v>
      </c>
      <c r="M489" s="180">
        <v>46006</v>
      </c>
      <c r="N489" s="181">
        <v>1.4672205</v>
      </c>
      <c r="O489" s="181" t="s">
        <v>170</v>
      </c>
      <c r="P489" s="83" t="s">
        <v>148</v>
      </c>
      <c r="Q489" s="177" t="s">
        <v>149</v>
      </c>
      <c r="R489" s="83"/>
    </row>
    <row r="490" spans="1:18">
      <c r="A490" s="177">
        <v>80815644</v>
      </c>
      <c r="B490" s="177" t="s">
        <v>260</v>
      </c>
      <c r="C490" s="178" t="s">
        <v>150</v>
      </c>
      <c r="D490" s="177" t="s">
        <v>252</v>
      </c>
      <c r="E490" s="177" t="s">
        <v>205</v>
      </c>
      <c r="F490" s="179">
        <v>45996</v>
      </c>
      <c r="G490" s="177">
        <v>377</v>
      </c>
      <c r="H490" s="179">
        <v>45986</v>
      </c>
      <c r="I490" s="179" t="s">
        <v>253</v>
      </c>
      <c r="J490" s="83">
        <v>3496601904</v>
      </c>
      <c r="K490" s="179"/>
      <c r="L490" s="179">
        <v>45986</v>
      </c>
      <c r="M490" s="180">
        <v>46006</v>
      </c>
      <c r="N490" s="181">
        <v>0.73458449999999997</v>
      </c>
      <c r="O490" s="181" t="s">
        <v>170</v>
      </c>
      <c r="P490" s="83" t="s">
        <v>148</v>
      </c>
      <c r="Q490" s="177" t="s">
        <v>149</v>
      </c>
      <c r="R490" s="83"/>
    </row>
    <row r="491" spans="1:18">
      <c r="A491" s="177">
        <v>80815645</v>
      </c>
      <c r="B491" s="177" t="s">
        <v>261</v>
      </c>
      <c r="C491" s="178" t="s">
        <v>150</v>
      </c>
      <c r="D491" s="177" t="s">
        <v>252</v>
      </c>
      <c r="E491" s="177" t="s">
        <v>205</v>
      </c>
      <c r="F491" s="179">
        <v>45996</v>
      </c>
      <c r="G491" s="177">
        <v>753</v>
      </c>
      <c r="H491" s="179">
        <v>45986</v>
      </c>
      <c r="I491" s="179" t="s">
        <v>253</v>
      </c>
      <c r="J491" s="83">
        <v>3496601906</v>
      </c>
      <c r="K491" s="179"/>
      <c r="L491" s="179">
        <v>45986</v>
      </c>
      <c r="M491" s="180">
        <v>46006</v>
      </c>
      <c r="N491" s="181">
        <v>1.4672205</v>
      </c>
      <c r="O491" s="181" t="s">
        <v>170</v>
      </c>
      <c r="P491" s="83" t="s">
        <v>148</v>
      </c>
      <c r="Q491" s="177" t="s">
        <v>149</v>
      </c>
      <c r="R491" s="83"/>
    </row>
    <row r="492" spans="1:18">
      <c r="A492" s="177">
        <v>80815647</v>
      </c>
      <c r="B492" s="177" t="s">
        <v>262</v>
      </c>
      <c r="C492" s="178" t="s">
        <v>150</v>
      </c>
      <c r="D492" s="177" t="s">
        <v>252</v>
      </c>
      <c r="E492" s="177" t="s">
        <v>205</v>
      </c>
      <c r="F492" s="179">
        <v>45996</v>
      </c>
      <c r="G492" s="177">
        <v>377</v>
      </c>
      <c r="H492" s="179">
        <v>45986</v>
      </c>
      <c r="I492" s="179" t="s">
        <v>253</v>
      </c>
      <c r="J492" s="83">
        <v>3496601908</v>
      </c>
      <c r="K492" s="179"/>
      <c r="L492" s="179">
        <v>45986</v>
      </c>
      <c r="M492" s="180">
        <v>46006</v>
      </c>
      <c r="N492" s="181">
        <v>0.73458449999999997</v>
      </c>
      <c r="O492" s="181" t="s">
        <v>170</v>
      </c>
      <c r="P492" s="83" t="s">
        <v>148</v>
      </c>
      <c r="Q492" s="177" t="s">
        <v>149</v>
      </c>
      <c r="R492" s="83"/>
    </row>
    <row r="493" spans="1:18">
      <c r="A493" s="177">
        <v>80813610</v>
      </c>
      <c r="B493" s="177" t="s">
        <v>263</v>
      </c>
      <c r="C493" s="178" t="s">
        <v>150</v>
      </c>
      <c r="D493" s="177" t="s">
        <v>252</v>
      </c>
      <c r="E493" s="177" t="s">
        <v>205</v>
      </c>
      <c r="F493" s="179">
        <v>45996</v>
      </c>
      <c r="G493" s="177">
        <v>405</v>
      </c>
      <c r="H493" s="179">
        <v>45986</v>
      </c>
      <c r="I493" s="179" t="s">
        <v>253</v>
      </c>
      <c r="J493" s="83">
        <v>3496601909</v>
      </c>
      <c r="K493" s="179"/>
      <c r="L493" s="179">
        <v>45986</v>
      </c>
      <c r="M493" s="180">
        <v>46006</v>
      </c>
      <c r="N493" s="181">
        <v>0.73410299999999995</v>
      </c>
      <c r="O493" s="181" t="s">
        <v>170</v>
      </c>
      <c r="P493" s="83" t="s">
        <v>148</v>
      </c>
      <c r="Q493" s="177" t="s">
        <v>149</v>
      </c>
      <c r="R493" s="83"/>
    </row>
    <row r="494" spans="1:18">
      <c r="A494" s="177">
        <v>80813619</v>
      </c>
      <c r="B494" s="177" t="s">
        <v>264</v>
      </c>
      <c r="C494" s="178" t="s">
        <v>150</v>
      </c>
      <c r="D494" s="177" t="s">
        <v>252</v>
      </c>
      <c r="E494" s="177" t="s">
        <v>205</v>
      </c>
      <c r="F494" s="179">
        <v>45996</v>
      </c>
      <c r="G494" s="177">
        <v>405</v>
      </c>
      <c r="H494" s="179">
        <v>45986</v>
      </c>
      <c r="I494" s="179" t="s">
        <v>253</v>
      </c>
      <c r="J494" s="83">
        <v>3496601910</v>
      </c>
      <c r="K494" s="179"/>
      <c r="L494" s="179">
        <v>45986</v>
      </c>
      <c r="M494" s="180">
        <v>46006</v>
      </c>
      <c r="N494" s="181">
        <v>0.73410299999999995</v>
      </c>
      <c r="O494" s="181" t="s">
        <v>170</v>
      </c>
      <c r="P494" s="83" t="s">
        <v>148</v>
      </c>
      <c r="Q494" s="177" t="s">
        <v>149</v>
      </c>
      <c r="R494" s="83"/>
    </row>
    <row r="495" spans="1:18">
      <c r="A495" s="177">
        <v>80813615</v>
      </c>
      <c r="B495" s="177" t="s">
        <v>265</v>
      </c>
      <c r="C495" s="178" t="s">
        <v>150</v>
      </c>
      <c r="D495" s="177" t="s">
        <v>252</v>
      </c>
      <c r="E495" s="177" t="s">
        <v>205</v>
      </c>
      <c r="F495" s="179">
        <v>45996</v>
      </c>
      <c r="G495" s="177">
        <v>405</v>
      </c>
      <c r="H495" s="179">
        <v>45986</v>
      </c>
      <c r="I495" s="179" t="s">
        <v>253</v>
      </c>
      <c r="J495" s="83">
        <v>3496601911</v>
      </c>
      <c r="K495" s="179"/>
      <c r="L495" s="179">
        <v>45986</v>
      </c>
      <c r="M495" s="180">
        <v>46006</v>
      </c>
      <c r="N495" s="181">
        <v>0.73410299999999995</v>
      </c>
      <c r="O495" s="181" t="s">
        <v>170</v>
      </c>
      <c r="P495" s="83" t="s">
        <v>148</v>
      </c>
      <c r="Q495" s="177" t="s">
        <v>149</v>
      </c>
      <c r="R495" s="83"/>
    </row>
    <row r="496" spans="1:18">
      <c r="A496" s="177">
        <v>80813637</v>
      </c>
      <c r="B496" s="177" t="s">
        <v>266</v>
      </c>
      <c r="C496" s="178" t="s">
        <v>150</v>
      </c>
      <c r="D496" s="177" t="s">
        <v>252</v>
      </c>
      <c r="E496" s="177" t="s">
        <v>205</v>
      </c>
      <c r="F496" s="179">
        <v>45996</v>
      </c>
      <c r="G496" s="177">
        <v>405</v>
      </c>
      <c r="H496" s="179">
        <v>45986</v>
      </c>
      <c r="I496" s="179" t="s">
        <v>253</v>
      </c>
      <c r="J496" s="83">
        <v>3496601912</v>
      </c>
      <c r="K496" s="179"/>
      <c r="L496" s="179">
        <v>45986</v>
      </c>
      <c r="M496" s="180">
        <v>46006</v>
      </c>
      <c r="N496" s="181">
        <v>0.73410299999999995</v>
      </c>
      <c r="O496" s="181" t="s">
        <v>170</v>
      </c>
      <c r="P496" s="83" t="s">
        <v>148</v>
      </c>
      <c r="Q496" s="177" t="s">
        <v>149</v>
      </c>
      <c r="R496" s="83"/>
    </row>
    <row r="497" spans="1:18">
      <c r="A497" s="177">
        <v>80813617</v>
      </c>
      <c r="B497" s="177" t="s">
        <v>267</v>
      </c>
      <c r="C497" s="178" t="s">
        <v>150</v>
      </c>
      <c r="D497" s="177" t="s">
        <v>252</v>
      </c>
      <c r="E497" s="177" t="s">
        <v>205</v>
      </c>
      <c r="F497" s="179">
        <v>45996</v>
      </c>
      <c r="G497" s="177">
        <v>405</v>
      </c>
      <c r="H497" s="179">
        <v>45986</v>
      </c>
      <c r="I497" s="179" t="s">
        <v>253</v>
      </c>
      <c r="J497" s="83">
        <v>3496601914</v>
      </c>
      <c r="K497" s="179"/>
      <c r="L497" s="179">
        <v>45986</v>
      </c>
      <c r="M497" s="180">
        <v>46006</v>
      </c>
      <c r="N497" s="181">
        <v>0.73410299999999995</v>
      </c>
      <c r="O497" s="181" t="s">
        <v>170</v>
      </c>
      <c r="P497" s="83" t="s">
        <v>148</v>
      </c>
      <c r="Q497" s="177" t="s">
        <v>149</v>
      </c>
      <c r="R497" s="83"/>
    </row>
    <row r="498" spans="1:18">
      <c r="A498" s="177">
        <v>80813629</v>
      </c>
      <c r="B498" s="177" t="s">
        <v>268</v>
      </c>
      <c r="C498" s="178" t="s">
        <v>150</v>
      </c>
      <c r="D498" s="177" t="s">
        <v>252</v>
      </c>
      <c r="E498" s="177" t="s">
        <v>205</v>
      </c>
      <c r="F498" s="179">
        <v>45996</v>
      </c>
      <c r="G498" s="177">
        <v>405</v>
      </c>
      <c r="H498" s="179">
        <v>45986</v>
      </c>
      <c r="I498" s="179" t="s">
        <v>253</v>
      </c>
      <c r="J498" s="83">
        <v>3496601915</v>
      </c>
      <c r="K498" s="179"/>
      <c r="L498" s="179">
        <v>45986</v>
      </c>
      <c r="M498" s="180">
        <v>46006</v>
      </c>
      <c r="N498" s="181">
        <v>0.73410299999999995</v>
      </c>
      <c r="O498" s="181" t="s">
        <v>170</v>
      </c>
      <c r="P498" s="83" t="s">
        <v>148</v>
      </c>
      <c r="Q498" s="177" t="s">
        <v>149</v>
      </c>
      <c r="R498" s="83"/>
    </row>
    <row r="499" spans="1:18">
      <c r="A499" s="177">
        <v>80820462</v>
      </c>
      <c r="B499" s="177" t="s">
        <v>269</v>
      </c>
      <c r="C499" s="178" t="s">
        <v>150</v>
      </c>
      <c r="D499" s="177" t="s">
        <v>252</v>
      </c>
      <c r="E499" s="177" t="s">
        <v>205</v>
      </c>
      <c r="F499" s="179">
        <v>45996</v>
      </c>
      <c r="G499" s="177">
        <v>810</v>
      </c>
      <c r="H499" s="179">
        <v>45986</v>
      </c>
      <c r="I499" s="179" t="s">
        <v>253</v>
      </c>
      <c r="J499" s="83">
        <v>3496601916</v>
      </c>
      <c r="K499" s="179" t="s">
        <v>270</v>
      </c>
      <c r="L499" s="179">
        <v>45986</v>
      </c>
      <c r="M499" s="180">
        <v>45987</v>
      </c>
      <c r="N499" s="181">
        <v>1.4682059999999999</v>
      </c>
      <c r="O499" s="181" t="s">
        <v>170</v>
      </c>
      <c r="P499" s="83" t="s">
        <v>148</v>
      </c>
      <c r="Q499" s="177" t="s">
        <v>149</v>
      </c>
      <c r="R499" s="83"/>
    </row>
    <row r="500" spans="1:18">
      <c r="A500" s="177">
        <v>80820459</v>
      </c>
      <c r="B500" s="177" t="s">
        <v>271</v>
      </c>
      <c r="C500" s="178" t="s">
        <v>150</v>
      </c>
      <c r="D500" s="177" t="s">
        <v>252</v>
      </c>
      <c r="E500" s="177" t="s">
        <v>205</v>
      </c>
      <c r="F500" s="179">
        <v>45996</v>
      </c>
      <c r="G500" s="177">
        <v>405</v>
      </c>
      <c r="H500" s="179">
        <v>45986</v>
      </c>
      <c r="I500" s="179" t="s">
        <v>253</v>
      </c>
      <c r="J500" s="83">
        <v>3496601917</v>
      </c>
      <c r="K500" s="179" t="s">
        <v>270</v>
      </c>
      <c r="L500" s="179">
        <v>45986</v>
      </c>
      <c r="M500" s="180">
        <v>45987</v>
      </c>
      <c r="N500" s="181">
        <v>0.73410299999999995</v>
      </c>
      <c r="O500" s="181" t="s">
        <v>170</v>
      </c>
      <c r="P500" s="83" t="s">
        <v>148</v>
      </c>
      <c r="Q500" s="177" t="s">
        <v>149</v>
      </c>
      <c r="R500" s="83"/>
    </row>
    <row r="501" spans="1:18">
      <c r="A501" s="177">
        <v>80820464</v>
      </c>
      <c r="B501" s="177" t="s">
        <v>272</v>
      </c>
      <c r="C501" s="178" t="s">
        <v>150</v>
      </c>
      <c r="D501" s="177" t="s">
        <v>252</v>
      </c>
      <c r="E501" s="177" t="s">
        <v>205</v>
      </c>
      <c r="F501" s="179">
        <v>45996</v>
      </c>
      <c r="G501" s="177">
        <v>405</v>
      </c>
      <c r="H501" s="179">
        <v>45986</v>
      </c>
      <c r="I501" s="179" t="s">
        <v>253</v>
      </c>
      <c r="J501" s="83">
        <v>3496601918</v>
      </c>
      <c r="K501" s="179" t="s">
        <v>270</v>
      </c>
      <c r="L501" s="179">
        <v>45986</v>
      </c>
      <c r="M501" s="180">
        <v>45987</v>
      </c>
      <c r="N501" s="181">
        <v>0.73410299999999995</v>
      </c>
      <c r="O501" s="181" t="s">
        <v>170</v>
      </c>
      <c r="P501" s="83" t="s">
        <v>148</v>
      </c>
      <c r="Q501" s="177" t="s">
        <v>149</v>
      </c>
      <c r="R501" s="83"/>
    </row>
    <row r="502" spans="1:18">
      <c r="A502" s="177">
        <v>80820469</v>
      </c>
      <c r="B502" s="177" t="s">
        <v>273</v>
      </c>
      <c r="C502" s="178" t="s">
        <v>150</v>
      </c>
      <c r="D502" s="177" t="s">
        <v>252</v>
      </c>
      <c r="E502" s="177" t="s">
        <v>205</v>
      </c>
      <c r="F502" s="179">
        <v>45996</v>
      </c>
      <c r="G502" s="177">
        <v>810</v>
      </c>
      <c r="H502" s="179">
        <v>45986</v>
      </c>
      <c r="I502" s="179" t="s">
        <v>253</v>
      </c>
      <c r="J502" s="83">
        <v>3496601919</v>
      </c>
      <c r="K502" s="179" t="s">
        <v>270</v>
      </c>
      <c r="L502" s="179">
        <v>45986</v>
      </c>
      <c r="M502" s="180">
        <v>45987</v>
      </c>
      <c r="N502" s="181">
        <v>1.4682059999999999</v>
      </c>
      <c r="O502" s="181" t="s">
        <v>170</v>
      </c>
      <c r="P502" s="83" t="s">
        <v>148</v>
      </c>
      <c r="Q502" s="177" t="s">
        <v>149</v>
      </c>
      <c r="R502" s="83"/>
    </row>
    <row r="503" spans="1:18">
      <c r="A503" s="177">
        <v>80814089</v>
      </c>
      <c r="B503" s="177" t="s">
        <v>251</v>
      </c>
      <c r="C503" s="178" t="s">
        <v>155</v>
      </c>
      <c r="D503" s="177" t="s">
        <v>252</v>
      </c>
      <c r="E503" s="177" t="s">
        <v>205</v>
      </c>
      <c r="F503" s="179">
        <v>46003</v>
      </c>
      <c r="G503" s="177">
        <v>405</v>
      </c>
      <c r="H503" s="179">
        <v>45986</v>
      </c>
      <c r="I503" s="179" t="s">
        <v>253</v>
      </c>
      <c r="J503" s="83">
        <v>3496601920</v>
      </c>
      <c r="K503" s="179"/>
      <c r="L503" s="179">
        <v>45986</v>
      </c>
      <c r="M503" s="180">
        <v>45996</v>
      </c>
      <c r="N503" s="181">
        <v>0.73406249999999995</v>
      </c>
      <c r="O503" s="181" t="s">
        <v>170</v>
      </c>
      <c r="P503" s="83" t="s">
        <v>148</v>
      </c>
      <c r="Q503" s="177" t="s">
        <v>149</v>
      </c>
      <c r="R503" s="83"/>
    </row>
    <row r="504" spans="1:18">
      <c r="A504" s="177">
        <v>80814098</v>
      </c>
      <c r="B504" s="177" t="s">
        <v>254</v>
      </c>
      <c r="C504" s="178" t="s">
        <v>155</v>
      </c>
      <c r="D504" s="177" t="s">
        <v>252</v>
      </c>
      <c r="E504" s="177" t="s">
        <v>205</v>
      </c>
      <c r="F504" s="179">
        <v>46003</v>
      </c>
      <c r="G504" s="177">
        <v>405</v>
      </c>
      <c r="H504" s="179">
        <v>45986</v>
      </c>
      <c r="I504" s="179" t="s">
        <v>253</v>
      </c>
      <c r="J504" s="83">
        <v>3496601921</v>
      </c>
      <c r="K504" s="179"/>
      <c r="L504" s="179">
        <v>45986</v>
      </c>
      <c r="M504" s="180">
        <v>45996</v>
      </c>
      <c r="N504" s="181">
        <v>0.73406249999999995</v>
      </c>
      <c r="O504" s="181" t="s">
        <v>170</v>
      </c>
      <c r="P504" s="83" t="s">
        <v>148</v>
      </c>
      <c r="Q504" s="177" t="s">
        <v>149</v>
      </c>
      <c r="R504" s="83"/>
    </row>
    <row r="505" spans="1:18">
      <c r="A505" s="177">
        <v>80814097</v>
      </c>
      <c r="B505" s="177" t="s">
        <v>255</v>
      </c>
      <c r="C505" s="178" t="s">
        <v>155</v>
      </c>
      <c r="D505" s="177" t="s">
        <v>252</v>
      </c>
      <c r="E505" s="177" t="s">
        <v>205</v>
      </c>
      <c r="F505" s="179">
        <v>46003</v>
      </c>
      <c r="G505" s="177">
        <v>405</v>
      </c>
      <c r="H505" s="179">
        <v>45986</v>
      </c>
      <c r="I505" s="179" t="s">
        <v>253</v>
      </c>
      <c r="J505" s="83">
        <v>3496601922</v>
      </c>
      <c r="K505" s="179"/>
      <c r="L505" s="179">
        <v>45986</v>
      </c>
      <c r="M505" s="180">
        <v>45996</v>
      </c>
      <c r="N505" s="181">
        <v>0.73406249999999995</v>
      </c>
      <c r="O505" s="181" t="s">
        <v>170</v>
      </c>
      <c r="P505" s="83" t="s">
        <v>148</v>
      </c>
      <c r="Q505" s="177" t="s">
        <v>149</v>
      </c>
      <c r="R505" s="83"/>
    </row>
    <row r="506" spans="1:18">
      <c r="A506" s="177">
        <v>80814081</v>
      </c>
      <c r="B506" s="177" t="s">
        <v>256</v>
      </c>
      <c r="C506" s="178" t="s">
        <v>155</v>
      </c>
      <c r="D506" s="177" t="s">
        <v>252</v>
      </c>
      <c r="E506" s="177" t="s">
        <v>205</v>
      </c>
      <c r="F506" s="179">
        <v>46003</v>
      </c>
      <c r="G506" s="177">
        <v>405</v>
      </c>
      <c r="H506" s="179">
        <v>45986</v>
      </c>
      <c r="I506" s="179" t="s">
        <v>253</v>
      </c>
      <c r="J506" s="83">
        <v>3496601923</v>
      </c>
      <c r="K506" s="179"/>
      <c r="L506" s="179">
        <v>45986</v>
      </c>
      <c r="M506" s="180">
        <v>45996</v>
      </c>
      <c r="N506" s="181">
        <v>0.73406249999999995</v>
      </c>
      <c r="O506" s="181" t="s">
        <v>170</v>
      </c>
      <c r="P506" s="83" t="s">
        <v>148</v>
      </c>
      <c r="Q506" s="177" t="s">
        <v>149</v>
      </c>
      <c r="R506" s="83"/>
    </row>
    <row r="507" spans="1:18">
      <c r="A507" s="177">
        <v>80815648</v>
      </c>
      <c r="B507" s="177" t="s">
        <v>257</v>
      </c>
      <c r="C507" s="178" t="s">
        <v>155</v>
      </c>
      <c r="D507" s="177" t="s">
        <v>252</v>
      </c>
      <c r="E507" s="177" t="s">
        <v>205</v>
      </c>
      <c r="F507" s="179">
        <v>46003</v>
      </c>
      <c r="G507" s="177">
        <v>753</v>
      </c>
      <c r="H507" s="179">
        <v>45986</v>
      </c>
      <c r="I507" s="179" t="s">
        <v>253</v>
      </c>
      <c r="J507" s="83">
        <v>3496601924</v>
      </c>
      <c r="K507" s="179"/>
      <c r="L507" s="179">
        <v>45986</v>
      </c>
      <c r="M507" s="180">
        <v>45996</v>
      </c>
      <c r="N507" s="181">
        <v>1.4672205</v>
      </c>
      <c r="O507" s="181" t="s">
        <v>170</v>
      </c>
      <c r="P507" s="83" t="s">
        <v>148</v>
      </c>
      <c r="Q507" s="177" t="s">
        <v>149</v>
      </c>
      <c r="R507" s="83"/>
    </row>
    <row r="508" spans="1:18">
      <c r="A508" s="177">
        <v>80815643</v>
      </c>
      <c r="B508" s="177" t="s">
        <v>258</v>
      </c>
      <c r="C508" s="178" t="s">
        <v>155</v>
      </c>
      <c r="D508" s="177" t="s">
        <v>252</v>
      </c>
      <c r="E508" s="177" t="s">
        <v>205</v>
      </c>
      <c r="F508" s="179">
        <v>46003</v>
      </c>
      <c r="G508" s="177">
        <v>753</v>
      </c>
      <c r="H508" s="179">
        <v>45986</v>
      </c>
      <c r="I508" s="179" t="s">
        <v>253</v>
      </c>
      <c r="J508" s="83">
        <v>3496601925</v>
      </c>
      <c r="K508" s="179"/>
      <c r="L508" s="179">
        <v>45986</v>
      </c>
      <c r="M508" s="180">
        <v>45996</v>
      </c>
      <c r="N508" s="181">
        <v>1.4672205</v>
      </c>
      <c r="O508" s="181" t="s">
        <v>170</v>
      </c>
      <c r="P508" s="83" t="s">
        <v>148</v>
      </c>
      <c r="Q508" s="177" t="s">
        <v>149</v>
      </c>
      <c r="R508" s="83"/>
    </row>
    <row r="509" spans="1:18">
      <c r="A509" s="177">
        <v>80815642</v>
      </c>
      <c r="B509" s="177" t="s">
        <v>259</v>
      </c>
      <c r="C509" s="178" t="s">
        <v>155</v>
      </c>
      <c r="D509" s="177" t="s">
        <v>252</v>
      </c>
      <c r="E509" s="177" t="s">
        <v>205</v>
      </c>
      <c r="F509" s="179">
        <v>46003</v>
      </c>
      <c r="G509" s="177">
        <v>753</v>
      </c>
      <c r="H509" s="179">
        <v>45986</v>
      </c>
      <c r="I509" s="179" t="s">
        <v>253</v>
      </c>
      <c r="J509" s="83">
        <v>3496601926</v>
      </c>
      <c r="K509" s="179"/>
      <c r="L509" s="179">
        <v>45986</v>
      </c>
      <c r="M509" s="180">
        <v>45996</v>
      </c>
      <c r="N509" s="181">
        <v>1.4672205</v>
      </c>
      <c r="O509" s="181" t="s">
        <v>170</v>
      </c>
      <c r="P509" s="83" t="s">
        <v>148</v>
      </c>
      <c r="Q509" s="177" t="s">
        <v>149</v>
      </c>
      <c r="R509" s="83"/>
    </row>
    <row r="510" spans="1:18">
      <c r="A510" s="177">
        <v>80815644</v>
      </c>
      <c r="B510" s="177" t="s">
        <v>260</v>
      </c>
      <c r="C510" s="178" t="s">
        <v>155</v>
      </c>
      <c r="D510" s="177" t="s">
        <v>252</v>
      </c>
      <c r="E510" s="177" t="s">
        <v>205</v>
      </c>
      <c r="F510" s="179">
        <v>46003</v>
      </c>
      <c r="G510" s="177">
        <v>377</v>
      </c>
      <c r="H510" s="179">
        <v>45986</v>
      </c>
      <c r="I510" s="179" t="s">
        <v>253</v>
      </c>
      <c r="J510" s="83">
        <v>3496601927</v>
      </c>
      <c r="K510" s="179"/>
      <c r="L510" s="179">
        <v>45986</v>
      </c>
      <c r="M510" s="180">
        <v>45996</v>
      </c>
      <c r="N510" s="181">
        <v>0.73458449999999997</v>
      </c>
      <c r="O510" s="181" t="s">
        <v>170</v>
      </c>
      <c r="P510" s="83" t="s">
        <v>148</v>
      </c>
      <c r="Q510" s="177" t="s">
        <v>149</v>
      </c>
      <c r="R510" s="83"/>
    </row>
    <row r="511" spans="1:18">
      <c r="A511" s="177">
        <v>80815645</v>
      </c>
      <c r="B511" s="177" t="s">
        <v>261</v>
      </c>
      <c r="C511" s="178" t="s">
        <v>155</v>
      </c>
      <c r="D511" s="177" t="s">
        <v>252</v>
      </c>
      <c r="E511" s="177" t="s">
        <v>205</v>
      </c>
      <c r="F511" s="179">
        <v>46003</v>
      </c>
      <c r="G511" s="177">
        <v>753</v>
      </c>
      <c r="H511" s="179">
        <v>45986</v>
      </c>
      <c r="I511" s="179" t="s">
        <v>253</v>
      </c>
      <c r="J511" s="83">
        <v>3496601928</v>
      </c>
      <c r="K511" s="179"/>
      <c r="L511" s="179">
        <v>45986</v>
      </c>
      <c r="M511" s="180">
        <v>45996</v>
      </c>
      <c r="N511" s="181">
        <v>1.4672205</v>
      </c>
      <c r="O511" s="181" t="s">
        <v>170</v>
      </c>
      <c r="P511" s="83" t="s">
        <v>148</v>
      </c>
      <c r="Q511" s="177" t="s">
        <v>149</v>
      </c>
      <c r="R511" s="83"/>
    </row>
    <row r="512" spans="1:18">
      <c r="A512" s="177">
        <v>80815647</v>
      </c>
      <c r="B512" s="177" t="s">
        <v>262</v>
      </c>
      <c r="C512" s="178" t="s">
        <v>155</v>
      </c>
      <c r="D512" s="177" t="s">
        <v>252</v>
      </c>
      <c r="E512" s="177" t="s">
        <v>205</v>
      </c>
      <c r="F512" s="179">
        <v>46003</v>
      </c>
      <c r="G512" s="177">
        <v>377</v>
      </c>
      <c r="H512" s="179">
        <v>45986</v>
      </c>
      <c r="I512" s="179" t="s">
        <v>253</v>
      </c>
      <c r="J512" s="83">
        <v>3496601929</v>
      </c>
      <c r="K512" s="179"/>
      <c r="L512" s="179">
        <v>45986</v>
      </c>
      <c r="M512" s="180">
        <v>45996</v>
      </c>
      <c r="N512" s="181">
        <v>0.73458449999999997</v>
      </c>
      <c r="O512" s="181" t="s">
        <v>170</v>
      </c>
      <c r="P512" s="83" t="s">
        <v>148</v>
      </c>
      <c r="Q512" s="177" t="s">
        <v>149</v>
      </c>
      <c r="R512" s="83"/>
    </row>
    <row r="513" spans="1:18">
      <c r="A513" s="177">
        <v>80813610</v>
      </c>
      <c r="B513" s="177" t="s">
        <v>263</v>
      </c>
      <c r="C513" s="178" t="s">
        <v>155</v>
      </c>
      <c r="D513" s="177" t="s">
        <v>252</v>
      </c>
      <c r="E513" s="177" t="s">
        <v>205</v>
      </c>
      <c r="F513" s="179">
        <v>46003</v>
      </c>
      <c r="G513" s="177">
        <v>405</v>
      </c>
      <c r="H513" s="179">
        <v>45986</v>
      </c>
      <c r="I513" s="179" t="s">
        <v>253</v>
      </c>
      <c r="J513" s="83">
        <v>3496601930</v>
      </c>
      <c r="K513" s="179"/>
      <c r="L513" s="179">
        <v>45986</v>
      </c>
      <c r="M513" s="180">
        <v>45996</v>
      </c>
      <c r="N513" s="181">
        <v>0.73410299999999995</v>
      </c>
      <c r="O513" s="181" t="s">
        <v>170</v>
      </c>
      <c r="P513" s="83" t="s">
        <v>148</v>
      </c>
      <c r="Q513" s="177" t="s">
        <v>149</v>
      </c>
      <c r="R513" s="83"/>
    </row>
    <row r="514" spans="1:18">
      <c r="A514" s="177">
        <v>80813619</v>
      </c>
      <c r="B514" s="177" t="s">
        <v>264</v>
      </c>
      <c r="C514" s="178" t="s">
        <v>155</v>
      </c>
      <c r="D514" s="177" t="s">
        <v>252</v>
      </c>
      <c r="E514" s="177" t="s">
        <v>205</v>
      </c>
      <c r="F514" s="179">
        <v>46003</v>
      </c>
      <c r="G514" s="177">
        <v>405</v>
      </c>
      <c r="H514" s="179">
        <v>45986</v>
      </c>
      <c r="I514" s="179" t="s">
        <v>253</v>
      </c>
      <c r="J514" s="83">
        <v>3496601931</v>
      </c>
      <c r="K514" s="179"/>
      <c r="L514" s="179">
        <v>45986</v>
      </c>
      <c r="M514" s="180">
        <v>45996</v>
      </c>
      <c r="N514" s="181">
        <v>0.73410299999999995</v>
      </c>
      <c r="O514" s="181" t="s">
        <v>170</v>
      </c>
      <c r="P514" s="83" t="s">
        <v>148</v>
      </c>
      <c r="Q514" s="177" t="s">
        <v>149</v>
      </c>
      <c r="R514" s="83"/>
    </row>
    <row r="515" spans="1:18">
      <c r="A515" s="177">
        <v>80813615</v>
      </c>
      <c r="B515" s="177" t="s">
        <v>265</v>
      </c>
      <c r="C515" s="178" t="s">
        <v>155</v>
      </c>
      <c r="D515" s="177" t="s">
        <v>252</v>
      </c>
      <c r="E515" s="177" t="s">
        <v>205</v>
      </c>
      <c r="F515" s="179">
        <v>46003</v>
      </c>
      <c r="G515" s="177">
        <v>405</v>
      </c>
      <c r="H515" s="179">
        <v>45986</v>
      </c>
      <c r="I515" s="179" t="s">
        <v>253</v>
      </c>
      <c r="J515" s="83">
        <v>3496601932</v>
      </c>
      <c r="K515" s="179"/>
      <c r="L515" s="179">
        <v>45986</v>
      </c>
      <c r="M515" s="180">
        <v>45996</v>
      </c>
      <c r="N515" s="181">
        <v>0.73410299999999995</v>
      </c>
      <c r="O515" s="181" t="s">
        <v>170</v>
      </c>
      <c r="P515" s="83" t="s">
        <v>148</v>
      </c>
      <c r="Q515" s="177" t="s">
        <v>149</v>
      </c>
      <c r="R515" s="83"/>
    </row>
    <row r="516" spans="1:18">
      <c r="A516" s="177">
        <v>80813637</v>
      </c>
      <c r="B516" s="177" t="s">
        <v>266</v>
      </c>
      <c r="C516" s="178" t="s">
        <v>155</v>
      </c>
      <c r="D516" s="177" t="s">
        <v>252</v>
      </c>
      <c r="E516" s="177" t="s">
        <v>205</v>
      </c>
      <c r="F516" s="179">
        <v>46003</v>
      </c>
      <c r="G516" s="177">
        <v>405</v>
      </c>
      <c r="H516" s="179">
        <v>45986</v>
      </c>
      <c r="I516" s="179" t="s">
        <v>253</v>
      </c>
      <c r="J516" s="83">
        <v>3496601933</v>
      </c>
      <c r="K516" s="179"/>
      <c r="L516" s="179">
        <v>45986</v>
      </c>
      <c r="M516" s="180">
        <v>45996</v>
      </c>
      <c r="N516" s="181">
        <v>0.73410299999999995</v>
      </c>
      <c r="O516" s="181" t="s">
        <v>170</v>
      </c>
      <c r="P516" s="83" t="s">
        <v>148</v>
      </c>
      <c r="Q516" s="177" t="s">
        <v>149</v>
      </c>
      <c r="R516" s="83"/>
    </row>
    <row r="517" spans="1:18">
      <c r="A517" s="177">
        <v>80813617</v>
      </c>
      <c r="B517" s="177" t="s">
        <v>267</v>
      </c>
      <c r="C517" s="178" t="s">
        <v>155</v>
      </c>
      <c r="D517" s="177" t="s">
        <v>252</v>
      </c>
      <c r="E517" s="177" t="s">
        <v>205</v>
      </c>
      <c r="F517" s="179">
        <v>46003</v>
      </c>
      <c r="G517" s="177">
        <v>405</v>
      </c>
      <c r="H517" s="179">
        <v>45986</v>
      </c>
      <c r="I517" s="179" t="s">
        <v>253</v>
      </c>
      <c r="J517" s="83">
        <v>3496601934</v>
      </c>
      <c r="K517" s="179"/>
      <c r="L517" s="179">
        <v>45986</v>
      </c>
      <c r="M517" s="180">
        <v>45996</v>
      </c>
      <c r="N517" s="181">
        <v>0.73410299999999995</v>
      </c>
      <c r="O517" s="181" t="s">
        <v>170</v>
      </c>
      <c r="P517" s="83" t="s">
        <v>148</v>
      </c>
      <c r="Q517" s="177" t="s">
        <v>149</v>
      </c>
      <c r="R517" s="83"/>
    </row>
    <row r="518" spans="1:18">
      <c r="A518" s="177">
        <v>80813629</v>
      </c>
      <c r="B518" s="177" t="s">
        <v>268</v>
      </c>
      <c r="C518" s="178" t="s">
        <v>155</v>
      </c>
      <c r="D518" s="177" t="s">
        <v>252</v>
      </c>
      <c r="E518" s="177" t="s">
        <v>205</v>
      </c>
      <c r="F518" s="179">
        <v>46003</v>
      </c>
      <c r="G518" s="177">
        <v>405</v>
      </c>
      <c r="H518" s="179">
        <v>45986</v>
      </c>
      <c r="I518" s="179" t="s">
        <v>253</v>
      </c>
      <c r="J518" s="83">
        <v>3496601935</v>
      </c>
      <c r="K518" s="179"/>
      <c r="L518" s="179">
        <v>45986</v>
      </c>
      <c r="M518" s="180">
        <v>45996</v>
      </c>
      <c r="N518" s="181">
        <v>0.73410299999999995</v>
      </c>
      <c r="O518" s="181" t="s">
        <v>170</v>
      </c>
      <c r="P518" s="83" t="s">
        <v>148</v>
      </c>
      <c r="Q518" s="177" t="s">
        <v>149</v>
      </c>
      <c r="R518" s="83"/>
    </row>
    <row r="519" spans="1:18">
      <c r="A519" s="177">
        <v>80820462</v>
      </c>
      <c r="B519" s="177" t="s">
        <v>269</v>
      </c>
      <c r="C519" s="178" t="s">
        <v>155</v>
      </c>
      <c r="D519" s="177" t="s">
        <v>252</v>
      </c>
      <c r="E519" s="177" t="s">
        <v>205</v>
      </c>
      <c r="F519" s="179">
        <v>46003</v>
      </c>
      <c r="G519" s="177">
        <v>810</v>
      </c>
      <c r="H519" s="179">
        <v>45986</v>
      </c>
      <c r="I519" s="179" t="s">
        <v>253</v>
      </c>
      <c r="J519" s="83">
        <v>3496601998</v>
      </c>
      <c r="K519" s="179" t="s">
        <v>270</v>
      </c>
      <c r="L519" s="179">
        <v>45986</v>
      </c>
      <c r="M519" s="180">
        <v>45987</v>
      </c>
      <c r="N519" s="181">
        <v>1.4682059999999999</v>
      </c>
      <c r="O519" s="181" t="s">
        <v>170</v>
      </c>
      <c r="P519" s="83" t="s">
        <v>148</v>
      </c>
      <c r="Q519" s="177" t="s">
        <v>149</v>
      </c>
      <c r="R519" s="83"/>
    </row>
    <row r="520" spans="1:18">
      <c r="A520" s="177">
        <v>80820459</v>
      </c>
      <c r="B520" s="177" t="s">
        <v>271</v>
      </c>
      <c r="C520" s="178" t="s">
        <v>155</v>
      </c>
      <c r="D520" s="177" t="s">
        <v>252</v>
      </c>
      <c r="E520" s="177" t="s">
        <v>205</v>
      </c>
      <c r="F520" s="179">
        <v>46003</v>
      </c>
      <c r="G520" s="177">
        <v>405</v>
      </c>
      <c r="H520" s="179">
        <v>45986</v>
      </c>
      <c r="I520" s="179" t="s">
        <v>253</v>
      </c>
      <c r="J520" s="83">
        <v>3496601999</v>
      </c>
      <c r="K520" s="179" t="s">
        <v>270</v>
      </c>
      <c r="L520" s="179">
        <v>45986</v>
      </c>
      <c r="M520" s="180">
        <v>45987</v>
      </c>
      <c r="N520" s="181">
        <v>0.73410299999999995</v>
      </c>
      <c r="O520" s="181" t="s">
        <v>170</v>
      </c>
      <c r="P520" s="83" t="s">
        <v>148</v>
      </c>
      <c r="Q520" s="177" t="s">
        <v>149</v>
      </c>
      <c r="R520" s="83"/>
    </row>
    <row r="521" spans="1:18">
      <c r="A521" s="177">
        <v>80820464</v>
      </c>
      <c r="B521" s="177" t="s">
        <v>272</v>
      </c>
      <c r="C521" s="178" t="s">
        <v>155</v>
      </c>
      <c r="D521" s="177" t="s">
        <v>252</v>
      </c>
      <c r="E521" s="177" t="s">
        <v>205</v>
      </c>
      <c r="F521" s="179">
        <v>46003</v>
      </c>
      <c r="G521" s="177">
        <v>405</v>
      </c>
      <c r="H521" s="179">
        <v>45986</v>
      </c>
      <c r="I521" s="179" t="s">
        <v>253</v>
      </c>
      <c r="J521" s="83">
        <v>3496602000</v>
      </c>
      <c r="K521" s="179" t="s">
        <v>270</v>
      </c>
      <c r="L521" s="179">
        <v>45986</v>
      </c>
      <c r="M521" s="180">
        <v>45987</v>
      </c>
      <c r="N521" s="181">
        <v>0.73410299999999995</v>
      </c>
      <c r="O521" s="181" t="s">
        <v>170</v>
      </c>
      <c r="P521" s="83" t="s">
        <v>148</v>
      </c>
      <c r="Q521" s="177" t="s">
        <v>149</v>
      </c>
      <c r="R521" s="83"/>
    </row>
    <row r="522" spans="1:18">
      <c r="A522" s="177">
        <v>80820469</v>
      </c>
      <c r="B522" s="177" t="s">
        <v>273</v>
      </c>
      <c r="C522" s="178" t="s">
        <v>155</v>
      </c>
      <c r="D522" s="177" t="s">
        <v>252</v>
      </c>
      <c r="E522" s="177" t="s">
        <v>205</v>
      </c>
      <c r="F522" s="179">
        <v>46003</v>
      </c>
      <c r="G522" s="177">
        <v>810</v>
      </c>
      <c r="H522" s="179">
        <v>45986</v>
      </c>
      <c r="I522" s="179" t="s">
        <v>253</v>
      </c>
      <c r="J522" s="83">
        <v>3496602001</v>
      </c>
      <c r="K522" s="179" t="s">
        <v>270</v>
      </c>
      <c r="L522" s="179">
        <v>45986</v>
      </c>
      <c r="M522" s="180">
        <v>45987</v>
      </c>
      <c r="N522" s="181">
        <v>1.4682059999999999</v>
      </c>
      <c r="O522" s="181" t="s">
        <v>170</v>
      </c>
      <c r="P522" s="83" t="s">
        <v>148</v>
      </c>
      <c r="Q522" s="177" t="s">
        <v>149</v>
      </c>
      <c r="R522" s="83"/>
    </row>
    <row r="523" spans="1:18">
      <c r="A523" s="177">
        <v>80814089</v>
      </c>
      <c r="B523" s="177" t="s">
        <v>251</v>
      </c>
      <c r="C523" s="178" t="s">
        <v>151</v>
      </c>
      <c r="D523" s="177" t="s">
        <v>252</v>
      </c>
      <c r="E523" s="177" t="s">
        <v>205</v>
      </c>
      <c r="F523" s="179">
        <v>46003</v>
      </c>
      <c r="G523" s="177">
        <v>405</v>
      </c>
      <c r="H523" s="179">
        <v>45986</v>
      </c>
      <c r="I523" s="179" t="s">
        <v>253</v>
      </c>
      <c r="J523" s="83">
        <v>3496602002</v>
      </c>
      <c r="K523" s="179"/>
      <c r="L523" s="179">
        <v>45986</v>
      </c>
      <c r="M523" s="180">
        <v>45996</v>
      </c>
      <c r="N523" s="181">
        <v>0.73406249999999995</v>
      </c>
      <c r="O523" s="181" t="s">
        <v>170</v>
      </c>
      <c r="P523" s="83" t="s">
        <v>148</v>
      </c>
      <c r="Q523" s="177" t="s">
        <v>149</v>
      </c>
      <c r="R523" s="83"/>
    </row>
    <row r="524" spans="1:18">
      <c r="A524" s="177">
        <v>80814098</v>
      </c>
      <c r="B524" s="177" t="s">
        <v>254</v>
      </c>
      <c r="C524" s="178" t="s">
        <v>151</v>
      </c>
      <c r="D524" s="177" t="s">
        <v>252</v>
      </c>
      <c r="E524" s="177" t="s">
        <v>205</v>
      </c>
      <c r="F524" s="179">
        <v>46003</v>
      </c>
      <c r="G524" s="177">
        <v>405</v>
      </c>
      <c r="H524" s="179">
        <v>45986</v>
      </c>
      <c r="I524" s="179" t="s">
        <v>253</v>
      </c>
      <c r="J524" s="83">
        <v>3496602003</v>
      </c>
      <c r="K524" s="179"/>
      <c r="L524" s="179">
        <v>45986</v>
      </c>
      <c r="M524" s="180">
        <v>45996</v>
      </c>
      <c r="N524" s="181">
        <v>0.73406249999999995</v>
      </c>
      <c r="O524" s="181" t="s">
        <v>170</v>
      </c>
      <c r="P524" s="83" t="s">
        <v>148</v>
      </c>
      <c r="Q524" s="177" t="s">
        <v>149</v>
      </c>
      <c r="R524" s="83"/>
    </row>
    <row r="525" spans="1:18">
      <c r="A525" s="177">
        <v>80814097</v>
      </c>
      <c r="B525" s="177" t="s">
        <v>255</v>
      </c>
      <c r="C525" s="178" t="s">
        <v>151</v>
      </c>
      <c r="D525" s="177" t="s">
        <v>252</v>
      </c>
      <c r="E525" s="177" t="s">
        <v>205</v>
      </c>
      <c r="F525" s="179">
        <v>46003</v>
      </c>
      <c r="G525" s="177">
        <v>405</v>
      </c>
      <c r="H525" s="179">
        <v>45986</v>
      </c>
      <c r="I525" s="179" t="s">
        <v>253</v>
      </c>
      <c r="J525" s="83">
        <v>3496602004</v>
      </c>
      <c r="K525" s="179"/>
      <c r="L525" s="179">
        <v>45986</v>
      </c>
      <c r="M525" s="180">
        <v>45996</v>
      </c>
      <c r="N525" s="181">
        <v>0.73406249999999995</v>
      </c>
      <c r="O525" s="181" t="s">
        <v>170</v>
      </c>
      <c r="P525" s="83" t="s">
        <v>148</v>
      </c>
      <c r="Q525" s="177" t="s">
        <v>149</v>
      </c>
      <c r="R525" s="83"/>
    </row>
    <row r="526" spans="1:18">
      <c r="A526" s="177">
        <v>80814081</v>
      </c>
      <c r="B526" s="177" t="s">
        <v>256</v>
      </c>
      <c r="C526" s="178" t="s">
        <v>151</v>
      </c>
      <c r="D526" s="177" t="s">
        <v>252</v>
      </c>
      <c r="E526" s="177" t="s">
        <v>205</v>
      </c>
      <c r="F526" s="179">
        <v>46003</v>
      </c>
      <c r="G526" s="177">
        <v>405</v>
      </c>
      <c r="H526" s="179">
        <v>45986</v>
      </c>
      <c r="I526" s="179" t="s">
        <v>253</v>
      </c>
      <c r="J526" s="83">
        <v>3496602005</v>
      </c>
      <c r="K526" s="179"/>
      <c r="L526" s="179">
        <v>45986</v>
      </c>
      <c r="M526" s="180">
        <v>45996</v>
      </c>
      <c r="N526" s="181">
        <v>0.73406249999999995</v>
      </c>
      <c r="O526" s="181" t="s">
        <v>170</v>
      </c>
      <c r="P526" s="83" t="s">
        <v>148</v>
      </c>
      <c r="Q526" s="177" t="s">
        <v>149</v>
      </c>
      <c r="R526" s="83"/>
    </row>
    <row r="527" spans="1:18">
      <c r="A527" s="177">
        <v>80815648</v>
      </c>
      <c r="B527" s="177" t="s">
        <v>257</v>
      </c>
      <c r="C527" s="178" t="s">
        <v>151</v>
      </c>
      <c r="D527" s="177" t="s">
        <v>252</v>
      </c>
      <c r="E527" s="177" t="s">
        <v>205</v>
      </c>
      <c r="F527" s="179">
        <v>46003</v>
      </c>
      <c r="G527" s="177">
        <v>753</v>
      </c>
      <c r="H527" s="179">
        <v>45986</v>
      </c>
      <c r="I527" s="179" t="s">
        <v>253</v>
      </c>
      <c r="J527" s="83">
        <v>3496602007</v>
      </c>
      <c r="K527" s="179"/>
      <c r="L527" s="179">
        <v>45986</v>
      </c>
      <c r="M527" s="180">
        <v>45996</v>
      </c>
      <c r="N527" s="181">
        <v>1.4672205</v>
      </c>
      <c r="O527" s="181" t="s">
        <v>170</v>
      </c>
      <c r="P527" s="83" t="s">
        <v>148</v>
      </c>
      <c r="Q527" s="177" t="s">
        <v>149</v>
      </c>
      <c r="R527" s="83"/>
    </row>
    <row r="528" spans="1:18">
      <c r="A528" s="177">
        <v>80815643</v>
      </c>
      <c r="B528" s="177" t="s">
        <v>258</v>
      </c>
      <c r="C528" s="178" t="s">
        <v>151</v>
      </c>
      <c r="D528" s="177" t="s">
        <v>252</v>
      </c>
      <c r="E528" s="177" t="s">
        <v>205</v>
      </c>
      <c r="F528" s="179">
        <v>46003</v>
      </c>
      <c r="G528" s="177">
        <v>753</v>
      </c>
      <c r="H528" s="179">
        <v>45986</v>
      </c>
      <c r="I528" s="179" t="s">
        <v>253</v>
      </c>
      <c r="J528" s="83">
        <v>3496602008</v>
      </c>
      <c r="K528" s="179"/>
      <c r="L528" s="179">
        <v>45986</v>
      </c>
      <c r="M528" s="180">
        <v>45996</v>
      </c>
      <c r="N528" s="181">
        <v>1.4672205</v>
      </c>
      <c r="O528" s="181" t="s">
        <v>170</v>
      </c>
      <c r="P528" s="83" t="s">
        <v>148</v>
      </c>
      <c r="Q528" s="177" t="s">
        <v>149</v>
      </c>
      <c r="R528" s="83"/>
    </row>
    <row r="529" spans="1:18">
      <c r="A529" s="177">
        <v>80815642</v>
      </c>
      <c r="B529" s="177" t="s">
        <v>259</v>
      </c>
      <c r="C529" s="178" t="s">
        <v>151</v>
      </c>
      <c r="D529" s="177" t="s">
        <v>252</v>
      </c>
      <c r="E529" s="177" t="s">
        <v>205</v>
      </c>
      <c r="F529" s="179">
        <v>46003</v>
      </c>
      <c r="G529" s="177">
        <v>753</v>
      </c>
      <c r="H529" s="179">
        <v>45986</v>
      </c>
      <c r="I529" s="179" t="s">
        <v>253</v>
      </c>
      <c r="J529" s="83">
        <v>3496602009</v>
      </c>
      <c r="K529" s="179"/>
      <c r="L529" s="179">
        <v>45986</v>
      </c>
      <c r="M529" s="180">
        <v>45996</v>
      </c>
      <c r="N529" s="181">
        <v>1.4672205</v>
      </c>
      <c r="O529" s="181" t="s">
        <v>170</v>
      </c>
      <c r="P529" s="83" t="s">
        <v>148</v>
      </c>
      <c r="Q529" s="177" t="s">
        <v>149</v>
      </c>
      <c r="R529" s="83"/>
    </row>
    <row r="530" spans="1:18">
      <c r="A530" s="177">
        <v>80815644</v>
      </c>
      <c r="B530" s="177" t="s">
        <v>260</v>
      </c>
      <c r="C530" s="178" t="s">
        <v>151</v>
      </c>
      <c r="D530" s="177" t="s">
        <v>252</v>
      </c>
      <c r="E530" s="177" t="s">
        <v>205</v>
      </c>
      <c r="F530" s="179">
        <v>46003</v>
      </c>
      <c r="G530" s="177">
        <v>377</v>
      </c>
      <c r="H530" s="179">
        <v>45986</v>
      </c>
      <c r="I530" s="179" t="s">
        <v>253</v>
      </c>
      <c r="J530" s="83">
        <v>3496602010</v>
      </c>
      <c r="K530" s="179"/>
      <c r="L530" s="179">
        <v>45986</v>
      </c>
      <c r="M530" s="180">
        <v>45996</v>
      </c>
      <c r="N530" s="181">
        <v>0.73458449999999997</v>
      </c>
      <c r="O530" s="181" t="s">
        <v>170</v>
      </c>
      <c r="P530" s="83" t="s">
        <v>148</v>
      </c>
      <c r="Q530" s="177" t="s">
        <v>149</v>
      </c>
      <c r="R530" s="83"/>
    </row>
    <row r="531" spans="1:18">
      <c r="A531" s="177">
        <v>80815645</v>
      </c>
      <c r="B531" s="177" t="s">
        <v>261</v>
      </c>
      <c r="C531" s="178" t="s">
        <v>151</v>
      </c>
      <c r="D531" s="177" t="s">
        <v>252</v>
      </c>
      <c r="E531" s="177" t="s">
        <v>205</v>
      </c>
      <c r="F531" s="179">
        <v>46003</v>
      </c>
      <c r="G531" s="177">
        <v>753</v>
      </c>
      <c r="H531" s="179">
        <v>45986</v>
      </c>
      <c r="I531" s="179" t="s">
        <v>253</v>
      </c>
      <c r="J531" s="83">
        <v>3496602011</v>
      </c>
      <c r="K531" s="179"/>
      <c r="L531" s="179">
        <v>45986</v>
      </c>
      <c r="M531" s="180">
        <v>45996</v>
      </c>
      <c r="N531" s="181">
        <v>1.4672205</v>
      </c>
      <c r="O531" s="181" t="s">
        <v>170</v>
      </c>
      <c r="P531" s="83" t="s">
        <v>148</v>
      </c>
      <c r="Q531" s="177" t="s">
        <v>149</v>
      </c>
      <c r="R531" s="83"/>
    </row>
    <row r="532" spans="1:18">
      <c r="A532" s="177">
        <v>80815647</v>
      </c>
      <c r="B532" s="177" t="s">
        <v>262</v>
      </c>
      <c r="C532" s="178" t="s">
        <v>151</v>
      </c>
      <c r="D532" s="177" t="s">
        <v>252</v>
      </c>
      <c r="E532" s="177" t="s">
        <v>205</v>
      </c>
      <c r="F532" s="179">
        <v>46003</v>
      </c>
      <c r="G532" s="177">
        <v>377</v>
      </c>
      <c r="H532" s="179">
        <v>45986</v>
      </c>
      <c r="I532" s="179" t="s">
        <v>253</v>
      </c>
      <c r="J532" s="83">
        <v>3496602012</v>
      </c>
      <c r="K532" s="179"/>
      <c r="L532" s="179">
        <v>45986</v>
      </c>
      <c r="M532" s="180">
        <v>45996</v>
      </c>
      <c r="N532" s="181">
        <v>0.73458449999999997</v>
      </c>
      <c r="O532" s="181" t="s">
        <v>170</v>
      </c>
      <c r="P532" s="83" t="s">
        <v>148</v>
      </c>
      <c r="Q532" s="177" t="s">
        <v>149</v>
      </c>
      <c r="R532" s="83"/>
    </row>
    <row r="533" spans="1:18">
      <c r="A533" s="177">
        <v>80813610</v>
      </c>
      <c r="B533" s="177" t="s">
        <v>263</v>
      </c>
      <c r="C533" s="178" t="s">
        <v>151</v>
      </c>
      <c r="D533" s="177" t="s">
        <v>252</v>
      </c>
      <c r="E533" s="177" t="s">
        <v>205</v>
      </c>
      <c r="F533" s="179">
        <v>46003</v>
      </c>
      <c r="G533" s="177">
        <v>405</v>
      </c>
      <c r="H533" s="179">
        <v>45986</v>
      </c>
      <c r="I533" s="179" t="s">
        <v>253</v>
      </c>
      <c r="J533" s="83">
        <v>3496602013</v>
      </c>
      <c r="K533" s="179"/>
      <c r="L533" s="179">
        <v>45986</v>
      </c>
      <c r="M533" s="180">
        <v>45996</v>
      </c>
      <c r="N533" s="181">
        <v>0.73410299999999995</v>
      </c>
      <c r="O533" s="181" t="s">
        <v>170</v>
      </c>
      <c r="P533" s="83" t="s">
        <v>148</v>
      </c>
      <c r="Q533" s="177" t="s">
        <v>149</v>
      </c>
      <c r="R533" s="83"/>
    </row>
    <row r="534" spans="1:18">
      <c r="A534" s="177">
        <v>80813619</v>
      </c>
      <c r="B534" s="177" t="s">
        <v>264</v>
      </c>
      <c r="C534" s="178" t="s">
        <v>151</v>
      </c>
      <c r="D534" s="177" t="s">
        <v>252</v>
      </c>
      <c r="E534" s="177" t="s">
        <v>205</v>
      </c>
      <c r="F534" s="179">
        <v>46003</v>
      </c>
      <c r="G534" s="177">
        <v>405</v>
      </c>
      <c r="H534" s="179">
        <v>45986</v>
      </c>
      <c r="I534" s="179" t="s">
        <v>253</v>
      </c>
      <c r="J534" s="83">
        <v>3496602014</v>
      </c>
      <c r="K534" s="179"/>
      <c r="L534" s="179">
        <v>45986</v>
      </c>
      <c r="M534" s="180">
        <v>45996</v>
      </c>
      <c r="N534" s="181">
        <v>0.73410299999999995</v>
      </c>
      <c r="O534" s="181" t="s">
        <v>170</v>
      </c>
      <c r="P534" s="83" t="s">
        <v>148</v>
      </c>
      <c r="Q534" s="177" t="s">
        <v>149</v>
      </c>
      <c r="R534" s="83"/>
    </row>
    <row r="535" spans="1:18">
      <c r="A535" s="177">
        <v>80813615</v>
      </c>
      <c r="B535" s="177" t="s">
        <v>265</v>
      </c>
      <c r="C535" s="178" t="s">
        <v>151</v>
      </c>
      <c r="D535" s="177" t="s">
        <v>252</v>
      </c>
      <c r="E535" s="177" t="s">
        <v>205</v>
      </c>
      <c r="F535" s="179">
        <v>46003</v>
      </c>
      <c r="G535" s="177">
        <v>405</v>
      </c>
      <c r="H535" s="179">
        <v>45986</v>
      </c>
      <c r="I535" s="179" t="s">
        <v>253</v>
      </c>
      <c r="J535" s="83">
        <v>3496602015</v>
      </c>
      <c r="K535" s="179"/>
      <c r="L535" s="179">
        <v>45986</v>
      </c>
      <c r="M535" s="180">
        <v>45996</v>
      </c>
      <c r="N535" s="181">
        <v>0.73410299999999995</v>
      </c>
      <c r="O535" s="181" t="s">
        <v>170</v>
      </c>
      <c r="P535" s="83" t="s">
        <v>148</v>
      </c>
      <c r="Q535" s="177" t="s">
        <v>149</v>
      </c>
      <c r="R535" s="83"/>
    </row>
    <row r="536" spans="1:18">
      <c r="A536" s="177">
        <v>80813637</v>
      </c>
      <c r="B536" s="177" t="s">
        <v>266</v>
      </c>
      <c r="C536" s="178" t="s">
        <v>151</v>
      </c>
      <c r="D536" s="177" t="s">
        <v>252</v>
      </c>
      <c r="E536" s="177" t="s">
        <v>205</v>
      </c>
      <c r="F536" s="179">
        <v>46003</v>
      </c>
      <c r="G536" s="177">
        <v>405</v>
      </c>
      <c r="H536" s="179">
        <v>45986</v>
      </c>
      <c r="I536" s="179" t="s">
        <v>253</v>
      </c>
      <c r="J536" s="83">
        <v>3496602016</v>
      </c>
      <c r="K536" s="179"/>
      <c r="L536" s="179">
        <v>45986</v>
      </c>
      <c r="M536" s="180">
        <v>45996</v>
      </c>
      <c r="N536" s="181">
        <v>0.73410299999999995</v>
      </c>
      <c r="O536" s="181" t="s">
        <v>170</v>
      </c>
      <c r="P536" s="83" t="s">
        <v>148</v>
      </c>
      <c r="Q536" s="177" t="s">
        <v>149</v>
      </c>
      <c r="R536" s="83"/>
    </row>
    <row r="537" spans="1:18">
      <c r="A537" s="177">
        <v>80813617</v>
      </c>
      <c r="B537" s="177" t="s">
        <v>267</v>
      </c>
      <c r="C537" s="178" t="s">
        <v>151</v>
      </c>
      <c r="D537" s="177" t="s">
        <v>252</v>
      </c>
      <c r="E537" s="177" t="s">
        <v>205</v>
      </c>
      <c r="F537" s="179">
        <v>46003</v>
      </c>
      <c r="G537" s="177">
        <v>405</v>
      </c>
      <c r="H537" s="179">
        <v>45986</v>
      </c>
      <c r="I537" s="179" t="s">
        <v>253</v>
      </c>
      <c r="J537" s="83">
        <v>3496602017</v>
      </c>
      <c r="K537" s="179"/>
      <c r="L537" s="179">
        <v>45986</v>
      </c>
      <c r="M537" s="180">
        <v>45996</v>
      </c>
      <c r="N537" s="181">
        <v>0.73410299999999995</v>
      </c>
      <c r="O537" s="181" t="s">
        <v>170</v>
      </c>
      <c r="P537" s="83" t="s">
        <v>148</v>
      </c>
      <c r="Q537" s="177" t="s">
        <v>149</v>
      </c>
      <c r="R537" s="83"/>
    </row>
    <row r="538" spans="1:18">
      <c r="A538" s="177">
        <v>80813629</v>
      </c>
      <c r="B538" s="177" t="s">
        <v>268</v>
      </c>
      <c r="C538" s="178" t="s">
        <v>151</v>
      </c>
      <c r="D538" s="177" t="s">
        <v>252</v>
      </c>
      <c r="E538" s="177" t="s">
        <v>205</v>
      </c>
      <c r="F538" s="179">
        <v>46003</v>
      </c>
      <c r="G538" s="177">
        <v>405</v>
      </c>
      <c r="H538" s="179">
        <v>45986</v>
      </c>
      <c r="I538" s="179" t="s">
        <v>253</v>
      </c>
      <c r="J538" s="83">
        <v>3496602058</v>
      </c>
      <c r="K538" s="179"/>
      <c r="L538" s="179">
        <v>45986</v>
      </c>
      <c r="M538" s="180">
        <v>45996</v>
      </c>
      <c r="N538" s="181">
        <v>0.73410299999999995</v>
      </c>
      <c r="O538" s="181" t="s">
        <v>170</v>
      </c>
      <c r="P538" s="83" t="s">
        <v>148</v>
      </c>
      <c r="Q538" s="177" t="s">
        <v>149</v>
      </c>
      <c r="R538" s="83"/>
    </row>
    <row r="539" spans="1:18">
      <c r="A539" s="177">
        <v>80820462</v>
      </c>
      <c r="B539" s="177" t="s">
        <v>269</v>
      </c>
      <c r="C539" s="178" t="s">
        <v>151</v>
      </c>
      <c r="D539" s="177" t="s">
        <v>252</v>
      </c>
      <c r="E539" s="177" t="s">
        <v>205</v>
      </c>
      <c r="F539" s="179">
        <v>46003</v>
      </c>
      <c r="G539" s="177">
        <v>810</v>
      </c>
      <c r="H539" s="179">
        <v>45986</v>
      </c>
      <c r="I539" s="179" t="s">
        <v>253</v>
      </c>
      <c r="J539" s="83">
        <v>3496602059</v>
      </c>
      <c r="K539" s="179" t="s">
        <v>270</v>
      </c>
      <c r="L539" s="179">
        <v>45986</v>
      </c>
      <c r="M539" s="180">
        <v>45987</v>
      </c>
      <c r="N539" s="181">
        <v>1.4682059999999999</v>
      </c>
      <c r="O539" s="181" t="s">
        <v>170</v>
      </c>
      <c r="P539" s="83" t="s">
        <v>148</v>
      </c>
      <c r="Q539" s="177" t="s">
        <v>149</v>
      </c>
      <c r="R539" s="83"/>
    </row>
    <row r="540" spans="1:18">
      <c r="A540" s="177">
        <v>80820459</v>
      </c>
      <c r="B540" s="177" t="s">
        <v>271</v>
      </c>
      <c r="C540" s="178" t="s">
        <v>151</v>
      </c>
      <c r="D540" s="177" t="s">
        <v>252</v>
      </c>
      <c r="E540" s="177" t="s">
        <v>205</v>
      </c>
      <c r="F540" s="179">
        <v>46003</v>
      </c>
      <c r="G540" s="177">
        <v>405</v>
      </c>
      <c r="H540" s="179">
        <v>45986</v>
      </c>
      <c r="I540" s="179" t="s">
        <v>253</v>
      </c>
      <c r="J540" s="83">
        <v>3496602060</v>
      </c>
      <c r="K540" s="179" t="s">
        <v>270</v>
      </c>
      <c r="L540" s="179">
        <v>45986</v>
      </c>
      <c r="M540" s="180">
        <v>45987</v>
      </c>
      <c r="N540" s="181">
        <v>0.73410299999999995</v>
      </c>
      <c r="O540" s="181" t="s">
        <v>170</v>
      </c>
      <c r="P540" s="83" t="s">
        <v>148</v>
      </c>
      <c r="Q540" s="177" t="s">
        <v>149</v>
      </c>
      <c r="R540" s="83"/>
    </row>
    <row r="541" spans="1:18">
      <c r="A541" s="177">
        <v>80820464</v>
      </c>
      <c r="B541" s="177" t="s">
        <v>272</v>
      </c>
      <c r="C541" s="178" t="s">
        <v>151</v>
      </c>
      <c r="D541" s="177" t="s">
        <v>252</v>
      </c>
      <c r="E541" s="177" t="s">
        <v>205</v>
      </c>
      <c r="F541" s="179">
        <v>46003</v>
      </c>
      <c r="G541" s="177">
        <v>405</v>
      </c>
      <c r="H541" s="179">
        <v>45986</v>
      </c>
      <c r="I541" s="179" t="s">
        <v>253</v>
      </c>
      <c r="J541" s="83">
        <v>3496602061</v>
      </c>
      <c r="K541" s="179" t="s">
        <v>270</v>
      </c>
      <c r="L541" s="179">
        <v>45986</v>
      </c>
      <c r="M541" s="180">
        <v>45987</v>
      </c>
      <c r="N541" s="181">
        <v>0.73410299999999995</v>
      </c>
      <c r="O541" s="181" t="s">
        <v>170</v>
      </c>
      <c r="P541" s="83" t="s">
        <v>148</v>
      </c>
      <c r="Q541" s="177" t="s">
        <v>149</v>
      </c>
      <c r="R541" s="83"/>
    </row>
    <row r="542" spans="1:18">
      <c r="A542" s="177">
        <v>80820469</v>
      </c>
      <c r="B542" s="177" t="s">
        <v>273</v>
      </c>
      <c r="C542" s="178" t="s">
        <v>151</v>
      </c>
      <c r="D542" s="177" t="s">
        <v>252</v>
      </c>
      <c r="E542" s="177" t="s">
        <v>205</v>
      </c>
      <c r="F542" s="179">
        <v>46003</v>
      </c>
      <c r="G542" s="177">
        <v>810</v>
      </c>
      <c r="H542" s="179">
        <v>45986</v>
      </c>
      <c r="I542" s="179" t="s">
        <v>253</v>
      </c>
      <c r="J542" s="83">
        <v>3496602062</v>
      </c>
      <c r="K542" s="179" t="s">
        <v>270</v>
      </c>
      <c r="L542" s="179">
        <v>45986</v>
      </c>
      <c r="M542" s="180">
        <v>45987</v>
      </c>
      <c r="N542" s="181">
        <v>1.4682059999999999</v>
      </c>
      <c r="O542" s="181" t="s">
        <v>170</v>
      </c>
      <c r="P542" s="83" t="s">
        <v>148</v>
      </c>
      <c r="Q542" s="177" t="s">
        <v>149</v>
      </c>
      <c r="R542" s="83"/>
    </row>
    <row r="543" spans="1:18">
      <c r="A543" s="177">
        <v>80814089</v>
      </c>
      <c r="B543" s="177" t="s">
        <v>251</v>
      </c>
      <c r="C543" s="178" t="s">
        <v>150</v>
      </c>
      <c r="D543" s="177" t="s">
        <v>252</v>
      </c>
      <c r="E543" s="177" t="s">
        <v>205</v>
      </c>
      <c r="F543" s="179">
        <v>46003</v>
      </c>
      <c r="G543" s="177">
        <v>405</v>
      </c>
      <c r="H543" s="179">
        <v>45986</v>
      </c>
      <c r="I543" s="179" t="s">
        <v>253</v>
      </c>
      <c r="J543" s="83">
        <v>3496602063</v>
      </c>
      <c r="K543" s="179"/>
      <c r="L543" s="179">
        <v>45986</v>
      </c>
      <c r="M543" s="180">
        <v>45996</v>
      </c>
      <c r="N543" s="181">
        <v>0.73406249999999995</v>
      </c>
      <c r="O543" s="181" t="s">
        <v>170</v>
      </c>
      <c r="P543" s="83" t="s">
        <v>148</v>
      </c>
      <c r="Q543" s="177" t="s">
        <v>149</v>
      </c>
      <c r="R543" s="83"/>
    </row>
    <row r="544" spans="1:18">
      <c r="A544" s="177">
        <v>80814098</v>
      </c>
      <c r="B544" s="177" t="s">
        <v>254</v>
      </c>
      <c r="C544" s="178" t="s">
        <v>150</v>
      </c>
      <c r="D544" s="177" t="s">
        <v>252</v>
      </c>
      <c r="E544" s="177" t="s">
        <v>205</v>
      </c>
      <c r="F544" s="179">
        <v>46003</v>
      </c>
      <c r="G544" s="177">
        <v>405</v>
      </c>
      <c r="H544" s="179">
        <v>45986</v>
      </c>
      <c r="I544" s="179" t="s">
        <v>253</v>
      </c>
      <c r="J544" s="83">
        <v>3496602064</v>
      </c>
      <c r="K544" s="179"/>
      <c r="L544" s="179">
        <v>45986</v>
      </c>
      <c r="M544" s="180">
        <v>45996</v>
      </c>
      <c r="N544" s="181">
        <v>0.73406249999999995</v>
      </c>
      <c r="O544" s="181" t="s">
        <v>170</v>
      </c>
      <c r="P544" s="83" t="s">
        <v>148</v>
      </c>
      <c r="Q544" s="177" t="s">
        <v>149</v>
      </c>
      <c r="R544" s="83"/>
    </row>
    <row r="545" spans="1:18">
      <c r="A545" s="177">
        <v>80814097</v>
      </c>
      <c r="B545" s="177" t="s">
        <v>255</v>
      </c>
      <c r="C545" s="178" t="s">
        <v>150</v>
      </c>
      <c r="D545" s="177" t="s">
        <v>252</v>
      </c>
      <c r="E545" s="177" t="s">
        <v>205</v>
      </c>
      <c r="F545" s="179">
        <v>46003</v>
      </c>
      <c r="G545" s="177">
        <v>405</v>
      </c>
      <c r="H545" s="179">
        <v>45986</v>
      </c>
      <c r="I545" s="179" t="s">
        <v>253</v>
      </c>
      <c r="J545" s="83">
        <v>3496602065</v>
      </c>
      <c r="K545" s="179"/>
      <c r="L545" s="179">
        <v>45986</v>
      </c>
      <c r="M545" s="180">
        <v>45996</v>
      </c>
      <c r="N545" s="181">
        <v>0.73406249999999995</v>
      </c>
      <c r="O545" s="181" t="s">
        <v>170</v>
      </c>
      <c r="P545" s="83" t="s">
        <v>148</v>
      </c>
      <c r="Q545" s="177" t="s">
        <v>149</v>
      </c>
      <c r="R545" s="83"/>
    </row>
    <row r="546" spans="1:18">
      <c r="A546" s="177">
        <v>80814081</v>
      </c>
      <c r="B546" s="177" t="s">
        <v>256</v>
      </c>
      <c r="C546" s="178" t="s">
        <v>150</v>
      </c>
      <c r="D546" s="177" t="s">
        <v>252</v>
      </c>
      <c r="E546" s="177" t="s">
        <v>205</v>
      </c>
      <c r="F546" s="179">
        <v>46003</v>
      </c>
      <c r="G546" s="177">
        <v>405</v>
      </c>
      <c r="H546" s="179">
        <v>45986</v>
      </c>
      <c r="I546" s="179" t="s">
        <v>253</v>
      </c>
      <c r="J546" s="83">
        <v>3496602066</v>
      </c>
      <c r="K546" s="179"/>
      <c r="L546" s="179">
        <v>45986</v>
      </c>
      <c r="M546" s="180">
        <v>45996</v>
      </c>
      <c r="N546" s="181">
        <v>0.73406249999999995</v>
      </c>
      <c r="O546" s="181" t="s">
        <v>170</v>
      </c>
      <c r="P546" s="83" t="s">
        <v>148</v>
      </c>
      <c r="Q546" s="177" t="s">
        <v>149</v>
      </c>
      <c r="R546" s="83"/>
    </row>
    <row r="547" spans="1:18">
      <c r="A547" s="177">
        <v>80815648</v>
      </c>
      <c r="B547" s="177" t="s">
        <v>257</v>
      </c>
      <c r="C547" s="178" t="s">
        <v>150</v>
      </c>
      <c r="D547" s="177" t="s">
        <v>252</v>
      </c>
      <c r="E547" s="177" t="s">
        <v>205</v>
      </c>
      <c r="F547" s="179">
        <v>46003</v>
      </c>
      <c r="G547" s="177">
        <v>753</v>
      </c>
      <c r="H547" s="179">
        <v>45986</v>
      </c>
      <c r="I547" s="179" t="s">
        <v>253</v>
      </c>
      <c r="J547" s="83">
        <v>3496602067</v>
      </c>
      <c r="K547" s="179"/>
      <c r="L547" s="179">
        <v>45986</v>
      </c>
      <c r="M547" s="180">
        <v>45996</v>
      </c>
      <c r="N547" s="181">
        <v>1.4672205</v>
      </c>
      <c r="O547" s="181" t="s">
        <v>170</v>
      </c>
      <c r="P547" s="83" t="s">
        <v>148</v>
      </c>
      <c r="Q547" s="177" t="s">
        <v>149</v>
      </c>
      <c r="R547" s="83"/>
    </row>
    <row r="548" spans="1:18">
      <c r="A548" s="177">
        <v>80815643</v>
      </c>
      <c r="B548" s="177" t="s">
        <v>258</v>
      </c>
      <c r="C548" s="178" t="s">
        <v>150</v>
      </c>
      <c r="D548" s="177" t="s">
        <v>252</v>
      </c>
      <c r="E548" s="177" t="s">
        <v>205</v>
      </c>
      <c r="F548" s="179">
        <v>46003</v>
      </c>
      <c r="G548" s="177">
        <v>753</v>
      </c>
      <c r="H548" s="179">
        <v>45986</v>
      </c>
      <c r="I548" s="179" t="s">
        <v>253</v>
      </c>
      <c r="J548" s="83">
        <v>3496602068</v>
      </c>
      <c r="K548" s="179"/>
      <c r="L548" s="179">
        <v>45986</v>
      </c>
      <c r="M548" s="180">
        <v>45996</v>
      </c>
      <c r="N548" s="181">
        <v>1.4672205</v>
      </c>
      <c r="O548" s="181" t="s">
        <v>170</v>
      </c>
      <c r="P548" s="83" t="s">
        <v>148</v>
      </c>
      <c r="Q548" s="177" t="s">
        <v>149</v>
      </c>
      <c r="R548" s="83"/>
    </row>
    <row r="549" spans="1:18">
      <c r="A549" s="177">
        <v>80815642</v>
      </c>
      <c r="B549" s="177" t="s">
        <v>259</v>
      </c>
      <c r="C549" s="178" t="s">
        <v>150</v>
      </c>
      <c r="D549" s="177" t="s">
        <v>252</v>
      </c>
      <c r="E549" s="177" t="s">
        <v>205</v>
      </c>
      <c r="F549" s="179">
        <v>46003</v>
      </c>
      <c r="G549" s="177">
        <v>753</v>
      </c>
      <c r="H549" s="179">
        <v>45986</v>
      </c>
      <c r="I549" s="179" t="s">
        <v>253</v>
      </c>
      <c r="J549" s="83">
        <v>3496602069</v>
      </c>
      <c r="K549" s="179"/>
      <c r="L549" s="179">
        <v>45986</v>
      </c>
      <c r="M549" s="180">
        <v>45996</v>
      </c>
      <c r="N549" s="181">
        <v>1.4672205</v>
      </c>
      <c r="O549" s="181" t="s">
        <v>170</v>
      </c>
      <c r="P549" s="83" t="s">
        <v>148</v>
      </c>
      <c r="Q549" s="177" t="s">
        <v>149</v>
      </c>
      <c r="R549" s="83"/>
    </row>
    <row r="550" spans="1:18">
      <c r="A550" s="177">
        <v>80815644</v>
      </c>
      <c r="B550" s="177" t="s">
        <v>260</v>
      </c>
      <c r="C550" s="178" t="s">
        <v>150</v>
      </c>
      <c r="D550" s="177" t="s">
        <v>252</v>
      </c>
      <c r="E550" s="177" t="s">
        <v>205</v>
      </c>
      <c r="F550" s="179">
        <v>46003</v>
      </c>
      <c r="G550" s="177">
        <v>377</v>
      </c>
      <c r="H550" s="179">
        <v>45986</v>
      </c>
      <c r="I550" s="179" t="s">
        <v>253</v>
      </c>
      <c r="J550" s="83">
        <v>3496602070</v>
      </c>
      <c r="K550" s="179"/>
      <c r="L550" s="179">
        <v>45986</v>
      </c>
      <c r="M550" s="180">
        <v>45996</v>
      </c>
      <c r="N550" s="181">
        <v>0.73458449999999997</v>
      </c>
      <c r="O550" s="181" t="s">
        <v>170</v>
      </c>
      <c r="P550" s="83" t="s">
        <v>148</v>
      </c>
      <c r="Q550" s="177" t="s">
        <v>149</v>
      </c>
      <c r="R550" s="83"/>
    </row>
    <row r="551" spans="1:18">
      <c r="A551" s="177">
        <v>80815645</v>
      </c>
      <c r="B551" s="177" t="s">
        <v>261</v>
      </c>
      <c r="C551" s="178" t="s">
        <v>150</v>
      </c>
      <c r="D551" s="177" t="s">
        <v>252</v>
      </c>
      <c r="E551" s="177" t="s">
        <v>205</v>
      </c>
      <c r="F551" s="179">
        <v>46003</v>
      </c>
      <c r="G551" s="177">
        <v>753</v>
      </c>
      <c r="H551" s="179">
        <v>45986</v>
      </c>
      <c r="I551" s="179" t="s">
        <v>253</v>
      </c>
      <c r="J551" s="83">
        <v>3496602071</v>
      </c>
      <c r="K551" s="179"/>
      <c r="L551" s="179">
        <v>45986</v>
      </c>
      <c r="M551" s="180">
        <v>45996</v>
      </c>
      <c r="N551" s="181">
        <v>1.4672205</v>
      </c>
      <c r="O551" s="181" t="s">
        <v>170</v>
      </c>
      <c r="P551" s="83" t="s">
        <v>148</v>
      </c>
      <c r="Q551" s="177" t="s">
        <v>149</v>
      </c>
      <c r="R551" s="83"/>
    </row>
    <row r="552" spans="1:18">
      <c r="A552" s="177">
        <v>80815647</v>
      </c>
      <c r="B552" s="177" t="s">
        <v>262</v>
      </c>
      <c r="C552" s="178" t="s">
        <v>150</v>
      </c>
      <c r="D552" s="177" t="s">
        <v>252</v>
      </c>
      <c r="E552" s="177" t="s">
        <v>205</v>
      </c>
      <c r="F552" s="179">
        <v>46003</v>
      </c>
      <c r="G552" s="177">
        <v>377</v>
      </c>
      <c r="H552" s="179">
        <v>45986</v>
      </c>
      <c r="I552" s="179" t="s">
        <v>253</v>
      </c>
      <c r="J552" s="83">
        <v>3496602072</v>
      </c>
      <c r="K552" s="179"/>
      <c r="L552" s="179">
        <v>45986</v>
      </c>
      <c r="M552" s="180">
        <v>45996</v>
      </c>
      <c r="N552" s="181">
        <v>0.73458449999999997</v>
      </c>
      <c r="O552" s="181" t="s">
        <v>170</v>
      </c>
      <c r="P552" s="83" t="s">
        <v>148</v>
      </c>
      <c r="Q552" s="177" t="s">
        <v>149</v>
      </c>
      <c r="R552" s="83"/>
    </row>
    <row r="553" spans="1:18">
      <c r="A553" s="177">
        <v>80813610</v>
      </c>
      <c r="B553" s="177" t="s">
        <v>263</v>
      </c>
      <c r="C553" s="178" t="s">
        <v>150</v>
      </c>
      <c r="D553" s="177" t="s">
        <v>252</v>
      </c>
      <c r="E553" s="177" t="s">
        <v>205</v>
      </c>
      <c r="F553" s="179">
        <v>46003</v>
      </c>
      <c r="G553" s="177">
        <v>405</v>
      </c>
      <c r="H553" s="179">
        <v>45986</v>
      </c>
      <c r="I553" s="179" t="s">
        <v>253</v>
      </c>
      <c r="J553" s="83">
        <v>3496602073</v>
      </c>
      <c r="K553" s="179"/>
      <c r="L553" s="179">
        <v>45986</v>
      </c>
      <c r="M553" s="180">
        <v>45996</v>
      </c>
      <c r="N553" s="181">
        <v>0.73410299999999995</v>
      </c>
      <c r="O553" s="181" t="s">
        <v>170</v>
      </c>
      <c r="P553" s="83" t="s">
        <v>148</v>
      </c>
      <c r="Q553" s="177" t="s">
        <v>149</v>
      </c>
      <c r="R553" s="83"/>
    </row>
    <row r="554" spans="1:18">
      <c r="A554" s="177">
        <v>80813619</v>
      </c>
      <c r="B554" s="177" t="s">
        <v>264</v>
      </c>
      <c r="C554" s="178" t="s">
        <v>150</v>
      </c>
      <c r="D554" s="177" t="s">
        <v>252</v>
      </c>
      <c r="E554" s="177" t="s">
        <v>205</v>
      </c>
      <c r="F554" s="179">
        <v>46003</v>
      </c>
      <c r="G554" s="177">
        <v>405</v>
      </c>
      <c r="H554" s="179">
        <v>45986</v>
      </c>
      <c r="I554" s="179" t="s">
        <v>253</v>
      </c>
      <c r="J554" s="83">
        <v>3496602074</v>
      </c>
      <c r="K554" s="179"/>
      <c r="L554" s="179">
        <v>45986</v>
      </c>
      <c r="M554" s="180">
        <v>45996</v>
      </c>
      <c r="N554" s="181">
        <v>0.73410299999999995</v>
      </c>
      <c r="O554" s="181" t="s">
        <v>170</v>
      </c>
      <c r="P554" s="83" t="s">
        <v>148</v>
      </c>
      <c r="Q554" s="177" t="s">
        <v>149</v>
      </c>
      <c r="R554" s="83"/>
    </row>
    <row r="555" spans="1:18">
      <c r="A555" s="177">
        <v>80813615</v>
      </c>
      <c r="B555" s="177" t="s">
        <v>265</v>
      </c>
      <c r="C555" s="178" t="s">
        <v>150</v>
      </c>
      <c r="D555" s="177" t="s">
        <v>252</v>
      </c>
      <c r="E555" s="177" t="s">
        <v>205</v>
      </c>
      <c r="F555" s="179">
        <v>46003</v>
      </c>
      <c r="G555" s="177">
        <v>405</v>
      </c>
      <c r="H555" s="179">
        <v>45986</v>
      </c>
      <c r="I555" s="179" t="s">
        <v>253</v>
      </c>
      <c r="J555" s="83">
        <v>3496602075</v>
      </c>
      <c r="K555" s="179"/>
      <c r="L555" s="179">
        <v>45986</v>
      </c>
      <c r="M555" s="180">
        <v>45996</v>
      </c>
      <c r="N555" s="181">
        <v>0.73410299999999995</v>
      </c>
      <c r="O555" s="181" t="s">
        <v>170</v>
      </c>
      <c r="P555" s="83" t="s">
        <v>148</v>
      </c>
      <c r="Q555" s="177" t="s">
        <v>149</v>
      </c>
      <c r="R555" s="83"/>
    </row>
    <row r="556" spans="1:18">
      <c r="A556" s="177">
        <v>80813637</v>
      </c>
      <c r="B556" s="177" t="s">
        <v>266</v>
      </c>
      <c r="C556" s="178" t="s">
        <v>150</v>
      </c>
      <c r="D556" s="177" t="s">
        <v>252</v>
      </c>
      <c r="E556" s="177" t="s">
        <v>205</v>
      </c>
      <c r="F556" s="179">
        <v>46003</v>
      </c>
      <c r="G556" s="177">
        <v>405</v>
      </c>
      <c r="H556" s="179">
        <v>45986</v>
      </c>
      <c r="I556" s="179" t="s">
        <v>253</v>
      </c>
      <c r="J556" s="83">
        <v>3496602076</v>
      </c>
      <c r="K556" s="179"/>
      <c r="L556" s="179">
        <v>45986</v>
      </c>
      <c r="M556" s="180">
        <v>45996</v>
      </c>
      <c r="N556" s="181">
        <v>0.73410299999999995</v>
      </c>
      <c r="O556" s="181" t="s">
        <v>170</v>
      </c>
      <c r="P556" s="83" t="s">
        <v>148</v>
      </c>
      <c r="Q556" s="177" t="s">
        <v>149</v>
      </c>
      <c r="R556" s="83"/>
    </row>
    <row r="557" spans="1:18">
      <c r="A557" s="177">
        <v>80813617</v>
      </c>
      <c r="B557" s="177" t="s">
        <v>267</v>
      </c>
      <c r="C557" s="178" t="s">
        <v>150</v>
      </c>
      <c r="D557" s="177" t="s">
        <v>252</v>
      </c>
      <c r="E557" s="177" t="s">
        <v>205</v>
      </c>
      <c r="F557" s="179">
        <v>46003</v>
      </c>
      <c r="G557" s="177">
        <v>405</v>
      </c>
      <c r="H557" s="179">
        <v>45986</v>
      </c>
      <c r="I557" s="179" t="s">
        <v>253</v>
      </c>
      <c r="J557" s="83">
        <v>3496602077</v>
      </c>
      <c r="K557" s="179"/>
      <c r="L557" s="179">
        <v>45986</v>
      </c>
      <c r="M557" s="180">
        <v>45996</v>
      </c>
      <c r="N557" s="181">
        <v>0.73410299999999995</v>
      </c>
      <c r="O557" s="181" t="s">
        <v>170</v>
      </c>
      <c r="P557" s="83" t="s">
        <v>148</v>
      </c>
      <c r="Q557" s="177" t="s">
        <v>149</v>
      </c>
      <c r="R557" s="83"/>
    </row>
    <row r="558" spans="1:18">
      <c r="A558" s="177">
        <v>80813629</v>
      </c>
      <c r="B558" s="177" t="s">
        <v>268</v>
      </c>
      <c r="C558" s="178" t="s">
        <v>150</v>
      </c>
      <c r="D558" s="177" t="s">
        <v>252</v>
      </c>
      <c r="E558" s="177" t="s">
        <v>205</v>
      </c>
      <c r="F558" s="179">
        <v>46003</v>
      </c>
      <c r="G558" s="177">
        <v>405</v>
      </c>
      <c r="H558" s="179">
        <v>45986</v>
      </c>
      <c r="I558" s="179" t="s">
        <v>253</v>
      </c>
      <c r="J558" s="83">
        <v>3496602138</v>
      </c>
      <c r="K558" s="179"/>
      <c r="L558" s="179">
        <v>45986</v>
      </c>
      <c r="M558" s="180">
        <v>45996</v>
      </c>
      <c r="N558" s="181">
        <v>0.73410299999999995</v>
      </c>
      <c r="O558" s="181" t="s">
        <v>170</v>
      </c>
      <c r="P558" s="83" t="s">
        <v>148</v>
      </c>
      <c r="Q558" s="177" t="s">
        <v>149</v>
      </c>
      <c r="R558" s="83"/>
    </row>
    <row r="559" spans="1:18">
      <c r="A559" s="177">
        <v>80820462</v>
      </c>
      <c r="B559" s="177" t="s">
        <v>269</v>
      </c>
      <c r="C559" s="178" t="s">
        <v>150</v>
      </c>
      <c r="D559" s="177" t="s">
        <v>252</v>
      </c>
      <c r="E559" s="177" t="s">
        <v>205</v>
      </c>
      <c r="F559" s="179">
        <v>46003</v>
      </c>
      <c r="G559" s="177">
        <v>810</v>
      </c>
      <c r="H559" s="179">
        <v>45986</v>
      </c>
      <c r="I559" s="179" t="s">
        <v>253</v>
      </c>
      <c r="J559" s="83">
        <v>3496602139</v>
      </c>
      <c r="K559" s="179" t="s">
        <v>270</v>
      </c>
      <c r="L559" s="179">
        <v>45986</v>
      </c>
      <c r="M559" s="180">
        <v>45987</v>
      </c>
      <c r="N559" s="181">
        <v>1.4682059999999999</v>
      </c>
      <c r="O559" s="181" t="s">
        <v>170</v>
      </c>
      <c r="P559" s="83" t="s">
        <v>148</v>
      </c>
      <c r="Q559" s="177" t="s">
        <v>149</v>
      </c>
      <c r="R559" s="83"/>
    </row>
    <row r="560" spans="1:18">
      <c r="A560" s="177">
        <v>80820459</v>
      </c>
      <c r="B560" s="177" t="s">
        <v>271</v>
      </c>
      <c r="C560" s="178" t="s">
        <v>150</v>
      </c>
      <c r="D560" s="177" t="s">
        <v>252</v>
      </c>
      <c r="E560" s="177" t="s">
        <v>205</v>
      </c>
      <c r="F560" s="179">
        <v>46003</v>
      </c>
      <c r="G560" s="177">
        <v>405</v>
      </c>
      <c r="H560" s="179">
        <v>45986</v>
      </c>
      <c r="I560" s="179" t="s">
        <v>253</v>
      </c>
      <c r="J560" s="83">
        <v>3496602140</v>
      </c>
      <c r="K560" s="179" t="s">
        <v>270</v>
      </c>
      <c r="L560" s="179">
        <v>45986</v>
      </c>
      <c r="M560" s="180">
        <v>45987</v>
      </c>
      <c r="N560" s="181">
        <v>0.73410299999999995</v>
      </c>
      <c r="O560" s="181" t="s">
        <v>170</v>
      </c>
      <c r="P560" s="83" t="s">
        <v>148</v>
      </c>
      <c r="Q560" s="177" t="s">
        <v>149</v>
      </c>
      <c r="R560" s="83"/>
    </row>
    <row r="561" spans="1:18">
      <c r="A561" s="177">
        <v>80820464</v>
      </c>
      <c r="B561" s="177" t="s">
        <v>272</v>
      </c>
      <c r="C561" s="178" t="s">
        <v>150</v>
      </c>
      <c r="D561" s="177" t="s">
        <v>252</v>
      </c>
      <c r="E561" s="177" t="s">
        <v>205</v>
      </c>
      <c r="F561" s="179">
        <v>46003</v>
      </c>
      <c r="G561" s="177">
        <v>405</v>
      </c>
      <c r="H561" s="179">
        <v>45986</v>
      </c>
      <c r="I561" s="179" t="s">
        <v>253</v>
      </c>
      <c r="J561" s="83">
        <v>3496602141</v>
      </c>
      <c r="K561" s="179" t="s">
        <v>270</v>
      </c>
      <c r="L561" s="179">
        <v>45986</v>
      </c>
      <c r="M561" s="180">
        <v>45987</v>
      </c>
      <c r="N561" s="181">
        <v>0.73410299999999995</v>
      </c>
      <c r="O561" s="181" t="s">
        <v>170</v>
      </c>
      <c r="P561" s="83" t="s">
        <v>148</v>
      </c>
      <c r="Q561" s="177" t="s">
        <v>149</v>
      </c>
      <c r="R561" s="83"/>
    </row>
    <row r="562" spans="1:18">
      <c r="A562" s="177">
        <v>80820469</v>
      </c>
      <c r="B562" s="177" t="s">
        <v>273</v>
      </c>
      <c r="C562" s="178" t="s">
        <v>150</v>
      </c>
      <c r="D562" s="177" t="s">
        <v>252</v>
      </c>
      <c r="E562" s="177" t="s">
        <v>205</v>
      </c>
      <c r="F562" s="179">
        <v>46003</v>
      </c>
      <c r="G562" s="177">
        <v>810</v>
      </c>
      <c r="H562" s="179">
        <v>45986</v>
      </c>
      <c r="I562" s="179" t="s">
        <v>253</v>
      </c>
      <c r="J562" s="83">
        <v>3496602142</v>
      </c>
      <c r="K562" s="179" t="s">
        <v>270</v>
      </c>
      <c r="L562" s="179">
        <v>45986</v>
      </c>
      <c r="M562" s="180">
        <v>45987</v>
      </c>
      <c r="N562" s="181">
        <v>1.4682059999999999</v>
      </c>
      <c r="O562" s="181" t="s">
        <v>170</v>
      </c>
      <c r="P562" s="83" t="s">
        <v>148</v>
      </c>
      <c r="Q562" s="177" t="s">
        <v>149</v>
      </c>
      <c r="R562" s="83"/>
    </row>
    <row r="563" spans="1:18">
      <c r="A563" s="177">
        <v>80814089</v>
      </c>
      <c r="B563" s="177" t="s">
        <v>251</v>
      </c>
      <c r="C563" s="178" t="s">
        <v>155</v>
      </c>
      <c r="D563" s="177" t="s">
        <v>252</v>
      </c>
      <c r="E563" s="177" t="s">
        <v>205</v>
      </c>
      <c r="F563" s="179">
        <v>46010</v>
      </c>
      <c r="G563" s="177">
        <v>405</v>
      </c>
      <c r="H563" s="179">
        <v>45986</v>
      </c>
      <c r="I563" s="179" t="s">
        <v>253</v>
      </c>
      <c r="J563" s="83">
        <v>3496602143</v>
      </c>
      <c r="K563" s="179"/>
      <c r="L563" s="179">
        <v>45986</v>
      </c>
      <c r="M563" s="180">
        <v>46003</v>
      </c>
      <c r="N563" s="181">
        <v>0.73406249999999995</v>
      </c>
      <c r="O563" s="181" t="s">
        <v>170</v>
      </c>
      <c r="P563" s="83" t="s">
        <v>148</v>
      </c>
      <c r="Q563" s="177" t="s">
        <v>149</v>
      </c>
      <c r="R563" s="83"/>
    </row>
    <row r="564" spans="1:18">
      <c r="A564" s="177">
        <v>80814098</v>
      </c>
      <c r="B564" s="177" t="s">
        <v>254</v>
      </c>
      <c r="C564" s="178" t="s">
        <v>155</v>
      </c>
      <c r="D564" s="177" t="s">
        <v>252</v>
      </c>
      <c r="E564" s="177" t="s">
        <v>205</v>
      </c>
      <c r="F564" s="179">
        <v>46010</v>
      </c>
      <c r="G564" s="177">
        <v>405</v>
      </c>
      <c r="H564" s="179">
        <v>45986</v>
      </c>
      <c r="I564" s="179" t="s">
        <v>253</v>
      </c>
      <c r="J564" s="83">
        <v>3496602144</v>
      </c>
      <c r="K564" s="179"/>
      <c r="L564" s="179">
        <v>45986</v>
      </c>
      <c r="M564" s="180">
        <v>46003</v>
      </c>
      <c r="N564" s="181">
        <v>0.73406249999999995</v>
      </c>
      <c r="O564" s="181" t="s">
        <v>170</v>
      </c>
      <c r="P564" s="83" t="s">
        <v>148</v>
      </c>
      <c r="Q564" s="177" t="s">
        <v>149</v>
      </c>
      <c r="R564" s="83"/>
    </row>
    <row r="565" spans="1:18">
      <c r="A565" s="177">
        <v>80814097</v>
      </c>
      <c r="B565" s="177" t="s">
        <v>255</v>
      </c>
      <c r="C565" s="178" t="s">
        <v>155</v>
      </c>
      <c r="D565" s="177" t="s">
        <v>252</v>
      </c>
      <c r="E565" s="177" t="s">
        <v>205</v>
      </c>
      <c r="F565" s="179">
        <v>46010</v>
      </c>
      <c r="G565" s="177">
        <v>405</v>
      </c>
      <c r="H565" s="179">
        <v>45986</v>
      </c>
      <c r="I565" s="179" t="s">
        <v>253</v>
      </c>
      <c r="J565" s="83">
        <v>3496602145</v>
      </c>
      <c r="K565" s="179"/>
      <c r="L565" s="179">
        <v>45986</v>
      </c>
      <c r="M565" s="180">
        <v>46003</v>
      </c>
      <c r="N565" s="181">
        <v>0.73406249999999995</v>
      </c>
      <c r="O565" s="181" t="s">
        <v>170</v>
      </c>
      <c r="P565" s="83" t="s">
        <v>148</v>
      </c>
      <c r="Q565" s="177" t="s">
        <v>149</v>
      </c>
      <c r="R565" s="83"/>
    </row>
    <row r="566" spans="1:18">
      <c r="A566" s="177">
        <v>80814081</v>
      </c>
      <c r="B566" s="177" t="s">
        <v>256</v>
      </c>
      <c r="C566" s="178" t="s">
        <v>155</v>
      </c>
      <c r="D566" s="177" t="s">
        <v>252</v>
      </c>
      <c r="E566" s="177" t="s">
        <v>205</v>
      </c>
      <c r="F566" s="179">
        <v>46010</v>
      </c>
      <c r="G566" s="177">
        <v>405</v>
      </c>
      <c r="H566" s="179">
        <v>45986</v>
      </c>
      <c r="I566" s="179" t="s">
        <v>253</v>
      </c>
      <c r="J566" s="83">
        <v>3496602146</v>
      </c>
      <c r="K566" s="179"/>
      <c r="L566" s="179">
        <v>45986</v>
      </c>
      <c r="M566" s="180">
        <v>46003</v>
      </c>
      <c r="N566" s="181">
        <v>0.73406249999999995</v>
      </c>
      <c r="O566" s="181" t="s">
        <v>170</v>
      </c>
      <c r="P566" s="83" t="s">
        <v>148</v>
      </c>
      <c r="Q566" s="177" t="s">
        <v>149</v>
      </c>
      <c r="R566" s="83"/>
    </row>
    <row r="567" spans="1:18">
      <c r="A567" s="177">
        <v>80815648</v>
      </c>
      <c r="B567" s="177" t="s">
        <v>257</v>
      </c>
      <c r="C567" s="178" t="s">
        <v>155</v>
      </c>
      <c r="D567" s="177" t="s">
        <v>252</v>
      </c>
      <c r="E567" s="177" t="s">
        <v>205</v>
      </c>
      <c r="F567" s="179">
        <v>46010</v>
      </c>
      <c r="G567" s="177">
        <v>753</v>
      </c>
      <c r="H567" s="179">
        <v>45986</v>
      </c>
      <c r="I567" s="179" t="s">
        <v>253</v>
      </c>
      <c r="J567" s="83">
        <v>3496602147</v>
      </c>
      <c r="K567" s="179"/>
      <c r="L567" s="179">
        <v>45986</v>
      </c>
      <c r="M567" s="180">
        <v>46003</v>
      </c>
      <c r="N567" s="181">
        <v>1.4672205</v>
      </c>
      <c r="O567" s="181" t="s">
        <v>170</v>
      </c>
      <c r="P567" s="83" t="s">
        <v>148</v>
      </c>
      <c r="Q567" s="177" t="s">
        <v>149</v>
      </c>
      <c r="R567" s="83"/>
    </row>
    <row r="568" spans="1:18">
      <c r="A568" s="177">
        <v>80815643</v>
      </c>
      <c r="B568" s="177" t="s">
        <v>258</v>
      </c>
      <c r="C568" s="178" t="s">
        <v>155</v>
      </c>
      <c r="D568" s="177" t="s">
        <v>252</v>
      </c>
      <c r="E568" s="177" t="s">
        <v>205</v>
      </c>
      <c r="F568" s="179">
        <v>46010</v>
      </c>
      <c r="G568" s="177">
        <v>753</v>
      </c>
      <c r="H568" s="179">
        <v>45986</v>
      </c>
      <c r="I568" s="179" t="s">
        <v>253</v>
      </c>
      <c r="J568" s="83">
        <v>3496602148</v>
      </c>
      <c r="K568" s="179"/>
      <c r="L568" s="179">
        <v>45986</v>
      </c>
      <c r="M568" s="180">
        <v>46003</v>
      </c>
      <c r="N568" s="181">
        <v>1.4672205</v>
      </c>
      <c r="O568" s="181" t="s">
        <v>170</v>
      </c>
      <c r="P568" s="83" t="s">
        <v>148</v>
      </c>
      <c r="Q568" s="177" t="s">
        <v>149</v>
      </c>
      <c r="R568" s="83"/>
    </row>
    <row r="569" spans="1:18">
      <c r="A569" s="177">
        <v>80815642</v>
      </c>
      <c r="B569" s="177" t="s">
        <v>259</v>
      </c>
      <c r="C569" s="178" t="s">
        <v>155</v>
      </c>
      <c r="D569" s="177" t="s">
        <v>252</v>
      </c>
      <c r="E569" s="177" t="s">
        <v>205</v>
      </c>
      <c r="F569" s="179">
        <v>46010</v>
      </c>
      <c r="G569" s="177">
        <v>753</v>
      </c>
      <c r="H569" s="179">
        <v>45986</v>
      </c>
      <c r="I569" s="179" t="s">
        <v>253</v>
      </c>
      <c r="J569" s="83">
        <v>3496602149</v>
      </c>
      <c r="K569" s="179"/>
      <c r="L569" s="179">
        <v>45986</v>
      </c>
      <c r="M569" s="180">
        <v>46003</v>
      </c>
      <c r="N569" s="181">
        <v>1.4672205</v>
      </c>
      <c r="O569" s="181" t="s">
        <v>170</v>
      </c>
      <c r="P569" s="83" t="s">
        <v>148</v>
      </c>
      <c r="Q569" s="177" t="s">
        <v>149</v>
      </c>
      <c r="R569" s="83"/>
    </row>
    <row r="570" spans="1:18">
      <c r="A570" s="177">
        <v>80815644</v>
      </c>
      <c r="B570" s="177" t="s">
        <v>260</v>
      </c>
      <c r="C570" s="178" t="s">
        <v>155</v>
      </c>
      <c r="D570" s="177" t="s">
        <v>252</v>
      </c>
      <c r="E570" s="177" t="s">
        <v>205</v>
      </c>
      <c r="F570" s="179">
        <v>46010</v>
      </c>
      <c r="G570" s="177">
        <v>377</v>
      </c>
      <c r="H570" s="179">
        <v>45986</v>
      </c>
      <c r="I570" s="179" t="s">
        <v>253</v>
      </c>
      <c r="J570" s="83">
        <v>3496602150</v>
      </c>
      <c r="K570" s="179"/>
      <c r="L570" s="179">
        <v>45986</v>
      </c>
      <c r="M570" s="180">
        <v>46003</v>
      </c>
      <c r="N570" s="181">
        <v>0.73458449999999997</v>
      </c>
      <c r="O570" s="181" t="s">
        <v>170</v>
      </c>
      <c r="P570" s="83" t="s">
        <v>148</v>
      </c>
      <c r="Q570" s="177" t="s">
        <v>149</v>
      </c>
      <c r="R570" s="83"/>
    </row>
    <row r="571" spans="1:18">
      <c r="A571" s="177">
        <v>80815645</v>
      </c>
      <c r="B571" s="177" t="s">
        <v>261</v>
      </c>
      <c r="C571" s="178" t="s">
        <v>155</v>
      </c>
      <c r="D571" s="177" t="s">
        <v>252</v>
      </c>
      <c r="E571" s="177" t="s">
        <v>205</v>
      </c>
      <c r="F571" s="179">
        <v>46010</v>
      </c>
      <c r="G571" s="177">
        <v>753</v>
      </c>
      <c r="H571" s="179">
        <v>45986</v>
      </c>
      <c r="I571" s="179" t="s">
        <v>253</v>
      </c>
      <c r="J571" s="83">
        <v>3496602151</v>
      </c>
      <c r="K571" s="179"/>
      <c r="L571" s="179">
        <v>45986</v>
      </c>
      <c r="M571" s="180">
        <v>46003</v>
      </c>
      <c r="N571" s="181">
        <v>1.4672205</v>
      </c>
      <c r="O571" s="181" t="s">
        <v>170</v>
      </c>
      <c r="P571" s="83" t="s">
        <v>148</v>
      </c>
      <c r="Q571" s="177" t="s">
        <v>149</v>
      </c>
      <c r="R571" s="83"/>
    </row>
    <row r="572" spans="1:18">
      <c r="A572" s="177">
        <v>80815647</v>
      </c>
      <c r="B572" s="177" t="s">
        <v>262</v>
      </c>
      <c r="C572" s="178" t="s">
        <v>155</v>
      </c>
      <c r="D572" s="177" t="s">
        <v>252</v>
      </c>
      <c r="E572" s="177" t="s">
        <v>205</v>
      </c>
      <c r="F572" s="179">
        <v>46010</v>
      </c>
      <c r="G572" s="177">
        <v>377</v>
      </c>
      <c r="H572" s="179">
        <v>45986</v>
      </c>
      <c r="I572" s="179" t="s">
        <v>253</v>
      </c>
      <c r="J572" s="83">
        <v>3496602152</v>
      </c>
      <c r="K572" s="179"/>
      <c r="L572" s="179">
        <v>45986</v>
      </c>
      <c r="M572" s="180">
        <v>46003</v>
      </c>
      <c r="N572" s="181">
        <v>0.73458449999999997</v>
      </c>
      <c r="O572" s="181" t="s">
        <v>170</v>
      </c>
      <c r="P572" s="83" t="s">
        <v>148</v>
      </c>
      <c r="Q572" s="177" t="s">
        <v>149</v>
      </c>
      <c r="R572" s="83"/>
    </row>
    <row r="573" spans="1:18">
      <c r="A573" s="177">
        <v>80813610</v>
      </c>
      <c r="B573" s="177" t="s">
        <v>263</v>
      </c>
      <c r="C573" s="178" t="s">
        <v>155</v>
      </c>
      <c r="D573" s="177" t="s">
        <v>252</v>
      </c>
      <c r="E573" s="177" t="s">
        <v>205</v>
      </c>
      <c r="F573" s="179">
        <v>46010</v>
      </c>
      <c r="G573" s="177">
        <v>405</v>
      </c>
      <c r="H573" s="179">
        <v>45986</v>
      </c>
      <c r="I573" s="179" t="s">
        <v>253</v>
      </c>
      <c r="J573" s="83">
        <v>3496602153</v>
      </c>
      <c r="K573" s="179"/>
      <c r="L573" s="179">
        <v>45986</v>
      </c>
      <c r="M573" s="180">
        <v>46003</v>
      </c>
      <c r="N573" s="181">
        <v>0.73410299999999995</v>
      </c>
      <c r="O573" s="181" t="s">
        <v>170</v>
      </c>
      <c r="P573" s="83" t="s">
        <v>148</v>
      </c>
      <c r="Q573" s="177" t="s">
        <v>149</v>
      </c>
      <c r="R573" s="83"/>
    </row>
    <row r="574" spans="1:18">
      <c r="A574" s="177">
        <v>80813619</v>
      </c>
      <c r="B574" s="177" t="s">
        <v>264</v>
      </c>
      <c r="C574" s="178" t="s">
        <v>155</v>
      </c>
      <c r="D574" s="177" t="s">
        <v>252</v>
      </c>
      <c r="E574" s="177" t="s">
        <v>205</v>
      </c>
      <c r="F574" s="179">
        <v>46010</v>
      </c>
      <c r="G574" s="177">
        <v>405</v>
      </c>
      <c r="H574" s="179">
        <v>45986</v>
      </c>
      <c r="I574" s="179" t="s">
        <v>253</v>
      </c>
      <c r="J574" s="83">
        <v>3496602155</v>
      </c>
      <c r="K574" s="179"/>
      <c r="L574" s="179">
        <v>45986</v>
      </c>
      <c r="M574" s="180">
        <v>46003</v>
      </c>
      <c r="N574" s="181">
        <v>0.73410299999999995</v>
      </c>
      <c r="O574" s="181" t="s">
        <v>170</v>
      </c>
      <c r="P574" s="83" t="s">
        <v>148</v>
      </c>
      <c r="Q574" s="177" t="s">
        <v>149</v>
      </c>
      <c r="R574" s="83"/>
    </row>
    <row r="575" spans="1:18">
      <c r="A575" s="177">
        <v>80813615</v>
      </c>
      <c r="B575" s="177" t="s">
        <v>265</v>
      </c>
      <c r="C575" s="178" t="s">
        <v>155</v>
      </c>
      <c r="D575" s="177" t="s">
        <v>252</v>
      </c>
      <c r="E575" s="177" t="s">
        <v>205</v>
      </c>
      <c r="F575" s="179">
        <v>46010</v>
      </c>
      <c r="G575" s="177">
        <v>405</v>
      </c>
      <c r="H575" s="179">
        <v>45986</v>
      </c>
      <c r="I575" s="179" t="s">
        <v>253</v>
      </c>
      <c r="J575" s="83">
        <v>3496602157</v>
      </c>
      <c r="K575" s="179"/>
      <c r="L575" s="179">
        <v>45986</v>
      </c>
      <c r="M575" s="180">
        <v>46003</v>
      </c>
      <c r="N575" s="181">
        <v>0.73410299999999995</v>
      </c>
      <c r="O575" s="181" t="s">
        <v>170</v>
      </c>
      <c r="P575" s="83" t="s">
        <v>148</v>
      </c>
      <c r="Q575" s="177" t="s">
        <v>149</v>
      </c>
      <c r="R575" s="83"/>
    </row>
    <row r="576" spans="1:18">
      <c r="A576" s="177">
        <v>80813637</v>
      </c>
      <c r="B576" s="177" t="s">
        <v>266</v>
      </c>
      <c r="C576" s="178" t="s">
        <v>155</v>
      </c>
      <c r="D576" s="177" t="s">
        <v>252</v>
      </c>
      <c r="E576" s="177" t="s">
        <v>205</v>
      </c>
      <c r="F576" s="179">
        <v>46010</v>
      </c>
      <c r="G576" s="177">
        <v>405</v>
      </c>
      <c r="H576" s="179">
        <v>45986</v>
      </c>
      <c r="I576" s="179" t="s">
        <v>253</v>
      </c>
      <c r="J576" s="83">
        <v>3496602178</v>
      </c>
      <c r="K576" s="179"/>
      <c r="L576" s="179">
        <v>45986</v>
      </c>
      <c r="M576" s="180">
        <v>46003</v>
      </c>
      <c r="N576" s="181">
        <v>0.73410299999999995</v>
      </c>
      <c r="O576" s="181" t="s">
        <v>170</v>
      </c>
      <c r="P576" s="83" t="s">
        <v>148</v>
      </c>
      <c r="Q576" s="177" t="s">
        <v>149</v>
      </c>
      <c r="R576" s="83"/>
    </row>
    <row r="577" spans="1:18">
      <c r="A577" s="177">
        <v>80813617</v>
      </c>
      <c r="B577" s="177" t="s">
        <v>267</v>
      </c>
      <c r="C577" s="178" t="s">
        <v>155</v>
      </c>
      <c r="D577" s="177" t="s">
        <v>252</v>
      </c>
      <c r="E577" s="177" t="s">
        <v>205</v>
      </c>
      <c r="F577" s="179">
        <v>46010</v>
      </c>
      <c r="G577" s="177">
        <v>405</v>
      </c>
      <c r="H577" s="179">
        <v>45986</v>
      </c>
      <c r="I577" s="179" t="s">
        <v>253</v>
      </c>
      <c r="J577" s="83">
        <v>3496602179</v>
      </c>
      <c r="K577" s="179"/>
      <c r="L577" s="179">
        <v>45986</v>
      </c>
      <c r="M577" s="180">
        <v>46003</v>
      </c>
      <c r="N577" s="181">
        <v>0.73410299999999995</v>
      </c>
      <c r="O577" s="181" t="s">
        <v>170</v>
      </c>
      <c r="P577" s="83" t="s">
        <v>148</v>
      </c>
      <c r="Q577" s="177" t="s">
        <v>149</v>
      </c>
      <c r="R577" s="83"/>
    </row>
    <row r="578" spans="1:18">
      <c r="A578" s="177">
        <v>80813629</v>
      </c>
      <c r="B578" s="177" t="s">
        <v>268</v>
      </c>
      <c r="C578" s="178" t="s">
        <v>155</v>
      </c>
      <c r="D578" s="177" t="s">
        <v>252</v>
      </c>
      <c r="E578" s="177" t="s">
        <v>205</v>
      </c>
      <c r="F578" s="179">
        <v>46010</v>
      </c>
      <c r="G578" s="177">
        <v>405</v>
      </c>
      <c r="H578" s="179">
        <v>45986</v>
      </c>
      <c r="I578" s="179" t="s">
        <v>253</v>
      </c>
      <c r="J578" s="83">
        <v>3496602180</v>
      </c>
      <c r="K578" s="179"/>
      <c r="L578" s="179">
        <v>45986</v>
      </c>
      <c r="M578" s="180">
        <v>46003</v>
      </c>
      <c r="N578" s="181">
        <v>0.73410299999999995</v>
      </c>
      <c r="O578" s="181" t="s">
        <v>170</v>
      </c>
      <c r="P578" s="83" t="s">
        <v>148</v>
      </c>
      <c r="Q578" s="177" t="s">
        <v>149</v>
      </c>
      <c r="R578" s="83"/>
    </row>
    <row r="579" spans="1:18">
      <c r="A579" s="177">
        <v>80820462</v>
      </c>
      <c r="B579" s="177" t="s">
        <v>269</v>
      </c>
      <c r="C579" s="178" t="s">
        <v>155</v>
      </c>
      <c r="D579" s="177" t="s">
        <v>252</v>
      </c>
      <c r="E579" s="177" t="s">
        <v>205</v>
      </c>
      <c r="F579" s="179">
        <v>46010</v>
      </c>
      <c r="G579" s="177">
        <v>810</v>
      </c>
      <c r="H579" s="179">
        <v>45986</v>
      </c>
      <c r="I579" s="179" t="s">
        <v>253</v>
      </c>
      <c r="J579" s="83">
        <v>3496602181</v>
      </c>
      <c r="K579" s="179" t="s">
        <v>270</v>
      </c>
      <c r="L579" s="179">
        <v>45986</v>
      </c>
      <c r="M579" s="180">
        <v>45987</v>
      </c>
      <c r="N579" s="181">
        <v>1.4682059999999999</v>
      </c>
      <c r="O579" s="181" t="s">
        <v>170</v>
      </c>
      <c r="P579" s="83" t="s">
        <v>148</v>
      </c>
      <c r="Q579" s="177" t="s">
        <v>149</v>
      </c>
      <c r="R579" s="83"/>
    </row>
    <row r="580" spans="1:18">
      <c r="A580" s="177">
        <v>80820459</v>
      </c>
      <c r="B580" s="177" t="s">
        <v>271</v>
      </c>
      <c r="C580" s="178" t="s">
        <v>155</v>
      </c>
      <c r="D580" s="177" t="s">
        <v>252</v>
      </c>
      <c r="E580" s="177" t="s">
        <v>205</v>
      </c>
      <c r="F580" s="179">
        <v>46010</v>
      </c>
      <c r="G580" s="177">
        <v>405</v>
      </c>
      <c r="H580" s="179">
        <v>45986</v>
      </c>
      <c r="I580" s="179" t="s">
        <v>253</v>
      </c>
      <c r="J580" s="83">
        <v>3496602182</v>
      </c>
      <c r="K580" s="179" t="s">
        <v>270</v>
      </c>
      <c r="L580" s="179">
        <v>45986</v>
      </c>
      <c r="M580" s="180">
        <v>45987</v>
      </c>
      <c r="N580" s="181">
        <v>0.73410299999999995</v>
      </c>
      <c r="O580" s="181" t="s">
        <v>170</v>
      </c>
      <c r="P580" s="83" t="s">
        <v>148</v>
      </c>
      <c r="Q580" s="177" t="s">
        <v>149</v>
      </c>
      <c r="R580" s="83"/>
    </row>
    <row r="581" spans="1:18">
      <c r="A581" s="177">
        <v>80820464</v>
      </c>
      <c r="B581" s="177" t="s">
        <v>272</v>
      </c>
      <c r="C581" s="178" t="s">
        <v>155</v>
      </c>
      <c r="D581" s="177" t="s">
        <v>252</v>
      </c>
      <c r="E581" s="177" t="s">
        <v>205</v>
      </c>
      <c r="F581" s="179">
        <v>46010</v>
      </c>
      <c r="G581" s="177">
        <v>405</v>
      </c>
      <c r="H581" s="179">
        <v>45986</v>
      </c>
      <c r="I581" s="179" t="s">
        <v>253</v>
      </c>
      <c r="J581" s="83">
        <v>3496602184</v>
      </c>
      <c r="K581" s="179" t="s">
        <v>270</v>
      </c>
      <c r="L581" s="179">
        <v>45986</v>
      </c>
      <c r="M581" s="180">
        <v>45987</v>
      </c>
      <c r="N581" s="181">
        <v>0.73410299999999995</v>
      </c>
      <c r="O581" s="181" t="s">
        <v>170</v>
      </c>
      <c r="P581" s="83" t="s">
        <v>148</v>
      </c>
      <c r="Q581" s="177" t="s">
        <v>149</v>
      </c>
      <c r="R581" s="83"/>
    </row>
    <row r="582" spans="1:18">
      <c r="A582" s="177">
        <v>80820469</v>
      </c>
      <c r="B582" s="177" t="s">
        <v>273</v>
      </c>
      <c r="C582" s="178" t="s">
        <v>155</v>
      </c>
      <c r="D582" s="177" t="s">
        <v>252</v>
      </c>
      <c r="E582" s="177" t="s">
        <v>205</v>
      </c>
      <c r="F582" s="179">
        <v>46010</v>
      </c>
      <c r="G582" s="177">
        <v>810</v>
      </c>
      <c r="H582" s="179">
        <v>45986</v>
      </c>
      <c r="I582" s="179" t="s">
        <v>253</v>
      </c>
      <c r="J582" s="83">
        <v>3496602186</v>
      </c>
      <c r="K582" s="179" t="s">
        <v>270</v>
      </c>
      <c r="L582" s="179">
        <v>45986</v>
      </c>
      <c r="M582" s="180">
        <v>45987</v>
      </c>
      <c r="N582" s="181">
        <v>1.4682059999999999</v>
      </c>
      <c r="O582" s="181" t="s">
        <v>170</v>
      </c>
      <c r="P582" s="83" t="s">
        <v>148</v>
      </c>
      <c r="Q582" s="177" t="s">
        <v>149</v>
      </c>
      <c r="R582" s="83"/>
    </row>
    <row r="583" spans="1:18">
      <c r="A583" s="177">
        <v>80814089</v>
      </c>
      <c r="B583" s="177" t="s">
        <v>251</v>
      </c>
      <c r="C583" s="178" t="s">
        <v>151</v>
      </c>
      <c r="D583" s="177" t="s">
        <v>252</v>
      </c>
      <c r="E583" s="177" t="s">
        <v>205</v>
      </c>
      <c r="F583" s="179">
        <v>46010</v>
      </c>
      <c r="G583" s="177">
        <v>405</v>
      </c>
      <c r="H583" s="179">
        <v>45986</v>
      </c>
      <c r="I583" s="179" t="s">
        <v>253</v>
      </c>
      <c r="J583" s="83">
        <v>3496602187</v>
      </c>
      <c r="K583" s="179"/>
      <c r="L583" s="179">
        <v>45986</v>
      </c>
      <c r="M583" s="180">
        <v>46003</v>
      </c>
      <c r="N583" s="181">
        <v>0.73406249999999995</v>
      </c>
      <c r="O583" s="181" t="s">
        <v>170</v>
      </c>
      <c r="P583" s="83" t="s">
        <v>148</v>
      </c>
      <c r="Q583" s="177" t="s">
        <v>149</v>
      </c>
      <c r="R583" s="83"/>
    </row>
    <row r="584" spans="1:18">
      <c r="A584" s="177">
        <v>80814098</v>
      </c>
      <c r="B584" s="177" t="s">
        <v>254</v>
      </c>
      <c r="C584" s="178" t="s">
        <v>151</v>
      </c>
      <c r="D584" s="177" t="s">
        <v>252</v>
      </c>
      <c r="E584" s="177" t="s">
        <v>205</v>
      </c>
      <c r="F584" s="179">
        <v>46010</v>
      </c>
      <c r="G584" s="177">
        <v>405</v>
      </c>
      <c r="H584" s="179">
        <v>45986</v>
      </c>
      <c r="I584" s="179" t="s">
        <v>253</v>
      </c>
      <c r="J584" s="83">
        <v>3496602188</v>
      </c>
      <c r="K584" s="179"/>
      <c r="L584" s="179">
        <v>45986</v>
      </c>
      <c r="M584" s="180">
        <v>46003</v>
      </c>
      <c r="N584" s="181">
        <v>0.73406249999999995</v>
      </c>
      <c r="O584" s="181" t="s">
        <v>170</v>
      </c>
      <c r="P584" s="83" t="s">
        <v>148</v>
      </c>
      <c r="Q584" s="177" t="s">
        <v>149</v>
      </c>
      <c r="R584" s="83"/>
    </row>
    <row r="585" spans="1:18">
      <c r="A585" s="177">
        <v>80814097</v>
      </c>
      <c r="B585" s="177" t="s">
        <v>255</v>
      </c>
      <c r="C585" s="178" t="s">
        <v>151</v>
      </c>
      <c r="D585" s="177" t="s">
        <v>252</v>
      </c>
      <c r="E585" s="177" t="s">
        <v>205</v>
      </c>
      <c r="F585" s="179">
        <v>46010</v>
      </c>
      <c r="G585" s="177">
        <v>405</v>
      </c>
      <c r="H585" s="179">
        <v>45986</v>
      </c>
      <c r="I585" s="179" t="s">
        <v>253</v>
      </c>
      <c r="J585" s="83">
        <v>3496602190</v>
      </c>
      <c r="K585" s="179"/>
      <c r="L585" s="179">
        <v>45986</v>
      </c>
      <c r="M585" s="180">
        <v>46003</v>
      </c>
      <c r="N585" s="181">
        <v>0.73406249999999995</v>
      </c>
      <c r="O585" s="181" t="s">
        <v>170</v>
      </c>
      <c r="P585" s="83" t="s">
        <v>148</v>
      </c>
      <c r="Q585" s="177" t="s">
        <v>149</v>
      </c>
      <c r="R585" s="83"/>
    </row>
    <row r="586" spans="1:18">
      <c r="A586" s="177">
        <v>80814081</v>
      </c>
      <c r="B586" s="177" t="s">
        <v>256</v>
      </c>
      <c r="C586" s="178" t="s">
        <v>151</v>
      </c>
      <c r="D586" s="177" t="s">
        <v>252</v>
      </c>
      <c r="E586" s="177" t="s">
        <v>205</v>
      </c>
      <c r="F586" s="179">
        <v>46010</v>
      </c>
      <c r="G586" s="177">
        <v>405</v>
      </c>
      <c r="H586" s="179">
        <v>45986</v>
      </c>
      <c r="I586" s="179" t="s">
        <v>253</v>
      </c>
      <c r="J586" s="83">
        <v>3496602192</v>
      </c>
      <c r="K586" s="179"/>
      <c r="L586" s="179">
        <v>45986</v>
      </c>
      <c r="M586" s="180">
        <v>46003</v>
      </c>
      <c r="N586" s="181">
        <v>0.73406249999999995</v>
      </c>
      <c r="O586" s="181" t="s">
        <v>170</v>
      </c>
      <c r="P586" s="83" t="s">
        <v>148</v>
      </c>
      <c r="Q586" s="177" t="s">
        <v>149</v>
      </c>
      <c r="R586" s="83"/>
    </row>
    <row r="587" spans="1:18">
      <c r="A587" s="177">
        <v>80815648</v>
      </c>
      <c r="B587" s="177" t="s">
        <v>257</v>
      </c>
      <c r="C587" s="178" t="s">
        <v>151</v>
      </c>
      <c r="D587" s="177" t="s">
        <v>252</v>
      </c>
      <c r="E587" s="177" t="s">
        <v>205</v>
      </c>
      <c r="F587" s="179">
        <v>46010</v>
      </c>
      <c r="G587" s="177">
        <v>753</v>
      </c>
      <c r="H587" s="179">
        <v>45986</v>
      </c>
      <c r="I587" s="179" t="s">
        <v>253</v>
      </c>
      <c r="J587" s="83">
        <v>3496602193</v>
      </c>
      <c r="K587" s="179"/>
      <c r="L587" s="179">
        <v>45986</v>
      </c>
      <c r="M587" s="180">
        <v>46003</v>
      </c>
      <c r="N587" s="181">
        <v>1.4672205</v>
      </c>
      <c r="O587" s="181" t="s">
        <v>170</v>
      </c>
      <c r="P587" s="83" t="s">
        <v>148</v>
      </c>
      <c r="Q587" s="177" t="s">
        <v>149</v>
      </c>
      <c r="R587" s="83"/>
    </row>
    <row r="588" spans="1:18">
      <c r="A588" s="177">
        <v>80815643</v>
      </c>
      <c r="B588" s="177" t="s">
        <v>258</v>
      </c>
      <c r="C588" s="178" t="s">
        <v>151</v>
      </c>
      <c r="D588" s="177" t="s">
        <v>252</v>
      </c>
      <c r="E588" s="177" t="s">
        <v>205</v>
      </c>
      <c r="F588" s="179">
        <v>46010</v>
      </c>
      <c r="G588" s="177">
        <v>753</v>
      </c>
      <c r="H588" s="179">
        <v>45986</v>
      </c>
      <c r="I588" s="179" t="s">
        <v>253</v>
      </c>
      <c r="J588" s="83">
        <v>3496602195</v>
      </c>
      <c r="K588" s="179"/>
      <c r="L588" s="179">
        <v>45986</v>
      </c>
      <c r="M588" s="180">
        <v>46003</v>
      </c>
      <c r="N588" s="181">
        <v>1.4672205</v>
      </c>
      <c r="O588" s="181" t="s">
        <v>170</v>
      </c>
      <c r="P588" s="83" t="s">
        <v>148</v>
      </c>
      <c r="Q588" s="177" t="s">
        <v>149</v>
      </c>
      <c r="R588" s="83"/>
    </row>
    <row r="589" spans="1:18">
      <c r="A589" s="177">
        <v>80815642</v>
      </c>
      <c r="B589" s="177" t="s">
        <v>259</v>
      </c>
      <c r="C589" s="178" t="s">
        <v>151</v>
      </c>
      <c r="D589" s="177" t="s">
        <v>252</v>
      </c>
      <c r="E589" s="177" t="s">
        <v>205</v>
      </c>
      <c r="F589" s="179">
        <v>46010</v>
      </c>
      <c r="G589" s="177">
        <v>753</v>
      </c>
      <c r="H589" s="179">
        <v>45986</v>
      </c>
      <c r="I589" s="179" t="s">
        <v>253</v>
      </c>
      <c r="J589" s="83">
        <v>3496602197</v>
      </c>
      <c r="K589" s="179"/>
      <c r="L589" s="179">
        <v>45986</v>
      </c>
      <c r="M589" s="180">
        <v>46003</v>
      </c>
      <c r="N589" s="181">
        <v>1.4672205</v>
      </c>
      <c r="O589" s="181" t="s">
        <v>170</v>
      </c>
      <c r="P589" s="83" t="s">
        <v>148</v>
      </c>
      <c r="Q589" s="177" t="s">
        <v>149</v>
      </c>
      <c r="R589" s="83"/>
    </row>
    <row r="590" spans="1:18">
      <c r="A590" s="177">
        <v>80815644</v>
      </c>
      <c r="B590" s="177" t="s">
        <v>260</v>
      </c>
      <c r="C590" s="178" t="s">
        <v>151</v>
      </c>
      <c r="D590" s="177" t="s">
        <v>252</v>
      </c>
      <c r="E590" s="177" t="s">
        <v>205</v>
      </c>
      <c r="F590" s="179">
        <v>46010</v>
      </c>
      <c r="G590" s="177">
        <v>377</v>
      </c>
      <c r="H590" s="179">
        <v>45986</v>
      </c>
      <c r="I590" s="179" t="s">
        <v>253</v>
      </c>
      <c r="J590" s="83">
        <v>3496602218</v>
      </c>
      <c r="K590" s="179"/>
      <c r="L590" s="179">
        <v>45986</v>
      </c>
      <c r="M590" s="180">
        <v>46003</v>
      </c>
      <c r="N590" s="181">
        <v>0.73458449999999997</v>
      </c>
      <c r="O590" s="181" t="s">
        <v>170</v>
      </c>
      <c r="P590" s="83" t="s">
        <v>148</v>
      </c>
      <c r="Q590" s="177" t="s">
        <v>149</v>
      </c>
      <c r="R590" s="83"/>
    </row>
    <row r="591" spans="1:18">
      <c r="A591" s="177">
        <v>80815645</v>
      </c>
      <c r="B591" s="177" t="s">
        <v>261</v>
      </c>
      <c r="C591" s="178" t="s">
        <v>151</v>
      </c>
      <c r="D591" s="177" t="s">
        <v>252</v>
      </c>
      <c r="E591" s="177" t="s">
        <v>205</v>
      </c>
      <c r="F591" s="179">
        <v>46010</v>
      </c>
      <c r="G591" s="177">
        <v>753</v>
      </c>
      <c r="H591" s="179">
        <v>45986</v>
      </c>
      <c r="I591" s="179" t="s">
        <v>253</v>
      </c>
      <c r="J591" s="83">
        <v>3496602221</v>
      </c>
      <c r="K591" s="179"/>
      <c r="L591" s="179">
        <v>45986</v>
      </c>
      <c r="M591" s="180">
        <v>46003</v>
      </c>
      <c r="N591" s="181">
        <v>1.4672205</v>
      </c>
      <c r="O591" s="181" t="s">
        <v>170</v>
      </c>
      <c r="P591" s="83" t="s">
        <v>148</v>
      </c>
      <c r="Q591" s="177" t="s">
        <v>149</v>
      </c>
      <c r="R591" s="83"/>
    </row>
    <row r="592" spans="1:18">
      <c r="A592" s="177">
        <v>80815647</v>
      </c>
      <c r="B592" s="177" t="s">
        <v>262</v>
      </c>
      <c r="C592" s="178" t="s">
        <v>151</v>
      </c>
      <c r="D592" s="177" t="s">
        <v>252</v>
      </c>
      <c r="E592" s="177" t="s">
        <v>205</v>
      </c>
      <c r="F592" s="179">
        <v>46010</v>
      </c>
      <c r="G592" s="177">
        <v>377</v>
      </c>
      <c r="H592" s="179">
        <v>45986</v>
      </c>
      <c r="I592" s="179" t="s">
        <v>253</v>
      </c>
      <c r="J592" s="83">
        <v>3496602222</v>
      </c>
      <c r="K592" s="179"/>
      <c r="L592" s="179">
        <v>45986</v>
      </c>
      <c r="M592" s="180">
        <v>46003</v>
      </c>
      <c r="N592" s="181">
        <v>0.73458449999999997</v>
      </c>
      <c r="O592" s="181" t="s">
        <v>170</v>
      </c>
      <c r="P592" s="83" t="s">
        <v>148</v>
      </c>
      <c r="Q592" s="177" t="s">
        <v>149</v>
      </c>
      <c r="R592" s="83"/>
    </row>
    <row r="593" spans="1:18">
      <c r="A593" s="177">
        <v>80813610</v>
      </c>
      <c r="B593" s="177" t="s">
        <v>263</v>
      </c>
      <c r="C593" s="178" t="s">
        <v>151</v>
      </c>
      <c r="D593" s="177" t="s">
        <v>252</v>
      </c>
      <c r="E593" s="177" t="s">
        <v>205</v>
      </c>
      <c r="F593" s="179">
        <v>46010</v>
      </c>
      <c r="G593" s="177">
        <v>405</v>
      </c>
      <c r="H593" s="179">
        <v>45986</v>
      </c>
      <c r="I593" s="179" t="s">
        <v>253</v>
      </c>
      <c r="J593" s="83">
        <v>3496602223</v>
      </c>
      <c r="K593" s="179"/>
      <c r="L593" s="179">
        <v>45986</v>
      </c>
      <c r="M593" s="180">
        <v>46003</v>
      </c>
      <c r="N593" s="181">
        <v>0.73410299999999995</v>
      </c>
      <c r="O593" s="181" t="s">
        <v>170</v>
      </c>
      <c r="P593" s="83" t="s">
        <v>148</v>
      </c>
      <c r="Q593" s="177" t="s">
        <v>149</v>
      </c>
      <c r="R593" s="83"/>
    </row>
    <row r="594" spans="1:18">
      <c r="A594" s="177">
        <v>80813619</v>
      </c>
      <c r="B594" s="177" t="s">
        <v>264</v>
      </c>
      <c r="C594" s="178" t="s">
        <v>151</v>
      </c>
      <c r="D594" s="177" t="s">
        <v>252</v>
      </c>
      <c r="E594" s="177" t="s">
        <v>205</v>
      </c>
      <c r="F594" s="179">
        <v>46010</v>
      </c>
      <c r="G594" s="177">
        <v>405</v>
      </c>
      <c r="H594" s="179">
        <v>45986</v>
      </c>
      <c r="I594" s="179" t="s">
        <v>253</v>
      </c>
      <c r="J594" s="83">
        <v>3496602225</v>
      </c>
      <c r="K594" s="179"/>
      <c r="L594" s="179">
        <v>45986</v>
      </c>
      <c r="M594" s="180">
        <v>46003</v>
      </c>
      <c r="N594" s="181">
        <v>0.73410299999999995</v>
      </c>
      <c r="O594" s="181" t="s">
        <v>170</v>
      </c>
      <c r="P594" s="83" t="s">
        <v>148</v>
      </c>
      <c r="Q594" s="177" t="s">
        <v>149</v>
      </c>
      <c r="R594" s="83"/>
    </row>
    <row r="595" spans="1:18">
      <c r="A595" s="177">
        <v>80813615</v>
      </c>
      <c r="B595" s="177" t="s">
        <v>265</v>
      </c>
      <c r="C595" s="178" t="s">
        <v>151</v>
      </c>
      <c r="D595" s="177" t="s">
        <v>252</v>
      </c>
      <c r="E595" s="177" t="s">
        <v>205</v>
      </c>
      <c r="F595" s="179">
        <v>46010</v>
      </c>
      <c r="G595" s="177">
        <v>405</v>
      </c>
      <c r="H595" s="179">
        <v>45986</v>
      </c>
      <c r="I595" s="179" t="s">
        <v>253</v>
      </c>
      <c r="J595" s="83">
        <v>3496602227</v>
      </c>
      <c r="K595" s="179"/>
      <c r="L595" s="179">
        <v>45986</v>
      </c>
      <c r="M595" s="180">
        <v>46003</v>
      </c>
      <c r="N595" s="181">
        <v>0.73410299999999995</v>
      </c>
      <c r="O595" s="181" t="s">
        <v>170</v>
      </c>
      <c r="P595" s="83" t="s">
        <v>148</v>
      </c>
      <c r="Q595" s="177" t="s">
        <v>149</v>
      </c>
      <c r="R595" s="83"/>
    </row>
    <row r="596" spans="1:18">
      <c r="A596" s="177">
        <v>80813637</v>
      </c>
      <c r="B596" s="177" t="s">
        <v>266</v>
      </c>
      <c r="C596" s="178" t="s">
        <v>151</v>
      </c>
      <c r="D596" s="177" t="s">
        <v>252</v>
      </c>
      <c r="E596" s="177" t="s">
        <v>205</v>
      </c>
      <c r="F596" s="179">
        <v>46010</v>
      </c>
      <c r="G596" s="177">
        <v>405</v>
      </c>
      <c r="H596" s="179">
        <v>45986</v>
      </c>
      <c r="I596" s="179" t="s">
        <v>253</v>
      </c>
      <c r="J596" s="83">
        <v>3496602228</v>
      </c>
      <c r="K596" s="179"/>
      <c r="L596" s="179">
        <v>45986</v>
      </c>
      <c r="M596" s="180">
        <v>46003</v>
      </c>
      <c r="N596" s="181">
        <v>0.73410299999999995</v>
      </c>
      <c r="O596" s="181" t="s">
        <v>170</v>
      </c>
      <c r="P596" s="83" t="s">
        <v>148</v>
      </c>
      <c r="Q596" s="177" t="s">
        <v>149</v>
      </c>
      <c r="R596" s="83"/>
    </row>
    <row r="597" spans="1:18">
      <c r="A597" s="177">
        <v>80813617</v>
      </c>
      <c r="B597" s="177" t="s">
        <v>267</v>
      </c>
      <c r="C597" s="178" t="s">
        <v>151</v>
      </c>
      <c r="D597" s="177" t="s">
        <v>252</v>
      </c>
      <c r="E597" s="177" t="s">
        <v>205</v>
      </c>
      <c r="F597" s="179">
        <v>46010</v>
      </c>
      <c r="G597" s="177">
        <v>405</v>
      </c>
      <c r="H597" s="179">
        <v>45986</v>
      </c>
      <c r="I597" s="179" t="s">
        <v>253</v>
      </c>
      <c r="J597" s="83">
        <v>3496602229</v>
      </c>
      <c r="K597" s="179"/>
      <c r="L597" s="179">
        <v>45986</v>
      </c>
      <c r="M597" s="180">
        <v>46003</v>
      </c>
      <c r="N597" s="181">
        <v>0.73410299999999995</v>
      </c>
      <c r="O597" s="181" t="s">
        <v>170</v>
      </c>
      <c r="P597" s="83" t="s">
        <v>148</v>
      </c>
      <c r="Q597" s="177" t="s">
        <v>149</v>
      </c>
      <c r="R597" s="83"/>
    </row>
    <row r="598" spans="1:18">
      <c r="A598" s="177">
        <v>80813629</v>
      </c>
      <c r="B598" s="177" t="s">
        <v>268</v>
      </c>
      <c r="C598" s="178" t="s">
        <v>151</v>
      </c>
      <c r="D598" s="177" t="s">
        <v>252</v>
      </c>
      <c r="E598" s="177" t="s">
        <v>205</v>
      </c>
      <c r="F598" s="179">
        <v>46010</v>
      </c>
      <c r="G598" s="177">
        <v>405</v>
      </c>
      <c r="H598" s="179">
        <v>45986</v>
      </c>
      <c r="I598" s="179" t="s">
        <v>253</v>
      </c>
      <c r="J598" s="83">
        <v>3496602230</v>
      </c>
      <c r="K598" s="179"/>
      <c r="L598" s="179">
        <v>45986</v>
      </c>
      <c r="M598" s="180">
        <v>46003</v>
      </c>
      <c r="N598" s="181">
        <v>0.73410299999999995</v>
      </c>
      <c r="O598" s="181" t="s">
        <v>170</v>
      </c>
      <c r="P598" s="83" t="s">
        <v>148</v>
      </c>
      <c r="Q598" s="177" t="s">
        <v>149</v>
      </c>
      <c r="R598" s="83"/>
    </row>
    <row r="599" spans="1:18">
      <c r="A599" s="177">
        <v>80820462</v>
      </c>
      <c r="B599" s="177" t="s">
        <v>269</v>
      </c>
      <c r="C599" s="178" t="s">
        <v>151</v>
      </c>
      <c r="D599" s="177" t="s">
        <v>252</v>
      </c>
      <c r="E599" s="177" t="s">
        <v>205</v>
      </c>
      <c r="F599" s="179">
        <v>46010</v>
      </c>
      <c r="G599" s="177">
        <v>810</v>
      </c>
      <c r="H599" s="179">
        <v>45986</v>
      </c>
      <c r="I599" s="179" t="s">
        <v>253</v>
      </c>
      <c r="J599" s="83">
        <v>3496602231</v>
      </c>
      <c r="K599" s="179" t="s">
        <v>270</v>
      </c>
      <c r="L599" s="179">
        <v>45986</v>
      </c>
      <c r="M599" s="180">
        <v>45987</v>
      </c>
      <c r="N599" s="181">
        <v>1.4682059999999999</v>
      </c>
      <c r="O599" s="181" t="s">
        <v>170</v>
      </c>
      <c r="P599" s="83" t="s">
        <v>148</v>
      </c>
      <c r="Q599" s="177" t="s">
        <v>149</v>
      </c>
      <c r="R599" s="83"/>
    </row>
    <row r="600" spans="1:18">
      <c r="A600" s="177">
        <v>80820459</v>
      </c>
      <c r="B600" s="177" t="s">
        <v>271</v>
      </c>
      <c r="C600" s="178" t="s">
        <v>151</v>
      </c>
      <c r="D600" s="177" t="s">
        <v>252</v>
      </c>
      <c r="E600" s="177" t="s">
        <v>205</v>
      </c>
      <c r="F600" s="179">
        <v>46010</v>
      </c>
      <c r="G600" s="177">
        <v>405</v>
      </c>
      <c r="H600" s="179">
        <v>45986</v>
      </c>
      <c r="I600" s="179" t="s">
        <v>253</v>
      </c>
      <c r="J600" s="83">
        <v>3496602232</v>
      </c>
      <c r="K600" s="179" t="s">
        <v>270</v>
      </c>
      <c r="L600" s="179">
        <v>45986</v>
      </c>
      <c r="M600" s="180">
        <v>45987</v>
      </c>
      <c r="N600" s="181">
        <v>0.73410299999999995</v>
      </c>
      <c r="O600" s="181" t="s">
        <v>170</v>
      </c>
      <c r="P600" s="83" t="s">
        <v>148</v>
      </c>
      <c r="Q600" s="177" t="s">
        <v>149</v>
      </c>
      <c r="R600" s="83"/>
    </row>
    <row r="601" spans="1:18">
      <c r="A601" s="177">
        <v>80820464</v>
      </c>
      <c r="B601" s="177" t="s">
        <v>272</v>
      </c>
      <c r="C601" s="178" t="s">
        <v>151</v>
      </c>
      <c r="D601" s="177" t="s">
        <v>252</v>
      </c>
      <c r="E601" s="177" t="s">
        <v>205</v>
      </c>
      <c r="F601" s="179">
        <v>46010</v>
      </c>
      <c r="G601" s="177">
        <v>405</v>
      </c>
      <c r="H601" s="179">
        <v>45986</v>
      </c>
      <c r="I601" s="179" t="s">
        <v>253</v>
      </c>
      <c r="J601" s="83">
        <v>3496602233</v>
      </c>
      <c r="K601" s="179" t="s">
        <v>270</v>
      </c>
      <c r="L601" s="179">
        <v>45986</v>
      </c>
      <c r="M601" s="180">
        <v>45987</v>
      </c>
      <c r="N601" s="181">
        <v>0.73410299999999995</v>
      </c>
      <c r="O601" s="181" t="s">
        <v>170</v>
      </c>
      <c r="P601" s="83" t="s">
        <v>148</v>
      </c>
      <c r="Q601" s="177" t="s">
        <v>149</v>
      </c>
      <c r="R601" s="83"/>
    </row>
    <row r="602" spans="1:18">
      <c r="A602" s="177">
        <v>80820469</v>
      </c>
      <c r="B602" s="177" t="s">
        <v>273</v>
      </c>
      <c r="C602" s="178" t="s">
        <v>151</v>
      </c>
      <c r="D602" s="177" t="s">
        <v>252</v>
      </c>
      <c r="E602" s="177" t="s">
        <v>205</v>
      </c>
      <c r="F602" s="179">
        <v>46010</v>
      </c>
      <c r="G602" s="177">
        <v>810</v>
      </c>
      <c r="H602" s="179">
        <v>45986</v>
      </c>
      <c r="I602" s="179" t="s">
        <v>253</v>
      </c>
      <c r="J602" s="83">
        <v>3496602234</v>
      </c>
      <c r="K602" s="179" t="s">
        <v>270</v>
      </c>
      <c r="L602" s="179">
        <v>45986</v>
      </c>
      <c r="M602" s="180">
        <v>45987</v>
      </c>
      <c r="N602" s="181">
        <v>1.4682059999999999</v>
      </c>
      <c r="O602" s="181" t="s">
        <v>170</v>
      </c>
      <c r="P602" s="83" t="s">
        <v>148</v>
      </c>
      <c r="Q602" s="177" t="s">
        <v>149</v>
      </c>
      <c r="R602" s="83"/>
    </row>
    <row r="603" spans="1:18">
      <c r="A603" s="177">
        <v>80814089</v>
      </c>
      <c r="B603" s="177" t="s">
        <v>251</v>
      </c>
      <c r="C603" s="178" t="s">
        <v>150</v>
      </c>
      <c r="D603" s="177" t="s">
        <v>252</v>
      </c>
      <c r="E603" s="177" t="s">
        <v>205</v>
      </c>
      <c r="F603" s="179">
        <v>46010</v>
      </c>
      <c r="G603" s="177">
        <v>405</v>
      </c>
      <c r="H603" s="179">
        <v>45986</v>
      </c>
      <c r="I603" s="179" t="s">
        <v>253</v>
      </c>
      <c r="J603" s="83">
        <v>3496602235</v>
      </c>
      <c r="K603" s="179"/>
      <c r="L603" s="179">
        <v>45986</v>
      </c>
      <c r="M603" s="180">
        <v>46003</v>
      </c>
      <c r="N603" s="181">
        <v>0.73406249999999995</v>
      </c>
      <c r="O603" s="181" t="s">
        <v>170</v>
      </c>
      <c r="P603" s="83" t="s">
        <v>148</v>
      </c>
      <c r="Q603" s="177" t="s">
        <v>149</v>
      </c>
      <c r="R603" s="83"/>
    </row>
    <row r="604" spans="1:18">
      <c r="A604" s="177">
        <v>80814098</v>
      </c>
      <c r="B604" s="177" t="s">
        <v>254</v>
      </c>
      <c r="C604" s="178" t="s">
        <v>150</v>
      </c>
      <c r="D604" s="177" t="s">
        <v>252</v>
      </c>
      <c r="E604" s="177" t="s">
        <v>205</v>
      </c>
      <c r="F604" s="179">
        <v>46010</v>
      </c>
      <c r="G604" s="177">
        <v>405</v>
      </c>
      <c r="H604" s="179">
        <v>45986</v>
      </c>
      <c r="I604" s="179" t="s">
        <v>253</v>
      </c>
      <c r="J604" s="83">
        <v>3496602236</v>
      </c>
      <c r="K604" s="179"/>
      <c r="L604" s="179">
        <v>45986</v>
      </c>
      <c r="M604" s="180">
        <v>46003</v>
      </c>
      <c r="N604" s="181">
        <v>0.73406249999999995</v>
      </c>
      <c r="O604" s="181" t="s">
        <v>170</v>
      </c>
      <c r="P604" s="83" t="s">
        <v>148</v>
      </c>
      <c r="Q604" s="177" t="s">
        <v>149</v>
      </c>
      <c r="R604" s="83"/>
    </row>
    <row r="605" spans="1:18">
      <c r="A605" s="177">
        <v>80814097</v>
      </c>
      <c r="B605" s="177" t="s">
        <v>255</v>
      </c>
      <c r="C605" s="178" t="s">
        <v>150</v>
      </c>
      <c r="D605" s="177" t="s">
        <v>252</v>
      </c>
      <c r="E605" s="177" t="s">
        <v>205</v>
      </c>
      <c r="F605" s="179">
        <v>46010</v>
      </c>
      <c r="G605" s="177">
        <v>405</v>
      </c>
      <c r="H605" s="179">
        <v>45986</v>
      </c>
      <c r="I605" s="179" t="s">
        <v>253</v>
      </c>
      <c r="J605" s="83">
        <v>3496602237</v>
      </c>
      <c r="K605" s="179"/>
      <c r="L605" s="179">
        <v>45986</v>
      </c>
      <c r="M605" s="180">
        <v>46003</v>
      </c>
      <c r="N605" s="181">
        <v>0.73406249999999995</v>
      </c>
      <c r="O605" s="181" t="s">
        <v>170</v>
      </c>
      <c r="P605" s="83" t="s">
        <v>148</v>
      </c>
      <c r="Q605" s="177" t="s">
        <v>149</v>
      </c>
      <c r="R605" s="83"/>
    </row>
    <row r="606" spans="1:18">
      <c r="A606" s="177">
        <v>80814081</v>
      </c>
      <c r="B606" s="177" t="s">
        <v>256</v>
      </c>
      <c r="C606" s="178" t="s">
        <v>150</v>
      </c>
      <c r="D606" s="177" t="s">
        <v>252</v>
      </c>
      <c r="E606" s="177" t="s">
        <v>205</v>
      </c>
      <c r="F606" s="179">
        <v>46010</v>
      </c>
      <c r="G606" s="177">
        <v>405</v>
      </c>
      <c r="H606" s="179">
        <v>45986</v>
      </c>
      <c r="I606" s="179" t="s">
        <v>253</v>
      </c>
      <c r="J606" s="83">
        <v>3496602238</v>
      </c>
      <c r="K606" s="179"/>
      <c r="L606" s="179">
        <v>45986</v>
      </c>
      <c r="M606" s="180">
        <v>46003</v>
      </c>
      <c r="N606" s="181">
        <v>0.73406249999999995</v>
      </c>
      <c r="O606" s="181" t="s">
        <v>170</v>
      </c>
      <c r="P606" s="83" t="s">
        <v>148</v>
      </c>
      <c r="Q606" s="177" t="s">
        <v>149</v>
      </c>
      <c r="R606" s="83"/>
    </row>
    <row r="607" spans="1:18">
      <c r="A607" s="177">
        <v>80815648</v>
      </c>
      <c r="B607" s="177" t="s">
        <v>257</v>
      </c>
      <c r="C607" s="178" t="s">
        <v>150</v>
      </c>
      <c r="D607" s="177" t="s">
        <v>252</v>
      </c>
      <c r="E607" s="177" t="s">
        <v>205</v>
      </c>
      <c r="F607" s="179">
        <v>46010</v>
      </c>
      <c r="G607" s="177">
        <v>753</v>
      </c>
      <c r="H607" s="179">
        <v>45986</v>
      </c>
      <c r="I607" s="179" t="s">
        <v>253</v>
      </c>
      <c r="J607" s="83">
        <v>3496602239</v>
      </c>
      <c r="K607" s="179"/>
      <c r="L607" s="179">
        <v>45986</v>
      </c>
      <c r="M607" s="180">
        <v>46003</v>
      </c>
      <c r="N607" s="181">
        <v>1.4672205</v>
      </c>
      <c r="O607" s="181" t="s">
        <v>170</v>
      </c>
      <c r="P607" s="83" t="s">
        <v>148</v>
      </c>
      <c r="Q607" s="177" t="s">
        <v>149</v>
      </c>
      <c r="R607" s="83"/>
    </row>
    <row r="608" spans="1:18">
      <c r="A608" s="177">
        <v>80815643</v>
      </c>
      <c r="B608" s="177" t="s">
        <v>258</v>
      </c>
      <c r="C608" s="178" t="s">
        <v>150</v>
      </c>
      <c r="D608" s="177" t="s">
        <v>252</v>
      </c>
      <c r="E608" s="177" t="s">
        <v>205</v>
      </c>
      <c r="F608" s="179">
        <v>46010</v>
      </c>
      <c r="G608" s="177">
        <v>753</v>
      </c>
      <c r="H608" s="179">
        <v>45986</v>
      </c>
      <c r="I608" s="179" t="s">
        <v>253</v>
      </c>
      <c r="J608" s="83">
        <v>3496602240</v>
      </c>
      <c r="K608" s="179"/>
      <c r="L608" s="179">
        <v>45986</v>
      </c>
      <c r="M608" s="180">
        <v>46003</v>
      </c>
      <c r="N608" s="181">
        <v>1.4672205</v>
      </c>
      <c r="O608" s="181" t="s">
        <v>170</v>
      </c>
      <c r="P608" s="83" t="s">
        <v>148</v>
      </c>
      <c r="Q608" s="177" t="s">
        <v>149</v>
      </c>
      <c r="R608" s="83"/>
    </row>
    <row r="609" spans="1:18">
      <c r="A609" s="177">
        <v>80815642</v>
      </c>
      <c r="B609" s="177" t="s">
        <v>259</v>
      </c>
      <c r="C609" s="178" t="s">
        <v>150</v>
      </c>
      <c r="D609" s="177" t="s">
        <v>252</v>
      </c>
      <c r="E609" s="177" t="s">
        <v>205</v>
      </c>
      <c r="F609" s="179">
        <v>46010</v>
      </c>
      <c r="G609" s="177">
        <v>753</v>
      </c>
      <c r="H609" s="179">
        <v>45986</v>
      </c>
      <c r="I609" s="179" t="s">
        <v>253</v>
      </c>
      <c r="J609" s="83">
        <v>3496602241</v>
      </c>
      <c r="K609" s="179"/>
      <c r="L609" s="179">
        <v>45986</v>
      </c>
      <c r="M609" s="180">
        <v>46003</v>
      </c>
      <c r="N609" s="181">
        <v>1.4672205</v>
      </c>
      <c r="O609" s="181" t="s">
        <v>170</v>
      </c>
      <c r="P609" s="83" t="s">
        <v>148</v>
      </c>
      <c r="Q609" s="177" t="s">
        <v>149</v>
      </c>
      <c r="R609" s="83"/>
    </row>
    <row r="610" spans="1:18">
      <c r="A610" s="177">
        <v>80815644</v>
      </c>
      <c r="B610" s="177" t="s">
        <v>260</v>
      </c>
      <c r="C610" s="178" t="s">
        <v>150</v>
      </c>
      <c r="D610" s="177" t="s">
        <v>252</v>
      </c>
      <c r="E610" s="177" t="s">
        <v>205</v>
      </c>
      <c r="F610" s="179">
        <v>46010</v>
      </c>
      <c r="G610" s="177">
        <v>377</v>
      </c>
      <c r="H610" s="179">
        <v>45986</v>
      </c>
      <c r="I610" s="179" t="s">
        <v>253</v>
      </c>
      <c r="J610" s="83">
        <v>3496602242</v>
      </c>
      <c r="K610" s="179"/>
      <c r="L610" s="179">
        <v>45986</v>
      </c>
      <c r="M610" s="180">
        <v>46003</v>
      </c>
      <c r="N610" s="181">
        <v>0.73458449999999997</v>
      </c>
      <c r="O610" s="181" t="s">
        <v>170</v>
      </c>
      <c r="P610" s="83" t="s">
        <v>148</v>
      </c>
      <c r="Q610" s="177" t="s">
        <v>149</v>
      </c>
      <c r="R610" s="83"/>
    </row>
    <row r="611" spans="1:18">
      <c r="A611" s="177">
        <v>80815645</v>
      </c>
      <c r="B611" s="177" t="s">
        <v>261</v>
      </c>
      <c r="C611" s="178" t="s">
        <v>150</v>
      </c>
      <c r="D611" s="177" t="s">
        <v>252</v>
      </c>
      <c r="E611" s="177" t="s">
        <v>205</v>
      </c>
      <c r="F611" s="179">
        <v>46010</v>
      </c>
      <c r="G611" s="177">
        <v>753</v>
      </c>
      <c r="H611" s="179">
        <v>45986</v>
      </c>
      <c r="I611" s="179" t="s">
        <v>253</v>
      </c>
      <c r="J611" s="83">
        <v>3496602243</v>
      </c>
      <c r="K611" s="179"/>
      <c r="L611" s="179">
        <v>45986</v>
      </c>
      <c r="M611" s="180">
        <v>46003</v>
      </c>
      <c r="N611" s="181">
        <v>1.4672205</v>
      </c>
      <c r="O611" s="181" t="s">
        <v>170</v>
      </c>
      <c r="P611" s="83" t="s">
        <v>148</v>
      </c>
      <c r="Q611" s="177" t="s">
        <v>149</v>
      </c>
      <c r="R611" s="83"/>
    </row>
    <row r="612" spans="1:18">
      <c r="A612" s="177">
        <v>80815647</v>
      </c>
      <c r="B612" s="177" t="s">
        <v>262</v>
      </c>
      <c r="C612" s="178" t="s">
        <v>150</v>
      </c>
      <c r="D612" s="177" t="s">
        <v>252</v>
      </c>
      <c r="E612" s="177" t="s">
        <v>205</v>
      </c>
      <c r="F612" s="179">
        <v>46010</v>
      </c>
      <c r="G612" s="177">
        <v>377</v>
      </c>
      <c r="H612" s="179">
        <v>45986</v>
      </c>
      <c r="I612" s="179" t="s">
        <v>253</v>
      </c>
      <c r="J612" s="83">
        <v>3496602244</v>
      </c>
      <c r="K612" s="179"/>
      <c r="L612" s="179">
        <v>45986</v>
      </c>
      <c r="M612" s="180">
        <v>46003</v>
      </c>
      <c r="N612" s="181">
        <v>0.73458449999999997</v>
      </c>
      <c r="O612" s="181" t="s">
        <v>170</v>
      </c>
      <c r="P612" s="83" t="s">
        <v>148</v>
      </c>
      <c r="Q612" s="177" t="s">
        <v>149</v>
      </c>
      <c r="R612" s="83"/>
    </row>
    <row r="613" spans="1:18">
      <c r="A613" s="177">
        <v>80813610</v>
      </c>
      <c r="B613" s="177" t="s">
        <v>263</v>
      </c>
      <c r="C613" s="178" t="s">
        <v>150</v>
      </c>
      <c r="D613" s="177" t="s">
        <v>252</v>
      </c>
      <c r="E613" s="177" t="s">
        <v>205</v>
      </c>
      <c r="F613" s="179">
        <v>46010</v>
      </c>
      <c r="G613" s="177">
        <v>405</v>
      </c>
      <c r="H613" s="179">
        <v>45986</v>
      </c>
      <c r="I613" s="179" t="s">
        <v>253</v>
      </c>
      <c r="J613" s="83">
        <v>3496602245</v>
      </c>
      <c r="K613" s="179"/>
      <c r="L613" s="179">
        <v>45986</v>
      </c>
      <c r="M613" s="180">
        <v>46003</v>
      </c>
      <c r="N613" s="181">
        <v>0.73410299999999995</v>
      </c>
      <c r="O613" s="181" t="s">
        <v>170</v>
      </c>
      <c r="P613" s="83" t="s">
        <v>148</v>
      </c>
      <c r="Q613" s="177" t="s">
        <v>149</v>
      </c>
      <c r="R613" s="83"/>
    </row>
    <row r="614" spans="1:18">
      <c r="A614" s="177">
        <v>80813619</v>
      </c>
      <c r="B614" s="177" t="s">
        <v>264</v>
      </c>
      <c r="C614" s="178" t="s">
        <v>150</v>
      </c>
      <c r="D614" s="177" t="s">
        <v>252</v>
      </c>
      <c r="E614" s="177" t="s">
        <v>205</v>
      </c>
      <c r="F614" s="179">
        <v>46010</v>
      </c>
      <c r="G614" s="177">
        <v>405</v>
      </c>
      <c r="H614" s="179">
        <v>45986</v>
      </c>
      <c r="I614" s="179" t="s">
        <v>253</v>
      </c>
      <c r="J614" s="83">
        <v>3496602246</v>
      </c>
      <c r="K614" s="179"/>
      <c r="L614" s="179">
        <v>45986</v>
      </c>
      <c r="M614" s="180">
        <v>46003</v>
      </c>
      <c r="N614" s="181">
        <v>0.73410299999999995</v>
      </c>
      <c r="O614" s="181" t="s">
        <v>170</v>
      </c>
      <c r="P614" s="83" t="s">
        <v>148</v>
      </c>
      <c r="Q614" s="177" t="s">
        <v>149</v>
      </c>
      <c r="R614" s="83"/>
    </row>
    <row r="615" spans="1:18">
      <c r="A615" s="177">
        <v>80813615</v>
      </c>
      <c r="B615" s="177" t="s">
        <v>265</v>
      </c>
      <c r="C615" s="178" t="s">
        <v>150</v>
      </c>
      <c r="D615" s="177" t="s">
        <v>252</v>
      </c>
      <c r="E615" s="177" t="s">
        <v>205</v>
      </c>
      <c r="F615" s="179">
        <v>46010</v>
      </c>
      <c r="G615" s="177">
        <v>405</v>
      </c>
      <c r="H615" s="179">
        <v>45986</v>
      </c>
      <c r="I615" s="179" t="s">
        <v>253</v>
      </c>
      <c r="J615" s="83">
        <v>3496602247</v>
      </c>
      <c r="K615" s="179"/>
      <c r="L615" s="179">
        <v>45986</v>
      </c>
      <c r="M615" s="180">
        <v>46003</v>
      </c>
      <c r="N615" s="181">
        <v>0.73410299999999995</v>
      </c>
      <c r="O615" s="181" t="s">
        <v>170</v>
      </c>
      <c r="P615" s="83" t="s">
        <v>148</v>
      </c>
      <c r="Q615" s="177" t="s">
        <v>149</v>
      </c>
      <c r="R615" s="83"/>
    </row>
    <row r="616" spans="1:18">
      <c r="A616" s="177">
        <v>80813637</v>
      </c>
      <c r="B616" s="177" t="s">
        <v>266</v>
      </c>
      <c r="C616" s="178" t="s">
        <v>150</v>
      </c>
      <c r="D616" s="177" t="s">
        <v>252</v>
      </c>
      <c r="E616" s="177" t="s">
        <v>205</v>
      </c>
      <c r="F616" s="179">
        <v>46010</v>
      </c>
      <c r="G616" s="177">
        <v>405</v>
      </c>
      <c r="H616" s="179">
        <v>45986</v>
      </c>
      <c r="I616" s="179" t="s">
        <v>253</v>
      </c>
      <c r="J616" s="83">
        <v>3496602248</v>
      </c>
      <c r="K616" s="179"/>
      <c r="L616" s="179">
        <v>45986</v>
      </c>
      <c r="M616" s="180">
        <v>46003</v>
      </c>
      <c r="N616" s="181">
        <v>0.73410299999999995</v>
      </c>
      <c r="O616" s="181" t="s">
        <v>170</v>
      </c>
      <c r="P616" s="83" t="s">
        <v>148</v>
      </c>
      <c r="Q616" s="177" t="s">
        <v>149</v>
      </c>
      <c r="R616" s="83"/>
    </row>
    <row r="617" spans="1:18">
      <c r="A617" s="177">
        <v>80813617</v>
      </c>
      <c r="B617" s="177" t="s">
        <v>267</v>
      </c>
      <c r="C617" s="178" t="s">
        <v>150</v>
      </c>
      <c r="D617" s="177" t="s">
        <v>252</v>
      </c>
      <c r="E617" s="177" t="s">
        <v>205</v>
      </c>
      <c r="F617" s="179">
        <v>46010</v>
      </c>
      <c r="G617" s="177">
        <v>405</v>
      </c>
      <c r="H617" s="179">
        <v>45986</v>
      </c>
      <c r="I617" s="179" t="s">
        <v>253</v>
      </c>
      <c r="J617" s="83">
        <v>3496602249</v>
      </c>
      <c r="K617" s="179"/>
      <c r="L617" s="179">
        <v>45986</v>
      </c>
      <c r="M617" s="180">
        <v>46003</v>
      </c>
      <c r="N617" s="181">
        <v>0.73410299999999995</v>
      </c>
      <c r="O617" s="181" t="s">
        <v>170</v>
      </c>
      <c r="P617" s="83" t="s">
        <v>148</v>
      </c>
      <c r="Q617" s="177" t="s">
        <v>149</v>
      </c>
      <c r="R617" s="83"/>
    </row>
    <row r="618" spans="1:18">
      <c r="A618" s="177">
        <v>80813629</v>
      </c>
      <c r="B618" s="177" t="s">
        <v>268</v>
      </c>
      <c r="C618" s="178" t="s">
        <v>150</v>
      </c>
      <c r="D618" s="177" t="s">
        <v>252</v>
      </c>
      <c r="E618" s="177" t="s">
        <v>205</v>
      </c>
      <c r="F618" s="179">
        <v>46010</v>
      </c>
      <c r="G618" s="177">
        <v>405</v>
      </c>
      <c r="H618" s="179">
        <v>45986</v>
      </c>
      <c r="I618" s="179" t="s">
        <v>253</v>
      </c>
      <c r="J618" s="83">
        <v>3496602250</v>
      </c>
      <c r="K618" s="179"/>
      <c r="L618" s="179">
        <v>45986</v>
      </c>
      <c r="M618" s="180">
        <v>46003</v>
      </c>
      <c r="N618" s="181">
        <v>0.73410299999999995</v>
      </c>
      <c r="O618" s="181" t="s">
        <v>170</v>
      </c>
      <c r="P618" s="83" t="s">
        <v>148</v>
      </c>
      <c r="Q618" s="177" t="s">
        <v>149</v>
      </c>
      <c r="R618" s="83"/>
    </row>
    <row r="619" spans="1:18">
      <c r="A619" s="177">
        <v>80820462</v>
      </c>
      <c r="B619" s="177" t="s">
        <v>269</v>
      </c>
      <c r="C619" s="178" t="s">
        <v>150</v>
      </c>
      <c r="D619" s="177" t="s">
        <v>252</v>
      </c>
      <c r="E619" s="177" t="s">
        <v>205</v>
      </c>
      <c r="F619" s="179">
        <v>46010</v>
      </c>
      <c r="G619" s="177">
        <v>810</v>
      </c>
      <c r="H619" s="179">
        <v>45986</v>
      </c>
      <c r="I619" s="179" t="s">
        <v>253</v>
      </c>
      <c r="J619" s="83">
        <v>3496602251</v>
      </c>
      <c r="K619" s="179" t="s">
        <v>270</v>
      </c>
      <c r="L619" s="179">
        <v>45986</v>
      </c>
      <c r="M619" s="180">
        <v>45987</v>
      </c>
      <c r="N619" s="181">
        <v>1.4682059999999999</v>
      </c>
      <c r="O619" s="181" t="s">
        <v>170</v>
      </c>
      <c r="P619" s="83" t="s">
        <v>148</v>
      </c>
      <c r="Q619" s="177" t="s">
        <v>149</v>
      </c>
      <c r="R619" s="83"/>
    </row>
    <row r="620" spans="1:18">
      <c r="A620" s="177">
        <v>80820459</v>
      </c>
      <c r="B620" s="177" t="s">
        <v>271</v>
      </c>
      <c r="C620" s="178" t="s">
        <v>150</v>
      </c>
      <c r="D620" s="177" t="s">
        <v>252</v>
      </c>
      <c r="E620" s="177" t="s">
        <v>205</v>
      </c>
      <c r="F620" s="179">
        <v>46010</v>
      </c>
      <c r="G620" s="177">
        <v>405</v>
      </c>
      <c r="H620" s="179">
        <v>45986</v>
      </c>
      <c r="I620" s="179" t="s">
        <v>253</v>
      </c>
      <c r="J620" s="83">
        <v>3496602260</v>
      </c>
      <c r="K620" s="179" t="s">
        <v>270</v>
      </c>
      <c r="L620" s="179">
        <v>45986</v>
      </c>
      <c r="M620" s="180">
        <v>45987</v>
      </c>
      <c r="N620" s="181">
        <v>0.73410299999999995</v>
      </c>
      <c r="O620" s="181" t="s">
        <v>170</v>
      </c>
      <c r="P620" s="83" t="s">
        <v>148</v>
      </c>
      <c r="Q620" s="177" t="s">
        <v>149</v>
      </c>
      <c r="R620" s="83"/>
    </row>
    <row r="621" spans="1:18">
      <c r="A621" s="177">
        <v>80820464</v>
      </c>
      <c r="B621" s="177" t="s">
        <v>272</v>
      </c>
      <c r="C621" s="178" t="s">
        <v>150</v>
      </c>
      <c r="D621" s="177" t="s">
        <v>252</v>
      </c>
      <c r="E621" s="177" t="s">
        <v>205</v>
      </c>
      <c r="F621" s="179">
        <v>46010</v>
      </c>
      <c r="G621" s="177">
        <v>405</v>
      </c>
      <c r="H621" s="179">
        <v>45986</v>
      </c>
      <c r="I621" s="179" t="s">
        <v>253</v>
      </c>
      <c r="J621" s="83">
        <v>3496602308</v>
      </c>
      <c r="K621" s="179" t="s">
        <v>270</v>
      </c>
      <c r="L621" s="179">
        <v>45986</v>
      </c>
      <c r="M621" s="180">
        <v>45987</v>
      </c>
      <c r="N621" s="181">
        <v>0.73410299999999995</v>
      </c>
      <c r="O621" s="181" t="s">
        <v>170</v>
      </c>
      <c r="P621" s="83" t="s">
        <v>148</v>
      </c>
      <c r="Q621" s="177" t="s">
        <v>149</v>
      </c>
      <c r="R621" s="83"/>
    </row>
    <row r="622" spans="1:18">
      <c r="A622" s="177">
        <v>80820469</v>
      </c>
      <c r="B622" s="177" t="s">
        <v>273</v>
      </c>
      <c r="C622" s="178" t="s">
        <v>150</v>
      </c>
      <c r="D622" s="177" t="s">
        <v>252</v>
      </c>
      <c r="E622" s="177" t="s">
        <v>205</v>
      </c>
      <c r="F622" s="179">
        <v>46010</v>
      </c>
      <c r="G622" s="177">
        <v>810</v>
      </c>
      <c r="H622" s="179">
        <v>45986</v>
      </c>
      <c r="I622" s="179" t="s">
        <v>253</v>
      </c>
      <c r="J622" s="83">
        <v>3496602329</v>
      </c>
      <c r="K622" s="179" t="s">
        <v>270</v>
      </c>
      <c r="L622" s="179">
        <v>45986</v>
      </c>
      <c r="M622" s="180">
        <v>45987</v>
      </c>
      <c r="N622" s="181">
        <v>1.4682059999999999</v>
      </c>
      <c r="O622" s="181" t="s">
        <v>170</v>
      </c>
      <c r="P622" s="83" t="s">
        <v>148</v>
      </c>
      <c r="Q622" s="177" t="s">
        <v>149</v>
      </c>
      <c r="R622" s="83"/>
    </row>
    <row r="623" spans="1:18">
      <c r="A623" s="177">
        <v>80814089</v>
      </c>
      <c r="B623" s="177" t="s">
        <v>251</v>
      </c>
      <c r="C623" s="178" t="s">
        <v>155</v>
      </c>
      <c r="D623" s="177" t="s">
        <v>252</v>
      </c>
      <c r="E623" s="177" t="s">
        <v>205</v>
      </c>
      <c r="F623" s="179">
        <v>46014</v>
      </c>
      <c r="G623" s="177">
        <v>405</v>
      </c>
      <c r="H623" s="179">
        <v>45986</v>
      </c>
      <c r="I623" s="179" t="s">
        <v>253</v>
      </c>
      <c r="J623" s="83">
        <v>3496602330</v>
      </c>
      <c r="K623" s="179"/>
      <c r="L623" s="179">
        <v>45986</v>
      </c>
      <c r="M623" s="179">
        <v>46013</v>
      </c>
      <c r="N623" s="181">
        <v>0.73406249999999995</v>
      </c>
      <c r="O623" s="181" t="s">
        <v>170</v>
      </c>
      <c r="P623" s="83" t="s">
        <v>148</v>
      </c>
      <c r="Q623" s="177" t="s">
        <v>149</v>
      </c>
      <c r="R623" s="83"/>
    </row>
    <row r="624" spans="1:18">
      <c r="A624" s="177">
        <v>80814098</v>
      </c>
      <c r="B624" s="177" t="s">
        <v>254</v>
      </c>
      <c r="C624" s="178" t="s">
        <v>155</v>
      </c>
      <c r="D624" s="177" t="s">
        <v>252</v>
      </c>
      <c r="E624" s="177" t="s">
        <v>205</v>
      </c>
      <c r="F624" s="179">
        <v>46014</v>
      </c>
      <c r="G624" s="177">
        <v>405</v>
      </c>
      <c r="H624" s="179">
        <v>45986</v>
      </c>
      <c r="I624" s="179" t="s">
        <v>253</v>
      </c>
      <c r="J624" s="83">
        <v>3496602331</v>
      </c>
      <c r="K624" s="179"/>
      <c r="L624" s="179">
        <v>45986</v>
      </c>
      <c r="M624" s="179">
        <v>46013</v>
      </c>
      <c r="N624" s="181">
        <v>0.73406249999999995</v>
      </c>
      <c r="O624" s="181" t="s">
        <v>170</v>
      </c>
      <c r="P624" s="83" t="s">
        <v>148</v>
      </c>
      <c r="Q624" s="177" t="s">
        <v>149</v>
      </c>
      <c r="R624" s="83"/>
    </row>
    <row r="625" spans="1:18">
      <c r="A625" s="177">
        <v>80814097</v>
      </c>
      <c r="B625" s="177" t="s">
        <v>255</v>
      </c>
      <c r="C625" s="178" t="s">
        <v>155</v>
      </c>
      <c r="D625" s="177" t="s">
        <v>252</v>
      </c>
      <c r="E625" s="177" t="s">
        <v>205</v>
      </c>
      <c r="F625" s="179">
        <v>46014</v>
      </c>
      <c r="G625" s="177">
        <v>405</v>
      </c>
      <c r="H625" s="179">
        <v>45986</v>
      </c>
      <c r="I625" s="179" t="s">
        <v>253</v>
      </c>
      <c r="J625" s="83">
        <v>3496602332</v>
      </c>
      <c r="K625" s="179"/>
      <c r="L625" s="179">
        <v>45986</v>
      </c>
      <c r="M625" s="179">
        <v>46013</v>
      </c>
      <c r="N625" s="181">
        <v>0.73406249999999995</v>
      </c>
      <c r="O625" s="181" t="s">
        <v>170</v>
      </c>
      <c r="P625" s="83" t="s">
        <v>148</v>
      </c>
      <c r="Q625" s="177" t="s">
        <v>149</v>
      </c>
      <c r="R625" s="83"/>
    </row>
    <row r="626" spans="1:18">
      <c r="A626" s="177">
        <v>80814081</v>
      </c>
      <c r="B626" s="177" t="s">
        <v>256</v>
      </c>
      <c r="C626" s="178" t="s">
        <v>155</v>
      </c>
      <c r="D626" s="177" t="s">
        <v>252</v>
      </c>
      <c r="E626" s="177" t="s">
        <v>205</v>
      </c>
      <c r="F626" s="179">
        <v>46014</v>
      </c>
      <c r="G626" s="177">
        <v>405</v>
      </c>
      <c r="H626" s="179">
        <v>45986</v>
      </c>
      <c r="I626" s="179" t="s">
        <v>253</v>
      </c>
      <c r="J626" s="83">
        <v>3496602333</v>
      </c>
      <c r="K626" s="179"/>
      <c r="L626" s="179">
        <v>45986</v>
      </c>
      <c r="M626" s="179">
        <v>46013</v>
      </c>
      <c r="N626" s="181">
        <v>0.73406249999999995</v>
      </c>
      <c r="O626" s="181" t="s">
        <v>170</v>
      </c>
      <c r="P626" s="83" t="s">
        <v>148</v>
      </c>
      <c r="Q626" s="177" t="s">
        <v>149</v>
      </c>
      <c r="R626" s="83"/>
    </row>
    <row r="627" spans="1:18">
      <c r="A627" s="177">
        <v>80815648</v>
      </c>
      <c r="B627" s="177" t="s">
        <v>257</v>
      </c>
      <c r="C627" s="178" t="s">
        <v>155</v>
      </c>
      <c r="D627" s="177" t="s">
        <v>252</v>
      </c>
      <c r="E627" s="177" t="s">
        <v>205</v>
      </c>
      <c r="F627" s="179">
        <v>46014</v>
      </c>
      <c r="G627" s="177">
        <v>753</v>
      </c>
      <c r="H627" s="179">
        <v>45986</v>
      </c>
      <c r="I627" s="179" t="s">
        <v>253</v>
      </c>
      <c r="J627" s="83">
        <v>3496602339</v>
      </c>
      <c r="K627" s="179"/>
      <c r="L627" s="179">
        <v>45986</v>
      </c>
      <c r="M627" s="179">
        <v>46013</v>
      </c>
      <c r="N627" s="181">
        <v>1.4672205</v>
      </c>
      <c r="O627" s="181" t="s">
        <v>170</v>
      </c>
      <c r="P627" s="83" t="s">
        <v>148</v>
      </c>
      <c r="Q627" s="177" t="s">
        <v>149</v>
      </c>
      <c r="R627" s="83"/>
    </row>
    <row r="628" spans="1:18">
      <c r="A628" s="177">
        <v>80815643</v>
      </c>
      <c r="B628" s="177" t="s">
        <v>258</v>
      </c>
      <c r="C628" s="178" t="s">
        <v>155</v>
      </c>
      <c r="D628" s="177" t="s">
        <v>252</v>
      </c>
      <c r="E628" s="177" t="s">
        <v>205</v>
      </c>
      <c r="F628" s="179">
        <v>46014</v>
      </c>
      <c r="G628" s="177">
        <v>753</v>
      </c>
      <c r="H628" s="179">
        <v>45986</v>
      </c>
      <c r="I628" s="179" t="s">
        <v>253</v>
      </c>
      <c r="J628" s="83">
        <v>3496602340</v>
      </c>
      <c r="K628" s="179"/>
      <c r="L628" s="179">
        <v>45986</v>
      </c>
      <c r="M628" s="179">
        <v>46013</v>
      </c>
      <c r="N628" s="181">
        <v>1.4672205</v>
      </c>
      <c r="O628" s="181" t="s">
        <v>170</v>
      </c>
      <c r="P628" s="83" t="s">
        <v>148</v>
      </c>
      <c r="Q628" s="177" t="s">
        <v>149</v>
      </c>
      <c r="R628" s="83"/>
    </row>
    <row r="629" spans="1:18">
      <c r="A629" s="177">
        <v>80815642</v>
      </c>
      <c r="B629" s="177" t="s">
        <v>259</v>
      </c>
      <c r="C629" s="178" t="s">
        <v>155</v>
      </c>
      <c r="D629" s="177" t="s">
        <v>252</v>
      </c>
      <c r="E629" s="177" t="s">
        <v>205</v>
      </c>
      <c r="F629" s="179">
        <v>46014</v>
      </c>
      <c r="G629" s="177">
        <v>753</v>
      </c>
      <c r="H629" s="179">
        <v>45986</v>
      </c>
      <c r="I629" s="179" t="s">
        <v>253</v>
      </c>
      <c r="J629" s="83">
        <v>3496602341</v>
      </c>
      <c r="K629" s="179"/>
      <c r="L629" s="179">
        <v>45986</v>
      </c>
      <c r="M629" s="179">
        <v>46013</v>
      </c>
      <c r="N629" s="181">
        <v>1.4672205</v>
      </c>
      <c r="O629" s="181" t="s">
        <v>170</v>
      </c>
      <c r="P629" s="83" t="s">
        <v>148</v>
      </c>
      <c r="Q629" s="177" t="s">
        <v>149</v>
      </c>
      <c r="R629" s="83"/>
    </row>
    <row r="630" spans="1:18">
      <c r="A630" s="177">
        <v>80815644</v>
      </c>
      <c r="B630" s="177" t="s">
        <v>260</v>
      </c>
      <c r="C630" s="178" t="s">
        <v>155</v>
      </c>
      <c r="D630" s="177" t="s">
        <v>252</v>
      </c>
      <c r="E630" s="177" t="s">
        <v>205</v>
      </c>
      <c r="F630" s="179">
        <v>46014</v>
      </c>
      <c r="G630" s="177">
        <v>377</v>
      </c>
      <c r="H630" s="179">
        <v>45986</v>
      </c>
      <c r="I630" s="179" t="s">
        <v>253</v>
      </c>
      <c r="J630" s="83">
        <v>3496602342</v>
      </c>
      <c r="K630" s="179"/>
      <c r="L630" s="179">
        <v>45986</v>
      </c>
      <c r="M630" s="179">
        <v>46013</v>
      </c>
      <c r="N630" s="181">
        <v>0.73458449999999997</v>
      </c>
      <c r="O630" s="181" t="s">
        <v>170</v>
      </c>
      <c r="P630" s="83" t="s">
        <v>148</v>
      </c>
      <c r="Q630" s="177" t="s">
        <v>149</v>
      </c>
      <c r="R630" s="83"/>
    </row>
    <row r="631" spans="1:18">
      <c r="A631" s="177">
        <v>80815645</v>
      </c>
      <c r="B631" s="177" t="s">
        <v>261</v>
      </c>
      <c r="C631" s="178" t="s">
        <v>155</v>
      </c>
      <c r="D631" s="177" t="s">
        <v>252</v>
      </c>
      <c r="E631" s="177" t="s">
        <v>205</v>
      </c>
      <c r="F631" s="179">
        <v>46014</v>
      </c>
      <c r="G631" s="177">
        <v>753</v>
      </c>
      <c r="H631" s="179">
        <v>45986</v>
      </c>
      <c r="I631" s="179" t="s">
        <v>253</v>
      </c>
      <c r="J631" s="83">
        <v>3496602343</v>
      </c>
      <c r="K631" s="179"/>
      <c r="L631" s="179">
        <v>45986</v>
      </c>
      <c r="M631" s="179">
        <v>46013</v>
      </c>
      <c r="N631" s="181">
        <v>1.4672205</v>
      </c>
      <c r="O631" s="181" t="s">
        <v>170</v>
      </c>
      <c r="P631" s="83" t="s">
        <v>148</v>
      </c>
      <c r="Q631" s="177" t="s">
        <v>149</v>
      </c>
      <c r="R631" s="83"/>
    </row>
    <row r="632" spans="1:18">
      <c r="A632" s="177">
        <v>80815647</v>
      </c>
      <c r="B632" s="177" t="s">
        <v>262</v>
      </c>
      <c r="C632" s="178" t="s">
        <v>155</v>
      </c>
      <c r="D632" s="177" t="s">
        <v>252</v>
      </c>
      <c r="E632" s="177" t="s">
        <v>205</v>
      </c>
      <c r="F632" s="179">
        <v>46014</v>
      </c>
      <c r="G632" s="177">
        <v>377</v>
      </c>
      <c r="H632" s="179">
        <v>45986</v>
      </c>
      <c r="I632" s="179" t="s">
        <v>253</v>
      </c>
      <c r="J632" s="83">
        <v>3496602344</v>
      </c>
      <c r="K632" s="179"/>
      <c r="L632" s="179">
        <v>45986</v>
      </c>
      <c r="M632" s="179">
        <v>46013</v>
      </c>
      <c r="N632" s="181">
        <v>0.73458449999999997</v>
      </c>
      <c r="O632" s="181" t="s">
        <v>170</v>
      </c>
      <c r="P632" s="83" t="s">
        <v>148</v>
      </c>
      <c r="Q632" s="177" t="s">
        <v>149</v>
      </c>
      <c r="R632" s="83"/>
    </row>
    <row r="633" spans="1:18">
      <c r="A633" s="177">
        <v>80813610</v>
      </c>
      <c r="B633" s="177" t="s">
        <v>263</v>
      </c>
      <c r="C633" s="178" t="s">
        <v>155</v>
      </c>
      <c r="D633" s="177" t="s">
        <v>252</v>
      </c>
      <c r="E633" s="177" t="s">
        <v>205</v>
      </c>
      <c r="F633" s="179">
        <v>46014</v>
      </c>
      <c r="G633" s="177">
        <v>405</v>
      </c>
      <c r="H633" s="179">
        <v>45986</v>
      </c>
      <c r="I633" s="179" t="s">
        <v>253</v>
      </c>
      <c r="J633" s="83">
        <v>3496602345</v>
      </c>
      <c r="K633" s="179"/>
      <c r="L633" s="179">
        <v>45986</v>
      </c>
      <c r="M633" s="179">
        <v>46013</v>
      </c>
      <c r="N633" s="181">
        <v>0.73410299999999995</v>
      </c>
      <c r="O633" s="181" t="s">
        <v>170</v>
      </c>
      <c r="P633" s="83" t="s">
        <v>148</v>
      </c>
      <c r="Q633" s="177" t="s">
        <v>149</v>
      </c>
      <c r="R633" s="83"/>
    </row>
    <row r="634" spans="1:18">
      <c r="A634" s="177">
        <v>80813619</v>
      </c>
      <c r="B634" s="177" t="s">
        <v>264</v>
      </c>
      <c r="C634" s="178" t="s">
        <v>155</v>
      </c>
      <c r="D634" s="177" t="s">
        <v>252</v>
      </c>
      <c r="E634" s="177" t="s">
        <v>205</v>
      </c>
      <c r="F634" s="179">
        <v>46014</v>
      </c>
      <c r="G634" s="177">
        <v>405</v>
      </c>
      <c r="H634" s="179">
        <v>45986</v>
      </c>
      <c r="I634" s="179" t="s">
        <v>253</v>
      </c>
      <c r="J634" s="83">
        <v>3496602346</v>
      </c>
      <c r="K634" s="179"/>
      <c r="L634" s="179">
        <v>45986</v>
      </c>
      <c r="M634" s="179">
        <v>46013</v>
      </c>
      <c r="N634" s="181">
        <v>0.73410299999999995</v>
      </c>
      <c r="O634" s="181" t="s">
        <v>170</v>
      </c>
      <c r="P634" s="83" t="s">
        <v>148</v>
      </c>
      <c r="Q634" s="177" t="s">
        <v>149</v>
      </c>
      <c r="R634" s="83"/>
    </row>
    <row r="635" spans="1:18">
      <c r="A635" s="177">
        <v>80813615</v>
      </c>
      <c r="B635" s="177" t="s">
        <v>265</v>
      </c>
      <c r="C635" s="178" t="s">
        <v>155</v>
      </c>
      <c r="D635" s="177" t="s">
        <v>252</v>
      </c>
      <c r="E635" s="177" t="s">
        <v>205</v>
      </c>
      <c r="F635" s="179">
        <v>46014</v>
      </c>
      <c r="G635" s="177">
        <v>405</v>
      </c>
      <c r="H635" s="179">
        <v>45986</v>
      </c>
      <c r="I635" s="179" t="s">
        <v>253</v>
      </c>
      <c r="J635" s="83">
        <v>3496602347</v>
      </c>
      <c r="K635" s="179"/>
      <c r="L635" s="179">
        <v>45986</v>
      </c>
      <c r="M635" s="179">
        <v>46013</v>
      </c>
      <c r="N635" s="181">
        <v>0.73410299999999995</v>
      </c>
      <c r="O635" s="181" t="s">
        <v>170</v>
      </c>
      <c r="P635" s="83" t="s">
        <v>148</v>
      </c>
      <c r="Q635" s="177" t="s">
        <v>149</v>
      </c>
      <c r="R635" s="83"/>
    </row>
    <row r="636" spans="1:18">
      <c r="A636" s="177">
        <v>80813637</v>
      </c>
      <c r="B636" s="177" t="s">
        <v>266</v>
      </c>
      <c r="C636" s="178" t="s">
        <v>155</v>
      </c>
      <c r="D636" s="177" t="s">
        <v>252</v>
      </c>
      <c r="E636" s="177" t="s">
        <v>205</v>
      </c>
      <c r="F636" s="179">
        <v>46014</v>
      </c>
      <c r="G636" s="177">
        <v>405</v>
      </c>
      <c r="H636" s="179">
        <v>45986</v>
      </c>
      <c r="I636" s="179" t="s">
        <v>253</v>
      </c>
      <c r="J636" s="83">
        <v>3496602348</v>
      </c>
      <c r="K636" s="179"/>
      <c r="L636" s="179">
        <v>45986</v>
      </c>
      <c r="M636" s="179">
        <v>46013</v>
      </c>
      <c r="N636" s="181">
        <v>0.73410299999999995</v>
      </c>
      <c r="O636" s="181" t="s">
        <v>170</v>
      </c>
      <c r="P636" s="83" t="s">
        <v>148</v>
      </c>
      <c r="Q636" s="177" t="s">
        <v>149</v>
      </c>
      <c r="R636" s="83"/>
    </row>
    <row r="637" spans="1:18">
      <c r="A637" s="177">
        <v>80813617</v>
      </c>
      <c r="B637" s="177" t="s">
        <v>267</v>
      </c>
      <c r="C637" s="178" t="s">
        <v>155</v>
      </c>
      <c r="D637" s="177" t="s">
        <v>252</v>
      </c>
      <c r="E637" s="177" t="s">
        <v>205</v>
      </c>
      <c r="F637" s="179">
        <v>46014</v>
      </c>
      <c r="G637" s="177">
        <v>405</v>
      </c>
      <c r="H637" s="179">
        <v>45986</v>
      </c>
      <c r="I637" s="179" t="s">
        <v>253</v>
      </c>
      <c r="J637" s="83">
        <v>3496602349</v>
      </c>
      <c r="K637" s="179"/>
      <c r="L637" s="179">
        <v>45986</v>
      </c>
      <c r="M637" s="179">
        <v>46013</v>
      </c>
      <c r="N637" s="181">
        <v>0.73410299999999995</v>
      </c>
      <c r="O637" s="181" t="s">
        <v>170</v>
      </c>
      <c r="P637" s="83" t="s">
        <v>148</v>
      </c>
      <c r="Q637" s="177" t="s">
        <v>149</v>
      </c>
      <c r="R637" s="83"/>
    </row>
    <row r="638" spans="1:18">
      <c r="A638" s="177">
        <v>80813629</v>
      </c>
      <c r="B638" s="177" t="s">
        <v>268</v>
      </c>
      <c r="C638" s="178" t="s">
        <v>155</v>
      </c>
      <c r="D638" s="177" t="s">
        <v>252</v>
      </c>
      <c r="E638" s="177" t="s">
        <v>205</v>
      </c>
      <c r="F638" s="179">
        <v>46014</v>
      </c>
      <c r="G638" s="177">
        <v>405</v>
      </c>
      <c r="H638" s="179">
        <v>45986</v>
      </c>
      <c r="I638" s="179" t="s">
        <v>253</v>
      </c>
      <c r="J638" s="83">
        <v>3496602350</v>
      </c>
      <c r="K638" s="179"/>
      <c r="L638" s="179">
        <v>45986</v>
      </c>
      <c r="M638" s="179">
        <v>46013</v>
      </c>
      <c r="N638" s="181">
        <v>0.73410299999999995</v>
      </c>
      <c r="O638" s="181" t="s">
        <v>170</v>
      </c>
      <c r="P638" s="83" t="s">
        <v>148</v>
      </c>
      <c r="Q638" s="177" t="s">
        <v>149</v>
      </c>
      <c r="R638" s="83"/>
    </row>
    <row r="639" spans="1:18">
      <c r="A639" s="177">
        <v>80820462</v>
      </c>
      <c r="B639" s="177" t="s">
        <v>269</v>
      </c>
      <c r="C639" s="178" t="s">
        <v>155</v>
      </c>
      <c r="D639" s="177" t="s">
        <v>252</v>
      </c>
      <c r="E639" s="177" t="s">
        <v>205</v>
      </c>
      <c r="F639" s="179">
        <v>46014</v>
      </c>
      <c r="G639" s="177">
        <v>810</v>
      </c>
      <c r="H639" s="179">
        <v>45986</v>
      </c>
      <c r="I639" s="179" t="s">
        <v>253</v>
      </c>
      <c r="J639" s="83">
        <v>3496602351</v>
      </c>
      <c r="K639" s="179" t="s">
        <v>270</v>
      </c>
      <c r="L639" s="179">
        <v>45986</v>
      </c>
      <c r="M639" s="179">
        <v>45987</v>
      </c>
      <c r="N639" s="181">
        <v>1.4682059999999999</v>
      </c>
      <c r="O639" s="181" t="s">
        <v>170</v>
      </c>
      <c r="P639" s="83" t="s">
        <v>148</v>
      </c>
      <c r="Q639" s="177" t="s">
        <v>149</v>
      </c>
      <c r="R639" s="83"/>
    </row>
    <row r="640" spans="1:18">
      <c r="A640" s="177">
        <v>80820459</v>
      </c>
      <c r="B640" s="177" t="s">
        <v>271</v>
      </c>
      <c r="C640" s="178" t="s">
        <v>155</v>
      </c>
      <c r="D640" s="177" t="s">
        <v>252</v>
      </c>
      <c r="E640" s="177" t="s">
        <v>205</v>
      </c>
      <c r="F640" s="179">
        <v>46014</v>
      </c>
      <c r="G640" s="177">
        <v>405</v>
      </c>
      <c r="H640" s="179">
        <v>45986</v>
      </c>
      <c r="I640" s="179" t="s">
        <v>253</v>
      </c>
      <c r="J640" s="83">
        <v>3496602352</v>
      </c>
      <c r="K640" s="179" t="s">
        <v>270</v>
      </c>
      <c r="L640" s="179">
        <v>45986</v>
      </c>
      <c r="M640" s="179">
        <v>45987</v>
      </c>
      <c r="N640" s="181">
        <v>0.73410299999999995</v>
      </c>
      <c r="O640" s="181" t="s">
        <v>170</v>
      </c>
      <c r="P640" s="83" t="s">
        <v>148</v>
      </c>
      <c r="Q640" s="177" t="s">
        <v>149</v>
      </c>
      <c r="R640" s="83"/>
    </row>
    <row r="641" spans="1:18">
      <c r="A641" s="177">
        <v>80820464</v>
      </c>
      <c r="B641" s="177" t="s">
        <v>272</v>
      </c>
      <c r="C641" s="178" t="s">
        <v>155</v>
      </c>
      <c r="D641" s="177" t="s">
        <v>252</v>
      </c>
      <c r="E641" s="177" t="s">
        <v>205</v>
      </c>
      <c r="F641" s="179">
        <v>46014</v>
      </c>
      <c r="G641" s="177">
        <v>405</v>
      </c>
      <c r="H641" s="179">
        <v>45986</v>
      </c>
      <c r="I641" s="179" t="s">
        <v>253</v>
      </c>
      <c r="J641" s="83">
        <v>3496602353</v>
      </c>
      <c r="K641" s="179" t="s">
        <v>270</v>
      </c>
      <c r="L641" s="179">
        <v>45986</v>
      </c>
      <c r="M641" s="179">
        <v>45987</v>
      </c>
      <c r="N641" s="181">
        <v>0.73410299999999995</v>
      </c>
      <c r="O641" s="181" t="s">
        <v>170</v>
      </c>
      <c r="P641" s="83" t="s">
        <v>148</v>
      </c>
      <c r="Q641" s="177" t="s">
        <v>149</v>
      </c>
      <c r="R641" s="83"/>
    </row>
    <row r="642" spans="1:18">
      <c r="A642" s="177">
        <v>80820469</v>
      </c>
      <c r="B642" s="177" t="s">
        <v>273</v>
      </c>
      <c r="C642" s="178" t="s">
        <v>155</v>
      </c>
      <c r="D642" s="177" t="s">
        <v>252</v>
      </c>
      <c r="E642" s="177" t="s">
        <v>205</v>
      </c>
      <c r="F642" s="179">
        <v>46014</v>
      </c>
      <c r="G642" s="177">
        <v>810</v>
      </c>
      <c r="H642" s="179">
        <v>45986</v>
      </c>
      <c r="I642" s="179" t="s">
        <v>253</v>
      </c>
      <c r="J642" s="83">
        <v>3496602354</v>
      </c>
      <c r="K642" s="179" t="s">
        <v>270</v>
      </c>
      <c r="L642" s="179">
        <v>45986</v>
      </c>
      <c r="M642" s="179">
        <v>45987</v>
      </c>
      <c r="N642" s="181">
        <v>1.4682059999999999</v>
      </c>
      <c r="O642" s="181" t="s">
        <v>170</v>
      </c>
      <c r="P642" s="83" t="s">
        <v>148</v>
      </c>
      <c r="Q642" s="177" t="s">
        <v>149</v>
      </c>
      <c r="R642" s="83"/>
    </row>
    <row r="643" spans="1:18">
      <c r="A643" s="177">
        <v>80814089</v>
      </c>
      <c r="B643" s="177" t="s">
        <v>251</v>
      </c>
      <c r="C643" s="178" t="s">
        <v>151</v>
      </c>
      <c r="D643" s="177" t="s">
        <v>252</v>
      </c>
      <c r="E643" s="177" t="s">
        <v>205</v>
      </c>
      <c r="F643" s="179">
        <v>46014</v>
      </c>
      <c r="G643" s="177">
        <v>405</v>
      </c>
      <c r="H643" s="179">
        <v>45986</v>
      </c>
      <c r="I643" s="179" t="s">
        <v>253</v>
      </c>
      <c r="J643" s="83">
        <v>3496602355</v>
      </c>
      <c r="K643" s="179"/>
      <c r="L643" s="179">
        <v>45986</v>
      </c>
      <c r="M643" s="179">
        <v>46013</v>
      </c>
      <c r="N643" s="181">
        <v>0.73406249999999995</v>
      </c>
      <c r="O643" s="181" t="s">
        <v>170</v>
      </c>
      <c r="P643" s="83" t="s">
        <v>148</v>
      </c>
      <c r="Q643" s="177" t="s">
        <v>149</v>
      </c>
      <c r="R643" s="83"/>
    </row>
    <row r="644" spans="1:18">
      <c r="A644" s="177">
        <v>80814098</v>
      </c>
      <c r="B644" s="177" t="s">
        <v>254</v>
      </c>
      <c r="C644" s="178" t="s">
        <v>151</v>
      </c>
      <c r="D644" s="177" t="s">
        <v>252</v>
      </c>
      <c r="E644" s="177" t="s">
        <v>205</v>
      </c>
      <c r="F644" s="179">
        <v>46014</v>
      </c>
      <c r="G644" s="177">
        <v>405</v>
      </c>
      <c r="H644" s="179">
        <v>45986</v>
      </c>
      <c r="I644" s="179" t="s">
        <v>253</v>
      </c>
      <c r="J644" s="83">
        <v>3496602356</v>
      </c>
      <c r="K644" s="179"/>
      <c r="L644" s="179">
        <v>45986</v>
      </c>
      <c r="M644" s="179">
        <v>46013</v>
      </c>
      <c r="N644" s="181">
        <v>0.73406249999999995</v>
      </c>
      <c r="O644" s="181" t="s">
        <v>170</v>
      </c>
      <c r="P644" s="83" t="s">
        <v>148</v>
      </c>
      <c r="Q644" s="177" t="s">
        <v>149</v>
      </c>
      <c r="R644" s="83"/>
    </row>
    <row r="645" spans="1:18">
      <c r="A645" s="177">
        <v>80814097</v>
      </c>
      <c r="B645" s="177" t="s">
        <v>255</v>
      </c>
      <c r="C645" s="178" t="s">
        <v>151</v>
      </c>
      <c r="D645" s="177" t="s">
        <v>252</v>
      </c>
      <c r="E645" s="177" t="s">
        <v>205</v>
      </c>
      <c r="F645" s="179">
        <v>46014</v>
      </c>
      <c r="G645" s="177">
        <v>405</v>
      </c>
      <c r="H645" s="179">
        <v>45986</v>
      </c>
      <c r="I645" s="179" t="s">
        <v>253</v>
      </c>
      <c r="J645" s="83">
        <v>3496602357</v>
      </c>
      <c r="K645" s="179"/>
      <c r="L645" s="179">
        <v>45986</v>
      </c>
      <c r="M645" s="179">
        <v>46013</v>
      </c>
      <c r="N645" s="181">
        <v>0.73406249999999995</v>
      </c>
      <c r="O645" s="181" t="s">
        <v>170</v>
      </c>
      <c r="P645" s="83" t="s">
        <v>148</v>
      </c>
      <c r="Q645" s="177" t="s">
        <v>149</v>
      </c>
      <c r="R645" s="83"/>
    </row>
    <row r="646" spans="1:18">
      <c r="A646" s="177">
        <v>80814081</v>
      </c>
      <c r="B646" s="177" t="s">
        <v>256</v>
      </c>
      <c r="C646" s="178" t="s">
        <v>151</v>
      </c>
      <c r="D646" s="177" t="s">
        <v>252</v>
      </c>
      <c r="E646" s="177" t="s">
        <v>205</v>
      </c>
      <c r="F646" s="179">
        <v>46014</v>
      </c>
      <c r="G646" s="177">
        <v>405</v>
      </c>
      <c r="H646" s="179">
        <v>45986</v>
      </c>
      <c r="I646" s="179" t="s">
        <v>253</v>
      </c>
      <c r="J646" s="83">
        <v>3496602358</v>
      </c>
      <c r="K646" s="179"/>
      <c r="L646" s="179">
        <v>45986</v>
      </c>
      <c r="M646" s="179">
        <v>46013</v>
      </c>
      <c r="N646" s="181">
        <v>0.73406249999999995</v>
      </c>
      <c r="O646" s="181" t="s">
        <v>170</v>
      </c>
      <c r="P646" s="83" t="s">
        <v>148</v>
      </c>
      <c r="Q646" s="177" t="s">
        <v>149</v>
      </c>
      <c r="R646" s="83"/>
    </row>
    <row r="647" spans="1:18">
      <c r="A647" s="177">
        <v>80815648</v>
      </c>
      <c r="B647" s="177" t="s">
        <v>257</v>
      </c>
      <c r="C647" s="178" t="s">
        <v>151</v>
      </c>
      <c r="D647" s="177" t="s">
        <v>252</v>
      </c>
      <c r="E647" s="177" t="s">
        <v>205</v>
      </c>
      <c r="F647" s="179">
        <v>46014</v>
      </c>
      <c r="G647" s="177">
        <v>753</v>
      </c>
      <c r="H647" s="179">
        <v>45986</v>
      </c>
      <c r="I647" s="179" t="s">
        <v>253</v>
      </c>
      <c r="J647" s="83">
        <v>3496602359</v>
      </c>
      <c r="K647" s="179"/>
      <c r="L647" s="179">
        <v>45986</v>
      </c>
      <c r="M647" s="179">
        <v>46013</v>
      </c>
      <c r="N647" s="181">
        <v>1.4672205</v>
      </c>
      <c r="O647" s="181" t="s">
        <v>170</v>
      </c>
      <c r="P647" s="83" t="s">
        <v>148</v>
      </c>
      <c r="Q647" s="177" t="s">
        <v>149</v>
      </c>
      <c r="R647" s="83"/>
    </row>
    <row r="648" spans="1:18">
      <c r="A648" s="177">
        <v>80815643</v>
      </c>
      <c r="B648" s="177" t="s">
        <v>258</v>
      </c>
      <c r="C648" s="178" t="s">
        <v>151</v>
      </c>
      <c r="D648" s="177" t="s">
        <v>252</v>
      </c>
      <c r="E648" s="177" t="s">
        <v>205</v>
      </c>
      <c r="F648" s="179">
        <v>46014</v>
      </c>
      <c r="G648" s="177">
        <v>753</v>
      </c>
      <c r="H648" s="179">
        <v>45986</v>
      </c>
      <c r="I648" s="179" t="s">
        <v>253</v>
      </c>
      <c r="J648" s="83">
        <v>3496602360</v>
      </c>
      <c r="K648" s="179"/>
      <c r="L648" s="179">
        <v>45986</v>
      </c>
      <c r="M648" s="179">
        <v>46013</v>
      </c>
      <c r="N648" s="181">
        <v>1.4672205</v>
      </c>
      <c r="O648" s="181" t="s">
        <v>170</v>
      </c>
      <c r="P648" s="83" t="s">
        <v>148</v>
      </c>
      <c r="Q648" s="177" t="s">
        <v>149</v>
      </c>
      <c r="R648" s="83"/>
    </row>
    <row r="649" spans="1:18">
      <c r="A649" s="177">
        <v>80815642</v>
      </c>
      <c r="B649" s="177" t="s">
        <v>259</v>
      </c>
      <c r="C649" s="178" t="s">
        <v>151</v>
      </c>
      <c r="D649" s="177" t="s">
        <v>252</v>
      </c>
      <c r="E649" s="177" t="s">
        <v>205</v>
      </c>
      <c r="F649" s="179">
        <v>46014</v>
      </c>
      <c r="G649" s="177">
        <v>753</v>
      </c>
      <c r="H649" s="179">
        <v>45986</v>
      </c>
      <c r="I649" s="179" t="s">
        <v>253</v>
      </c>
      <c r="J649" s="83">
        <v>3496602361</v>
      </c>
      <c r="K649" s="179"/>
      <c r="L649" s="179">
        <v>45986</v>
      </c>
      <c r="M649" s="179">
        <v>46013</v>
      </c>
      <c r="N649" s="181">
        <v>1.4672205</v>
      </c>
      <c r="O649" s="181" t="s">
        <v>170</v>
      </c>
      <c r="P649" s="83" t="s">
        <v>148</v>
      </c>
      <c r="Q649" s="177" t="s">
        <v>149</v>
      </c>
      <c r="R649" s="83"/>
    </row>
    <row r="650" spans="1:18">
      <c r="A650" s="177">
        <v>80815644</v>
      </c>
      <c r="B650" s="177" t="s">
        <v>260</v>
      </c>
      <c r="C650" s="178" t="s">
        <v>151</v>
      </c>
      <c r="D650" s="177" t="s">
        <v>252</v>
      </c>
      <c r="E650" s="177" t="s">
        <v>205</v>
      </c>
      <c r="F650" s="179">
        <v>46014</v>
      </c>
      <c r="G650" s="177">
        <v>377</v>
      </c>
      <c r="H650" s="179">
        <v>45986</v>
      </c>
      <c r="I650" s="179" t="s">
        <v>253</v>
      </c>
      <c r="J650" s="83">
        <v>3496602362</v>
      </c>
      <c r="K650" s="179"/>
      <c r="L650" s="179">
        <v>45986</v>
      </c>
      <c r="M650" s="179">
        <v>46013</v>
      </c>
      <c r="N650" s="181">
        <v>0.73458449999999997</v>
      </c>
      <c r="O650" s="181" t="s">
        <v>170</v>
      </c>
      <c r="P650" s="83" t="s">
        <v>148</v>
      </c>
      <c r="Q650" s="177" t="s">
        <v>149</v>
      </c>
      <c r="R650" s="83"/>
    </row>
    <row r="651" spans="1:18">
      <c r="A651" s="177">
        <v>80815645</v>
      </c>
      <c r="B651" s="177" t="s">
        <v>261</v>
      </c>
      <c r="C651" s="178" t="s">
        <v>151</v>
      </c>
      <c r="D651" s="177" t="s">
        <v>252</v>
      </c>
      <c r="E651" s="177" t="s">
        <v>205</v>
      </c>
      <c r="F651" s="179">
        <v>46014</v>
      </c>
      <c r="G651" s="177">
        <v>753</v>
      </c>
      <c r="H651" s="179">
        <v>45986</v>
      </c>
      <c r="I651" s="179" t="s">
        <v>253</v>
      </c>
      <c r="J651" s="83">
        <v>3496602363</v>
      </c>
      <c r="K651" s="179"/>
      <c r="L651" s="179">
        <v>45986</v>
      </c>
      <c r="M651" s="179">
        <v>46013</v>
      </c>
      <c r="N651" s="181">
        <v>1.4672205</v>
      </c>
      <c r="O651" s="181" t="s">
        <v>170</v>
      </c>
      <c r="P651" s="83" t="s">
        <v>148</v>
      </c>
      <c r="Q651" s="177" t="s">
        <v>149</v>
      </c>
      <c r="R651" s="83"/>
    </row>
    <row r="652" spans="1:18">
      <c r="A652" s="177">
        <v>80815647</v>
      </c>
      <c r="B652" s="177" t="s">
        <v>262</v>
      </c>
      <c r="C652" s="178" t="s">
        <v>151</v>
      </c>
      <c r="D652" s="177" t="s">
        <v>252</v>
      </c>
      <c r="E652" s="177" t="s">
        <v>205</v>
      </c>
      <c r="F652" s="179">
        <v>46014</v>
      </c>
      <c r="G652" s="177">
        <v>377</v>
      </c>
      <c r="H652" s="179">
        <v>45986</v>
      </c>
      <c r="I652" s="179" t="s">
        <v>253</v>
      </c>
      <c r="J652" s="83">
        <v>3496602364</v>
      </c>
      <c r="K652" s="179"/>
      <c r="L652" s="179">
        <v>45986</v>
      </c>
      <c r="M652" s="179">
        <v>46013</v>
      </c>
      <c r="N652" s="181">
        <v>0.73458449999999997</v>
      </c>
      <c r="O652" s="181" t="s">
        <v>170</v>
      </c>
      <c r="P652" s="83" t="s">
        <v>148</v>
      </c>
      <c r="Q652" s="177" t="s">
        <v>149</v>
      </c>
      <c r="R652" s="83"/>
    </row>
    <row r="653" spans="1:18">
      <c r="A653" s="177">
        <v>80813610</v>
      </c>
      <c r="B653" s="177" t="s">
        <v>263</v>
      </c>
      <c r="C653" s="178" t="s">
        <v>151</v>
      </c>
      <c r="D653" s="177" t="s">
        <v>252</v>
      </c>
      <c r="E653" s="177" t="s">
        <v>205</v>
      </c>
      <c r="F653" s="179">
        <v>46014</v>
      </c>
      <c r="G653" s="177">
        <v>405</v>
      </c>
      <c r="H653" s="179">
        <v>45986</v>
      </c>
      <c r="I653" s="179" t="s">
        <v>253</v>
      </c>
      <c r="J653" s="83">
        <v>3496602365</v>
      </c>
      <c r="K653" s="179"/>
      <c r="L653" s="179">
        <v>45986</v>
      </c>
      <c r="M653" s="179">
        <v>46013</v>
      </c>
      <c r="N653" s="181">
        <v>0.73410299999999995</v>
      </c>
      <c r="O653" s="181" t="s">
        <v>170</v>
      </c>
      <c r="P653" s="83" t="s">
        <v>148</v>
      </c>
      <c r="Q653" s="177" t="s">
        <v>149</v>
      </c>
      <c r="R653" s="83"/>
    </row>
    <row r="654" spans="1:18">
      <c r="A654" s="177">
        <v>80813619</v>
      </c>
      <c r="B654" s="177" t="s">
        <v>264</v>
      </c>
      <c r="C654" s="178" t="s">
        <v>151</v>
      </c>
      <c r="D654" s="177" t="s">
        <v>252</v>
      </c>
      <c r="E654" s="177" t="s">
        <v>205</v>
      </c>
      <c r="F654" s="179">
        <v>46014</v>
      </c>
      <c r="G654" s="177">
        <v>405</v>
      </c>
      <c r="H654" s="179">
        <v>45986</v>
      </c>
      <c r="I654" s="179" t="s">
        <v>253</v>
      </c>
      <c r="J654" s="83">
        <v>3496602366</v>
      </c>
      <c r="K654" s="179"/>
      <c r="L654" s="179">
        <v>45986</v>
      </c>
      <c r="M654" s="179">
        <v>46013</v>
      </c>
      <c r="N654" s="181">
        <v>0.73410299999999995</v>
      </c>
      <c r="O654" s="181" t="s">
        <v>170</v>
      </c>
      <c r="P654" s="83" t="s">
        <v>148</v>
      </c>
      <c r="Q654" s="177" t="s">
        <v>149</v>
      </c>
      <c r="R654" s="83"/>
    </row>
    <row r="655" spans="1:18">
      <c r="A655" s="177">
        <v>80813615</v>
      </c>
      <c r="B655" s="177" t="s">
        <v>265</v>
      </c>
      <c r="C655" s="178" t="s">
        <v>151</v>
      </c>
      <c r="D655" s="177" t="s">
        <v>252</v>
      </c>
      <c r="E655" s="177" t="s">
        <v>205</v>
      </c>
      <c r="F655" s="179">
        <v>46014</v>
      </c>
      <c r="G655" s="177">
        <v>405</v>
      </c>
      <c r="H655" s="179">
        <v>45986</v>
      </c>
      <c r="I655" s="179" t="s">
        <v>253</v>
      </c>
      <c r="J655" s="83">
        <v>3496602367</v>
      </c>
      <c r="K655" s="179"/>
      <c r="L655" s="179">
        <v>45986</v>
      </c>
      <c r="M655" s="179">
        <v>46013</v>
      </c>
      <c r="N655" s="181">
        <v>0.73410299999999995</v>
      </c>
      <c r="O655" s="181" t="s">
        <v>170</v>
      </c>
      <c r="P655" s="83" t="s">
        <v>148</v>
      </c>
      <c r="Q655" s="177" t="s">
        <v>149</v>
      </c>
      <c r="R655" s="83"/>
    </row>
    <row r="656" spans="1:18">
      <c r="A656" s="177">
        <v>80813637</v>
      </c>
      <c r="B656" s="177" t="s">
        <v>266</v>
      </c>
      <c r="C656" s="178" t="s">
        <v>151</v>
      </c>
      <c r="D656" s="177" t="s">
        <v>252</v>
      </c>
      <c r="E656" s="177" t="s">
        <v>205</v>
      </c>
      <c r="F656" s="179">
        <v>46014</v>
      </c>
      <c r="G656" s="177">
        <v>405</v>
      </c>
      <c r="H656" s="179">
        <v>45986</v>
      </c>
      <c r="I656" s="179" t="s">
        <v>253</v>
      </c>
      <c r="J656" s="83">
        <v>3496602368</v>
      </c>
      <c r="K656" s="179"/>
      <c r="L656" s="179">
        <v>45986</v>
      </c>
      <c r="M656" s="179">
        <v>46013</v>
      </c>
      <c r="N656" s="181">
        <v>0.73410299999999995</v>
      </c>
      <c r="O656" s="181" t="s">
        <v>170</v>
      </c>
      <c r="P656" s="83" t="s">
        <v>148</v>
      </c>
      <c r="Q656" s="177" t="s">
        <v>149</v>
      </c>
      <c r="R656" s="83"/>
    </row>
    <row r="657" spans="1:18">
      <c r="A657" s="177">
        <v>80813617</v>
      </c>
      <c r="B657" s="177" t="s">
        <v>267</v>
      </c>
      <c r="C657" s="178" t="s">
        <v>151</v>
      </c>
      <c r="D657" s="177" t="s">
        <v>252</v>
      </c>
      <c r="E657" s="177" t="s">
        <v>205</v>
      </c>
      <c r="F657" s="179">
        <v>46014</v>
      </c>
      <c r="G657" s="177">
        <v>405</v>
      </c>
      <c r="H657" s="179">
        <v>45986</v>
      </c>
      <c r="I657" s="179" t="s">
        <v>253</v>
      </c>
      <c r="J657" s="83">
        <v>3496602369</v>
      </c>
      <c r="K657" s="179"/>
      <c r="L657" s="179">
        <v>45986</v>
      </c>
      <c r="M657" s="179">
        <v>46013</v>
      </c>
      <c r="N657" s="181">
        <v>0.73410299999999995</v>
      </c>
      <c r="O657" s="181" t="s">
        <v>170</v>
      </c>
      <c r="P657" s="83" t="s">
        <v>148</v>
      </c>
      <c r="Q657" s="177" t="s">
        <v>149</v>
      </c>
      <c r="R657" s="83"/>
    </row>
    <row r="658" spans="1:18">
      <c r="A658" s="177">
        <v>80813629</v>
      </c>
      <c r="B658" s="177" t="s">
        <v>268</v>
      </c>
      <c r="C658" s="178" t="s">
        <v>151</v>
      </c>
      <c r="D658" s="177" t="s">
        <v>252</v>
      </c>
      <c r="E658" s="177" t="s">
        <v>205</v>
      </c>
      <c r="F658" s="179">
        <v>46014</v>
      </c>
      <c r="G658" s="177">
        <v>405</v>
      </c>
      <c r="H658" s="179">
        <v>45986</v>
      </c>
      <c r="I658" s="179" t="s">
        <v>253</v>
      </c>
      <c r="J658" s="83">
        <v>3496602370</v>
      </c>
      <c r="K658" s="179"/>
      <c r="L658" s="179">
        <v>45986</v>
      </c>
      <c r="M658" s="179">
        <v>46013</v>
      </c>
      <c r="N658" s="181">
        <v>0.73410299999999995</v>
      </c>
      <c r="O658" s="181" t="s">
        <v>170</v>
      </c>
      <c r="P658" s="83" t="s">
        <v>148</v>
      </c>
      <c r="Q658" s="177" t="s">
        <v>149</v>
      </c>
      <c r="R658" s="83"/>
    </row>
    <row r="659" spans="1:18">
      <c r="A659" s="177">
        <v>80820462</v>
      </c>
      <c r="B659" s="177" t="s">
        <v>269</v>
      </c>
      <c r="C659" s="178" t="s">
        <v>151</v>
      </c>
      <c r="D659" s="177" t="s">
        <v>252</v>
      </c>
      <c r="E659" s="177" t="s">
        <v>205</v>
      </c>
      <c r="F659" s="179">
        <v>46014</v>
      </c>
      <c r="G659" s="177">
        <v>810</v>
      </c>
      <c r="H659" s="179">
        <v>45986</v>
      </c>
      <c r="I659" s="179" t="s">
        <v>253</v>
      </c>
      <c r="J659" s="83">
        <v>3496602371</v>
      </c>
      <c r="K659" s="179" t="s">
        <v>270</v>
      </c>
      <c r="L659" s="179">
        <v>45986</v>
      </c>
      <c r="M659" s="179">
        <v>45987</v>
      </c>
      <c r="N659" s="181">
        <v>1.4682059999999999</v>
      </c>
      <c r="O659" s="181" t="s">
        <v>170</v>
      </c>
      <c r="P659" s="83" t="s">
        <v>148</v>
      </c>
      <c r="Q659" s="177" t="s">
        <v>149</v>
      </c>
      <c r="R659" s="83"/>
    </row>
    <row r="660" spans="1:18">
      <c r="A660" s="177">
        <v>80820459</v>
      </c>
      <c r="B660" s="177" t="s">
        <v>271</v>
      </c>
      <c r="C660" s="178" t="s">
        <v>151</v>
      </c>
      <c r="D660" s="177" t="s">
        <v>252</v>
      </c>
      <c r="E660" s="177" t="s">
        <v>205</v>
      </c>
      <c r="F660" s="179">
        <v>46014</v>
      </c>
      <c r="G660" s="177">
        <v>405</v>
      </c>
      <c r="H660" s="179">
        <v>45986</v>
      </c>
      <c r="I660" s="179" t="s">
        <v>253</v>
      </c>
      <c r="J660" s="83">
        <v>3496602372</v>
      </c>
      <c r="K660" s="179" t="s">
        <v>270</v>
      </c>
      <c r="L660" s="179">
        <v>45986</v>
      </c>
      <c r="M660" s="179">
        <v>45987</v>
      </c>
      <c r="N660" s="181">
        <v>0.73410299999999995</v>
      </c>
      <c r="O660" s="181" t="s">
        <v>170</v>
      </c>
      <c r="P660" s="83" t="s">
        <v>148</v>
      </c>
      <c r="Q660" s="177" t="s">
        <v>149</v>
      </c>
      <c r="R660" s="83"/>
    </row>
    <row r="661" spans="1:18">
      <c r="A661" s="177">
        <v>80820464</v>
      </c>
      <c r="B661" s="177" t="s">
        <v>272</v>
      </c>
      <c r="C661" s="178" t="s">
        <v>151</v>
      </c>
      <c r="D661" s="177" t="s">
        <v>252</v>
      </c>
      <c r="E661" s="177" t="s">
        <v>205</v>
      </c>
      <c r="F661" s="179">
        <v>46014</v>
      </c>
      <c r="G661" s="177">
        <v>405</v>
      </c>
      <c r="H661" s="179">
        <v>45986</v>
      </c>
      <c r="I661" s="179" t="s">
        <v>253</v>
      </c>
      <c r="J661" s="83">
        <v>3496602373</v>
      </c>
      <c r="K661" s="179" t="s">
        <v>270</v>
      </c>
      <c r="L661" s="179">
        <v>45986</v>
      </c>
      <c r="M661" s="179">
        <v>45987</v>
      </c>
      <c r="N661" s="181">
        <v>0.73410299999999995</v>
      </c>
      <c r="O661" s="181" t="s">
        <v>170</v>
      </c>
      <c r="P661" s="83" t="s">
        <v>148</v>
      </c>
      <c r="Q661" s="177" t="s">
        <v>149</v>
      </c>
      <c r="R661" s="83"/>
    </row>
    <row r="662" spans="1:18">
      <c r="A662" s="177">
        <v>80820469</v>
      </c>
      <c r="B662" s="177" t="s">
        <v>273</v>
      </c>
      <c r="C662" s="178" t="s">
        <v>151</v>
      </c>
      <c r="D662" s="177" t="s">
        <v>252</v>
      </c>
      <c r="E662" s="177" t="s">
        <v>205</v>
      </c>
      <c r="F662" s="179">
        <v>46014</v>
      </c>
      <c r="G662" s="177">
        <v>810</v>
      </c>
      <c r="H662" s="179">
        <v>45986</v>
      </c>
      <c r="I662" s="179" t="s">
        <v>253</v>
      </c>
      <c r="J662" s="83">
        <v>3496602374</v>
      </c>
      <c r="K662" s="179" t="s">
        <v>270</v>
      </c>
      <c r="L662" s="179">
        <v>45986</v>
      </c>
      <c r="M662" s="179">
        <v>45987</v>
      </c>
      <c r="N662" s="181">
        <v>1.4682059999999999</v>
      </c>
      <c r="O662" s="181" t="s">
        <v>170</v>
      </c>
      <c r="P662" s="83" t="s">
        <v>148</v>
      </c>
      <c r="Q662" s="177" t="s">
        <v>149</v>
      </c>
      <c r="R662" s="83"/>
    </row>
    <row r="663" spans="1:18">
      <c r="A663" s="177">
        <v>80814089</v>
      </c>
      <c r="B663" s="177" t="s">
        <v>251</v>
      </c>
      <c r="C663" s="178" t="s">
        <v>150</v>
      </c>
      <c r="D663" s="177" t="s">
        <v>252</v>
      </c>
      <c r="E663" s="177" t="s">
        <v>205</v>
      </c>
      <c r="F663" s="179">
        <v>46014</v>
      </c>
      <c r="G663" s="177">
        <v>405</v>
      </c>
      <c r="H663" s="179">
        <v>45986</v>
      </c>
      <c r="I663" s="179" t="s">
        <v>253</v>
      </c>
      <c r="J663" s="83">
        <v>3496602375</v>
      </c>
      <c r="K663" s="179"/>
      <c r="L663" s="179">
        <v>45986</v>
      </c>
      <c r="M663" s="179">
        <v>46013</v>
      </c>
      <c r="N663" s="181">
        <v>0.73406249999999995</v>
      </c>
      <c r="O663" s="181" t="s">
        <v>170</v>
      </c>
      <c r="P663" s="83" t="s">
        <v>148</v>
      </c>
      <c r="Q663" s="177" t="s">
        <v>149</v>
      </c>
      <c r="R663" s="83"/>
    </row>
    <row r="664" spans="1:18">
      <c r="A664" s="177">
        <v>80814098</v>
      </c>
      <c r="B664" s="177" t="s">
        <v>254</v>
      </c>
      <c r="C664" s="178" t="s">
        <v>150</v>
      </c>
      <c r="D664" s="177" t="s">
        <v>252</v>
      </c>
      <c r="E664" s="177" t="s">
        <v>205</v>
      </c>
      <c r="F664" s="179">
        <v>46014</v>
      </c>
      <c r="G664" s="177">
        <v>405</v>
      </c>
      <c r="H664" s="179">
        <v>45986</v>
      </c>
      <c r="I664" s="179" t="s">
        <v>253</v>
      </c>
      <c r="J664" s="83">
        <v>3496602376</v>
      </c>
      <c r="K664" s="179"/>
      <c r="L664" s="179">
        <v>45986</v>
      </c>
      <c r="M664" s="179">
        <v>46013</v>
      </c>
      <c r="N664" s="181">
        <v>0.73406249999999995</v>
      </c>
      <c r="O664" s="181" t="s">
        <v>170</v>
      </c>
      <c r="P664" s="83" t="s">
        <v>148</v>
      </c>
      <c r="Q664" s="177" t="s">
        <v>149</v>
      </c>
      <c r="R664" s="83"/>
    </row>
    <row r="665" spans="1:18">
      <c r="A665" s="177">
        <v>80814097</v>
      </c>
      <c r="B665" s="177" t="s">
        <v>255</v>
      </c>
      <c r="C665" s="178" t="s">
        <v>150</v>
      </c>
      <c r="D665" s="177" t="s">
        <v>252</v>
      </c>
      <c r="E665" s="177" t="s">
        <v>205</v>
      </c>
      <c r="F665" s="179">
        <v>46014</v>
      </c>
      <c r="G665" s="177">
        <v>405</v>
      </c>
      <c r="H665" s="179">
        <v>45986</v>
      </c>
      <c r="I665" s="179" t="s">
        <v>253</v>
      </c>
      <c r="J665" s="83">
        <v>3496602377</v>
      </c>
      <c r="K665" s="179"/>
      <c r="L665" s="179">
        <v>45986</v>
      </c>
      <c r="M665" s="179">
        <v>46013</v>
      </c>
      <c r="N665" s="181">
        <v>0.73406249999999995</v>
      </c>
      <c r="O665" s="181" t="s">
        <v>170</v>
      </c>
      <c r="P665" s="83" t="s">
        <v>148</v>
      </c>
      <c r="Q665" s="177" t="s">
        <v>149</v>
      </c>
      <c r="R665" s="83"/>
    </row>
    <row r="666" spans="1:18">
      <c r="A666" s="177">
        <v>80814081</v>
      </c>
      <c r="B666" s="177" t="s">
        <v>256</v>
      </c>
      <c r="C666" s="178" t="s">
        <v>150</v>
      </c>
      <c r="D666" s="177" t="s">
        <v>252</v>
      </c>
      <c r="E666" s="177" t="s">
        <v>205</v>
      </c>
      <c r="F666" s="179">
        <v>46014</v>
      </c>
      <c r="G666" s="177">
        <v>405</v>
      </c>
      <c r="H666" s="179">
        <v>45986</v>
      </c>
      <c r="I666" s="179" t="s">
        <v>253</v>
      </c>
      <c r="J666" s="83">
        <v>3496602398</v>
      </c>
      <c r="K666" s="179"/>
      <c r="L666" s="179">
        <v>45986</v>
      </c>
      <c r="M666" s="179">
        <v>46013</v>
      </c>
      <c r="N666" s="181">
        <v>0.73406249999999995</v>
      </c>
      <c r="O666" s="181" t="s">
        <v>170</v>
      </c>
      <c r="P666" s="83" t="s">
        <v>148</v>
      </c>
      <c r="Q666" s="177" t="s">
        <v>149</v>
      </c>
      <c r="R666" s="83"/>
    </row>
    <row r="667" spans="1:18">
      <c r="A667" s="177">
        <v>80815648</v>
      </c>
      <c r="B667" s="177" t="s">
        <v>257</v>
      </c>
      <c r="C667" s="178" t="s">
        <v>150</v>
      </c>
      <c r="D667" s="177" t="s">
        <v>252</v>
      </c>
      <c r="E667" s="177" t="s">
        <v>205</v>
      </c>
      <c r="F667" s="179">
        <v>46014</v>
      </c>
      <c r="G667" s="177">
        <v>753</v>
      </c>
      <c r="H667" s="179">
        <v>45986</v>
      </c>
      <c r="I667" s="179" t="s">
        <v>253</v>
      </c>
      <c r="J667" s="83">
        <v>3496602399</v>
      </c>
      <c r="K667" s="179"/>
      <c r="L667" s="179">
        <v>45986</v>
      </c>
      <c r="M667" s="179">
        <v>46013</v>
      </c>
      <c r="N667" s="181">
        <v>1.4672205</v>
      </c>
      <c r="O667" s="181" t="s">
        <v>170</v>
      </c>
      <c r="P667" s="83" t="s">
        <v>148</v>
      </c>
      <c r="Q667" s="177" t="s">
        <v>149</v>
      </c>
      <c r="R667" s="83"/>
    </row>
    <row r="668" spans="1:18">
      <c r="A668" s="177">
        <v>80815643</v>
      </c>
      <c r="B668" s="177" t="s">
        <v>258</v>
      </c>
      <c r="C668" s="178" t="s">
        <v>150</v>
      </c>
      <c r="D668" s="177" t="s">
        <v>252</v>
      </c>
      <c r="E668" s="177" t="s">
        <v>205</v>
      </c>
      <c r="F668" s="179">
        <v>46014</v>
      </c>
      <c r="G668" s="177">
        <v>753</v>
      </c>
      <c r="H668" s="179">
        <v>45986</v>
      </c>
      <c r="I668" s="179" t="s">
        <v>253</v>
      </c>
      <c r="J668" s="83">
        <v>3496602400</v>
      </c>
      <c r="K668" s="179"/>
      <c r="L668" s="179">
        <v>45986</v>
      </c>
      <c r="M668" s="179">
        <v>46013</v>
      </c>
      <c r="N668" s="181">
        <v>1.4672205</v>
      </c>
      <c r="O668" s="181" t="s">
        <v>170</v>
      </c>
      <c r="P668" s="83" t="s">
        <v>148</v>
      </c>
      <c r="Q668" s="177" t="s">
        <v>149</v>
      </c>
      <c r="R668" s="83"/>
    </row>
    <row r="669" spans="1:18">
      <c r="A669" s="177">
        <v>80815642</v>
      </c>
      <c r="B669" s="177" t="s">
        <v>259</v>
      </c>
      <c r="C669" s="178" t="s">
        <v>150</v>
      </c>
      <c r="D669" s="177" t="s">
        <v>252</v>
      </c>
      <c r="E669" s="177" t="s">
        <v>205</v>
      </c>
      <c r="F669" s="179">
        <v>46014</v>
      </c>
      <c r="G669" s="177">
        <v>753</v>
      </c>
      <c r="H669" s="179">
        <v>45986</v>
      </c>
      <c r="I669" s="179" t="s">
        <v>253</v>
      </c>
      <c r="J669" s="83">
        <v>3496602401</v>
      </c>
      <c r="K669" s="179"/>
      <c r="L669" s="179">
        <v>45986</v>
      </c>
      <c r="M669" s="179">
        <v>46013</v>
      </c>
      <c r="N669" s="181">
        <v>1.4672205</v>
      </c>
      <c r="O669" s="181" t="s">
        <v>170</v>
      </c>
      <c r="P669" s="83" t="s">
        <v>148</v>
      </c>
      <c r="Q669" s="177" t="s">
        <v>149</v>
      </c>
      <c r="R669" s="83"/>
    </row>
    <row r="670" spans="1:18">
      <c r="A670" s="177">
        <v>80815644</v>
      </c>
      <c r="B670" s="177" t="s">
        <v>260</v>
      </c>
      <c r="C670" s="178" t="s">
        <v>150</v>
      </c>
      <c r="D670" s="177" t="s">
        <v>252</v>
      </c>
      <c r="E670" s="177" t="s">
        <v>205</v>
      </c>
      <c r="F670" s="179">
        <v>46014</v>
      </c>
      <c r="G670" s="177">
        <v>377</v>
      </c>
      <c r="H670" s="179">
        <v>45986</v>
      </c>
      <c r="I670" s="179" t="s">
        <v>253</v>
      </c>
      <c r="J670" s="83">
        <v>3496602402</v>
      </c>
      <c r="K670" s="179"/>
      <c r="L670" s="179">
        <v>45986</v>
      </c>
      <c r="M670" s="179">
        <v>46013</v>
      </c>
      <c r="N670" s="181">
        <v>0.73458449999999997</v>
      </c>
      <c r="O670" s="181" t="s">
        <v>170</v>
      </c>
      <c r="P670" s="83" t="s">
        <v>148</v>
      </c>
      <c r="Q670" s="177" t="s">
        <v>149</v>
      </c>
      <c r="R670" s="83"/>
    </row>
    <row r="671" spans="1:18">
      <c r="A671" s="177">
        <v>80815645</v>
      </c>
      <c r="B671" s="177" t="s">
        <v>261</v>
      </c>
      <c r="C671" s="178" t="s">
        <v>150</v>
      </c>
      <c r="D671" s="177" t="s">
        <v>252</v>
      </c>
      <c r="E671" s="177" t="s">
        <v>205</v>
      </c>
      <c r="F671" s="179">
        <v>46014</v>
      </c>
      <c r="G671" s="177">
        <v>753</v>
      </c>
      <c r="H671" s="179">
        <v>45986</v>
      </c>
      <c r="I671" s="179" t="s">
        <v>253</v>
      </c>
      <c r="J671" s="83">
        <v>3496602403</v>
      </c>
      <c r="K671" s="179"/>
      <c r="L671" s="179">
        <v>45986</v>
      </c>
      <c r="M671" s="179">
        <v>46013</v>
      </c>
      <c r="N671" s="181">
        <v>1.4672205</v>
      </c>
      <c r="O671" s="181" t="s">
        <v>170</v>
      </c>
      <c r="P671" s="83" t="s">
        <v>148</v>
      </c>
      <c r="Q671" s="177" t="s">
        <v>149</v>
      </c>
      <c r="R671" s="83"/>
    </row>
    <row r="672" spans="1:18">
      <c r="A672" s="177">
        <v>80815647</v>
      </c>
      <c r="B672" s="177" t="s">
        <v>262</v>
      </c>
      <c r="C672" s="178" t="s">
        <v>150</v>
      </c>
      <c r="D672" s="177" t="s">
        <v>252</v>
      </c>
      <c r="E672" s="177" t="s">
        <v>205</v>
      </c>
      <c r="F672" s="179">
        <v>46014</v>
      </c>
      <c r="G672" s="177">
        <v>377</v>
      </c>
      <c r="H672" s="179">
        <v>45986</v>
      </c>
      <c r="I672" s="179" t="s">
        <v>253</v>
      </c>
      <c r="J672" s="83">
        <v>3496602404</v>
      </c>
      <c r="K672" s="179"/>
      <c r="L672" s="179">
        <v>45986</v>
      </c>
      <c r="M672" s="179">
        <v>46013</v>
      </c>
      <c r="N672" s="181">
        <v>0.73458449999999997</v>
      </c>
      <c r="O672" s="181" t="s">
        <v>170</v>
      </c>
      <c r="P672" s="83" t="s">
        <v>148</v>
      </c>
      <c r="Q672" s="177" t="s">
        <v>149</v>
      </c>
      <c r="R672" s="83"/>
    </row>
    <row r="673" spans="1:18">
      <c r="A673" s="177">
        <v>80813610</v>
      </c>
      <c r="B673" s="177" t="s">
        <v>263</v>
      </c>
      <c r="C673" s="178" t="s">
        <v>150</v>
      </c>
      <c r="D673" s="177" t="s">
        <v>252</v>
      </c>
      <c r="E673" s="177" t="s">
        <v>205</v>
      </c>
      <c r="F673" s="179">
        <v>46014</v>
      </c>
      <c r="G673" s="177">
        <v>405</v>
      </c>
      <c r="H673" s="179">
        <v>45986</v>
      </c>
      <c r="I673" s="179" t="s">
        <v>253</v>
      </c>
      <c r="J673" s="83">
        <v>3496602405</v>
      </c>
      <c r="K673" s="179"/>
      <c r="L673" s="179">
        <v>45986</v>
      </c>
      <c r="M673" s="179">
        <v>46013</v>
      </c>
      <c r="N673" s="181">
        <v>0.73410299999999995</v>
      </c>
      <c r="O673" s="181" t="s">
        <v>170</v>
      </c>
      <c r="P673" s="83" t="s">
        <v>148</v>
      </c>
      <c r="Q673" s="177" t="s">
        <v>149</v>
      </c>
      <c r="R673" s="83"/>
    </row>
    <row r="674" spans="1:18">
      <c r="A674" s="177">
        <v>80813619</v>
      </c>
      <c r="B674" s="177" t="s">
        <v>264</v>
      </c>
      <c r="C674" s="178" t="s">
        <v>150</v>
      </c>
      <c r="D674" s="177" t="s">
        <v>252</v>
      </c>
      <c r="E674" s="177" t="s">
        <v>205</v>
      </c>
      <c r="F674" s="179">
        <v>46014</v>
      </c>
      <c r="G674" s="177">
        <v>405</v>
      </c>
      <c r="H674" s="179">
        <v>45986</v>
      </c>
      <c r="I674" s="179" t="s">
        <v>253</v>
      </c>
      <c r="J674" s="83">
        <v>3496602406</v>
      </c>
      <c r="K674" s="179"/>
      <c r="L674" s="179">
        <v>45986</v>
      </c>
      <c r="M674" s="179">
        <v>46013</v>
      </c>
      <c r="N674" s="181">
        <v>0.73410299999999995</v>
      </c>
      <c r="O674" s="181" t="s">
        <v>170</v>
      </c>
      <c r="P674" s="83" t="s">
        <v>148</v>
      </c>
      <c r="Q674" s="177" t="s">
        <v>149</v>
      </c>
      <c r="R674" s="83"/>
    </row>
    <row r="675" spans="1:18">
      <c r="A675" s="177">
        <v>80813615</v>
      </c>
      <c r="B675" s="177" t="s">
        <v>265</v>
      </c>
      <c r="C675" s="178" t="s">
        <v>150</v>
      </c>
      <c r="D675" s="177" t="s">
        <v>252</v>
      </c>
      <c r="E675" s="177" t="s">
        <v>205</v>
      </c>
      <c r="F675" s="179">
        <v>46014</v>
      </c>
      <c r="G675" s="177">
        <v>405</v>
      </c>
      <c r="H675" s="179">
        <v>45986</v>
      </c>
      <c r="I675" s="179" t="s">
        <v>253</v>
      </c>
      <c r="J675" s="83">
        <v>3496602407</v>
      </c>
      <c r="K675" s="179"/>
      <c r="L675" s="179">
        <v>45986</v>
      </c>
      <c r="M675" s="179">
        <v>46013</v>
      </c>
      <c r="N675" s="181">
        <v>0.73410299999999995</v>
      </c>
      <c r="O675" s="181" t="s">
        <v>170</v>
      </c>
      <c r="P675" s="83" t="s">
        <v>148</v>
      </c>
      <c r="Q675" s="177" t="s">
        <v>149</v>
      </c>
      <c r="R675" s="83"/>
    </row>
    <row r="676" spans="1:18">
      <c r="A676" s="177">
        <v>80813637</v>
      </c>
      <c r="B676" s="177" t="s">
        <v>266</v>
      </c>
      <c r="C676" s="178" t="s">
        <v>150</v>
      </c>
      <c r="D676" s="177" t="s">
        <v>252</v>
      </c>
      <c r="E676" s="177" t="s">
        <v>205</v>
      </c>
      <c r="F676" s="179">
        <v>46014</v>
      </c>
      <c r="G676" s="177">
        <v>405</v>
      </c>
      <c r="H676" s="179">
        <v>45986</v>
      </c>
      <c r="I676" s="179" t="s">
        <v>253</v>
      </c>
      <c r="J676" s="83">
        <v>3496602408</v>
      </c>
      <c r="K676" s="179"/>
      <c r="L676" s="179">
        <v>45986</v>
      </c>
      <c r="M676" s="179">
        <v>46013</v>
      </c>
      <c r="N676" s="181">
        <v>0.73410299999999995</v>
      </c>
      <c r="O676" s="181" t="s">
        <v>170</v>
      </c>
      <c r="P676" s="83" t="s">
        <v>148</v>
      </c>
      <c r="Q676" s="177" t="s">
        <v>149</v>
      </c>
      <c r="R676" s="83"/>
    </row>
    <row r="677" spans="1:18">
      <c r="A677" s="177">
        <v>80813617</v>
      </c>
      <c r="B677" s="177" t="s">
        <v>267</v>
      </c>
      <c r="C677" s="178" t="s">
        <v>150</v>
      </c>
      <c r="D677" s="177" t="s">
        <v>252</v>
      </c>
      <c r="E677" s="177" t="s">
        <v>205</v>
      </c>
      <c r="F677" s="179">
        <v>46014</v>
      </c>
      <c r="G677" s="177">
        <v>405</v>
      </c>
      <c r="H677" s="179">
        <v>45986</v>
      </c>
      <c r="I677" s="179" t="s">
        <v>253</v>
      </c>
      <c r="J677" s="83">
        <v>3496602409</v>
      </c>
      <c r="K677" s="179"/>
      <c r="L677" s="179">
        <v>45986</v>
      </c>
      <c r="M677" s="179">
        <v>46013</v>
      </c>
      <c r="N677" s="181">
        <v>0.73410299999999995</v>
      </c>
      <c r="O677" s="181" t="s">
        <v>170</v>
      </c>
      <c r="P677" s="83" t="s">
        <v>148</v>
      </c>
      <c r="Q677" s="177" t="s">
        <v>149</v>
      </c>
      <c r="R677" s="83"/>
    </row>
    <row r="678" spans="1:18">
      <c r="A678" s="177">
        <v>80813629</v>
      </c>
      <c r="B678" s="177" t="s">
        <v>268</v>
      </c>
      <c r="C678" s="178" t="s">
        <v>150</v>
      </c>
      <c r="D678" s="177" t="s">
        <v>252</v>
      </c>
      <c r="E678" s="177" t="s">
        <v>205</v>
      </c>
      <c r="F678" s="179">
        <v>46014</v>
      </c>
      <c r="G678" s="177">
        <v>405</v>
      </c>
      <c r="H678" s="179">
        <v>45986</v>
      </c>
      <c r="I678" s="179" t="s">
        <v>253</v>
      </c>
      <c r="J678" s="83">
        <v>3496602410</v>
      </c>
      <c r="K678" s="179"/>
      <c r="L678" s="179">
        <v>45986</v>
      </c>
      <c r="M678" s="179">
        <v>46013</v>
      </c>
      <c r="N678" s="181">
        <v>0.73410299999999995</v>
      </c>
      <c r="O678" s="181" t="s">
        <v>170</v>
      </c>
      <c r="P678" s="83" t="s">
        <v>148</v>
      </c>
      <c r="Q678" s="177" t="s">
        <v>149</v>
      </c>
      <c r="R678" s="83"/>
    </row>
    <row r="679" spans="1:18">
      <c r="A679" s="177">
        <v>80820462</v>
      </c>
      <c r="B679" s="177" t="s">
        <v>269</v>
      </c>
      <c r="C679" s="178" t="s">
        <v>150</v>
      </c>
      <c r="D679" s="177" t="s">
        <v>252</v>
      </c>
      <c r="E679" s="177" t="s">
        <v>205</v>
      </c>
      <c r="F679" s="179">
        <v>46014</v>
      </c>
      <c r="G679" s="177">
        <v>810</v>
      </c>
      <c r="H679" s="179">
        <v>45986</v>
      </c>
      <c r="I679" s="179" t="s">
        <v>253</v>
      </c>
      <c r="J679" s="83">
        <v>3496602411</v>
      </c>
      <c r="K679" s="179" t="s">
        <v>270</v>
      </c>
      <c r="L679" s="179">
        <v>45986</v>
      </c>
      <c r="M679" s="180">
        <v>45987</v>
      </c>
      <c r="N679" s="181">
        <v>1.4682059999999999</v>
      </c>
      <c r="O679" s="181" t="s">
        <v>170</v>
      </c>
      <c r="P679" s="83" t="s">
        <v>148</v>
      </c>
      <c r="Q679" s="177" t="s">
        <v>149</v>
      </c>
      <c r="R679" s="83"/>
    </row>
    <row r="680" spans="1:18">
      <c r="A680" s="177">
        <v>80820459</v>
      </c>
      <c r="B680" s="177" t="s">
        <v>271</v>
      </c>
      <c r="C680" s="178" t="s">
        <v>150</v>
      </c>
      <c r="D680" s="177" t="s">
        <v>252</v>
      </c>
      <c r="E680" s="177" t="s">
        <v>205</v>
      </c>
      <c r="F680" s="179">
        <v>46014</v>
      </c>
      <c r="G680" s="177">
        <v>405</v>
      </c>
      <c r="H680" s="179">
        <v>45986</v>
      </c>
      <c r="I680" s="179" t="s">
        <v>253</v>
      </c>
      <c r="J680" s="83">
        <v>3496602412</v>
      </c>
      <c r="K680" s="179" t="s">
        <v>270</v>
      </c>
      <c r="L680" s="179">
        <v>45986</v>
      </c>
      <c r="M680" s="180">
        <v>45987</v>
      </c>
      <c r="N680" s="181">
        <v>0.73410299999999995</v>
      </c>
      <c r="O680" s="181" t="s">
        <v>170</v>
      </c>
      <c r="P680" s="83" t="s">
        <v>148</v>
      </c>
      <c r="Q680" s="177" t="s">
        <v>149</v>
      </c>
      <c r="R680" s="83"/>
    </row>
    <row r="681" spans="1:18">
      <c r="A681" s="177">
        <v>80820464</v>
      </c>
      <c r="B681" s="177" t="s">
        <v>272</v>
      </c>
      <c r="C681" s="178" t="s">
        <v>150</v>
      </c>
      <c r="D681" s="177" t="s">
        <v>252</v>
      </c>
      <c r="E681" s="177" t="s">
        <v>205</v>
      </c>
      <c r="F681" s="179">
        <v>46014</v>
      </c>
      <c r="G681" s="177">
        <v>405</v>
      </c>
      <c r="H681" s="179">
        <v>45986</v>
      </c>
      <c r="I681" s="179" t="s">
        <v>253</v>
      </c>
      <c r="J681" s="83">
        <v>3496602413</v>
      </c>
      <c r="K681" s="179" t="s">
        <v>270</v>
      </c>
      <c r="L681" s="179">
        <v>45986</v>
      </c>
      <c r="M681" s="180">
        <v>45987</v>
      </c>
      <c r="N681" s="181">
        <v>0.73410299999999995</v>
      </c>
      <c r="O681" s="181" t="s">
        <v>170</v>
      </c>
      <c r="P681" s="83" t="s">
        <v>148</v>
      </c>
      <c r="Q681" s="177" t="s">
        <v>149</v>
      </c>
      <c r="R681" s="83"/>
    </row>
    <row r="682" spans="1:18">
      <c r="A682" s="177">
        <v>80820469</v>
      </c>
      <c r="B682" s="177" t="s">
        <v>273</v>
      </c>
      <c r="C682" s="178" t="s">
        <v>150</v>
      </c>
      <c r="D682" s="177" t="s">
        <v>252</v>
      </c>
      <c r="E682" s="177" t="s">
        <v>205</v>
      </c>
      <c r="F682" s="179">
        <v>46014</v>
      </c>
      <c r="G682" s="177">
        <v>810</v>
      </c>
      <c r="H682" s="179">
        <v>45986</v>
      </c>
      <c r="I682" s="179" t="s">
        <v>253</v>
      </c>
      <c r="J682" s="83">
        <v>3496602414</v>
      </c>
      <c r="K682" s="179" t="s">
        <v>270</v>
      </c>
      <c r="L682" s="179">
        <v>45986</v>
      </c>
      <c r="M682" s="180">
        <v>45987</v>
      </c>
      <c r="N682" s="181">
        <v>1.4682059999999999</v>
      </c>
      <c r="O682" s="181" t="s">
        <v>170</v>
      </c>
      <c r="P682" s="83" t="s">
        <v>148</v>
      </c>
      <c r="Q682" s="177" t="s">
        <v>149</v>
      </c>
      <c r="R682" s="83"/>
    </row>
    <row r="683" spans="1:18">
      <c r="A683" s="177">
        <v>80880191</v>
      </c>
      <c r="B683" s="177" t="s">
        <v>185</v>
      </c>
      <c r="C683" s="178" t="s">
        <v>155</v>
      </c>
      <c r="D683" s="177" t="s">
        <v>275</v>
      </c>
      <c r="E683" s="177" t="s">
        <v>205</v>
      </c>
      <c r="F683" s="179">
        <v>45989</v>
      </c>
      <c r="G683" s="177">
        <v>1214</v>
      </c>
      <c r="H683" s="179">
        <v>45987</v>
      </c>
      <c r="I683" s="179" t="s">
        <v>253</v>
      </c>
      <c r="J683" s="83">
        <v>3497307647</v>
      </c>
      <c r="K683" s="179"/>
      <c r="L683" s="179">
        <v>45987</v>
      </c>
      <c r="M683" s="180">
        <v>45992</v>
      </c>
      <c r="N683" s="181">
        <v>2.2004964</v>
      </c>
      <c r="O683" s="181" t="s">
        <v>170</v>
      </c>
      <c r="P683" s="83" t="s">
        <v>148</v>
      </c>
      <c r="Q683" s="177" t="s">
        <v>149</v>
      </c>
      <c r="R683" s="83"/>
    </row>
    <row r="684" spans="1:18">
      <c r="A684" s="177">
        <v>80880197</v>
      </c>
      <c r="B684" s="177" t="s">
        <v>276</v>
      </c>
      <c r="C684" s="178" t="s">
        <v>155</v>
      </c>
      <c r="D684" s="177" t="s">
        <v>275</v>
      </c>
      <c r="E684" s="177" t="s">
        <v>205</v>
      </c>
      <c r="F684" s="179">
        <v>45989</v>
      </c>
      <c r="G684" s="177">
        <v>1214</v>
      </c>
      <c r="H684" s="179">
        <v>45987</v>
      </c>
      <c r="I684" s="179" t="s">
        <v>253</v>
      </c>
      <c r="J684" s="83">
        <v>3497307648</v>
      </c>
      <c r="K684" s="179"/>
      <c r="L684" s="179">
        <v>45987</v>
      </c>
      <c r="M684" s="180">
        <v>45992</v>
      </c>
      <c r="N684" s="181">
        <v>2.2004964</v>
      </c>
      <c r="O684" s="181" t="s">
        <v>170</v>
      </c>
      <c r="P684" s="83" t="s">
        <v>148</v>
      </c>
      <c r="Q684" s="177" t="s">
        <v>149</v>
      </c>
      <c r="R684" s="83"/>
    </row>
    <row r="685" spans="1:18">
      <c r="A685" s="177">
        <v>80880191</v>
      </c>
      <c r="B685" s="177" t="s">
        <v>185</v>
      </c>
      <c r="C685" s="178" t="s">
        <v>155</v>
      </c>
      <c r="D685" s="177" t="s">
        <v>275</v>
      </c>
      <c r="E685" s="177" t="s">
        <v>205</v>
      </c>
      <c r="F685" s="179">
        <v>45996</v>
      </c>
      <c r="G685" s="177">
        <v>1214</v>
      </c>
      <c r="H685" s="179">
        <v>45987</v>
      </c>
      <c r="I685" s="179" t="s">
        <v>253</v>
      </c>
      <c r="J685" s="83">
        <v>3497307649</v>
      </c>
      <c r="K685" s="179"/>
      <c r="L685" s="179">
        <v>45987</v>
      </c>
      <c r="M685" s="180">
        <v>46006</v>
      </c>
      <c r="N685" s="181">
        <v>2.2004964</v>
      </c>
      <c r="O685" s="181" t="s">
        <v>170</v>
      </c>
      <c r="P685" s="83" t="s">
        <v>148</v>
      </c>
      <c r="Q685" s="177" t="s">
        <v>149</v>
      </c>
      <c r="R685" s="83"/>
    </row>
    <row r="686" spans="1:18">
      <c r="A686" s="177">
        <v>80880197</v>
      </c>
      <c r="B686" s="177" t="s">
        <v>276</v>
      </c>
      <c r="C686" s="178" t="s">
        <v>155</v>
      </c>
      <c r="D686" s="177" t="s">
        <v>275</v>
      </c>
      <c r="E686" s="177" t="s">
        <v>205</v>
      </c>
      <c r="F686" s="179">
        <v>45996</v>
      </c>
      <c r="G686" s="177">
        <v>1214</v>
      </c>
      <c r="H686" s="179">
        <v>45987</v>
      </c>
      <c r="I686" s="179" t="s">
        <v>253</v>
      </c>
      <c r="J686" s="83">
        <v>3497307650</v>
      </c>
      <c r="K686" s="179"/>
      <c r="L686" s="179">
        <v>45987</v>
      </c>
      <c r="M686" s="180">
        <v>46006</v>
      </c>
      <c r="N686" s="181">
        <v>2.2004964</v>
      </c>
      <c r="O686" s="181" t="s">
        <v>170</v>
      </c>
      <c r="P686" s="83" t="s">
        <v>148</v>
      </c>
      <c r="Q686" s="177" t="s">
        <v>149</v>
      </c>
      <c r="R686" s="83"/>
    </row>
    <row r="687" spans="1:18">
      <c r="A687" s="177">
        <v>80880191</v>
      </c>
      <c r="B687" s="177" t="s">
        <v>185</v>
      </c>
      <c r="C687" s="178" t="s">
        <v>155</v>
      </c>
      <c r="D687" s="177" t="s">
        <v>275</v>
      </c>
      <c r="E687" s="177" t="s">
        <v>205</v>
      </c>
      <c r="F687" s="179">
        <v>46003</v>
      </c>
      <c r="G687" s="177">
        <v>1214</v>
      </c>
      <c r="H687" s="179">
        <v>45987</v>
      </c>
      <c r="I687" s="179" t="s">
        <v>253</v>
      </c>
      <c r="J687" s="83">
        <v>3497307651</v>
      </c>
      <c r="K687" s="179"/>
      <c r="L687" s="179">
        <v>45987</v>
      </c>
      <c r="M687" s="180">
        <v>45996</v>
      </c>
      <c r="N687" s="181">
        <v>2.2004964</v>
      </c>
      <c r="O687" s="181" t="s">
        <v>170</v>
      </c>
      <c r="P687" s="83" t="s">
        <v>148</v>
      </c>
      <c r="Q687" s="177" t="s">
        <v>149</v>
      </c>
      <c r="R687" s="83"/>
    </row>
    <row r="688" spans="1:18">
      <c r="A688" s="177">
        <v>80880197</v>
      </c>
      <c r="B688" s="177" t="s">
        <v>276</v>
      </c>
      <c r="C688" s="178" t="s">
        <v>155</v>
      </c>
      <c r="D688" s="177" t="s">
        <v>275</v>
      </c>
      <c r="E688" s="177" t="s">
        <v>205</v>
      </c>
      <c r="F688" s="179">
        <v>46003</v>
      </c>
      <c r="G688" s="177">
        <v>1214</v>
      </c>
      <c r="H688" s="179">
        <v>45987</v>
      </c>
      <c r="I688" s="179" t="s">
        <v>253</v>
      </c>
      <c r="J688" s="83">
        <v>3497307652</v>
      </c>
      <c r="K688" s="179"/>
      <c r="L688" s="179">
        <v>45987</v>
      </c>
      <c r="M688" s="180">
        <v>45996</v>
      </c>
      <c r="N688" s="181">
        <v>2.2004964</v>
      </c>
      <c r="O688" s="181" t="s">
        <v>170</v>
      </c>
      <c r="P688" s="83" t="s">
        <v>148</v>
      </c>
      <c r="Q688" s="177" t="s">
        <v>149</v>
      </c>
      <c r="R688" s="83"/>
    </row>
    <row r="689" spans="1:18">
      <c r="A689" s="177">
        <v>80880191</v>
      </c>
      <c r="B689" s="177" t="s">
        <v>185</v>
      </c>
      <c r="C689" s="178" t="s">
        <v>155</v>
      </c>
      <c r="D689" s="177" t="s">
        <v>275</v>
      </c>
      <c r="E689" s="177" t="s">
        <v>205</v>
      </c>
      <c r="F689" s="179">
        <v>46010</v>
      </c>
      <c r="G689" s="177">
        <v>1214</v>
      </c>
      <c r="H689" s="179">
        <v>45987</v>
      </c>
      <c r="I689" s="179" t="s">
        <v>253</v>
      </c>
      <c r="J689" s="83">
        <v>3497307653</v>
      </c>
      <c r="K689" s="179"/>
      <c r="L689" s="179">
        <v>45987</v>
      </c>
      <c r="M689" s="180">
        <v>46003</v>
      </c>
      <c r="N689" s="181">
        <v>2.2004964</v>
      </c>
      <c r="O689" s="181" t="s">
        <v>170</v>
      </c>
      <c r="P689" s="83" t="s">
        <v>148</v>
      </c>
      <c r="Q689" s="177" t="s">
        <v>149</v>
      </c>
      <c r="R689" s="83"/>
    </row>
    <row r="690" spans="1:18">
      <c r="A690" s="177">
        <v>80880197</v>
      </c>
      <c r="B690" s="177" t="s">
        <v>276</v>
      </c>
      <c r="C690" s="178" t="s">
        <v>155</v>
      </c>
      <c r="D690" s="177" t="s">
        <v>275</v>
      </c>
      <c r="E690" s="177" t="s">
        <v>205</v>
      </c>
      <c r="F690" s="179">
        <v>46010</v>
      </c>
      <c r="G690" s="177">
        <v>1214</v>
      </c>
      <c r="H690" s="179">
        <v>45987</v>
      </c>
      <c r="I690" s="179" t="s">
        <v>253</v>
      </c>
      <c r="J690" s="83">
        <v>3497307654</v>
      </c>
      <c r="K690" s="179"/>
      <c r="L690" s="179">
        <v>45987</v>
      </c>
      <c r="M690" s="180">
        <v>46003</v>
      </c>
      <c r="N690" s="181">
        <v>2.2004964</v>
      </c>
      <c r="O690" s="181" t="s">
        <v>170</v>
      </c>
      <c r="P690" s="83" t="s">
        <v>148</v>
      </c>
      <c r="Q690" s="177" t="s">
        <v>149</v>
      </c>
      <c r="R690" s="83"/>
    </row>
    <row r="691" spans="1:18">
      <c r="A691" s="177">
        <v>80880191</v>
      </c>
      <c r="B691" s="177" t="s">
        <v>185</v>
      </c>
      <c r="C691" s="178" t="s">
        <v>155</v>
      </c>
      <c r="D691" s="177" t="s">
        <v>275</v>
      </c>
      <c r="E691" s="177" t="s">
        <v>205</v>
      </c>
      <c r="F691" s="179">
        <v>46014</v>
      </c>
      <c r="G691" s="177">
        <v>1214</v>
      </c>
      <c r="H691" s="179">
        <v>45987</v>
      </c>
      <c r="I691" s="179" t="s">
        <v>253</v>
      </c>
      <c r="J691" s="83">
        <v>3497307655</v>
      </c>
      <c r="K691" s="179"/>
      <c r="L691" s="179">
        <v>45987</v>
      </c>
      <c r="M691" s="180">
        <v>46013</v>
      </c>
      <c r="N691" s="181">
        <v>2.2004964</v>
      </c>
      <c r="O691" s="181" t="s">
        <v>170</v>
      </c>
      <c r="P691" s="83" t="s">
        <v>148</v>
      </c>
      <c r="Q691" s="177" t="s">
        <v>149</v>
      </c>
      <c r="R691" s="83"/>
    </row>
    <row r="692" spans="1:18">
      <c r="A692" s="177">
        <v>80880197</v>
      </c>
      <c r="B692" s="177" t="s">
        <v>276</v>
      </c>
      <c r="C692" s="178" t="s">
        <v>155</v>
      </c>
      <c r="D692" s="177" t="s">
        <v>275</v>
      </c>
      <c r="E692" s="177" t="s">
        <v>205</v>
      </c>
      <c r="F692" s="179">
        <v>46014</v>
      </c>
      <c r="G692" s="177">
        <v>1214</v>
      </c>
      <c r="H692" s="179">
        <v>45987</v>
      </c>
      <c r="I692" s="179" t="s">
        <v>253</v>
      </c>
      <c r="J692" s="83">
        <v>3497307656</v>
      </c>
      <c r="K692" s="179"/>
      <c r="L692" s="179">
        <v>45987</v>
      </c>
      <c r="M692" s="180">
        <v>46013</v>
      </c>
      <c r="N692" s="181">
        <v>2.2004964</v>
      </c>
      <c r="O692" s="181" t="s">
        <v>170</v>
      </c>
      <c r="P692" s="83" t="s">
        <v>148</v>
      </c>
      <c r="Q692" s="177" t="s">
        <v>149</v>
      </c>
      <c r="R692" s="83"/>
    </row>
    <row r="693" spans="1:18">
      <c r="A693" s="177">
        <v>80880191</v>
      </c>
      <c r="B693" s="177" t="s">
        <v>185</v>
      </c>
      <c r="C693" s="178" t="s">
        <v>151</v>
      </c>
      <c r="D693" s="177" t="s">
        <v>275</v>
      </c>
      <c r="E693" s="177" t="s">
        <v>205</v>
      </c>
      <c r="F693" s="179">
        <v>45989</v>
      </c>
      <c r="G693" s="177">
        <v>1214</v>
      </c>
      <c r="H693" s="179">
        <v>45987</v>
      </c>
      <c r="I693" s="179" t="s">
        <v>253</v>
      </c>
      <c r="J693" s="83">
        <v>3497307657</v>
      </c>
      <c r="K693" s="179"/>
      <c r="L693" s="179">
        <v>45987</v>
      </c>
      <c r="M693" s="180">
        <v>45992</v>
      </c>
      <c r="N693" s="181">
        <v>2.2004964</v>
      </c>
      <c r="O693" s="181" t="s">
        <v>170</v>
      </c>
      <c r="P693" s="83" t="s">
        <v>148</v>
      </c>
      <c r="Q693" s="177" t="s">
        <v>149</v>
      </c>
      <c r="R693" s="83"/>
    </row>
    <row r="694" spans="1:18">
      <c r="A694" s="177">
        <v>80880197</v>
      </c>
      <c r="B694" s="177" t="s">
        <v>276</v>
      </c>
      <c r="C694" s="178" t="s">
        <v>151</v>
      </c>
      <c r="D694" s="177" t="s">
        <v>275</v>
      </c>
      <c r="E694" s="177" t="s">
        <v>205</v>
      </c>
      <c r="F694" s="179">
        <v>45989</v>
      </c>
      <c r="G694" s="177">
        <v>1214</v>
      </c>
      <c r="H694" s="179">
        <v>45987</v>
      </c>
      <c r="I694" s="179" t="s">
        <v>253</v>
      </c>
      <c r="J694" s="83">
        <v>3497308158</v>
      </c>
      <c r="K694" s="179"/>
      <c r="L694" s="179">
        <v>45987</v>
      </c>
      <c r="M694" s="180">
        <v>45992</v>
      </c>
      <c r="N694" s="181">
        <v>2.2004964</v>
      </c>
      <c r="O694" s="181" t="s">
        <v>170</v>
      </c>
      <c r="P694" s="83" t="s">
        <v>148</v>
      </c>
      <c r="Q694" s="177" t="s">
        <v>149</v>
      </c>
      <c r="R694" s="83"/>
    </row>
    <row r="695" spans="1:18">
      <c r="A695" s="177">
        <v>80880191</v>
      </c>
      <c r="B695" s="177" t="s">
        <v>185</v>
      </c>
      <c r="C695" s="178" t="s">
        <v>151</v>
      </c>
      <c r="D695" s="177" t="s">
        <v>275</v>
      </c>
      <c r="E695" s="177" t="s">
        <v>205</v>
      </c>
      <c r="F695" s="179">
        <v>45996</v>
      </c>
      <c r="G695" s="177">
        <v>1214</v>
      </c>
      <c r="H695" s="179">
        <v>45987</v>
      </c>
      <c r="I695" s="179" t="s">
        <v>253</v>
      </c>
      <c r="J695" s="83">
        <v>3497308159</v>
      </c>
      <c r="K695" s="179"/>
      <c r="L695" s="179">
        <v>45987</v>
      </c>
      <c r="M695" s="180">
        <v>46006</v>
      </c>
      <c r="N695" s="181">
        <v>2.2004964</v>
      </c>
      <c r="O695" s="181" t="s">
        <v>170</v>
      </c>
      <c r="P695" s="83" t="s">
        <v>148</v>
      </c>
      <c r="Q695" s="177" t="s">
        <v>149</v>
      </c>
      <c r="R695" s="83"/>
    </row>
    <row r="696" spans="1:18">
      <c r="A696" s="177">
        <v>80880197</v>
      </c>
      <c r="B696" s="177" t="s">
        <v>276</v>
      </c>
      <c r="C696" s="178" t="s">
        <v>151</v>
      </c>
      <c r="D696" s="177" t="s">
        <v>275</v>
      </c>
      <c r="E696" s="177" t="s">
        <v>205</v>
      </c>
      <c r="F696" s="179">
        <v>45996</v>
      </c>
      <c r="G696" s="177">
        <v>1214</v>
      </c>
      <c r="H696" s="179">
        <v>45987</v>
      </c>
      <c r="I696" s="179" t="s">
        <v>253</v>
      </c>
      <c r="J696" s="83">
        <v>3497308160</v>
      </c>
      <c r="K696" s="179"/>
      <c r="L696" s="179">
        <v>45987</v>
      </c>
      <c r="M696" s="180">
        <v>46006</v>
      </c>
      <c r="N696" s="181">
        <v>2.2004964</v>
      </c>
      <c r="O696" s="181" t="s">
        <v>170</v>
      </c>
      <c r="P696" s="83" t="s">
        <v>148</v>
      </c>
      <c r="Q696" s="177" t="s">
        <v>149</v>
      </c>
      <c r="R696" s="83"/>
    </row>
    <row r="697" spans="1:18">
      <c r="A697" s="177">
        <v>80880191</v>
      </c>
      <c r="B697" s="177" t="s">
        <v>185</v>
      </c>
      <c r="C697" s="178" t="s">
        <v>151</v>
      </c>
      <c r="D697" s="177" t="s">
        <v>275</v>
      </c>
      <c r="E697" s="177" t="s">
        <v>205</v>
      </c>
      <c r="F697" s="179">
        <v>46003</v>
      </c>
      <c r="G697" s="177">
        <v>1214</v>
      </c>
      <c r="H697" s="179">
        <v>45987</v>
      </c>
      <c r="I697" s="179" t="s">
        <v>253</v>
      </c>
      <c r="J697" s="83">
        <v>3497308161</v>
      </c>
      <c r="K697" s="179"/>
      <c r="L697" s="179">
        <v>45987</v>
      </c>
      <c r="M697" s="180">
        <v>45996</v>
      </c>
      <c r="N697" s="181">
        <v>2.2004964</v>
      </c>
      <c r="O697" s="181" t="s">
        <v>170</v>
      </c>
      <c r="P697" s="83" t="s">
        <v>148</v>
      </c>
      <c r="Q697" s="177" t="s">
        <v>149</v>
      </c>
      <c r="R697" s="83"/>
    </row>
    <row r="698" spans="1:18">
      <c r="A698" s="177">
        <v>80880197</v>
      </c>
      <c r="B698" s="177" t="s">
        <v>276</v>
      </c>
      <c r="C698" s="178" t="s">
        <v>151</v>
      </c>
      <c r="D698" s="177" t="s">
        <v>275</v>
      </c>
      <c r="E698" s="177" t="s">
        <v>205</v>
      </c>
      <c r="F698" s="179">
        <v>46003</v>
      </c>
      <c r="G698" s="177">
        <v>1214</v>
      </c>
      <c r="H698" s="179">
        <v>45987</v>
      </c>
      <c r="I698" s="179" t="s">
        <v>253</v>
      </c>
      <c r="J698" s="83">
        <v>3497308162</v>
      </c>
      <c r="K698" s="179"/>
      <c r="L698" s="179">
        <v>45987</v>
      </c>
      <c r="M698" s="180">
        <v>45996</v>
      </c>
      <c r="N698" s="181">
        <v>2.2004964</v>
      </c>
      <c r="O698" s="181" t="s">
        <v>170</v>
      </c>
      <c r="P698" s="83" t="s">
        <v>148</v>
      </c>
      <c r="Q698" s="177" t="s">
        <v>149</v>
      </c>
      <c r="R698" s="83"/>
    </row>
    <row r="699" spans="1:18">
      <c r="A699" s="177">
        <v>80880191</v>
      </c>
      <c r="B699" s="177" t="s">
        <v>185</v>
      </c>
      <c r="C699" s="178" t="s">
        <v>151</v>
      </c>
      <c r="D699" s="177" t="s">
        <v>275</v>
      </c>
      <c r="E699" s="177" t="s">
        <v>205</v>
      </c>
      <c r="F699" s="179">
        <v>46010</v>
      </c>
      <c r="G699" s="177">
        <v>1214</v>
      </c>
      <c r="H699" s="179">
        <v>45987</v>
      </c>
      <c r="I699" s="179" t="s">
        <v>253</v>
      </c>
      <c r="J699" s="83">
        <v>3497308163</v>
      </c>
      <c r="K699" s="179"/>
      <c r="L699" s="179">
        <v>45987</v>
      </c>
      <c r="M699" s="180">
        <v>46003</v>
      </c>
      <c r="N699" s="181">
        <v>2.2004964</v>
      </c>
      <c r="O699" s="181" t="s">
        <v>170</v>
      </c>
      <c r="P699" s="83" t="s">
        <v>148</v>
      </c>
      <c r="Q699" s="177" t="s">
        <v>149</v>
      </c>
      <c r="R699" s="83"/>
    </row>
    <row r="700" spans="1:18">
      <c r="A700" s="177">
        <v>80880197</v>
      </c>
      <c r="B700" s="177" t="s">
        <v>276</v>
      </c>
      <c r="C700" s="178" t="s">
        <v>151</v>
      </c>
      <c r="D700" s="177" t="s">
        <v>275</v>
      </c>
      <c r="E700" s="177" t="s">
        <v>205</v>
      </c>
      <c r="F700" s="179">
        <v>46010</v>
      </c>
      <c r="G700" s="177">
        <v>1214</v>
      </c>
      <c r="H700" s="179">
        <v>45987</v>
      </c>
      <c r="I700" s="179" t="s">
        <v>253</v>
      </c>
      <c r="J700" s="83">
        <v>3497308164</v>
      </c>
      <c r="K700" s="179"/>
      <c r="L700" s="179">
        <v>45987</v>
      </c>
      <c r="M700" s="180">
        <v>46003</v>
      </c>
      <c r="N700" s="181">
        <v>2.2004964</v>
      </c>
      <c r="O700" s="181" t="s">
        <v>170</v>
      </c>
      <c r="P700" s="83" t="s">
        <v>148</v>
      </c>
      <c r="Q700" s="177" t="s">
        <v>149</v>
      </c>
      <c r="R700" s="83"/>
    </row>
    <row r="701" spans="1:18">
      <c r="A701" s="177">
        <v>80880191</v>
      </c>
      <c r="B701" s="177" t="s">
        <v>185</v>
      </c>
      <c r="C701" s="178" t="s">
        <v>151</v>
      </c>
      <c r="D701" s="177" t="s">
        <v>275</v>
      </c>
      <c r="E701" s="177" t="s">
        <v>205</v>
      </c>
      <c r="F701" s="179">
        <v>46014</v>
      </c>
      <c r="G701" s="177">
        <v>1214</v>
      </c>
      <c r="H701" s="179">
        <v>45987</v>
      </c>
      <c r="I701" s="179" t="s">
        <v>253</v>
      </c>
      <c r="J701" s="83">
        <v>3497308165</v>
      </c>
      <c r="K701" s="179"/>
      <c r="L701" s="179">
        <v>45987</v>
      </c>
      <c r="M701" s="180">
        <v>46013</v>
      </c>
      <c r="N701" s="181">
        <v>2.2004964</v>
      </c>
      <c r="O701" s="181" t="s">
        <v>170</v>
      </c>
      <c r="P701" s="83" t="s">
        <v>148</v>
      </c>
      <c r="Q701" s="177" t="s">
        <v>149</v>
      </c>
      <c r="R701" s="83"/>
    </row>
    <row r="702" spans="1:18">
      <c r="A702" s="177">
        <v>80880197</v>
      </c>
      <c r="B702" s="177" t="s">
        <v>276</v>
      </c>
      <c r="C702" s="178" t="s">
        <v>151</v>
      </c>
      <c r="D702" s="177" t="s">
        <v>275</v>
      </c>
      <c r="E702" s="177" t="s">
        <v>205</v>
      </c>
      <c r="F702" s="179">
        <v>46014</v>
      </c>
      <c r="G702" s="177">
        <v>1214</v>
      </c>
      <c r="H702" s="179">
        <v>45987</v>
      </c>
      <c r="I702" s="179" t="s">
        <v>253</v>
      </c>
      <c r="J702" s="83">
        <v>3497308166</v>
      </c>
      <c r="K702" s="179"/>
      <c r="L702" s="179">
        <v>45987</v>
      </c>
      <c r="M702" s="180">
        <v>46013</v>
      </c>
      <c r="N702" s="181">
        <v>2.2004964</v>
      </c>
      <c r="O702" s="181" t="s">
        <v>170</v>
      </c>
      <c r="P702" s="83" t="s">
        <v>148</v>
      </c>
      <c r="Q702" s="177" t="s">
        <v>149</v>
      </c>
      <c r="R702" s="83"/>
    </row>
    <row r="703" spans="1:18">
      <c r="A703" s="177">
        <v>80880191</v>
      </c>
      <c r="B703" s="177" t="s">
        <v>185</v>
      </c>
      <c r="C703" s="178" t="s">
        <v>150</v>
      </c>
      <c r="D703" s="177" t="s">
        <v>275</v>
      </c>
      <c r="E703" s="177" t="s">
        <v>205</v>
      </c>
      <c r="F703" s="179">
        <v>45989</v>
      </c>
      <c r="G703" s="177">
        <v>1214</v>
      </c>
      <c r="H703" s="179">
        <v>45987</v>
      </c>
      <c r="I703" s="179" t="s">
        <v>253</v>
      </c>
      <c r="J703" s="83">
        <v>3497308167</v>
      </c>
      <c r="K703" s="179"/>
      <c r="L703" s="179">
        <v>45987</v>
      </c>
      <c r="M703" s="180">
        <v>45992</v>
      </c>
      <c r="N703" s="181">
        <v>2.2004964</v>
      </c>
      <c r="O703" s="181" t="s">
        <v>170</v>
      </c>
      <c r="P703" s="83" t="s">
        <v>148</v>
      </c>
      <c r="Q703" s="177" t="s">
        <v>149</v>
      </c>
      <c r="R703" s="83"/>
    </row>
    <row r="704" spans="1:18">
      <c r="A704" s="177">
        <v>80880197</v>
      </c>
      <c r="B704" s="177" t="s">
        <v>276</v>
      </c>
      <c r="C704" s="178" t="s">
        <v>150</v>
      </c>
      <c r="D704" s="177" t="s">
        <v>275</v>
      </c>
      <c r="E704" s="177" t="s">
        <v>205</v>
      </c>
      <c r="F704" s="179">
        <v>45989</v>
      </c>
      <c r="G704" s="177">
        <v>1214</v>
      </c>
      <c r="H704" s="179">
        <v>45987</v>
      </c>
      <c r="I704" s="179" t="s">
        <v>253</v>
      </c>
      <c r="J704" s="83">
        <v>3497308168</v>
      </c>
      <c r="K704" s="179"/>
      <c r="L704" s="179">
        <v>45987</v>
      </c>
      <c r="M704" s="180">
        <v>45992</v>
      </c>
      <c r="N704" s="181">
        <v>2.2004964</v>
      </c>
      <c r="O704" s="181" t="s">
        <v>170</v>
      </c>
      <c r="P704" s="83" t="s">
        <v>148</v>
      </c>
      <c r="Q704" s="177" t="s">
        <v>149</v>
      </c>
      <c r="R704" s="83"/>
    </row>
    <row r="705" spans="1:18">
      <c r="A705" s="177">
        <v>80880191</v>
      </c>
      <c r="B705" s="177" t="s">
        <v>185</v>
      </c>
      <c r="C705" s="178" t="s">
        <v>150</v>
      </c>
      <c r="D705" s="177" t="s">
        <v>275</v>
      </c>
      <c r="E705" s="177" t="s">
        <v>205</v>
      </c>
      <c r="F705" s="179">
        <v>45996</v>
      </c>
      <c r="G705" s="177">
        <v>1214</v>
      </c>
      <c r="H705" s="179">
        <v>45987</v>
      </c>
      <c r="I705" s="179" t="s">
        <v>253</v>
      </c>
      <c r="J705" s="83">
        <v>3497308169</v>
      </c>
      <c r="K705" s="179"/>
      <c r="L705" s="179">
        <v>45987</v>
      </c>
      <c r="M705" s="180">
        <v>46006</v>
      </c>
      <c r="N705" s="181">
        <v>2.2004964</v>
      </c>
      <c r="O705" s="181" t="s">
        <v>170</v>
      </c>
      <c r="P705" s="83" t="s">
        <v>148</v>
      </c>
      <c r="Q705" s="177" t="s">
        <v>149</v>
      </c>
      <c r="R705" s="83"/>
    </row>
    <row r="706" spans="1:18">
      <c r="A706" s="177">
        <v>80880197</v>
      </c>
      <c r="B706" s="177" t="s">
        <v>276</v>
      </c>
      <c r="C706" s="178" t="s">
        <v>150</v>
      </c>
      <c r="D706" s="177" t="s">
        <v>275</v>
      </c>
      <c r="E706" s="177" t="s">
        <v>205</v>
      </c>
      <c r="F706" s="179">
        <v>45996</v>
      </c>
      <c r="G706" s="177">
        <v>1214</v>
      </c>
      <c r="H706" s="179">
        <v>45987</v>
      </c>
      <c r="I706" s="179" t="s">
        <v>253</v>
      </c>
      <c r="J706" s="83">
        <v>3497308170</v>
      </c>
      <c r="K706" s="179"/>
      <c r="L706" s="179">
        <v>45987</v>
      </c>
      <c r="M706" s="180">
        <v>46006</v>
      </c>
      <c r="N706" s="181">
        <v>2.2004964</v>
      </c>
      <c r="O706" s="181" t="s">
        <v>170</v>
      </c>
      <c r="P706" s="83" t="s">
        <v>148</v>
      </c>
      <c r="Q706" s="177" t="s">
        <v>149</v>
      </c>
      <c r="R706" s="83"/>
    </row>
    <row r="707" spans="1:18">
      <c r="A707" s="177">
        <v>80880191</v>
      </c>
      <c r="B707" s="177" t="s">
        <v>185</v>
      </c>
      <c r="C707" s="178" t="s">
        <v>150</v>
      </c>
      <c r="D707" s="177" t="s">
        <v>275</v>
      </c>
      <c r="E707" s="177" t="s">
        <v>205</v>
      </c>
      <c r="F707" s="179">
        <v>46003</v>
      </c>
      <c r="G707" s="177">
        <v>1214</v>
      </c>
      <c r="H707" s="179">
        <v>45987</v>
      </c>
      <c r="I707" s="179" t="s">
        <v>253</v>
      </c>
      <c r="J707" s="83">
        <v>3497308171</v>
      </c>
      <c r="K707" s="179"/>
      <c r="L707" s="179">
        <v>45987</v>
      </c>
      <c r="M707" s="180">
        <v>45996</v>
      </c>
      <c r="N707" s="181">
        <v>2.2004964</v>
      </c>
      <c r="O707" s="181" t="s">
        <v>170</v>
      </c>
      <c r="P707" s="83" t="s">
        <v>148</v>
      </c>
      <c r="Q707" s="177" t="s">
        <v>149</v>
      </c>
      <c r="R707" s="83"/>
    </row>
    <row r="708" spans="1:18">
      <c r="A708" s="177">
        <v>80880197</v>
      </c>
      <c r="B708" s="177" t="s">
        <v>276</v>
      </c>
      <c r="C708" s="178" t="s">
        <v>150</v>
      </c>
      <c r="D708" s="177" t="s">
        <v>275</v>
      </c>
      <c r="E708" s="177" t="s">
        <v>205</v>
      </c>
      <c r="F708" s="179">
        <v>46003</v>
      </c>
      <c r="G708" s="177">
        <v>1214</v>
      </c>
      <c r="H708" s="179">
        <v>45987</v>
      </c>
      <c r="I708" s="179" t="s">
        <v>253</v>
      </c>
      <c r="J708" s="83">
        <v>3497308172</v>
      </c>
      <c r="K708" s="179"/>
      <c r="L708" s="179">
        <v>45987</v>
      </c>
      <c r="M708" s="180">
        <v>45996</v>
      </c>
      <c r="N708" s="181">
        <v>2.2004964</v>
      </c>
      <c r="O708" s="181" t="s">
        <v>170</v>
      </c>
      <c r="P708" s="83" t="s">
        <v>148</v>
      </c>
      <c r="Q708" s="177" t="s">
        <v>149</v>
      </c>
      <c r="R708" s="83"/>
    </row>
    <row r="709" spans="1:18">
      <c r="A709" s="177">
        <v>80880191</v>
      </c>
      <c r="B709" s="177" t="s">
        <v>185</v>
      </c>
      <c r="C709" s="178" t="s">
        <v>150</v>
      </c>
      <c r="D709" s="177" t="s">
        <v>275</v>
      </c>
      <c r="E709" s="177" t="s">
        <v>205</v>
      </c>
      <c r="F709" s="179">
        <v>46010</v>
      </c>
      <c r="G709" s="177">
        <v>1214</v>
      </c>
      <c r="H709" s="179">
        <v>45987</v>
      </c>
      <c r="I709" s="179" t="s">
        <v>253</v>
      </c>
      <c r="J709" s="83">
        <v>3497308173</v>
      </c>
      <c r="K709" s="179"/>
      <c r="L709" s="179">
        <v>45987</v>
      </c>
      <c r="M709" s="180">
        <v>46003</v>
      </c>
      <c r="N709" s="181">
        <v>2.2004964</v>
      </c>
      <c r="O709" s="181" t="s">
        <v>170</v>
      </c>
      <c r="P709" s="83" t="s">
        <v>148</v>
      </c>
      <c r="Q709" s="177" t="s">
        <v>149</v>
      </c>
      <c r="R709" s="83"/>
    </row>
    <row r="710" spans="1:18">
      <c r="A710" s="177">
        <v>80880197</v>
      </c>
      <c r="B710" s="177" t="s">
        <v>276</v>
      </c>
      <c r="C710" s="178" t="s">
        <v>150</v>
      </c>
      <c r="D710" s="177" t="s">
        <v>275</v>
      </c>
      <c r="E710" s="177" t="s">
        <v>205</v>
      </c>
      <c r="F710" s="179">
        <v>46010</v>
      </c>
      <c r="G710" s="177">
        <v>1214</v>
      </c>
      <c r="H710" s="179">
        <v>45987</v>
      </c>
      <c r="I710" s="179" t="s">
        <v>253</v>
      </c>
      <c r="J710" s="83">
        <v>3497308174</v>
      </c>
      <c r="K710" s="179"/>
      <c r="L710" s="179">
        <v>45987</v>
      </c>
      <c r="M710" s="180">
        <v>46003</v>
      </c>
      <c r="N710" s="181">
        <v>2.2004964</v>
      </c>
      <c r="O710" s="181" t="s">
        <v>170</v>
      </c>
      <c r="P710" s="83" t="s">
        <v>148</v>
      </c>
      <c r="Q710" s="177" t="s">
        <v>149</v>
      </c>
      <c r="R710" s="83"/>
    </row>
    <row r="711" spans="1:18">
      <c r="A711" s="177">
        <v>80880191</v>
      </c>
      <c r="B711" s="177" t="s">
        <v>185</v>
      </c>
      <c r="C711" s="178" t="s">
        <v>150</v>
      </c>
      <c r="D711" s="177" t="s">
        <v>275</v>
      </c>
      <c r="E711" s="177" t="s">
        <v>205</v>
      </c>
      <c r="F711" s="179">
        <v>46014</v>
      </c>
      <c r="G711" s="177">
        <v>1214</v>
      </c>
      <c r="H711" s="179">
        <v>45987</v>
      </c>
      <c r="I711" s="179" t="s">
        <v>253</v>
      </c>
      <c r="J711" s="83">
        <v>3497308175</v>
      </c>
      <c r="K711" s="179"/>
      <c r="L711" s="179">
        <v>45987</v>
      </c>
      <c r="M711" s="180">
        <v>46013</v>
      </c>
      <c r="N711" s="181">
        <v>2.2004964</v>
      </c>
      <c r="O711" s="181" t="s">
        <v>170</v>
      </c>
      <c r="P711" s="83" t="s">
        <v>148</v>
      </c>
      <c r="Q711" s="177" t="s">
        <v>149</v>
      </c>
      <c r="R711" s="83"/>
    </row>
    <row r="712" spans="1:18">
      <c r="A712" s="177">
        <v>80880197</v>
      </c>
      <c r="B712" s="177" t="s">
        <v>276</v>
      </c>
      <c r="C712" s="178" t="s">
        <v>150</v>
      </c>
      <c r="D712" s="177" t="s">
        <v>275</v>
      </c>
      <c r="E712" s="177" t="s">
        <v>205</v>
      </c>
      <c r="F712" s="179">
        <v>46014</v>
      </c>
      <c r="G712" s="177">
        <v>1214</v>
      </c>
      <c r="H712" s="179">
        <v>45987</v>
      </c>
      <c r="I712" s="179" t="s">
        <v>253</v>
      </c>
      <c r="J712" s="83">
        <v>3497308176</v>
      </c>
      <c r="K712" s="179"/>
      <c r="L712" s="179">
        <v>45987</v>
      </c>
      <c r="M712" s="180">
        <v>46013</v>
      </c>
      <c r="N712" s="181">
        <v>2.2004964</v>
      </c>
      <c r="O712" s="181" t="s">
        <v>170</v>
      </c>
      <c r="P712" s="83" t="s">
        <v>148</v>
      </c>
      <c r="Q712" s="177" t="s">
        <v>149</v>
      </c>
      <c r="R712" s="83"/>
    </row>
    <row r="713" spans="1:18">
      <c r="A713" s="177">
        <v>80773752</v>
      </c>
      <c r="B713" s="177" t="s">
        <v>221</v>
      </c>
      <c r="C713" s="178" t="s">
        <v>151</v>
      </c>
      <c r="D713" s="177" t="s">
        <v>222</v>
      </c>
      <c r="E713" s="176" t="s">
        <v>145</v>
      </c>
      <c r="F713" s="179">
        <v>46008</v>
      </c>
      <c r="G713" s="177">
        <v>4300</v>
      </c>
      <c r="H713" s="179">
        <v>45988</v>
      </c>
      <c r="I713" s="179" t="s">
        <v>206</v>
      </c>
      <c r="J713" s="83">
        <v>3498675503</v>
      </c>
      <c r="K713" s="179"/>
      <c r="L713" s="179">
        <v>45989</v>
      </c>
      <c r="M713" s="180">
        <v>45999</v>
      </c>
      <c r="N713" s="181">
        <v>9.1581399999999995</v>
      </c>
      <c r="O713" s="181" t="s">
        <v>147</v>
      </c>
      <c r="P713" s="83" t="s">
        <v>148</v>
      </c>
      <c r="Q713" s="177" t="s">
        <v>149</v>
      </c>
      <c r="R713" s="83"/>
    </row>
    <row r="714" spans="1:18">
      <c r="A714" s="177">
        <v>80864679</v>
      </c>
      <c r="B714" s="177" t="s">
        <v>224</v>
      </c>
      <c r="C714" s="178" t="s">
        <v>151</v>
      </c>
      <c r="D714" s="177" t="s">
        <v>222</v>
      </c>
      <c r="E714" s="176" t="s">
        <v>145</v>
      </c>
      <c r="F714" s="179">
        <v>46013</v>
      </c>
      <c r="G714" s="177">
        <v>8900</v>
      </c>
      <c r="H714" s="179">
        <v>45988</v>
      </c>
      <c r="I714" s="179" t="s">
        <v>206</v>
      </c>
      <c r="J714" s="83">
        <v>3498675504</v>
      </c>
      <c r="K714" s="179"/>
      <c r="L714" s="179">
        <v>45989</v>
      </c>
      <c r="M714" s="180">
        <v>45999</v>
      </c>
      <c r="N714" s="181">
        <v>16.031569999999999</v>
      </c>
      <c r="O714" s="181" t="s">
        <v>147</v>
      </c>
      <c r="P714" s="83" t="s">
        <v>148</v>
      </c>
      <c r="Q714" s="177" t="s">
        <v>149</v>
      </c>
      <c r="R714" s="83"/>
    </row>
    <row r="715" spans="1:18">
      <c r="A715" s="177">
        <v>80823133</v>
      </c>
      <c r="B715" s="177" t="s">
        <v>212</v>
      </c>
      <c r="C715" s="178" t="s">
        <v>150</v>
      </c>
      <c r="D715" s="177" t="s">
        <v>277</v>
      </c>
      <c r="E715" s="176" t="s">
        <v>145</v>
      </c>
      <c r="F715" s="179">
        <v>46005</v>
      </c>
      <c r="G715" s="177">
        <v>2500</v>
      </c>
      <c r="H715" s="179">
        <v>45989</v>
      </c>
      <c r="I715" s="179" t="s">
        <v>214</v>
      </c>
      <c r="J715" s="83">
        <v>3498675505</v>
      </c>
      <c r="K715" s="179"/>
      <c r="L715" s="179">
        <v>45989</v>
      </c>
      <c r="M715" s="180">
        <v>46003</v>
      </c>
      <c r="N715" s="181">
        <v>6.8652499999999996</v>
      </c>
      <c r="O715" s="181" t="s">
        <v>147</v>
      </c>
      <c r="P715" s="83" t="s">
        <v>148</v>
      </c>
      <c r="Q715" s="177" t="s">
        <v>149</v>
      </c>
      <c r="R715" s="83"/>
    </row>
    <row r="716" spans="1:18">
      <c r="A716" s="177">
        <v>80823132</v>
      </c>
      <c r="B716" s="177" t="s">
        <v>216</v>
      </c>
      <c r="C716" s="178" t="s">
        <v>150</v>
      </c>
      <c r="D716" s="177" t="s">
        <v>277</v>
      </c>
      <c r="E716" s="176" t="s">
        <v>145</v>
      </c>
      <c r="F716" s="179">
        <v>46005</v>
      </c>
      <c r="G716" s="177">
        <v>3500</v>
      </c>
      <c r="H716" s="179">
        <v>45989</v>
      </c>
      <c r="I716" s="179" t="s">
        <v>214</v>
      </c>
      <c r="J716" s="83">
        <v>3498675506</v>
      </c>
      <c r="K716" s="179"/>
      <c r="L716" s="179">
        <v>45989</v>
      </c>
      <c r="M716" s="180">
        <v>46003</v>
      </c>
      <c r="N716" s="181">
        <v>9.6113499999999998</v>
      </c>
      <c r="O716" s="181" t="s">
        <v>147</v>
      </c>
      <c r="P716" s="83" t="s">
        <v>148</v>
      </c>
      <c r="Q716" s="177" t="s">
        <v>149</v>
      </c>
      <c r="R716" s="83"/>
    </row>
    <row r="717" spans="1:18">
      <c r="A717" s="177">
        <v>80720217</v>
      </c>
      <c r="B717" s="177" t="s">
        <v>278</v>
      </c>
      <c r="C717" s="178" t="s">
        <v>143</v>
      </c>
      <c r="D717" s="177" t="s">
        <v>279</v>
      </c>
      <c r="E717" s="176" t="s">
        <v>145</v>
      </c>
      <c r="F717" s="179">
        <v>45997</v>
      </c>
      <c r="G717" s="177">
        <v>1500</v>
      </c>
      <c r="H717" s="179">
        <v>45989</v>
      </c>
      <c r="I717" s="179" t="s">
        <v>214</v>
      </c>
      <c r="J717" s="83">
        <v>3498675507</v>
      </c>
      <c r="K717" s="179"/>
      <c r="L717" s="179">
        <v>45989</v>
      </c>
      <c r="M717" s="180">
        <v>45996</v>
      </c>
      <c r="N717" s="181">
        <v>2.0390999999999999</v>
      </c>
      <c r="O717" s="181" t="s">
        <v>147</v>
      </c>
      <c r="P717" s="83" t="s">
        <v>148</v>
      </c>
      <c r="Q717" s="177" t="s">
        <v>149</v>
      </c>
      <c r="R717" s="83"/>
    </row>
    <row r="718" spans="1:18">
      <c r="A718" s="177">
        <v>80720217</v>
      </c>
      <c r="B718" s="177" t="s">
        <v>278</v>
      </c>
      <c r="C718" s="178" t="s">
        <v>150</v>
      </c>
      <c r="D718" s="177" t="s">
        <v>279</v>
      </c>
      <c r="E718" s="176" t="s">
        <v>145</v>
      </c>
      <c r="F718" s="179">
        <v>45997</v>
      </c>
      <c r="G718" s="177">
        <v>4000</v>
      </c>
      <c r="H718" s="179">
        <v>45989</v>
      </c>
      <c r="I718" s="179" t="s">
        <v>214</v>
      </c>
      <c r="J718" s="83">
        <v>3498675508</v>
      </c>
      <c r="K718" s="179"/>
      <c r="L718" s="179">
        <v>45989</v>
      </c>
      <c r="M718" s="180">
        <v>45996</v>
      </c>
      <c r="N718" s="181">
        <v>5.4375999999999998</v>
      </c>
      <c r="O718" s="181" t="s">
        <v>147</v>
      </c>
      <c r="P718" s="83" t="s">
        <v>148</v>
      </c>
      <c r="Q718" s="177" t="s">
        <v>149</v>
      </c>
      <c r="R718" s="83"/>
    </row>
    <row r="719" spans="1:18">
      <c r="A719" s="177">
        <v>80720217</v>
      </c>
      <c r="B719" s="177" t="s">
        <v>278</v>
      </c>
      <c r="C719" s="178" t="s">
        <v>151</v>
      </c>
      <c r="D719" s="177" t="s">
        <v>279</v>
      </c>
      <c r="E719" s="176" t="s">
        <v>145</v>
      </c>
      <c r="F719" s="179">
        <v>45997</v>
      </c>
      <c r="G719" s="177">
        <v>3100</v>
      </c>
      <c r="H719" s="179">
        <v>45989</v>
      </c>
      <c r="I719" s="179" t="s">
        <v>214</v>
      </c>
      <c r="J719" s="83">
        <v>3498675509</v>
      </c>
      <c r="K719" s="179"/>
      <c r="L719" s="179">
        <v>45989</v>
      </c>
      <c r="M719" s="180">
        <v>45996</v>
      </c>
      <c r="N719" s="181">
        <v>4.2141400000000004</v>
      </c>
      <c r="O719" s="181" t="s">
        <v>147</v>
      </c>
      <c r="P719" s="83" t="s">
        <v>148</v>
      </c>
      <c r="Q719" s="177" t="s">
        <v>149</v>
      </c>
      <c r="R719" s="83"/>
    </row>
    <row r="720" spans="1:18">
      <c r="A720" s="177">
        <v>80720217</v>
      </c>
      <c r="B720" s="177" t="s">
        <v>278</v>
      </c>
      <c r="C720" s="178" t="s">
        <v>152</v>
      </c>
      <c r="D720" s="177" t="s">
        <v>279</v>
      </c>
      <c r="E720" s="176" t="s">
        <v>145</v>
      </c>
      <c r="F720" s="179">
        <v>45997</v>
      </c>
      <c r="G720" s="177">
        <v>1200</v>
      </c>
      <c r="H720" s="179">
        <v>45989</v>
      </c>
      <c r="I720" s="179" t="s">
        <v>214</v>
      </c>
      <c r="J720" s="83">
        <v>3498675510</v>
      </c>
      <c r="K720" s="179"/>
      <c r="L720" s="179">
        <v>45989</v>
      </c>
      <c r="M720" s="180">
        <v>45996</v>
      </c>
      <c r="N720" s="181">
        <v>1.6312800000000001</v>
      </c>
      <c r="O720" s="181" t="s">
        <v>147</v>
      </c>
      <c r="P720" s="83" t="s">
        <v>148</v>
      </c>
      <c r="Q720" s="177" t="s">
        <v>149</v>
      </c>
      <c r="R720" s="83"/>
    </row>
    <row r="721" spans="1:18">
      <c r="A721" s="177">
        <v>80720217</v>
      </c>
      <c r="B721" s="177" t="s">
        <v>278</v>
      </c>
      <c r="C721" s="178" t="s">
        <v>155</v>
      </c>
      <c r="D721" s="177" t="s">
        <v>279</v>
      </c>
      <c r="E721" s="176" t="s">
        <v>145</v>
      </c>
      <c r="F721" s="179">
        <v>45997</v>
      </c>
      <c r="G721" s="177">
        <v>2200</v>
      </c>
      <c r="H721" s="179">
        <v>45989</v>
      </c>
      <c r="I721" s="179" t="s">
        <v>214</v>
      </c>
      <c r="J721" s="83">
        <v>3498675511</v>
      </c>
      <c r="K721" s="179"/>
      <c r="L721" s="179">
        <v>45989</v>
      </c>
      <c r="M721" s="180">
        <v>45996</v>
      </c>
      <c r="N721" s="181">
        <v>2.9906799999999998</v>
      </c>
      <c r="O721" s="181" t="s">
        <v>147</v>
      </c>
      <c r="P721" s="83" t="s">
        <v>148</v>
      </c>
      <c r="Q721" s="177" t="s">
        <v>149</v>
      </c>
      <c r="R721" s="83"/>
    </row>
    <row r="722" spans="1:18">
      <c r="A722" s="177">
        <v>80720217</v>
      </c>
      <c r="B722" s="177" t="s">
        <v>278</v>
      </c>
      <c r="C722" s="178" t="s">
        <v>153</v>
      </c>
      <c r="D722" s="177" t="s">
        <v>279</v>
      </c>
      <c r="E722" s="176" t="s">
        <v>145</v>
      </c>
      <c r="F722" s="179">
        <v>45997</v>
      </c>
      <c r="G722" s="177">
        <v>100</v>
      </c>
      <c r="H722" s="179">
        <v>45989</v>
      </c>
      <c r="I722" s="179" t="s">
        <v>214</v>
      </c>
      <c r="J722" s="83">
        <v>3498675517</v>
      </c>
      <c r="K722" s="179"/>
      <c r="L722" s="179">
        <v>45989</v>
      </c>
      <c r="M722" s="180">
        <v>45996</v>
      </c>
      <c r="N722" s="181">
        <v>0.13594000000000001</v>
      </c>
      <c r="O722" s="181" t="s">
        <v>147</v>
      </c>
      <c r="P722" s="83" t="s">
        <v>148</v>
      </c>
      <c r="Q722" s="177" t="s">
        <v>149</v>
      </c>
      <c r="R722" s="83"/>
    </row>
    <row r="723" spans="1:18">
      <c r="A723" s="177">
        <v>80720217</v>
      </c>
      <c r="B723" s="177" t="s">
        <v>278</v>
      </c>
      <c r="C723" s="178" t="s">
        <v>154</v>
      </c>
      <c r="D723" s="177" t="s">
        <v>279</v>
      </c>
      <c r="E723" s="176" t="s">
        <v>145</v>
      </c>
      <c r="F723" s="179">
        <v>45997</v>
      </c>
      <c r="G723" s="177">
        <v>200</v>
      </c>
      <c r="H723" s="179">
        <v>45989</v>
      </c>
      <c r="I723" s="179" t="s">
        <v>214</v>
      </c>
      <c r="J723" s="83">
        <v>3498675678</v>
      </c>
      <c r="K723" s="179"/>
      <c r="L723" s="179">
        <v>45989</v>
      </c>
      <c r="M723" s="180">
        <v>45996</v>
      </c>
      <c r="N723" s="181">
        <v>0.27188000000000001</v>
      </c>
      <c r="O723" s="181" t="s">
        <v>147</v>
      </c>
      <c r="P723" s="83" t="s">
        <v>148</v>
      </c>
      <c r="Q723" s="177" t="s">
        <v>149</v>
      </c>
      <c r="R723" s="83"/>
    </row>
    <row r="724" spans="1:18">
      <c r="A724" s="177">
        <v>80830278</v>
      </c>
      <c r="B724" s="177" t="s">
        <v>230</v>
      </c>
      <c r="C724" s="178" t="s">
        <v>150</v>
      </c>
      <c r="D724" s="177" t="s">
        <v>231</v>
      </c>
      <c r="E724" s="176" t="s">
        <v>145</v>
      </c>
      <c r="F724" s="179">
        <v>46020</v>
      </c>
      <c r="G724" s="177">
        <v>911</v>
      </c>
      <c r="H724" s="179">
        <v>45989</v>
      </c>
      <c r="I724" s="179" t="s">
        <v>232</v>
      </c>
      <c r="J724" s="83">
        <v>3498675679</v>
      </c>
      <c r="K724" s="179"/>
      <c r="L724" s="179">
        <v>45989</v>
      </c>
      <c r="M724" s="180">
        <v>45999</v>
      </c>
      <c r="N724" s="181">
        <v>1.9815160999999999</v>
      </c>
      <c r="O724" s="181" t="s">
        <v>147</v>
      </c>
      <c r="P724" s="83" t="s">
        <v>148</v>
      </c>
      <c r="Q724" s="177" t="s">
        <v>149</v>
      </c>
      <c r="R724" s="83"/>
    </row>
    <row r="725" spans="1:18">
      <c r="A725" s="177">
        <v>80830278</v>
      </c>
      <c r="B725" s="177" t="s">
        <v>230</v>
      </c>
      <c r="C725" s="178" t="s">
        <v>151</v>
      </c>
      <c r="D725" s="177" t="s">
        <v>231</v>
      </c>
      <c r="E725" s="176" t="s">
        <v>145</v>
      </c>
      <c r="F725" s="179">
        <v>46020</v>
      </c>
      <c r="G725" s="177">
        <v>869</v>
      </c>
      <c r="H725" s="179">
        <v>45989</v>
      </c>
      <c r="I725" s="179" t="s">
        <v>232</v>
      </c>
      <c r="J725" s="83">
        <v>3498675680</v>
      </c>
      <c r="K725" s="179"/>
      <c r="L725" s="179">
        <v>45989</v>
      </c>
      <c r="M725" s="180">
        <v>45999</v>
      </c>
      <c r="N725" s="181">
        <v>1.8901619000000001</v>
      </c>
      <c r="O725" s="181" t="s">
        <v>147</v>
      </c>
      <c r="P725" s="83" t="s">
        <v>148</v>
      </c>
      <c r="Q725" s="177" t="s">
        <v>149</v>
      </c>
      <c r="R725" s="83"/>
    </row>
    <row r="726" spans="1:18">
      <c r="A726" s="177">
        <v>80830278</v>
      </c>
      <c r="B726" s="177" t="s">
        <v>230</v>
      </c>
      <c r="C726" s="178" t="s">
        <v>143</v>
      </c>
      <c r="D726" s="177" t="s">
        <v>231</v>
      </c>
      <c r="E726" s="176" t="s">
        <v>145</v>
      </c>
      <c r="F726" s="179">
        <v>46020</v>
      </c>
      <c r="G726" s="177">
        <v>787</v>
      </c>
      <c r="H726" s="179">
        <v>45989</v>
      </c>
      <c r="I726" s="179" t="s">
        <v>232</v>
      </c>
      <c r="J726" s="83">
        <v>3498675681</v>
      </c>
      <c r="K726" s="179"/>
      <c r="L726" s="179">
        <v>45989</v>
      </c>
      <c r="M726" s="180">
        <v>45999</v>
      </c>
      <c r="N726" s="181">
        <v>1.7118036999999999</v>
      </c>
      <c r="O726" s="181" t="s">
        <v>147</v>
      </c>
      <c r="P726" s="83" t="s">
        <v>148</v>
      </c>
      <c r="Q726" s="177" t="s">
        <v>149</v>
      </c>
      <c r="R726" s="83"/>
    </row>
    <row r="727" spans="1:18">
      <c r="A727" s="177">
        <v>80830278</v>
      </c>
      <c r="B727" s="177" t="s">
        <v>230</v>
      </c>
      <c r="C727" s="178" t="s">
        <v>152</v>
      </c>
      <c r="D727" s="177" t="s">
        <v>231</v>
      </c>
      <c r="E727" s="176" t="s">
        <v>145</v>
      </c>
      <c r="F727" s="179">
        <v>46020</v>
      </c>
      <c r="G727" s="177">
        <v>745</v>
      </c>
      <c r="H727" s="179">
        <v>45989</v>
      </c>
      <c r="I727" s="179" t="s">
        <v>232</v>
      </c>
      <c r="J727" s="83">
        <v>3498675682</v>
      </c>
      <c r="K727" s="179"/>
      <c r="L727" s="179">
        <v>45989</v>
      </c>
      <c r="M727" s="180">
        <v>45999</v>
      </c>
      <c r="N727" s="181">
        <v>1.6204495000000001</v>
      </c>
      <c r="O727" s="181" t="s">
        <v>147</v>
      </c>
      <c r="P727" s="83" t="s">
        <v>148</v>
      </c>
      <c r="Q727" s="177" t="s">
        <v>149</v>
      </c>
      <c r="R727" s="83"/>
    </row>
    <row r="728" spans="1:18">
      <c r="A728" s="177">
        <v>80830278</v>
      </c>
      <c r="B728" s="177" t="s">
        <v>230</v>
      </c>
      <c r="C728" s="178" t="s">
        <v>155</v>
      </c>
      <c r="D728" s="177" t="s">
        <v>231</v>
      </c>
      <c r="E728" s="176" t="s">
        <v>145</v>
      </c>
      <c r="F728" s="179">
        <v>46020</v>
      </c>
      <c r="G728" s="177">
        <v>828</v>
      </c>
      <c r="H728" s="179">
        <v>45989</v>
      </c>
      <c r="I728" s="179" t="s">
        <v>232</v>
      </c>
      <c r="J728" s="83">
        <v>3498675683</v>
      </c>
      <c r="K728" s="179"/>
      <c r="L728" s="179">
        <v>45989</v>
      </c>
      <c r="M728" s="180">
        <v>45999</v>
      </c>
      <c r="N728" s="181">
        <v>1.8009828000000001</v>
      </c>
      <c r="O728" s="181" t="s">
        <v>147</v>
      </c>
      <c r="P728" s="83" t="s">
        <v>148</v>
      </c>
      <c r="Q728" s="177" t="s">
        <v>149</v>
      </c>
      <c r="R728" s="83"/>
    </row>
    <row r="729" spans="1:18">
      <c r="A729" s="177">
        <v>80879045</v>
      </c>
      <c r="B729" s="177" t="s">
        <v>171</v>
      </c>
      <c r="C729" s="178" t="s">
        <v>150</v>
      </c>
      <c r="D729" s="177" t="s">
        <v>231</v>
      </c>
      <c r="E729" s="176" t="s">
        <v>145</v>
      </c>
      <c r="F729" s="179">
        <v>46020</v>
      </c>
      <c r="G729" s="177">
        <v>648</v>
      </c>
      <c r="H729" s="179">
        <v>45989</v>
      </c>
      <c r="I729" s="179" t="s">
        <v>232</v>
      </c>
      <c r="J729" s="83">
        <v>3498675684</v>
      </c>
      <c r="K729" s="179"/>
      <c r="L729" s="179">
        <v>45989</v>
      </c>
      <c r="M729" s="180">
        <v>45999</v>
      </c>
      <c r="N729" s="181">
        <v>1.6737192000000001</v>
      </c>
      <c r="O729" s="181" t="s">
        <v>147</v>
      </c>
      <c r="P729" s="83" t="s">
        <v>148</v>
      </c>
      <c r="Q729" s="177" t="s">
        <v>149</v>
      </c>
      <c r="R729" s="83"/>
    </row>
    <row r="730" spans="1:18">
      <c r="A730" s="177">
        <v>80879045</v>
      </c>
      <c r="B730" s="177" t="s">
        <v>171</v>
      </c>
      <c r="C730" s="178" t="s">
        <v>151</v>
      </c>
      <c r="D730" s="177" t="s">
        <v>231</v>
      </c>
      <c r="E730" s="176" t="s">
        <v>145</v>
      </c>
      <c r="F730" s="179">
        <v>46020</v>
      </c>
      <c r="G730" s="177">
        <v>619</v>
      </c>
      <c r="H730" s="179">
        <v>45989</v>
      </c>
      <c r="I730" s="179" t="s">
        <v>232</v>
      </c>
      <c r="J730" s="83">
        <v>3498675685</v>
      </c>
      <c r="K730" s="179"/>
      <c r="L730" s="179">
        <v>45989</v>
      </c>
      <c r="M730" s="180">
        <v>45999</v>
      </c>
      <c r="N730" s="181">
        <v>1.5988150999999999</v>
      </c>
      <c r="O730" s="181" t="s">
        <v>147</v>
      </c>
      <c r="P730" s="83" t="s">
        <v>148</v>
      </c>
      <c r="Q730" s="177" t="s">
        <v>149</v>
      </c>
      <c r="R730" s="83"/>
    </row>
    <row r="731" spans="1:18">
      <c r="A731" s="177">
        <v>80879045</v>
      </c>
      <c r="B731" s="177" t="s">
        <v>171</v>
      </c>
      <c r="C731" s="178" t="s">
        <v>143</v>
      </c>
      <c r="D731" s="177" t="s">
        <v>231</v>
      </c>
      <c r="E731" s="176" t="s">
        <v>145</v>
      </c>
      <c r="F731" s="179">
        <v>46020</v>
      </c>
      <c r="G731" s="177">
        <v>560</v>
      </c>
      <c r="H731" s="179">
        <v>45989</v>
      </c>
      <c r="I731" s="179" t="s">
        <v>232</v>
      </c>
      <c r="J731" s="83">
        <v>3498675686</v>
      </c>
      <c r="K731" s="179"/>
      <c r="L731" s="179">
        <v>45989</v>
      </c>
      <c r="M731" s="180">
        <v>45999</v>
      </c>
      <c r="N731" s="181">
        <v>1.4464239999999999</v>
      </c>
      <c r="O731" s="181" t="s">
        <v>147</v>
      </c>
      <c r="P731" s="83" t="s">
        <v>148</v>
      </c>
      <c r="Q731" s="177" t="s">
        <v>149</v>
      </c>
      <c r="R731" s="83"/>
    </row>
    <row r="732" spans="1:18">
      <c r="A732" s="177">
        <v>80879045</v>
      </c>
      <c r="B732" s="177" t="s">
        <v>171</v>
      </c>
      <c r="C732" s="178" t="s">
        <v>152</v>
      </c>
      <c r="D732" s="177" t="s">
        <v>231</v>
      </c>
      <c r="E732" s="176" t="s">
        <v>145</v>
      </c>
      <c r="F732" s="179">
        <v>46020</v>
      </c>
      <c r="G732" s="177">
        <v>530</v>
      </c>
      <c r="H732" s="179">
        <v>45989</v>
      </c>
      <c r="I732" s="179" t="s">
        <v>232</v>
      </c>
      <c r="J732" s="83">
        <v>3498675687</v>
      </c>
      <c r="K732" s="179"/>
      <c r="L732" s="179">
        <v>45989</v>
      </c>
      <c r="M732" s="180">
        <v>45999</v>
      </c>
      <c r="N732" s="181">
        <v>1.3689370000000001</v>
      </c>
      <c r="O732" s="181" t="s">
        <v>147</v>
      </c>
      <c r="P732" s="83" t="s">
        <v>148</v>
      </c>
      <c r="Q732" s="177" t="s">
        <v>149</v>
      </c>
      <c r="R732" s="83"/>
    </row>
    <row r="733" spans="1:18">
      <c r="A733" s="177">
        <v>80879045</v>
      </c>
      <c r="B733" s="177" t="s">
        <v>171</v>
      </c>
      <c r="C733" s="178" t="s">
        <v>155</v>
      </c>
      <c r="D733" s="177" t="s">
        <v>231</v>
      </c>
      <c r="E733" s="176" t="s">
        <v>145</v>
      </c>
      <c r="F733" s="179">
        <v>46020</v>
      </c>
      <c r="G733" s="177">
        <v>589</v>
      </c>
      <c r="H733" s="179">
        <v>45989</v>
      </c>
      <c r="I733" s="179" t="s">
        <v>232</v>
      </c>
      <c r="J733" s="83">
        <v>3498675688</v>
      </c>
      <c r="K733" s="179"/>
      <c r="L733" s="179">
        <v>45989</v>
      </c>
      <c r="M733" s="180">
        <v>45999</v>
      </c>
      <c r="N733" s="181">
        <v>1.5213281000000001</v>
      </c>
      <c r="O733" s="181" t="s">
        <v>147</v>
      </c>
      <c r="P733" s="83" t="s">
        <v>148</v>
      </c>
      <c r="Q733" s="177" t="s">
        <v>149</v>
      </c>
      <c r="R733" s="83"/>
    </row>
    <row r="734" spans="1:18">
      <c r="A734" s="177">
        <v>80817094</v>
      </c>
      <c r="B734" s="177" t="s">
        <v>280</v>
      </c>
      <c r="C734" s="178" t="s">
        <v>143</v>
      </c>
      <c r="D734" s="177" t="s">
        <v>281</v>
      </c>
      <c r="E734" s="177" t="s">
        <v>172</v>
      </c>
      <c r="F734" s="179">
        <v>46006</v>
      </c>
      <c r="G734" s="177">
        <v>294</v>
      </c>
      <c r="H734" s="179">
        <v>45989</v>
      </c>
      <c r="I734" s="179" t="s">
        <v>232</v>
      </c>
      <c r="J734" s="83">
        <v>3498675689</v>
      </c>
      <c r="K734" s="179"/>
      <c r="L734" s="179">
        <v>45989</v>
      </c>
      <c r="M734" s="180">
        <v>45992</v>
      </c>
      <c r="N734" s="181">
        <v>0.77269080000000001</v>
      </c>
      <c r="O734" s="181" t="s">
        <v>170</v>
      </c>
      <c r="P734" s="180" t="s">
        <v>148</v>
      </c>
      <c r="Q734" s="177" t="s">
        <v>149</v>
      </c>
      <c r="R734" s="83"/>
    </row>
    <row r="735" spans="1:18">
      <c r="A735" s="177">
        <v>80817094</v>
      </c>
      <c r="B735" s="177" t="s">
        <v>280</v>
      </c>
      <c r="C735" s="178" t="s">
        <v>150</v>
      </c>
      <c r="D735" s="177" t="s">
        <v>281</v>
      </c>
      <c r="E735" s="177" t="s">
        <v>172</v>
      </c>
      <c r="F735" s="179">
        <v>46006</v>
      </c>
      <c r="G735" s="177">
        <v>376</v>
      </c>
      <c r="H735" s="179">
        <v>45989</v>
      </c>
      <c r="I735" s="179" t="s">
        <v>232</v>
      </c>
      <c r="J735" s="83">
        <v>3498675690</v>
      </c>
      <c r="K735" s="179"/>
      <c r="L735" s="179">
        <v>45989</v>
      </c>
      <c r="M735" s="180">
        <v>45992</v>
      </c>
      <c r="N735" s="181">
        <v>0.98820319999999995</v>
      </c>
      <c r="O735" s="181" t="s">
        <v>170</v>
      </c>
      <c r="P735" s="180" t="s">
        <v>148</v>
      </c>
      <c r="Q735" s="177" t="s">
        <v>149</v>
      </c>
      <c r="R735" s="83"/>
    </row>
    <row r="736" spans="1:18">
      <c r="A736" s="177">
        <v>80817094</v>
      </c>
      <c r="B736" s="177" t="s">
        <v>280</v>
      </c>
      <c r="C736" s="178" t="s">
        <v>151</v>
      </c>
      <c r="D736" s="177" t="s">
        <v>281</v>
      </c>
      <c r="E736" s="177" t="s">
        <v>172</v>
      </c>
      <c r="F736" s="179">
        <v>46006</v>
      </c>
      <c r="G736" s="177">
        <v>435</v>
      </c>
      <c r="H736" s="179">
        <v>45989</v>
      </c>
      <c r="I736" s="179" t="s">
        <v>232</v>
      </c>
      <c r="J736" s="83">
        <v>3498675691</v>
      </c>
      <c r="K736" s="179"/>
      <c r="L736" s="179">
        <v>45989</v>
      </c>
      <c r="M736" s="180">
        <v>45992</v>
      </c>
      <c r="N736" s="181">
        <v>1.143267</v>
      </c>
      <c r="O736" s="181" t="s">
        <v>170</v>
      </c>
      <c r="P736" s="180" t="s">
        <v>148</v>
      </c>
      <c r="Q736" s="177" t="s">
        <v>149</v>
      </c>
      <c r="R736" s="83"/>
    </row>
    <row r="737" spans="1:18">
      <c r="A737" s="177">
        <v>80817094</v>
      </c>
      <c r="B737" s="177" t="s">
        <v>280</v>
      </c>
      <c r="C737" s="178" t="s">
        <v>152</v>
      </c>
      <c r="D737" s="177" t="s">
        <v>281</v>
      </c>
      <c r="E737" s="177" t="s">
        <v>172</v>
      </c>
      <c r="F737" s="179">
        <v>46006</v>
      </c>
      <c r="G737" s="177">
        <v>248</v>
      </c>
      <c r="H737" s="179">
        <v>45989</v>
      </c>
      <c r="I737" s="179" t="s">
        <v>232</v>
      </c>
      <c r="J737" s="83">
        <v>3498675692</v>
      </c>
      <c r="K737" s="179"/>
      <c r="L737" s="179">
        <v>45989</v>
      </c>
      <c r="M737" s="180">
        <v>45992</v>
      </c>
      <c r="N737" s="181">
        <v>0.65179359999999997</v>
      </c>
      <c r="O737" s="181" t="s">
        <v>170</v>
      </c>
      <c r="P737" s="180" t="s">
        <v>148</v>
      </c>
      <c r="Q737" s="177" t="s">
        <v>149</v>
      </c>
      <c r="R737" s="83"/>
    </row>
    <row r="738" spans="1:18">
      <c r="A738" s="177">
        <v>80817094</v>
      </c>
      <c r="B738" s="177" t="s">
        <v>280</v>
      </c>
      <c r="C738" s="178" t="s">
        <v>153</v>
      </c>
      <c r="D738" s="177" t="s">
        <v>281</v>
      </c>
      <c r="E738" s="177" t="s">
        <v>172</v>
      </c>
      <c r="F738" s="179">
        <v>46006</v>
      </c>
      <c r="G738" s="177">
        <v>69</v>
      </c>
      <c r="H738" s="179">
        <v>45989</v>
      </c>
      <c r="I738" s="179" t="s">
        <v>232</v>
      </c>
      <c r="J738" s="83">
        <v>3498675693</v>
      </c>
      <c r="K738" s="179"/>
      <c r="L738" s="179">
        <v>45989</v>
      </c>
      <c r="M738" s="180">
        <v>45992</v>
      </c>
      <c r="N738" s="181">
        <v>0.1813458</v>
      </c>
      <c r="O738" s="181" t="s">
        <v>170</v>
      </c>
      <c r="P738" s="180" t="s">
        <v>148</v>
      </c>
      <c r="Q738" s="177" t="s">
        <v>149</v>
      </c>
      <c r="R738" s="83"/>
    </row>
    <row r="739" spans="1:18">
      <c r="A739" s="177">
        <v>80817094</v>
      </c>
      <c r="B739" s="177" t="s">
        <v>280</v>
      </c>
      <c r="C739" s="178" t="s">
        <v>154</v>
      </c>
      <c r="D739" s="177" t="s">
        <v>281</v>
      </c>
      <c r="E739" s="177" t="s">
        <v>172</v>
      </c>
      <c r="F739" s="179">
        <v>46006</v>
      </c>
      <c r="G739" s="177">
        <v>65</v>
      </c>
      <c r="H739" s="179">
        <v>45989</v>
      </c>
      <c r="I739" s="179" t="s">
        <v>232</v>
      </c>
      <c r="J739" s="83">
        <v>3498675694</v>
      </c>
      <c r="K739" s="179"/>
      <c r="L739" s="179">
        <v>45989</v>
      </c>
      <c r="M739" s="180">
        <v>45992</v>
      </c>
      <c r="N739" s="181">
        <v>0.17083300000000001</v>
      </c>
      <c r="O739" s="181" t="s">
        <v>170</v>
      </c>
      <c r="P739" s="180" t="s">
        <v>148</v>
      </c>
      <c r="Q739" s="177" t="s">
        <v>149</v>
      </c>
      <c r="R739" s="83"/>
    </row>
    <row r="740" spans="1:18">
      <c r="A740" s="177">
        <v>80817094</v>
      </c>
      <c r="B740" s="177" t="s">
        <v>280</v>
      </c>
      <c r="C740" s="178" t="s">
        <v>112</v>
      </c>
      <c r="D740" s="177" t="s">
        <v>281</v>
      </c>
      <c r="E740" s="177" t="s">
        <v>172</v>
      </c>
      <c r="F740" s="179">
        <v>46006</v>
      </c>
      <c r="G740" s="177">
        <v>205</v>
      </c>
      <c r="H740" s="179">
        <v>45989</v>
      </c>
      <c r="I740" s="179" t="s">
        <v>232</v>
      </c>
      <c r="J740" s="83">
        <v>3498675695</v>
      </c>
      <c r="K740" s="179"/>
      <c r="L740" s="179">
        <v>45989</v>
      </c>
      <c r="M740" s="180">
        <v>45992</v>
      </c>
      <c r="N740" s="181">
        <v>0.53878099999999995</v>
      </c>
      <c r="O740" s="181" t="s">
        <v>170</v>
      </c>
      <c r="P740" s="180" t="s">
        <v>148</v>
      </c>
      <c r="Q740" s="177" t="s">
        <v>149</v>
      </c>
      <c r="R740" s="83"/>
    </row>
    <row r="741" spans="1:18">
      <c r="A741" s="177">
        <v>80817094</v>
      </c>
      <c r="B741" s="177" t="s">
        <v>280</v>
      </c>
      <c r="C741" s="178" t="s">
        <v>155</v>
      </c>
      <c r="D741" s="177" t="s">
        <v>281</v>
      </c>
      <c r="E741" s="177" t="s">
        <v>172</v>
      </c>
      <c r="F741" s="179">
        <v>46006</v>
      </c>
      <c r="G741" s="177">
        <v>212</v>
      </c>
      <c r="H741" s="179">
        <v>45989</v>
      </c>
      <c r="I741" s="179" t="s">
        <v>232</v>
      </c>
      <c r="J741" s="83">
        <v>3498675696</v>
      </c>
      <c r="K741" s="179"/>
      <c r="L741" s="179">
        <v>45989</v>
      </c>
      <c r="M741" s="180">
        <v>45992</v>
      </c>
      <c r="N741" s="181">
        <v>0.55717839999999996</v>
      </c>
      <c r="O741" s="181" t="s">
        <v>170</v>
      </c>
      <c r="P741" s="180" t="s">
        <v>148</v>
      </c>
      <c r="Q741" s="177" t="s">
        <v>149</v>
      </c>
      <c r="R741" s="83"/>
    </row>
    <row r="742" spans="1:18">
      <c r="A742" s="177">
        <v>80814089</v>
      </c>
      <c r="B742" s="177" t="s">
        <v>251</v>
      </c>
      <c r="C742" s="178" t="s">
        <v>155</v>
      </c>
      <c r="D742" s="177" t="s">
        <v>252</v>
      </c>
      <c r="E742" s="177" t="s">
        <v>205</v>
      </c>
      <c r="F742" s="179">
        <v>45996</v>
      </c>
      <c r="G742" s="177">
        <v>810</v>
      </c>
      <c r="H742" s="179">
        <v>45992</v>
      </c>
      <c r="I742" s="179" t="s">
        <v>253</v>
      </c>
      <c r="J742" s="83">
        <v>3500714675</v>
      </c>
      <c r="K742" s="179" t="s">
        <v>282</v>
      </c>
      <c r="L742" s="179">
        <v>45992</v>
      </c>
      <c r="M742" s="180">
        <v>45996</v>
      </c>
      <c r="N742" s="181">
        <v>1.4681249999999999</v>
      </c>
      <c r="O742" s="181" t="s">
        <v>170</v>
      </c>
      <c r="P742" s="180" t="s">
        <v>148</v>
      </c>
      <c r="Q742" s="177" t="s">
        <v>149</v>
      </c>
      <c r="R742" s="83"/>
    </row>
    <row r="743" spans="1:18">
      <c r="A743" s="177">
        <v>80814098</v>
      </c>
      <c r="B743" s="177" t="s">
        <v>254</v>
      </c>
      <c r="C743" s="178" t="s">
        <v>155</v>
      </c>
      <c r="D743" s="177" t="s">
        <v>252</v>
      </c>
      <c r="E743" s="177" t="s">
        <v>205</v>
      </c>
      <c r="F743" s="179">
        <v>45996</v>
      </c>
      <c r="G743" s="177">
        <v>810</v>
      </c>
      <c r="H743" s="179">
        <v>45992</v>
      </c>
      <c r="I743" s="179" t="s">
        <v>253</v>
      </c>
      <c r="J743" s="83">
        <v>3500714676</v>
      </c>
      <c r="K743" s="179" t="s">
        <v>282</v>
      </c>
      <c r="L743" s="179">
        <v>45992</v>
      </c>
      <c r="M743" s="180">
        <v>45996</v>
      </c>
      <c r="N743" s="181">
        <v>1.4681249999999999</v>
      </c>
      <c r="O743" s="181" t="s">
        <v>170</v>
      </c>
      <c r="P743" s="180" t="s">
        <v>148</v>
      </c>
      <c r="Q743" s="177" t="s">
        <v>149</v>
      </c>
      <c r="R743" s="83"/>
    </row>
    <row r="744" spans="1:18">
      <c r="A744" s="177">
        <v>80814097</v>
      </c>
      <c r="B744" s="177" t="s">
        <v>255</v>
      </c>
      <c r="C744" s="178" t="s">
        <v>155</v>
      </c>
      <c r="D744" s="177" t="s">
        <v>252</v>
      </c>
      <c r="E744" s="177" t="s">
        <v>205</v>
      </c>
      <c r="F744" s="179">
        <v>45996</v>
      </c>
      <c r="G744" s="177">
        <v>810</v>
      </c>
      <c r="H744" s="179">
        <v>45992</v>
      </c>
      <c r="I744" s="179" t="s">
        <v>253</v>
      </c>
      <c r="J744" s="83">
        <v>3500714677</v>
      </c>
      <c r="K744" s="179" t="s">
        <v>282</v>
      </c>
      <c r="L744" s="179">
        <v>45992</v>
      </c>
      <c r="M744" s="180">
        <v>45996</v>
      </c>
      <c r="N744" s="181">
        <v>1.4681249999999999</v>
      </c>
      <c r="O744" s="181" t="s">
        <v>170</v>
      </c>
      <c r="P744" s="180" t="s">
        <v>148</v>
      </c>
      <c r="Q744" s="177" t="s">
        <v>149</v>
      </c>
      <c r="R744" s="83"/>
    </row>
    <row r="745" spans="1:18">
      <c r="A745" s="177">
        <v>80814081</v>
      </c>
      <c r="B745" s="177" t="s">
        <v>256</v>
      </c>
      <c r="C745" s="178" t="s">
        <v>155</v>
      </c>
      <c r="D745" s="177" t="s">
        <v>252</v>
      </c>
      <c r="E745" s="177" t="s">
        <v>205</v>
      </c>
      <c r="F745" s="179">
        <v>45996</v>
      </c>
      <c r="G745" s="177">
        <v>810</v>
      </c>
      <c r="H745" s="179">
        <v>45992</v>
      </c>
      <c r="I745" s="179" t="s">
        <v>253</v>
      </c>
      <c r="J745" s="83">
        <v>3500714978</v>
      </c>
      <c r="K745" s="179" t="s">
        <v>282</v>
      </c>
      <c r="L745" s="179">
        <v>45992</v>
      </c>
      <c r="M745" s="180">
        <v>45996</v>
      </c>
      <c r="N745" s="181">
        <v>1.4681249999999999</v>
      </c>
      <c r="O745" s="181" t="s">
        <v>170</v>
      </c>
      <c r="P745" s="180" t="s">
        <v>148</v>
      </c>
      <c r="Q745" s="177" t="s">
        <v>149</v>
      </c>
      <c r="R745" s="83"/>
    </row>
    <row r="746" spans="1:18">
      <c r="A746" s="177">
        <v>80815648</v>
      </c>
      <c r="B746" s="177" t="s">
        <v>257</v>
      </c>
      <c r="C746" s="178" t="s">
        <v>155</v>
      </c>
      <c r="D746" s="177" t="s">
        <v>252</v>
      </c>
      <c r="E746" s="177" t="s">
        <v>205</v>
      </c>
      <c r="F746" s="179">
        <v>45996</v>
      </c>
      <c r="G746" s="177">
        <v>1506</v>
      </c>
      <c r="H746" s="179">
        <v>45992</v>
      </c>
      <c r="I746" s="179" t="s">
        <v>253</v>
      </c>
      <c r="J746" s="83">
        <v>3500714979</v>
      </c>
      <c r="K746" s="179" t="s">
        <v>282</v>
      </c>
      <c r="L746" s="179">
        <v>45992</v>
      </c>
      <c r="M746" s="180">
        <v>45996</v>
      </c>
      <c r="N746" s="181">
        <v>2.9344410000000001</v>
      </c>
      <c r="O746" s="181" t="s">
        <v>170</v>
      </c>
      <c r="P746" s="83" t="s">
        <v>148</v>
      </c>
      <c r="Q746" s="177" t="s">
        <v>149</v>
      </c>
      <c r="R746" s="83"/>
    </row>
    <row r="747" spans="1:18">
      <c r="A747" s="177">
        <v>80815643</v>
      </c>
      <c r="B747" s="177" t="s">
        <v>258</v>
      </c>
      <c r="C747" s="178" t="s">
        <v>155</v>
      </c>
      <c r="D747" s="177" t="s">
        <v>252</v>
      </c>
      <c r="E747" s="177" t="s">
        <v>205</v>
      </c>
      <c r="F747" s="179">
        <v>45996</v>
      </c>
      <c r="G747" s="177">
        <v>1506</v>
      </c>
      <c r="H747" s="179">
        <v>45992</v>
      </c>
      <c r="I747" s="179" t="s">
        <v>253</v>
      </c>
      <c r="J747" s="83">
        <v>3500714980</v>
      </c>
      <c r="K747" s="179" t="s">
        <v>282</v>
      </c>
      <c r="L747" s="179">
        <v>45992</v>
      </c>
      <c r="M747" s="180">
        <v>45996</v>
      </c>
      <c r="N747" s="181">
        <v>2.9344410000000001</v>
      </c>
      <c r="O747" s="181" t="s">
        <v>170</v>
      </c>
      <c r="P747" s="83" t="s">
        <v>148</v>
      </c>
      <c r="Q747" s="177" t="s">
        <v>149</v>
      </c>
      <c r="R747" s="83"/>
    </row>
    <row r="748" spans="1:18">
      <c r="A748" s="177">
        <v>80815642</v>
      </c>
      <c r="B748" s="177" t="s">
        <v>259</v>
      </c>
      <c r="C748" s="178" t="s">
        <v>155</v>
      </c>
      <c r="D748" s="177" t="s">
        <v>252</v>
      </c>
      <c r="E748" s="177" t="s">
        <v>205</v>
      </c>
      <c r="F748" s="179">
        <v>45996</v>
      </c>
      <c r="G748" s="177">
        <v>1506</v>
      </c>
      <c r="H748" s="179">
        <v>45992</v>
      </c>
      <c r="I748" s="179" t="s">
        <v>253</v>
      </c>
      <c r="J748" s="83">
        <v>3500714981</v>
      </c>
      <c r="K748" s="179" t="s">
        <v>282</v>
      </c>
      <c r="L748" s="179">
        <v>45992</v>
      </c>
      <c r="M748" s="180">
        <v>45996</v>
      </c>
      <c r="N748" s="181">
        <v>2.9344410000000001</v>
      </c>
      <c r="O748" s="181" t="s">
        <v>170</v>
      </c>
      <c r="P748" s="83" t="s">
        <v>148</v>
      </c>
      <c r="Q748" s="177" t="s">
        <v>149</v>
      </c>
      <c r="R748" s="83"/>
    </row>
    <row r="749" spans="1:18">
      <c r="A749" s="177">
        <v>80815644</v>
      </c>
      <c r="B749" s="177" t="s">
        <v>260</v>
      </c>
      <c r="C749" s="178" t="s">
        <v>155</v>
      </c>
      <c r="D749" s="177" t="s">
        <v>252</v>
      </c>
      <c r="E749" s="177" t="s">
        <v>205</v>
      </c>
      <c r="F749" s="179">
        <v>45996</v>
      </c>
      <c r="G749" s="177">
        <v>754</v>
      </c>
      <c r="H749" s="179">
        <v>45992</v>
      </c>
      <c r="I749" s="179" t="s">
        <v>253</v>
      </c>
      <c r="J749" s="83">
        <v>3500714983</v>
      </c>
      <c r="K749" s="179" t="s">
        <v>282</v>
      </c>
      <c r="L749" s="179">
        <v>45992</v>
      </c>
      <c r="M749" s="180">
        <v>45996</v>
      </c>
      <c r="N749" s="181">
        <v>1.4691689999999999</v>
      </c>
      <c r="O749" s="181" t="s">
        <v>170</v>
      </c>
      <c r="P749" s="83" t="s">
        <v>148</v>
      </c>
      <c r="Q749" s="177" t="s">
        <v>149</v>
      </c>
      <c r="R749" s="83"/>
    </row>
    <row r="750" spans="1:18">
      <c r="A750" s="177">
        <v>80815645</v>
      </c>
      <c r="B750" s="177" t="s">
        <v>261</v>
      </c>
      <c r="C750" s="178" t="s">
        <v>155</v>
      </c>
      <c r="D750" s="177" t="s">
        <v>252</v>
      </c>
      <c r="E750" s="177" t="s">
        <v>205</v>
      </c>
      <c r="F750" s="179">
        <v>45996</v>
      </c>
      <c r="G750" s="177">
        <v>1506</v>
      </c>
      <c r="H750" s="179">
        <v>45992</v>
      </c>
      <c r="I750" s="179" t="s">
        <v>253</v>
      </c>
      <c r="J750" s="83">
        <v>3500714984</v>
      </c>
      <c r="K750" s="179" t="s">
        <v>282</v>
      </c>
      <c r="L750" s="179">
        <v>45992</v>
      </c>
      <c r="M750" s="180">
        <v>45996</v>
      </c>
      <c r="N750" s="181">
        <v>2.9344410000000001</v>
      </c>
      <c r="O750" s="181" t="s">
        <v>170</v>
      </c>
      <c r="P750" s="83" t="s">
        <v>148</v>
      </c>
      <c r="Q750" s="177" t="s">
        <v>149</v>
      </c>
      <c r="R750" s="83"/>
    </row>
    <row r="751" spans="1:18">
      <c r="A751" s="177">
        <v>80815647</v>
      </c>
      <c r="B751" s="177" t="s">
        <v>262</v>
      </c>
      <c r="C751" s="178" t="s">
        <v>155</v>
      </c>
      <c r="D751" s="177" t="s">
        <v>252</v>
      </c>
      <c r="E751" s="177" t="s">
        <v>205</v>
      </c>
      <c r="F751" s="179">
        <v>45996</v>
      </c>
      <c r="G751" s="177">
        <v>754</v>
      </c>
      <c r="H751" s="179">
        <v>45992</v>
      </c>
      <c r="I751" s="179" t="s">
        <v>253</v>
      </c>
      <c r="J751" s="83">
        <v>3500714985</v>
      </c>
      <c r="K751" s="179" t="s">
        <v>282</v>
      </c>
      <c r="L751" s="179">
        <v>45992</v>
      </c>
      <c r="M751" s="180">
        <v>45996</v>
      </c>
      <c r="N751" s="181">
        <v>1.4691689999999999</v>
      </c>
      <c r="O751" s="181" t="s">
        <v>170</v>
      </c>
      <c r="P751" s="83" t="s">
        <v>148</v>
      </c>
      <c r="Q751" s="177" t="s">
        <v>149</v>
      </c>
      <c r="R751" s="83"/>
    </row>
    <row r="752" spans="1:18">
      <c r="A752" s="177">
        <v>80813610</v>
      </c>
      <c r="B752" s="177" t="s">
        <v>263</v>
      </c>
      <c r="C752" s="178" t="s">
        <v>155</v>
      </c>
      <c r="D752" s="177" t="s">
        <v>252</v>
      </c>
      <c r="E752" s="177" t="s">
        <v>205</v>
      </c>
      <c r="F752" s="179">
        <v>45996</v>
      </c>
      <c r="G752" s="177">
        <v>810</v>
      </c>
      <c r="H752" s="179">
        <v>45992</v>
      </c>
      <c r="I752" s="179" t="s">
        <v>253</v>
      </c>
      <c r="J752" s="83">
        <v>3500714986</v>
      </c>
      <c r="K752" s="179" t="s">
        <v>282</v>
      </c>
      <c r="L752" s="179">
        <v>45992</v>
      </c>
      <c r="M752" s="180">
        <v>45996</v>
      </c>
      <c r="N752" s="181">
        <v>1.4682059999999999</v>
      </c>
      <c r="O752" s="181" t="s">
        <v>170</v>
      </c>
      <c r="P752" s="83" t="s">
        <v>148</v>
      </c>
      <c r="Q752" s="177" t="s">
        <v>149</v>
      </c>
      <c r="R752" s="83"/>
    </row>
    <row r="753" spans="1:18">
      <c r="A753" s="177">
        <v>80813619</v>
      </c>
      <c r="B753" s="177" t="s">
        <v>264</v>
      </c>
      <c r="C753" s="178" t="s">
        <v>155</v>
      </c>
      <c r="D753" s="177" t="s">
        <v>252</v>
      </c>
      <c r="E753" s="177" t="s">
        <v>205</v>
      </c>
      <c r="F753" s="179">
        <v>45996</v>
      </c>
      <c r="G753" s="177">
        <v>810</v>
      </c>
      <c r="H753" s="179">
        <v>45992</v>
      </c>
      <c r="I753" s="179" t="s">
        <v>253</v>
      </c>
      <c r="J753" s="83">
        <v>3500714987</v>
      </c>
      <c r="K753" s="179" t="s">
        <v>282</v>
      </c>
      <c r="L753" s="179">
        <v>45992</v>
      </c>
      <c r="M753" s="180">
        <v>45996</v>
      </c>
      <c r="N753" s="181">
        <v>1.4682059999999999</v>
      </c>
      <c r="O753" s="181" t="s">
        <v>170</v>
      </c>
      <c r="P753" s="83" t="s">
        <v>148</v>
      </c>
      <c r="Q753" s="177" t="s">
        <v>149</v>
      </c>
      <c r="R753" s="83"/>
    </row>
    <row r="754" spans="1:18">
      <c r="A754" s="177">
        <v>80813615</v>
      </c>
      <c r="B754" s="177" t="s">
        <v>265</v>
      </c>
      <c r="C754" s="178" t="s">
        <v>155</v>
      </c>
      <c r="D754" s="177" t="s">
        <v>252</v>
      </c>
      <c r="E754" s="177" t="s">
        <v>205</v>
      </c>
      <c r="F754" s="179">
        <v>45996</v>
      </c>
      <c r="G754" s="177">
        <v>810</v>
      </c>
      <c r="H754" s="179">
        <v>45992</v>
      </c>
      <c r="I754" s="179" t="s">
        <v>253</v>
      </c>
      <c r="J754" s="83">
        <v>3500714988</v>
      </c>
      <c r="K754" s="179" t="s">
        <v>282</v>
      </c>
      <c r="L754" s="179">
        <v>45992</v>
      </c>
      <c r="M754" s="180">
        <v>45996</v>
      </c>
      <c r="N754" s="181">
        <v>1.4682059999999999</v>
      </c>
      <c r="O754" s="181" t="s">
        <v>170</v>
      </c>
      <c r="P754" s="83" t="s">
        <v>148</v>
      </c>
      <c r="Q754" s="177" t="s">
        <v>149</v>
      </c>
      <c r="R754" s="83"/>
    </row>
    <row r="755" spans="1:18">
      <c r="A755" s="177">
        <v>80813637</v>
      </c>
      <c r="B755" s="177" t="s">
        <v>266</v>
      </c>
      <c r="C755" s="178" t="s">
        <v>155</v>
      </c>
      <c r="D755" s="177" t="s">
        <v>252</v>
      </c>
      <c r="E755" s="177" t="s">
        <v>205</v>
      </c>
      <c r="F755" s="179">
        <v>45996</v>
      </c>
      <c r="G755" s="177">
        <v>810</v>
      </c>
      <c r="H755" s="179">
        <v>45992</v>
      </c>
      <c r="I755" s="179" t="s">
        <v>253</v>
      </c>
      <c r="J755" s="83">
        <v>3500714989</v>
      </c>
      <c r="K755" s="179" t="s">
        <v>282</v>
      </c>
      <c r="L755" s="179">
        <v>45992</v>
      </c>
      <c r="M755" s="180">
        <v>45996</v>
      </c>
      <c r="N755" s="181">
        <v>1.4682059999999999</v>
      </c>
      <c r="O755" s="181" t="s">
        <v>170</v>
      </c>
      <c r="P755" s="83" t="s">
        <v>148</v>
      </c>
      <c r="Q755" s="177" t="s">
        <v>149</v>
      </c>
      <c r="R755" s="83"/>
    </row>
    <row r="756" spans="1:18">
      <c r="A756" s="177">
        <v>80813617</v>
      </c>
      <c r="B756" s="177" t="s">
        <v>267</v>
      </c>
      <c r="C756" s="178" t="s">
        <v>155</v>
      </c>
      <c r="D756" s="177" t="s">
        <v>252</v>
      </c>
      <c r="E756" s="177" t="s">
        <v>205</v>
      </c>
      <c r="F756" s="179">
        <v>45996</v>
      </c>
      <c r="G756" s="177">
        <v>810</v>
      </c>
      <c r="H756" s="179">
        <v>45992</v>
      </c>
      <c r="I756" s="179" t="s">
        <v>253</v>
      </c>
      <c r="J756" s="83">
        <v>3500714990</v>
      </c>
      <c r="K756" s="179" t="s">
        <v>282</v>
      </c>
      <c r="L756" s="179">
        <v>45992</v>
      </c>
      <c r="M756" s="180">
        <v>45996</v>
      </c>
      <c r="N756" s="181">
        <v>1.4682059999999999</v>
      </c>
      <c r="O756" s="181" t="s">
        <v>170</v>
      </c>
      <c r="P756" s="83" t="s">
        <v>148</v>
      </c>
      <c r="Q756" s="177" t="s">
        <v>149</v>
      </c>
      <c r="R756" s="83"/>
    </row>
    <row r="757" spans="1:18">
      <c r="A757" s="177">
        <v>80813629</v>
      </c>
      <c r="B757" s="177" t="s">
        <v>268</v>
      </c>
      <c r="C757" s="178" t="s">
        <v>155</v>
      </c>
      <c r="D757" s="177" t="s">
        <v>252</v>
      </c>
      <c r="E757" s="177" t="s">
        <v>205</v>
      </c>
      <c r="F757" s="179">
        <v>45996</v>
      </c>
      <c r="G757" s="177">
        <v>810</v>
      </c>
      <c r="H757" s="179">
        <v>45992</v>
      </c>
      <c r="I757" s="179" t="s">
        <v>253</v>
      </c>
      <c r="J757" s="83">
        <v>3500714991</v>
      </c>
      <c r="K757" s="179" t="s">
        <v>282</v>
      </c>
      <c r="L757" s="179">
        <v>45992</v>
      </c>
      <c r="M757" s="180">
        <v>45996</v>
      </c>
      <c r="N757" s="181">
        <v>1.4682059999999999</v>
      </c>
      <c r="O757" s="181" t="s">
        <v>170</v>
      </c>
      <c r="P757" s="83" t="s">
        <v>148</v>
      </c>
      <c r="Q757" s="177" t="s">
        <v>149</v>
      </c>
      <c r="R757" s="83"/>
    </row>
    <row r="758" spans="1:18">
      <c r="A758" s="177">
        <v>80820462</v>
      </c>
      <c r="B758" s="177" t="s">
        <v>269</v>
      </c>
      <c r="C758" s="178" t="s">
        <v>155</v>
      </c>
      <c r="D758" s="177" t="s">
        <v>252</v>
      </c>
      <c r="E758" s="177" t="s">
        <v>205</v>
      </c>
      <c r="F758" s="179">
        <v>45996</v>
      </c>
      <c r="G758" s="177">
        <v>1620</v>
      </c>
      <c r="H758" s="179">
        <v>45992</v>
      </c>
      <c r="I758" s="179" t="s">
        <v>253</v>
      </c>
      <c r="J758" s="83">
        <v>3500714992</v>
      </c>
      <c r="K758" s="179" t="s">
        <v>282</v>
      </c>
      <c r="L758" s="179">
        <v>45992</v>
      </c>
      <c r="M758" s="180">
        <v>45996</v>
      </c>
      <c r="N758" s="181">
        <v>2.9364119999999998</v>
      </c>
      <c r="O758" s="181" t="s">
        <v>170</v>
      </c>
      <c r="P758" s="83" t="s">
        <v>148</v>
      </c>
      <c r="Q758" s="177" t="s">
        <v>149</v>
      </c>
      <c r="R758" s="83"/>
    </row>
    <row r="759" spans="1:18">
      <c r="A759" s="177">
        <v>80820459</v>
      </c>
      <c r="B759" s="177" t="s">
        <v>271</v>
      </c>
      <c r="C759" s="178" t="s">
        <v>155</v>
      </c>
      <c r="D759" s="177" t="s">
        <v>252</v>
      </c>
      <c r="E759" s="177" t="s">
        <v>205</v>
      </c>
      <c r="F759" s="179">
        <v>45996</v>
      </c>
      <c r="G759" s="177">
        <v>810</v>
      </c>
      <c r="H759" s="179">
        <v>45992</v>
      </c>
      <c r="I759" s="179" t="s">
        <v>253</v>
      </c>
      <c r="J759" s="83">
        <v>3500714993</v>
      </c>
      <c r="K759" s="179" t="s">
        <v>282</v>
      </c>
      <c r="L759" s="179">
        <v>45992</v>
      </c>
      <c r="M759" s="180">
        <v>45996</v>
      </c>
      <c r="N759" s="181">
        <v>1.4682059999999999</v>
      </c>
      <c r="O759" s="181" t="s">
        <v>170</v>
      </c>
      <c r="P759" s="83" t="s">
        <v>148</v>
      </c>
      <c r="Q759" s="177" t="s">
        <v>149</v>
      </c>
      <c r="R759" s="83"/>
    </row>
    <row r="760" spans="1:18">
      <c r="A760" s="177">
        <v>80820464</v>
      </c>
      <c r="B760" s="177" t="s">
        <v>272</v>
      </c>
      <c r="C760" s="178" t="s">
        <v>155</v>
      </c>
      <c r="D760" s="177" t="s">
        <v>252</v>
      </c>
      <c r="E760" s="177" t="s">
        <v>205</v>
      </c>
      <c r="F760" s="179">
        <v>45996</v>
      </c>
      <c r="G760" s="177">
        <v>810</v>
      </c>
      <c r="H760" s="179">
        <v>45992</v>
      </c>
      <c r="I760" s="179" t="s">
        <v>253</v>
      </c>
      <c r="J760" s="83">
        <v>3500714994</v>
      </c>
      <c r="K760" s="179" t="s">
        <v>282</v>
      </c>
      <c r="L760" s="179">
        <v>45992</v>
      </c>
      <c r="M760" s="180">
        <v>45996</v>
      </c>
      <c r="N760" s="181">
        <v>1.4682059999999999</v>
      </c>
      <c r="O760" s="181" t="s">
        <v>170</v>
      </c>
      <c r="P760" s="83" t="s">
        <v>148</v>
      </c>
      <c r="Q760" s="177" t="s">
        <v>149</v>
      </c>
      <c r="R760" s="83"/>
    </row>
    <row r="761" spans="1:18">
      <c r="A761" s="177">
        <v>80820469</v>
      </c>
      <c r="B761" s="177" t="s">
        <v>273</v>
      </c>
      <c r="C761" s="178" t="s">
        <v>155</v>
      </c>
      <c r="D761" s="177" t="s">
        <v>252</v>
      </c>
      <c r="E761" s="177" t="s">
        <v>205</v>
      </c>
      <c r="F761" s="179">
        <v>45996</v>
      </c>
      <c r="G761" s="177">
        <v>1620</v>
      </c>
      <c r="H761" s="179">
        <v>45992</v>
      </c>
      <c r="I761" s="179" t="s">
        <v>253</v>
      </c>
      <c r="J761" s="83">
        <v>3500714995</v>
      </c>
      <c r="K761" s="179" t="s">
        <v>282</v>
      </c>
      <c r="L761" s="179">
        <v>45992</v>
      </c>
      <c r="M761" s="180">
        <v>45996</v>
      </c>
      <c r="N761" s="181">
        <v>2.9364119999999998</v>
      </c>
      <c r="O761" s="181" t="s">
        <v>170</v>
      </c>
      <c r="P761" s="83" t="s">
        <v>148</v>
      </c>
      <c r="Q761" s="177" t="s">
        <v>149</v>
      </c>
      <c r="R761" s="83"/>
    </row>
    <row r="762" spans="1:18">
      <c r="A762" s="177">
        <v>80814089</v>
      </c>
      <c r="B762" s="177" t="s">
        <v>251</v>
      </c>
      <c r="C762" s="178" t="s">
        <v>151</v>
      </c>
      <c r="D762" s="177" t="s">
        <v>252</v>
      </c>
      <c r="E762" s="177" t="s">
        <v>205</v>
      </c>
      <c r="F762" s="179">
        <v>45996</v>
      </c>
      <c r="G762" s="177">
        <v>810</v>
      </c>
      <c r="H762" s="179">
        <v>45992</v>
      </c>
      <c r="I762" s="179" t="s">
        <v>253</v>
      </c>
      <c r="J762" s="83">
        <v>3500714996</v>
      </c>
      <c r="K762" s="179" t="s">
        <v>282</v>
      </c>
      <c r="L762" s="179">
        <v>45992</v>
      </c>
      <c r="M762" s="180">
        <v>45996</v>
      </c>
      <c r="N762" s="181">
        <v>1.4681249999999999</v>
      </c>
      <c r="O762" s="181" t="s">
        <v>170</v>
      </c>
      <c r="P762" s="83" t="s">
        <v>148</v>
      </c>
      <c r="Q762" s="177" t="s">
        <v>149</v>
      </c>
      <c r="R762" s="83"/>
    </row>
    <row r="763" spans="1:18">
      <c r="A763" s="177">
        <v>80814098</v>
      </c>
      <c r="B763" s="177" t="s">
        <v>254</v>
      </c>
      <c r="C763" s="178" t="s">
        <v>151</v>
      </c>
      <c r="D763" s="177" t="s">
        <v>252</v>
      </c>
      <c r="E763" s="177" t="s">
        <v>205</v>
      </c>
      <c r="F763" s="179">
        <v>45996</v>
      </c>
      <c r="G763" s="177">
        <v>810</v>
      </c>
      <c r="H763" s="179">
        <v>45992</v>
      </c>
      <c r="I763" s="179" t="s">
        <v>253</v>
      </c>
      <c r="J763" s="83">
        <v>3500714997</v>
      </c>
      <c r="K763" s="179" t="s">
        <v>282</v>
      </c>
      <c r="L763" s="179">
        <v>45992</v>
      </c>
      <c r="M763" s="180">
        <v>45996</v>
      </c>
      <c r="N763" s="181">
        <v>1.4681249999999999</v>
      </c>
      <c r="O763" s="181" t="s">
        <v>170</v>
      </c>
      <c r="P763" s="83" t="s">
        <v>148</v>
      </c>
      <c r="Q763" s="177" t="s">
        <v>149</v>
      </c>
      <c r="R763" s="83"/>
    </row>
    <row r="764" spans="1:18">
      <c r="A764" s="177">
        <v>80814097</v>
      </c>
      <c r="B764" s="177" t="s">
        <v>255</v>
      </c>
      <c r="C764" s="178" t="s">
        <v>151</v>
      </c>
      <c r="D764" s="177" t="s">
        <v>252</v>
      </c>
      <c r="E764" s="177" t="s">
        <v>205</v>
      </c>
      <c r="F764" s="179">
        <v>45996</v>
      </c>
      <c r="G764" s="177">
        <v>810</v>
      </c>
      <c r="H764" s="179">
        <v>45992</v>
      </c>
      <c r="I764" s="179" t="s">
        <v>253</v>
      </c>
      <c r="J764" s="83">
        <v>3500715218</v>
      </c>
      <c r="K764" s="179" t="s">
        <v>282</v>
      </c>
      <c r="L764" s="179">
        <v>45992</v>
      </c>
      <c r="M764" s="180">
        <v>45996</v>
      </c>
      <c r="N764" s="181">
        <v>1.4681249999999999</v>
      </c>
      <c r="O764" s="181" t="s">
        <v>170</v>
      </c>
      <c r="P764" s="83" t="s">
        <v>148</v>
      </c>
      <c r="Q764" s="177" t="s">
        <v>149</v>
      </c>
      <c r="R764" s="83"/>
    </row>
    <row r="765" spans="1:18">
      <c r="A765" s="177">
        <v>80814081</v>
      </c>
      <c r="B765" s="177" t="s">
        <v>256</v>
      </c>
      <c r="C765" s="178" t="s">
        <v>151</v>
      </c>
      <c r="D765" s="177" t="s">
        <v>252</v>
      </c>
      <c r="E765" s="177" t="s">
        <v>205</v>
      </c>
      <c r="F765" s="179">
        <v>45996</v>
      </c>
      <c r="G765" s="177">
        <v>810</v>
      </c>
      <c r="H765" s="179">
        <v>45992</v>
      </c>
      <c r="I765" s="179" t="s">
        <v>253</v>
      </c>
      <c r="J765" s="83">
        <v>3500715219</v>
      </c>
      <c r="K765" s="179" t="s">
        <v>282</v>
      </c>
      <c r="L765" s="179">
        <v>45992</v>
      </c>
      <c r="M765" s="180">
        <v>45996</v>
      </c>
      <c r="N765" s="181">
        <v>1.4681249999999999</v>
      </c>
      <c r="O765" s="181" t="s">
        <v>170</v>
      </c>
      <c r="P765" s="83" t="s">
        <v>148</v>
      </c>
      <c r="Q765" s="177" t="s">
        <v>149</v>
      </c>
      <c r="R765" s="83"/>
    </row>
    <row r="766" spans="1:18">
      <c r="A766" s="177">
        <v>80815648</v>
      </c>
      <c r="B766" s="177" t="s">
        <v>257</v>
      </c>
      <c r="C766" s="178" t="s">
        <v>151</v>
      </c>
      <c r="D766" s="177" t="s">
        <v>252</v>
      </c>
      <c r="E766" s="177" t="s">
        <v>205</v>
      </c>
      <c r="F766" s="179">
        <v>45996</v>
      </c>
      <c r="G766" s="177">
        <v>1506</v>
      </c>
      <c r="H766" s="179">
        <v>45992</v>
      </c>
      <c r="I766" s="179" t="s">
        <v>253</v>
      </c>
      <c r="J766" s="83">
        <v>3500715220</v>
      </c>
      <c r="K766" s="179" t="s">
        <v>282</v>
      </c>
      <c r="L766" s="179">
        <v>45992</v>
      </c>
      <c r="M766" s="180">
        <v>45996</v>
      </c>
      <c r="N766" s="181">
        <v>2.9344410000000001</v>
      </c>
      <c r="O766" s="181" t="s">
        <v>170</v>
      </c>
      <c r="P766" s="83" t="s">
        <v>148</v>
      </c>
      <c r="Q766" s="177" t="s">
        <v>149</v>
      </c>
      <c r="R766" s="83"/>
    </row>
    <row r="767" spans="1:18">
      <c r="A767" s="177">
        <v>80815643</v>
      </c>
      <c r="B767" s="177" t="s">
        <v>258</v>
      </c>
      <c r="C767" s="178" t="s">
        <v>151</v>
      </c>
      <c r="D767" s="177" t="s">
        <v>252</v>
      </c>
      <c r="E767" s="177" t="s">
        <v>205</v>
      </c>
      <c r="F767" s="179">
        <v>45996</v>
      </c>
      <c r="G767" s="177">
        <v>1506</v>
      </c>
      <c r="H767" s="179">
        <v>45992</v>
      </c>
      <c r="I767" s="179" t="s">
        <v>253</v>
      </c>
      <c r="J767" s="83">
        <v>3500715221</v>
      </c>
      <c r="K767" s="179" t="s">
        <v>282</v>
      </c>
      <c r="L767" s="179">
        <v>45992</v>
      </c>
      <c r="M767" s="180">
        <v>45996</v>
      </c>
      <c r="N767" s="181">
        <v>2.9344410000000001</v>
      </c>
      <c r="O767" s="181" t="s">
        <v>170</v>
      </c>
      <c r="P767" s="83" t="s">
        <v>148</v>
      </c>
      <c r="Q767" s="177" t="s">
        <v>149</v>
      </c>
      <c r="R767" s="83"/>
    </row>
    <row r="768" spans="1:18">
      <c r="A768" s="177">
        <v>80815642</v>
      </c>
      <c r="B768" s="177" t="s">
        <v>259</v>
      </c>
      <c r="C768" s="178" t="s">
        <v>151</v>
      </c>
      <c r="D768" s="177" t="s">
        <v>252</v>
      </c>
      <c r="E768" s="177" t="s">
        <v>205</v>
      </c>
      <c r="F768" s="179">
        <v>45996</v>
      </c>
      <c r="G768" s="177">
        <v>1506</v>
      </c>
      <c r="H768" s="179">
        <v>45992</v>
      </c>
      <c r="I768" s="179" t="s">
        <v>253</v>
      </c>
      <c r="J768" s="83">
        <v>3500715222</v>
      </c>
      <c r="K768" s="179" t="s">
        <v>282</v>
      </c>
      <c r="L768" s="179">
        <v>45992</v>
      </c>
      <c r="M768" s="180">
        <v>45996</v>
      </c>
      <c r="N768" s="181">
        <v>2.9344410000000001</v>
      </c>
      <c r="O768" s="181" t="s">
        <v>170</v>
      </c>
      <c r="P768" s="83" t="s">
        <v>148</v>
      </c>
      <c r="Q768" s="177" t="s">
        <v>149</v>
      </c>
      <c r="R768" s="83"/>
    </row>
    <row r="769" spans="1:18">
      <c r="A769" s="177">
        <v>80815644</v>
      </c>
      <c r="B769" s="177" t="s">
        <v>260</v>
      </c>
      <c r="C769" s="178" t="s">
        <v>151</v>
      </c>
      <c r="D769" s="177" t="s">
        <v>252</v>
      </c>
      <c r="E769" s="177" t="s">
        <v>205</v>
      </c>
      <c r="F769" s="179">
        <v>45996</v>
      </c>
      <c r="G769" s="177">
        <v>754</v>
      </c>
      <c r="H769" s="179">
        <v>45992</v>
      </c>
      <c r="I769" s="179" t="s">
        <v>253</v>
      </c>
      <c r="J769" s="83">
        <v>3500715223</v>
      </c>
      <c r="K769" s="179" t="s">
        <v>282</v>
      </c>
      <c r="L769" s="179">
        <v>45992</v>
      </c>
      <c r="M769" s="180">
        <v>45996</v>
      </c>
      <c r="N769" s="181">
        <v>1.4691689999999999</v>
      </c>
      <c r="O769" s="181" t="s">
        <v>170</v>
      </c>
      <c r="P769" s="83" t="s">
        <v>148</v>
      </c>
      <c r="Q769" s="177" t="s">
        <v>149</v>
      </c>
      <c r="R769" s="83"/>
    </row>
    <row r="770" spans="1:18">
      <c r="A770" s="177">
        <v>80815645</v>
      </c>
      <c r="B770" s="177" t="s">
        <v>261</v>
      </c>
      <c r="C770" s="178" t="s">
        <v>151</v>
      </c>
      <c r="D770" s="177" t="s">
        <v>252</v>
      </c>
      <c r="E770" s="177" t="s">
        <v>205</v>
      </c>
      <c r="F770" s="179">
        <v>45996</v>
      </c>
      <c r="G770" s="177">
        <v>1506</v>
      </c>
      <c r="H770" s="179">
        <v>45992</v>
      </c>
      <c r="I770" s="179" t="s">
        <v>253</v>
      </c>
      <c r="J770" s="83">
        <v>3500715224</v>
      </c>
      <c r="K770" s="179" t="s">
        <v>282</v>
      </c>
      <c r="L770" s="179">
        <v>45992</v>
      </c>
      <c r="M770" s="180">
        <v>45996</v>
      </c>
      <c r="N770" s="181">
        <v>2.9344410000000001</v>
      </c>
      <c r="O770" s="181" t="s">
        <v>170</v>
      </c>
      <c r="P770" s="83" t="s">
        <v>148</v>
      </c>
      <c r="Q770" s="177" t="s">
        <v>149</v>
      </c>
      <c r="R770" s="83"/>
    </row>
    <row r="771" spans="1:18">
      <c r="A771" s="177">
        <v>80815647</v>
      </c>
      <c r="B771" s="177" t="s">
        <v>262</v>
      </c>
      <c r="C771" s="178" t="s">
        <v>151</v>
      </c>
      <c r="D771" s="177" t="s">
        <v>252</v>
      </c>
      <c r="E771" s="177" t="s">
        <v>205</v>
      </c>
      <c r="F771" s="179">
        <v>45996</v>
      </c>
      <c r="G771" s="177">
        <v>754</v>
      </c>
      <c r="H771" s="179">
        <v>45992</v>
      </c>
      <c r="I771" s="179" t="s">
        <v>253</v>
      </c>
      <c r="J771" s="83">
        <v>3500715225</v>
      </c>
      <c r="K771" s="179" t="s">
        <v>282</v>
      </c>
      <c r="L771" s="179">
        <v>45992</v>
      </c>
      <c r="M771" s="180">
        <v>45996</v>
      </c>
      <c r="N771" s="181">
        <v>1.4691689999999999</v>
      </c>
      <c r="O771" s="181" t="s">
        <v>170</v>
      </c>
      <c r="P771" s="83" t="s">
        <v>148</v>
      </c>
      <c r="Q771" s="177" t="s">
        <v>149</v>
      </c>
      <c r="R771" s="83"/>
    </row>
    <row r="772" spans="1:18">
      <c r="A772" s="177">
        <v>80813610</v>
      </c>
      <c r="B772" s="177" t="s">
        <v>263</v>
      </c>
      <c r="C772" s="178" t="s">
        <v>151</v>
      </c>
      <c r="D772" s="177" t="s">
        <v>252</v>
      </c>
      <c r="E772" s="177" t="s">
        <v>205</v>
      </c>
      <c r="F772" s="179">
        <v>45996</v>
      </c>
      <c r="G772" s="177">
        <v>810</v>
      </c>
      <c r="H772" s="179">
        <v>45992</v>
      </c>
      <c r="I772" s="179" t="s">
        <v>253</v>
      </c>
      <c r="J772" s="83">
        <v>3500715226</v>
      </c>
      <c r="K772" s="179" t="s">
        <v>282</v>
      </c>
      <c r="L772" s="179">
        <v>45992</v>
      </c>
      <c r="M772" s="180">
        <v>45996</v>
      </c>
      <c r="N772" s="181">
        <v>1.4682059999999999</v>
      </c>
      <c r="O772" s="181" t="s">
        <v>170</v>
      </c>
      <c r="P772" s="83" t="s">
        <v>148</v>
      </c>
      <c r="Q772" s="177" t="s">
        <v>149</v>
      </c>
      <c r="R772" s="83"/>
    </row>
    <row r="773" spans="1:18">
      <c r="A773" s="177">
        <v>80813619</v>
      </c>
      <c r="B773" s="177" t="s">
        <v>264</v>
      </c>
      <c r="C773" s="178" t="s">
        <v>151</v>
      </c>
      <c r="D773" s="177" t="s">
        <v>252</v>
      </c>
      <c r="E773" s="177" t="s">
        <v>205</v>
      </c>
      <c r="F773" s="179">
        <v>45996</v>
      </c>
      <c r="G773" s="177">
        <v>810</v>
      </c>
      <c r="H773" s="179">
        <v>45992</v>
      </c>
      <c r="I773" s="179" t="s">
        <v>253</v>
      </c>
      <c r="J773" s="83">
        <v>3500715227</v>
      </c>
      <c r="K773" s="179" t="s">
        <v>282</v>
      </c>
      <c r="L773" s="179">
        <v>45992</v>
      </c>
      <c r="M773" s="180">
        <v>45996</v>
      </c>
      <c r="N773" s="181">
        <v>1.4682059999999999</v>
      </c>
      <c r="O773" s="181" t="s">
        <v>170</v>
      </c>
      <c r="P773" s="83" t="s">
        <v>148</v>
      </c>
      <c r="Q773" s="177" t="s">
        <v>149</v>
      </c>
      <c r="R773" s="83"/>
    </row>
    <row r="774" spans="1:18">
      <c r="A774" s="177">
        <v>80813615</v>
      </c>
      <c r="B774" s="177" t="s">
        <v>265</v>
      </c>
      <c r="C774" s="178" t="s">
        <v>151</v>
      </c>
      <c r="D774" s="177" t="s">
        <v>252</v>
      </c>
      <c r="E774" s="177" t="s">
        <v>205</v>
      </c>
      <c r="F774" s="179">
        <v>45996</v>
      </c>
      <c r="G774" s="177">
        <v>810</v>
      </c>
      <c r="H774" s="179">
        <v>45992</v>
      </c>
      <c r="I774" s="179" t="s">
        <v>253</v>
      </c>
      <c r="J774" s="83">
        <v>3500715228</v>
      </c>
      <c r="K774" s="179" t="s">
        <v>282</v>
      </c>
      <c r="L774" s="179">
        <v>45992</v>
      </c>
      <c r="M774" s="180">
        <v>45996</v>
      </c>
      <c r="N774" s="181">
        <v>1.4682059999999999</v>
      </c>
      <c r="O774" s="181" t="s">
        <v>170</v>
      </c>
      <c r="P774" s="83" t="s">
        <v>148</v>
      </c>
      <c r="Q774" s="177" t="s">
        <v>149</v>
      </c>
      <c r="R774" s="83"/>
    </row>
    <row r="775" spans="1:18">
      <c r="A775" s="177">
        <v>80813637</v>
      </c>
      <c r="B775" s="177" t="s">
        <v>266</v>
      </c>
      <c r="C775" s="178" t="s">
        <v>151</v>
      </c>
      <c r="D775" s="177" t="s">
        <v>252</v>
      </c>
      <c r="E775" s="177" t="s">
        <v>205</v>
      </c>
      <c r="F775" s="179">
        <v>45996</v>
      </c>
      <c r="G775" s="177">
        <v>810</v>
      </c>
      <c r="H775" s="179">
        <v>45992</v>
      </c>
      <c r="I775" s="179" t="s">
        <v>253</v>
      </c>
      <c r="J775" s="83">
        <v>3500715229</v>
      </c>
      <c r="K775" s="179" t="s">
        <v>282</v>
      </c>
      <c r="L775" s="179">
        <v>45992</v>
      </c>
      <c r="M775" s="180">
        <v>45996</v>
      </c>
      <c r="N775" s="181">
        <v>1.4682059999999999</v>
      </c>
      <c r="O775" s="181" t="s">
        <v>170</v>
      </c>
      <c r="P775" s="83" t="s">
        <v>148</v>
      </c>
      <c r="Q775" s="177" t="s">
        <v>149</v>
      </c>
      <c r="R775" s="83"/>
    </row>
    <row r="776" spans="1:18">
      <c r="A776" s="177">
        <v>80813617</v>
      </c>
      <c r="B776" s="177" t="s">
        <v>267</v>
      </c>
      <c r="C776" s="178" t="s">
        <v>151</v>
      </c>
      <c r="D776" s="177" t="s">
        <v>252</v>
      </c>
      <c r="E776" s="177" t="s">
        <v>205</v>
      </c>
      <c r="F776" s="179">
        <v>45996</v>
      </c>
      <c r="G776" s="177">
        <v>810</v>
      </c>
      <c r="H776" s="179">
        <v>45992</v>
      </c>
      <c r="I776" s="179" t="s">
        <v>253</v>
      </c>
      <c r="J776" s="83">
        <v>3500715230</v>
      </c>
      <c r="K776" s="179" t="s">
        <v>282</v>
      </c>
      <c r="L776" s="179">
        <v>45992</v>
      </c>
      <c r="M776" s="180">
        <v>45996</v>
      </c>
      <c r="N776" s="181">
        <v>1.4682059999999999</v>
      </c>
      <c r="O776" s="181" t="s">
        <v>170</v>
      </c>
      <c r="P776" s="83" t="s">
        <v>148</v>
      </c>
      <c r="Q776" s="177" t="s">
        <v>149</v>
      </c>
      <c r="R776" s="83"/>
    </row>
    <row r="777" spans="1:18">
      <c r="A777" s="177">
        <v>80813629</v>
      </c>
      <c r="B777" s="177" t="s">
        <v>268</v>
      </c>
      <c r="C777" s="178" t="s">
        <v>151</v>
      </c>
      <c r="D777" s="177" t="s">
        <v>252</v>
      </c>
      <c r="E777" s="177" t="s">
        <v>205</v>
      </c>
      <c r="F777" s="179">
        <v>45996</v>
      </c>
      <c r="G777" s="177">
        <v>810</v>
      </c>
      <c r="H777" s="179">
        <v>45992</v>
      </c>
      <c r="I777" s="179" t="s">
        <v>253</v>
      </c>
      <c r="J777" s="83">
        <v>3500715231</v>
      </c>
      <c r="K777" s="179" t="s">
        <v>282</v>
      </c>
      <c r="L777" s="179">
        <v>45992</v>
      </c>
      <c r="M777" s="180">
        <v>45996</v>
      </c>
      <c r="N777" s="181">
        <v>1.4682059999999999</v>
      </c>
      <c r="O777" s="181" t="s">
        <v>170</v>
      </c>
      <c r="P777" s="83" t="s">
        <v>148</v>
      </c>
      <c r="Q777" s="177" t="s">
        <v>149</v>
      </c>
      <c r="R777" s="83"/>
    </row>
    <row r="778" spans="1:18">
      <c r="A778" s="177">
        <v>80820462</v>
      </c>
      <c r="B778" s="177" t="s">
        <v>269</v>
      </c>
      <c r="C778" s="178" t="s">
        <v>151</v>
      </c>
      <c r="D778" s="177" t="s">
        <v>252</v>
      </c>
      <c r="E778" s="177" t="s">
        <v>205</v>
      </c>
      <c r="F778" s="179">
        <v>45996</v>
      </c>
      <c r="G778" s="177">
        <v>1620</v>
      </c>
      <c r="H778" s="179">
        <v>45992</v>
      </c>
      <c r="I778" s="179" t="s">
        <v>253</v>
      </c>
      <c r="J778" s="83">
        <v>3500715232</v>
      </c>
      <c r="K778" s="179" t="s">
        <v>282</v>
      </c>
      <c r="L778" s="179">
        <v>45992</v>
      </c>
      <c r="M778" s="180">
        <v>45996</v>
      </c>
      <c r="N778" s="181">
        <v>2.9364119999999998</v>
      </c>
      <c r="O778" s="181" t="s">
        <v>170</v>
      </c>
      <c r="P778" s="83" t="s">
        <v>148</v>
      </c>
      <c r="Q778" s="177" t="s">
        <v>149</v>
      </c>
      <c r="R778" s="83"/>
    </row>
    <row r="779" spans="1:18">
      <c r="A779" s="177">
        <v>80820459</v>
      </c>
      <c r="B779" s="177" t="s">
        <v>271</v>
      </c>
      <c r="C779" s="178" t="s">
        <v>151</v>
      </c>
      <c r="D779" s="177" t="s">
        <v>252</v>
      </c>
      <c r="E779" s="177" t="s">
        <v>205</v>
      </c>
      <c r="F779" s="179">
        <v>45996</v>
      </c>
      <c r="G779" s="177">
        <v>810</v>
      </c>
      <c r="H779" s="179">
        <v>45992</v>
      </c>
      <c r="I779" s="179" t="s">
        <v>253</v>
      </c>
      <c r="J779" s="83">
        <v>3500715233</v>
      </c>
      <c r="K779" s="179" t="s">
        <v>282</v>
      </c>
      <c r="L779" s="179">
        <v>45992</v>
      </c>
      <c r="M779" s="180">
        <v>45996</v>
      </c>
      <c r="N779" s="181">
        <v>1.4682059999999999</v>
      </c>
      <c r="O779" s="181" t="s">
        <v>170</v>
      </c>
      <c r="P779" s="83" t="s">
        <v>148</v>
      </c>
      <c r="Q779" s="177" t="s">
        <v>149</v>
      </c>
      <c r="R779" s="83"/>
    </row>
    <row r="780" spans="1:18">
      <c r="A780" s="177">
        <v>80820464</v>
      </c>
      <c r="B780" s="177" t="s">
        <v>272</v>
      </c>
      <c r="C780" s="178" t="s">
        <v>151</v>
      </c>
      <c r="D780" s="177" t="s">
        <v>252</v>
      </c>
      <c r="E780" s="177" t="s">
        <v>205</v>
      </c>
      <c r="F780" s="179">
        <v>45996</v>
      </c>
      <c r="G780" s="177">
        <v>810</v>
      </c>
      <c r="H780" s="179">
        <v>45992</v>
      </c>
      <c r="I780" s="179" t="s">
        <v>253</v>
      </c>
      <c r="J780" s="83">
        <v>3500715234</v>
      </c>
      <c r="K780" s="179" t="s">
        <v>282</v>
      </c>
      <c r="L780" s="179">
        <v>45992</v>
      </c>
      <c r="M780" s="180">
        <v>45996</v>
      </c>
      <c r="N780" s="181">
        <v>1.4682059999999999</v>
      </c>
      <c r="O780" s="181" t="s">
        <v>170</v>
      </c>
      <c r="P780" s="83" t="s">
        <v>148</v>
      </c>
      <c r="Q780" s="177" t="s">
        <v>149</v>
      </c>
      <c r="R780" s="83"/>
    </row>
    <row r="781" spans="1:18">
      <c r="A781" s="177">
        <v>80820469</v>
      </c>
      <c r="B781" s="177" t="s">
        <v>273</v>
      </c>
      <c r="C781" s="178" t="s">
        <v>151</v>
      </c>
      <c r="D781" s="177" t="s">
        <v>252</v>
      </c>
      <c r="E781" s="177" t="s">
        <v>205</v>
      </c>
      <c r="F781" s="179">
        <v>45996</v>
      </c>
      <c r="G781" s="177">
        <v>1620</v>
      </c>
      <c r="H781" s="179">
        <v>45992</v>
      </c>
      <c r="I781" s="179" t="s">
        <v>253</v>
      </c>
      <c r="J781" s="83">
        <v>3500715235</v>
      </c>
      <c r="K781" s="179" t="s">
        <v>282</v>
      </c>
      <c r="L781" s="179">
        <v>45992</v>
      </c>
      <c r="M781" s="180">
        <v>45996</v>
      </c>
      <c r="N781" s="181">
        <v>2.9364119999999998</v>
      </c>
      <c r="O781" s="181" t="s">
        <v>170</v>
      </c>
      <c r="P781" s="83" t="s">
        <v>148</v>
      </c>
      <c r="Q781" s="177" t="s">
        <v>149</v>
      </c>
      <c r="R781" s="83"/>
    </row>
    <row r="782" spans="1:18">
      <c r="A782" s="177">
        <v>80814089</v>
      </c>
      <c r="B782" s="177" t="s">
        <v>251</v>
      </c>
      <c r="C782" s="178" t="s">
        <v>150</v>
      </c>
      <c r="D782" s="177" t="s">
        <v>252</v>
      </c>
      <c r="E782" s="177" t="s">
        <v>205</v>
      </c>
      <c r="F782" s="179">
        <v>45996</v>
      </c>
      <c r="G782" s="177">
        <v>810</v>
      </c>
      <c r="H782" s="179">
        <v>45992</v>
      </c>
      <c r="I782" s="179" t="s">
        <v>253</v>
      </c>
      <c r="J782" s="83">
        <v>3500715236</v>
      </c>
      <c r="K782" s="179" t="s">
        <v>282</v>
      </c>
      <c r="L782" s="179">
        <v>45992</v>
      </c>
      <c r="M782" s="180">
        <v>45996</v>
      </c>
      <c r="N782" s="181">
        <v>1.4681249999999999</v>
      </c>
      <c r="O782" s="181" t="s">
        <v>170</v>
      </c>
      <c r="P782" s="83" t="s">
        <v>148</v>
      </c>
      <c r="Q782" s="177" t="s">
        <v>149</v>
      </c>
      <c r="R782" s="83"/>
    </row>
    <row r="783" spans="1:18">
      <c r="A783" s="177">
        <v>80814098</v>
      </c>
      <c r="B783" s="177" t="s">
        <v>254</v>
      </c>
      <c r="C783" s="178" t="s">
        <v>150</v>
      </c>
      <c r="D783" s="177" t="s">
        <v>252</v>
      </c>
      <c r="E783" s="177" t="s">
        <v>205</v>
      </c>
      <c r="F783" s="179">
        <v>45996</v>
      </c>
      <c r="G783" s="177">
        <v>810</v>
      </c>
      <c r="H783" s="179">
        <v>45992</v>
      </c>
      <c r="I783" s="179" t="s">
        <v>253</v>
      </c>
      <c r="J783" s="83">
        <v>3500715237</v>
      </c>
      <c r="K783" s="179" t="s">
        <v>282</v>
      </c>
      <c r="L783" s="179">
        <v>45992</v>
      </c>
      <c r="M783" s="180">
        <v>45996</v>
      </c>
      <c r="N783" s="181">
        <v>1.4681249999999999</v>
      </c>
      <c r="O783" s="181" t="s">
        <v>170</v>
      </c>
      <c r="P783" s="83" t="s">
        <v>148</v>
      </c>
      <c r="Q783" s="177" t="s">
        <v>149</v>
      </c>
      <c r="R783" s="83"/>
    </row>
    <row r="784" spans="1:18">
      <c r="A784" s="177">
        <v>80814097</v>
      </c>
      <c r="B784" s="177" t="s">
        <v>255</v>
      </c>
      <c r="C784" s="178" t="s">
        <v>150</v>
      </c>
      <c r="D784" s="177" t="s">
        <v>252</v>
      </c>
      <c r="E784" s="177" t="s">
        <v>205</v>
      </c>
      <c r="F784" s="179">
        <v>45996</v>
      </c>
      <c r="G784" s="177">
        <v>810</v>
      </c>
      <c r="H784" s="179">
        <v>45992</v>
      </c>
      <c r="I784" s="179" t="s">
        <v>253</v>
      </c>
      <c r="J784" s="83">
        <v>3500715358</v>
      </c>
      <c r="K784" s="179" t="s">
        <v>282</v>
      </c>
      <c r="L784" s="179">
        <v>45992</v>
      </c>
      <c r="M784" s="180">
        <v>45996</v>
      </c>
      <c r="N784" s="181">
        <v>1.4681249999999999</v>
      </c>
      <c r="O784" s="181" t="s">
        <v>170</v>
      </c>
      <c r="P784" s="83" t="s">
        <v>148</v>
      </c>
      <c r="Q784" s="177" t="s">
        <v>149</v>
      </c>
      <c r="R784" s="83"/>
    </row>
    <row r="785" spans="1:18">
      <c r="A785" s="177">
        <v>80814081</v>
      </c>
      <c r="B785" s="177" t="s">
        <v>256</v>
      </c>
      <c r="C785" s="178" t="s">
        <v>150</v>
      </c>
      <c r="D785" s="177" t="s">
        <v>252</v>
      </c>
      <c r="E785" s="177" t="s">
        <v>205</v>
      </c>
      <c r="F785" s="179">
        <v>45996</v>
      </c>
      <c r="G785" s="177">
        <v>810</v>
      </c>
      <c r="H785" s="179">
        <v>45992</v>
      </c>
      <c r="I785" s="179" t="s">
        <v>253</v>
      </c>
      <c r="J785" s="83">
        <v>3500715359</v>
      </c>
      <c r="K785" s="179" t="s">
        <v>282</v>
      </c>
      <c r="L785" s="179">
        <v>45992</v>
      </c>
      <c r="M785" s="180">
        <v>45996</v>
      </c>
      <c r="N785" s="181">
        <v>1.4681249999999999</v>
      </c>
      <c r="O785" s="181" t="s">
        <v>170</v>
      </c>
      <c r="P785" s="83" t="s">
        <v>148</v>
      </c>
      <c r="Q785" s="177" t="s">
        <v>149</v>
      </c>
      <c r="R785" s="83"/>
    </row>
    <row r="786" spans="1:18">
      <c r="A786" s="177">
        <v>80815648</v>
      </c>
      <c r="B786" s="177" t="s">
        <v>257</v>
      </c>
      <c r="C786" s="178" t="s">
        <v>150</v>
      </c>
      <c r="D786" s="177" t="s">
        <v>252</v>
      </c>
      <c r="E786" s="177" t="s">
        <v>205</v>
      </c>
      <c r="F786" s="179">
        <v>45996</v>
      </c>
      <c r="G786" s="177">
        <v>1506</v>
      </c>
      <c r="H786" s="179">
        <v>45992</v>
      </c>
      <c r="I786" s="179" t="s">
        <v>253</v>
      </c>
      <c r="J786" s="83">
        <v>3500715360</v>
      </c>
      <c r="K786" s="179" t="s">
        <v>282</v>
      </c>
      <c r="L786" s="179">
        <v>45992</v>
      </c>
      <c r="M786" s="180">
        <v>45996</v>
      </c>
      <c r="N786" s="181">
        <v>2.9344410000000001</v>
      </c>
      <c r="O786" s="181" t="s">
        <v>170</v>
      </c>
      <c r="P786" s="83" t="s">
        <v>148</v>
      </c>
      <c r="Q786" s="177" t="s">
        <v>149</v>
      </c>
      <c r="R786" s="83"/>
    </row>
    <row r="787" spans="1:18">
      <c r="A787" s="177">
        <v>80815643</v>
      </c>
      <c r="B787" s="177" t="s">
        <v>258</v>
      </c>
      <c r="C787" s="178" t="s">
        <v>150</v>
      </c>
      <c r="D787" s="177" t="s">
        <v>252</v>
      </c>
      <c r="E787" s="177" t="s">
        <v>205</v>
      </c>
      <c r="F787" s="179">
        <v>45996</v>
      </c>
      <c r="G787" s="177">
        <v>1506</v>
      </c>
      <c r="H787" s="179">
        <v>45992</v>
      </c>
      <c r="I787" s="179" t="s">
        <v>253</v>
      </c>
      <c r="J787" s="83">
        <v>3500715361</v>
      </c>
      <c r="K787" s="179" t="s">
        <v>282</v>
      </c>
      <c r="L787" s="179">
        <v>45992</v>
      </c>
      <c r="M787" s="180">
        <v>45996</v>
      </c>
      <c r="N787" s="181">
        <v>2.9344410000000001</v>
      </c>
      <c r="O787" s="181" t="s">
        <v>170</v>
      </c>
      <c r="P787" s="83" t="s">
        <v>148</v>
      </c>
      <c r="Q787" s="177" t="s">
        <v>149</v>
      </c>
      <c r="R787" s="83"/>
    </row>
    <row r="788" spans="1:18">
      <c r="A788" s="177">
        <v>80815642</v>
      </c>
      <c r="B788" s="177" t="s">
        <v>259</v>
      </c>
      <c r="C788" s="178" t="s">
        <v>150</v>
      </c>
      <c r="D788" s="177" t="s">
        <v>252</v>
      </c>
      <c r="E788" s="177" t="s">
        <v>205</v>
      </c>
      <c r="F788" s="179">
        <v>45996</v>
      </c>
      <c r="G788" s="177">
        <v>1506</v>
      </c>
      <c r="H788" s="179">
        <v>45992</v>
      </c>
      <c r="I788" s="179" t="s">
        <v>253</v>
      </c>
      <c r="J788" s="83">
        <v>3500715362</v>
      </c>
      <c r="K788" s="179" t="s">
        <v>282</v>
      </c>
      <c r="L788" s="179">
        <v>45992</v>
      </c>
      <c r="M788" s="180">
        <v>45996</v>
      </c>
      <c r="N788" s="181">
        <v>2.9344410000000001</v>
      </c>
      <c r="O788" s="181" t="s">
        <v>170</v>
      </c>
      <c r="P788" s="83" t="s">
        <v>148</v>
      </c>
      <c r="Q788" s="177" t="s">
        <v>149</v>
      </c>
      <c r="R788" s="83"/>
    </row>
    <row r="789" spans="1:18">
      <c r="A789" s="177">
        <v>80815644</v>
      </c>
      <c r="B789" s="177" t="s">
        <v>260</v>
      </c>
      <c r="C789" s="178" t="s">
        <v>150</v>
      </c>
      <c r="D789" s="177" t="s">
        <v>252</v>
      </c>
      <c r="E789" s="177" t="s">
        <v>205</v>
      </c>
      <c r="F789" s="179">
        <v>45996</v>
      </c>
      <c r="G789" s="177">
        <v>754</v>
      </c>
      <c r="H789" s="179">
        <v>45992</v>
      </c>
      <c r="I789" s="179" t="s">
        <v>253</v>
      </c>
      <c r="J789" s="83">
        <v>3500715363</v>
      </c>
      <c r="K789" s="179" t="s">
        <v>282</v>
      </c>
      <c r="L789" s="179">
        <v>45992</v>
      </c>
      <c r="M789" s="180">
        <v>45996</v>
      </c>
      <c r="N789" s="181">
        <v>1.4691689999999999</v>
      </c>
      <c r="O789" s="181" t="s">
        <v>170</v>
      </c>
      <c r="P789" s="83" t="s">
        <v>148</v>
      </c>
      <c r="Q789" s="177" t="s">
        <v>149</v>
      </c>
      <c r="R789" s="83"/>
    </row>
    <row r="790" spans="1:18">
      <c r="A790" s="177">
        <v>80815645</v>
      </c>
      <c r="B790" s="177" t="s">
        <v>261</v>
      </c>
      <c r="C790" s="178" t="s">
        <v>150</v>
      </c>
      <c r="D790" s="177" t="s">
        <v>252</v>
      </c>
      <c r="E790" s="177" t="s">
        <v>205</v>
      </c>
      <c r="F790" s="179">
        <v>45996</v>
      </c>
      <c r="G790" s="177">
        <v>1506</v>
      </c>
      <c r="H790" s="179">
        <v>45992</v>
      </c>
      <c r="I790" s="179" t="s">
        <v>253</v>
      </c>
      <c r="J790" s="83">
        <v>3500715364</v>
      </c>
      <c r="K790" s="179" t="s">
        <v>282</v>
      </c>
      <c r="L790" s="179">
        <v>45992</v>
      </c>
      <c r="M790" s="180">
        <v>45996</v>
      </c>
      <c r="N790" s="181">
        <v>2.9344410000000001</v>
      </c>
      <c r="O790" s="181" t="s">
        <v>170</v>
      </c>
      <c r="P790" s="83" t="s">
        <v>148</v>
      </c>
      <c r="Q790" s="177" t="s">
        <v>149</v>
      </c>
      <c r="R790" s="83"/>
    </row>
    <row r="791" spans="1:18">
      <c r="A791" s="177">
        <v>80815647</v>
      </c>
      <c r="B791" s="177" t="s">
        <v>262</v>
      </c>
      <c r="C791" s="178" t="s">
        <v>150</v>
      </c>
      <c r="D791" s="177" t="s">
        <v>252</v>
      </c>
      <c r="E791" s="177" t="s">
        <v>205</v>
      </c>
      <c r="F791" s="179">
        <v>45996</v>
      </c>
      <c r="G791" s="177">
        <v>754</v>
      </c>
      <c r="H791" s="179">
        <v>45992</v>
      </c>
      <c r="I791" s="179" t="s">
        <v>253</v>
      </c>
      <c r="J791" s="83">
        <v>3500715365</v>
      </c>
      <c r="K791" s="179" t="s">
        <v>282</v>
      </c>
      <c r="L791" s="179">
        <v>45992</v>
      </c>
      <c r="M791" s="180">
        <v>45996</v>
      </c>
      <c r="N791" s="181">
        <v>1.4691689999999999</v>
      </c>
      <c r="O791" s="181" t="s">
        <v>170</v>
      </c>
      <c r="P791" s="83" t="s">
        <v>148</v>
      </c>
      <c r="Q791" s="177" t="s">
        <v>149</v>
      </c>
      <c r="R791" s="83"/>
    </row>
    <row r="792" spans="1:18">
      <c r="A792" s="177">
        <v>80813610</v>
      </c>
      <c r="B792" s="177" t="s">
        <v>263</v>
      </c>
      <c r="C792" s="178" t="s">
        <v>150</v>
      </c>
      <c r="D792" s="177" t="s">
        <v>252</v>
      </c>
      <c r="E792" s="177" t="s">
        <v>205</v>
      </c>
      <c r="F792" s="179">
        <v>45996</v>
      </c>
      <c r="G792" s="177">
        <v>810</v>
      </c>
      <c r="H792" s="179">
        <v>45992</v>
      </c>
      <c r="I792" s="179" t="s">
        <v>253</v>
      </c>
      <c r="J792" s="83">
        <v>3500715366</v>
      </c>
      <c r="K792" s="179" t="s">
        <v>282</v>
      </c>
      <c r="L792" s="179">
        <v>45992</v>
      </c>
      <c r="M792" s="180">
        <v>45996</v>
      </c>
      <c r="N792" s="181">
        <v>1.4682059999999999</v>
      </c>
      <c r="O792" s="181" t="s">
        <v>170</v>
      </c>
      <c r="P792" s="83" t="s">
        <v>148</v>
      </c>
      <c r="Q792" s="177" t="s">
        <v>149</v>
      </c>
      <c r="R792" s="83"/>
    </row>
    <row r="793" spans="1:18">
      <c r="A793" s="177">
        <v>80813619</v>
      </c>
      <c r="B793" s="177" t="s">
        <v>264</v>
      </c>
      <c r="C793" s="178" t="s">
        <v>150</v>
      </c>
      <c r="D793" s="177" t="s">
        <v>252</v>
      </c>
      <c r="E793" s="177" t="s">
        <v>205</v>
      </c>
      <c r="F793" s="179">
        <v>45996</v>
      </c>
      <c r="G793" s="177">
        <v>810</v>
      </c>
      <c r="H793" s="179">
        <v>45992</v>
      </c>
      <c r="I793" s="179" t="s">
        <v>253</v>
      </c>
      <c r="J793" s="83">
        <v>3500715367</v>
      </c>
      <c r="K793" s="179" t="s">
        <v>282</v>
      </c>
      <c r="L793" s="179">
        <v>45992</v>
      </c>
      <c r="M793" s="180">
        <v>45996</v>
      </c>
      <c r="N793" s="181">
        <v>1.4682059999999999</v>
      </c>
      <c r="O793" s="181" t="s">
        <v>170</v>
      </c>
      <c r="P793" s="83" t="s">
        <v>148</v>
      </c>
      <c r="Q793" s="177" t="s">
        <v>149</v>
      </c>
      <c r="R793" s="83"/>
    </row>
    <row r="794" spans="1:18">
      <c r="A794" s="177">
        <v>80813615</v>
      </c>
      <c r="B794" s="177" t="s">
        <v>265</v>
      </c>
      <c r="C794" s="178" t="s">
        <v>150</v>
      </c>
      <c r="D794" s="177" t="s">
        <v>252</v>
      </c>
      <c r="E794" s="177" t="s">
        <v>205</v>
      </c>
      <c r="F794" s="179">
        <v>45996</v>
      </c>
      <c r="G794" s="177">
        <v>810</v>
      </c>
      <c r="H794" s="179">
        <v>45992</v>
      </c>
      <c r="I794" s="179" t="s">
        <v>253</v>
      </c>
      <c r="J794" s="83">
        <v>3500715368</v>
      </c>
      <c r="K794" s="179" t="s">
        <v>282</v>
      </c>
      <c r="L794" s="179">
        <v>45992</v>
      </c>
      <c r="M794" s="180">
        <v>45996</v>
      </c>
      <c r="N794" s="181">
        <v>1.4682059999999999</v>
      </c>
      <c r="O794" s="181" t="s">
        <v>170</v>
      </c>
      <c r="P794" s="83" t="s">
        <v>148</v>
      </c>
      <c r="Q794" s="177" t="s">
        <v>149</v>
      </c>
      <c r="R794" s="83"/>
    </row>
    <row r="795" spans="1:18">
      <c r="A795" s="177">
        <v>80813637</v>
      </c>
      <c r="B795" s="177" t="s">
        <v>266</v>
      </c>
      <c r="C795" s="178" t="s">
        <v>150</v>
      </c>
      <c r="D795" s="177" t="s">
        <v>252</v>
      </c>
      <c r="E795" s="177" t="s">
        <v>205</v>
      </c>
      <c r="F795" s="179">
        <v>45996</v>
      </c>
      <c r="G795" s="177">
        <v>810</v>
      </c>
      <c r="H795" s="179">
        <v>45992</v>
      </c>
      <c r="I795" s="179" t="s">
        <v>253</v>
      </c>
      <c r="J795" s="83">
        <v>3500715370</v>
      </c>
      <c r="K795" s="179" t="s">
        <v>282</v>
      </c>
      <c r="L795" s="179">
        <v>45992</v>
      </c>
      <c r="M795" s="180">
        <v>45996</v>
      </c>
      <c r="N795" s="181">
        <v>1.4682059999999999</v>
      </c>
      <c r="O795" s="181" t="s">
        <v>170</v>
      </c>
      <c r="P795" s="83" t="s">
        <v>148</v>
      </c>
      <c r="Q795" s="177" t="s">
        <v>149</v>
      </c>
      <c r="R795" s="83"/>
    </row>
    <row r="796" spans="1:18">
      <c r="A796" s="177">
        <v>80813617</v>
      </c>
      <c r="B796" s="177" t="s">
        <v>267</v>
      </c>
      <c r="C796" s="178" t="s">
        <v>150</v>
      </c>
      <c r="D796" s="177" t="s">
        <v>252</v>
      </c>
      <c r="E796" s="177" t="s">
        <v>205</v>
      </c>
      <c r="F796" s="179">
        <v>45996</v>
      </c>
      <c r="G796" s="177">
        <v>810</v>
      </c>
      <c r="H796" s="179">
        <v>45992</v>
      </c>
      <c r="I796" s="179" t="s">
        <v>253</v>
      </c>
      <c r="J796" s="83">
        <v>3500715371</v>
      </c>
      <c r="K796" s="179" t="s">
        <v>282</v>
      </c>
      <c r="L796" s="179">
        <v>45992</v>
      </c>
      <c r="M796" s="180">
        <v>45996</v>
      </c>
      <c r="N796" s="181">
        <v>1.4682059999999999</v>
      </c>
      <c r="O796" s="181" t="s">
        <v>170</v>
      </c>
      <c r="P796" s="83" t="s">
        <v>148</v>
      </c>
      <c r="Q796" s="177" t="s">
        <v>149</v>
      </c>
      <c r="R796" s="83"/>
    </row>
    <row r="797" spans="1:18">
      <c r="A797" s="177">
        <v>80813629</v>
      </c>
      <c r="B797" s="177" t="s">
        <v>268</v>
      </c>
      <c r="C797" s="178" t="s">
        <v>150</v>
      </c>
      <c r="D797" s="177" t="s">
        <v>252</v>
      </c>
      <c r="E797" s="177" t="s">
        <v>205</v>
      </c>
      <c r="F797" s="179">
        <v>45996</v>
      </c>
      <c r="G797" s="177">
        <v>810</v>
      </c>
      <c r="H797" s="179">
        <v>45992</v>
      </c>
      <c r="I797" s="179" t="s">
        <v>253</v>
      </c>
      <c r="J797" s="83">
        <v>3500715372</v>
      </c>
      <c r="K797" s="179" t="s">
        <v>282</v>
      </c>
      <c r="L797" s="179">
        <v>45992</v>
      </c>
      <c r="M797" s="180">
        <v>45996</v>
      </c>
      <c r="N797" s="181">
        <v>1.4682059999999999</v>
      </c>
      <c r="O797" s="181" t="s">
        <v>170</v>
      </c>
      <c r="P797" s="83" t="s">
        <v>148</v>
      </c>
      <c r="Q797" s="177" t="s">
        <v>149</v>
      </c>
      <c r="R797" s="83"/>
    </row>
    <row r="798" spans="1:18">
      <c r="A798" s="177">
        <v>80820462</v>
      </c>
      <c r="B798" s="177" t="s">
        <v>269</v>
      </c>
      <c r="C798" s="178" t="s">
        <v>150</v>
      </c>
      <c r="D798" s="177" t="s">
        <v>252</v>
      </c>
      <c r="E798" s="177" t="s">
        <v>205</v>
      </c>
      <c r="F798" s="179">
        <v>45996</v>
      </c>
      <c r="G798" s="177">
        <v>1620</v>
      </c>
      <c r="H798" s="179">
        <v>45992</v>
      </c>
      <c r="I798" s="179" t="s">
        <v>253</v>
      </c>
      <c r="J798" s="83">
        <v>3500715373</v>
      </c>
      <c r="K798" s="179" t="s">
        <v>282</v>
      </c>
      <c r="L798" s="179">
        <v>45992</v>
      </c>
      <c r="M798" s="180">
        <v>45996</v>
      </c>
      <c r="N798" s="181">
        <v>2.9364119999999998</v>
      </c>
      <c r="O798" s="181" t="s">
        <v>170</v>
      </c>
      <c r="P798" s="83" t="s">
        <v>148</v>
      </c>
      <c r="Q798" s="177" t="s">
        <v>149</v>
      </c>
      <c r="R798" s="83"/>
    </row>
    <row r="799" spans="1:18">
      <c r="A799" s="177">
        <v>80820459</v>
      </c>
      <c r="B799" s="177" t="s">
        <v>271</v>
      </c>
      <c r="C799" s="178" t="s">
        <v>150</v>
      </c>
      <c r="D799" s="177" t="s">
        <v>252</v>
      </c>
      <c r="E799" s="177" t="s">
        <v>205</v>
      </c>
      <c r="F799" s="179">
        <v>45996</v>
      </c>
      <c r="G799" s="177">
        <v>810</v>
      </c>
      <c r="H799" s="179">
        <v>45992</v>
      </c>
      <c r="I799" s="179" t="s">
        <v>253</v>
      </c>
      <c r="J799" s="83">
        <v>3500715375</v>
      </c>
      <c r="K799" s="179" t="s">
        <v>282</v>
      </c>
      <c r="L799" s="179">
        <v>45992</v>
      </c>
      <c r="M799" s="180">
        <v>45996</v>
      </c>
      <c r="N799" s="181">
        <v>1.4682059999999999</v>
      </c>
      <c r="O799" s="181" t="s">
        <v>170</v>
      </c>
      <c r="P799" s="83" t="s">
        <v>148</v>
      </c>
      <c r="Q799" s="177" t="s">
        <v>149</v>
      </c>
      <c r="R799" s="83"/>
    </row>
    <row r="800" spans="1:18">
      <c r="A800" s="177">
        <v>80820464</v>
      </c>
      <c r="B800" s="177" t="s">
        <v>272</v>
      </c>
      <c r="C800" s="178" t="s">
        <v>150</v>
      </c>
      <c r="D800" s="177" t="s">
        <v>252</v>
      </c>
      <c r="E800" s="177" t="s">
        <v>205</v>
      </c>
      <c r="F800" s="179">
        <v>45996</v>
      </c>
      <c r="G800" s="177">
        <v>810</v>
      </c>
      <c r="H800" s="179">
        <v>45992</v>
      </c>
      <c r="I800" s="179" t="s">
        <v>253</v>
      </c>
      <c r="J800" s="83">
        <v>3500715376</v>
      </c>
      <c r="K800" s="179" t="s">
        <v>282</v>
      </c>
      <c r="L800" s="179">
        <v>45992</v>
      </c>
      <c r="M800" s="180">
        <v>45996</v>
      </c>
      <c r="N800" s="181">
        <v>1.4682059999999999</v>
      </c>
      <c r="O800" s="181" t="s">
        <v>170</v>
      </c>
      <c r="P800" s="83" t="s">
        <v>148</v>
      </c>
      <c r="Q800" s="177" t="s">
        <v>149</v>
      </c>
      <c r="R800" s="83"/>
    </row>
    <row r="801" spans="1:18">
      <c r="A801" s="177">
        <v>80820469</v>
      </c>
      <c r="B801" s="177" t="s">
        <v>273</v>
      </c>
      <c r="C801" s="178" t="s">
        <v>150</v>
      </c>
      <c r="D801" s="177" t="s">
        <v>252</v>
      </c>
      <c r="E801" s="177" t="s">
        <v>205</v>
      </c>
      <c r="F801" s="179">
        <v>45996</v>
      </c>
      <c r="G801" s="177">
        <v>1620</v>
      </c>
      <c r="H801" s="179">
        <v>45992</v>
      </c>
      <c r="I801" s="179" t="s">
        <v>253</v>
      </c>
      <c r="J801" s="83">
        <v>3500715377</v>
      </c>
      <c r="K801" s="179" t="s">
        <v>282</v>
      </c>
      <c r="L801" s="179">
        <v>45992</v>
      </c>
      <c r="M801" s="180">
        <v>45996</v>
      </c>
      <c r="N801" s="181">
        <v>2.9364119999999998</v>
      </c>
      <c r="O801" s="181" t="s">
        <v>170</v>
      </c>
      <c r="P801" s="83" t="s">
        <v>148</v>
      </c>
      <c r="Q801" s="177" t="s">
        <v>149</v>
      </c>
      <c r="R801" s="83"/>
    </row>
    <row r="802" spans="1:18">
      <c r="A802" s="177">
        <v>80880191</v>
      </c>
      <c r="B802" s="177" t="s">
        <v>185</v>
      </c>
      <c r="C802" s="178" t="s">
        <v>155</v>
      </c>
      <c r="D802" s="177" t="s">
        <v>275</v>
      </c>
      <c r="E802" s="177" t="s">
        <v>205</v>
      </c>
      <c r="F802" s="179">
        <v>45996</v>
      </c>
      <c r="G802" s="177">
        <v>2428</v>
      </c>
      <c r="H802" s="179">
        <v>45992</v>
      </c>
      <c r="I802" s="179" t="s">
        <v>253</v>
      </c>
      <c r="J802" s="83">
        <v>3500715578</v>
      </c>
      <c r="K802" s="179" t="s">
        <v>282</v>
      </c>
      <c r="L802" s="179">
        <v>45992</v>
      </c>
      <c r="M802" s="180">
        <v>45996</v>
      </c>
      <c r="N802" s="181">
        <v>4.4009928</v>
      </c>
      <c r="O802" s="181" t="s">
        <v>170</v>
      </c>
      <c r="P802" s="83" t="s">
        <v>148</v>
      </c>
      <c r="Q802" s="177" t="s">
        <v>149</v>
      </c>
      <c r="R802" s="83"/>
    </row>
    <row r="803" spans="1:18">
      <c r="A803" s="177">
        <v>80880197</v>
      </c>
      <c r="B803" s="177" t="s">
        <v>276</v>
      </c>
      <c r="C803" s="178" t="s">
        <v>155</v>
      </c>
      <c r="D803" s="177" t="s">
        <v>275</v>
      </c>
      <c r="E803" s="177" t="s">
        <v>205</v>
      </c>
      <c r="F803" s="179">
        <v>45996</v>
      </c>
      <c r="G803" s="177">
        <v>2428</v>
      </c>
      <c r="H803" s="179">
        <v>45992</v>
      </c>
      <c r="I803" s="179" t="s">
        <v>253</v>
      </c>
      <c r="J803" s="83">
        <v>3500715579</v>
      </c>
      <c r="K803" s="179" t="s">
        <v>282</v>
      </c>
      <c r="L803" s="179">
        <v>45992</v>
      </c>
      <c r="M803" s="180">
        <v>45996</v>
      </c>
      <c r="N803" s="181">
        <v>4.4009928</v>
      </c>
      <c r="O803" s="181" t="s">
        <v>170</v>
      </c>
      <c r="P803" s="83" t="s">
        <v>148</v>
      </c>
      <c r="Q803" s="177" t="s">
        <v>149</v>
      </c>
      <c r="R803" s="83"/>
    </row>
    <row r="804" spans="1:18">
      <c r="A804" s="177">
        <v>80880191</v>
      </c>
      <c r="B804" s="177" t="s">
        <v>185</v>
      </c>
      <c r="C804" s="178" t="s">
        <v>151</v>
      </c>
      <c r="D804" s="177" t="s">
        <v>275</v>
      </c>
      <c r="E804" s="177" t="s">
        <v>205</v>
      </c>
      <c r="F804" s="179">
        <v>45996</v>
      </c>
      <c r="G804" s="177">
        <v>2428</v>
      </c>
      <c r="H804" s="179">
        <v>45992</v>
      </c>
      <c r="I804" s="179" t="s">
        <v>253</v>
      </c>
      <c r="J804" s="83">
        <v>3500715580</v>
      </c>
      <c r="K804" s="179" t="s">
        <v>282</v>
      </c>
      <c r="L804" s="179">
        <v>45992</v>
      </c>
      <c r="M804" s="180">
        <v>45996</v>
      </c>
      <c r="N804" s="181">
        <v>4.4009928</v>
      </c>
      <c r="O804" s="181" t="s">
        <v>170</v>
      </c>
      <c r="P804" s="83" t="s">
        <v>148</v>
      </c>
      <c r="Q804" s="177" t="s">
        <v>149</v>
      </c>
      <c r="R804" s="83"/>
    </row>
    <row r="805" spans="1:18">
      <c r="A805" s="177">
        <v>80880197</v>
      </c>
      <c r="B805" s="177" t="s">
        <v>276</v>
      </c>
      <c r="C805" s="178" t="s">
        <v>151</v>
      </c>
      <c r="D805" s="177" t="s">
        <v>275</v>
      </c>
      <c r="E805" s="177" t="s">
        <v>205</v>
      </c>
      <c r="F805" s="179">
        <v>45996</v>
      </c>
      <c r="G805" s="177">
        <v>2428</v>
      </c>
      <c r="H805" s="179">
        <v>45992</v>
      </c>
      <c r="I805" s="179" t="s">
        <v>253</v>
      </c>
      <c r="J805" s="83">
        <v>3500715581</v>
      </c>
      <c r="K805" s="179" t="s">
        <v>282</v>
      </c>
      <c r="L805" s="179">
        <v>45992</v>
      </c>
      <c r="M805" s="180">
        <v>45996</v>
      </c>
      <c r="N805" s="181">
        <v>4.4009928</v>
      </c>
      <c r="O805" s="181" t="s">
        <v>170</v>
      </c>
      <c r="P805" s="83" t="s">
        <v>148</v>
      </c>
      <c r="Q805" s="177" t="s">
        <v>149</v>
      </c>
      <c r="R805" s="83"/>
    </row>
    <row r="806" spans="1:18">
      <c r="A806" s="177">
        <v>80880191</v>
      </c>
      <c r="B806" s="177" t="s">
        <v>185</v>
      </c>
      <c r="C806" s="178" t="s">
        <v>150</v>
      </c>
      <c r="D806" s="177" t="s">
        <v>275</v>
      </c>
      <c r="E806" s="177" t="s">
        <v>205</v>
      </c>
      <c r="F806" s="179">
        <v>45996</v>
      </c>
      <c r="G806" s="177">
        <v>2428</v>
      </c>
      <c r="H806" s="179">
        <v>45992</v>
      </c>
      <c r="I806" s="179" t="s">
        <v>253</v>
      </c>
      <c r="J806" s="83">
        <v>3500715582</v>
      </c>
      <c r="K806" s="179" t="s">
        <v>282</v>
      </c>
      <c r="L806" s="179">
        <v>45992</v>
      </c>
      <c r="M806" s="180">
        <v>45996</v>
      </c>
      <c r="N806" s="181">
        <v>4.4009928</v>
      </c>
      <c r="O806" s="181" t="s">
        <v>170</v>
      </c>
      <c r="P806" s="83" t="s">
        <v>148</v>
      </c>
      <c r="Q806" s="177" t="s">
        <v>149</v>
      </c>
      <c r="R806" s="83"/>
    </row>
    <row r="807" spans="1:18">
      <c r="A807" s="177">
        <v>80880197</v>
      </c>
      <c r="B807" s="177" t="s">
        <v>276</v>
      </c>
      <c r="C807" s="178" t="s">
        <v>150</v>
      </c>
      <c r="D807" s="177" t="s">
        <v>275</v>
      </c>
      <c r="E807" s="177" t="s">
        <v>205</v>
      </c>
      <c r="F807" s="179">
        <v>45996</v>
      </c>
      <c r="G807" s="177">
        <v>2428</v>
      </c>
      <c r="H807" s="179">
        <v>45992</v>
      </c>
      <c r="I807" s="179" t="s">
        <v>253</v>
      </c>
      <c r="J807" s="83">
        <v>3500715583</v>
      </c>
      <c r="K807" s="179" t="s">
        <v>282</v>
      </c>
      <c r="L807" s="179">
        <v>45992</v>
      </c>
      <c r="M807" s="180">
        <v>45996</v>
      </c>
      <c r="N807" s="181">
        <v>4.4009928</v>
      </c>
      <c r="O807" s="181" t="s">
        <v>170</v>
      </c>
      <c r="P807" s="83" t="s">
        <v>148</v>
      </c>
      <c r="Q807" s="177" t="s">
        <v>149</v>
      </c>
      <c r="R807" s="83"/>
    </row>
    <row r="808" spans="1:18">
      <c r="A808" s="177">
        <v>80859238</v>
      </c>
      <c r="B808" s="177" t="s">
        <v>283</v>
      </c>
      <c r="C808" s="178" t="s">
        <v>150</v>
      </c>
      <c r="D808" s="177" t="s">
        <v>284</v>
      </c>
      <c r="E808" s="177" t="s">
        <v>172</v>
      </c>
      <c r="F808" s="179">
        <v>45999</v>
      </c>
      <c r="G808" s="177">
        <v>2167</v>
      </c>
      <c r="H808" s="179">
        <v>45993</v>
      </c>
      <c r="I808" s="179" t="s">
        <v>175</v>
      </c>
      <c r="J808" s="83">
        <v>3501428170</v>
      </c>
      <c r="K808" s="179" t="s">
        <v>285</v>
      </c>
      <c r="L808" s="179">
        <v>45993</v>
      </c>
      <c r="M808" s="180">
        <v>45996</v>
      </c>
      <c r="N808" s="181">
        <v>3.3386969</v>
      </c>
      <c r="O808" s="181" t="s">
        <v>170</v>
      </c>
      <c r="P808" s="83" t="s">
        <v>148</v>
      </c>
      <c r="Q808" s="177" t="s">
        <v>149</v>
      </c>
      <c r="R808" s="83"/>
    </row>
    <row r="809" spans="1:18">
      <c r="A809" s="177">
        <v>80859240</v>
      </c>
      <c r="B809" s="177" t="s">
        <v>286</v>
      </c>
      <c r="C809" s="178" t="s">
        <v>150</v>
      </c>
      <c r="D809" s="177" t="s">
        <v>284</v>
      </c>
      <c r="E809" s="177" t="s">
        <v>172</v>
      </c>
      <c r="F809" s="179">
        <v>45999</v>
      </c>
      <c r="G809" s="177">
        <v>2434</v>
      </c>
      <c r="H809" s="179">
        <v>45993</v>
      </c>
      <c r="I809" s="179" t="s">
        <v>175</v>
      </c>
      <c r="J809" s="83">
        <v>3501428171</v>
      </c>
      <c r="K809" s="179" t="s">
        <v>285</v>
      </c>
      <c r="L809" s="179">
        <v>45993</v>
      </c>
      <c r="M809" s="180">
        <v>45996</v>
      </c>
      <c r="N809" s="181">
        <v>3.7500637999999999</v>
      </c>
      <c r="O809" s="181" t="s">
        <v>170</v>
      </c>
      <c r="P809" s="83" t="s">
        <v>148</v>
      </c>
      <c r="Q809" s="177" t="s">
        <v>149</v>
      </c>
      <c r="R809" s="83"/>
    </row>
    <row r="810" spans="1:18">
      <c r="A810" s="177">
        <v>80859242</v>
      </c>
      <c r="B810" s="177" t="s">
        <v>287</v>
      </c>
      <c r="C810" s="178" t="s">
        <v>150</v>
      </c>
      <c r="D810" s="177" t="s">
        <v>284</v>
      </c>
      <c r="E810" s="177" t="s">
        <v>172</v>
      </c>
      <c r="F810" s="179">
        <v>45999</v>
      </c>
      <c r="G810" s="177">
        <v>1420</v>
      </c>
      <c r="H810" s="179">
        <v>45993</v>
      </c>
      <c r="I810" s="179" t="s">
        <v>175</v>
      </c>
      <c r="J810" s="83">
        <v>3501428172</v>
      </c>
      <c r="K810" s="179" t="s">
        <v>285</v>
      </c>
      <c r="L810" s="179">
        <v>45993</v>
      </c>
      <c r="M810" s="180">
        <v>45996</v>
      </c>
      <c r="N810" s="181">
        <v>2.1877939999999998</v>
      </c>
      <c r="O810" s="181" t="s">
        <v>170</v>
      </c>
      <c r="P810" s="83" t="s">
        <v>148</v>
      </c>
      <c r="Q810" s="177" t="s">
        <v>149</v>
      </c>
      <c r="R810" s="83"/>
    </row>
    <row r="811" spans="1:18">
      <c r="A811" s="177">
        <v>80859226</v>
      </c>
      <c r="B811" s="177" t="s">
        <v>288</v>
      </c>
      <c r="C811" s="178" t="s">
        <v>150</v>
      </c>
      <c r="D811" s="177" t="s">
        <v>284</v>
      </c>
      <c r="E811" s="177" t="s">
        <v>172</v>
      </c>
      <c r="F811" s="179">
        <v>45999</v>
      </c>
      <c r="G811" s="177">
        <v>6002</v>
      </c>
      <c r="H811" s="179">
        <v>45993</v>
      </c>
      <c r="I811" s="179" t="s">
        <v>175</v>
      </c>
      <c r="J811" s="83">
        <v>3501428173</v>
      </c>
      <c r="K811" s="179" t="s">
        <v>285</v>
      </c>
      <c r="L811" s="179">
        <v>45993</v>
      </c>
      <c r="M811" s="180">
        <v>45996</v>
      </c>
      <c r="N811" s="181">
        <v>9.2472814000000003</v>
      </c>
      <c r="O811" s="181" t="s">
        <v>170</v>
      </c>
      <c r="P811" s="83" t="s">
        <v>148</v>
      </c>
      <c r="Q811" s="177" t="s">
        <v>149</v>
      </c>
      <c r="R811" s="83"/>
    </row>
    <row r="812" spans="1:18">
      <c r="A812" s="177">
        <v>80859250</v>
      </c>
      <c r="B812" s="177" t="s">
        <v>289</v>
      </c>
      <c r="C812" s="178" t="s">
        <v>150</v>
      </c>
      <c r="D812" s="177" t="s">
        <v>284</v>
      </c>
      <c r="E812" s="177" t="s">
        <v>172</v>
      </c>
      <c r="F812" s="179">
        <v>45999</v>
      </c>
      <c r="G812" s="177">
        <v>4935</v>
      </c>
      <c r="H812" s="179">
        <v>45993</v>
      </c>
      <c r="I812" s="179" t="s">
        <v>175</v>
      </c>
      <c r="J812" s="83">
        <v>3501428177</v>
      </c>
      <c r="K812" s="179" t="s">
        <v>285</v>
      </c>
      <c r="L812" s="179">
        <v>45993</v>
      </c>
      <c r="M812" s="180">
        <v>45996</v>
      </c>
      <c r="N812" s="181">
        <v>7.6033545</v>
      </c>
      <c r="O812" s="181" t="s">
        <v>170</v>
      </c>
      <c r="P812" s="83" t="s">
        <v>148</v>
      </c>
      <c r="Q812" s="177" t="s">
        <v>149</v>
      </c>
      <c r="R812" s="83"/>
    </row>
    <row r="813" spans="1:18">
      <c r="A813" s="177">
        <v>80859227</v>
      </c>
      <c r="B813" s="177" t="s">
        <v>290</v>
      </c>
      <c r="C813" s="178" t="s">
        <v>150</v>
      </c>
      <c r="D813" s="177" t="s">
        <v>284</v>
      </c>
      <c r="E813" s="177" t="s">
        <v>172</v>
      </c>
      <c r="F813" s="179">
        <v>45999</v>
      </c>
      <c r="G813" s="177">
        <v>4464</v>
      </c>
      <c r="H813" s="179">
        <v>45993</v>
      </c>
      <c r="I813" s="179" t="s">
        <v>175</v>
      </c>
      <c r="J813" s="83">
        <v>3501428180</v>
      </c>
      <c r="K813" s="179" t="s">
        <v>285</v>
      </c>
      <c r="L813" s="179">
        <v>45993</v>
      </c>
      <c r="M813" s="180">
        <v>45996</v>
      </c>
      <c r="N813" s="181">
        <v>6.8776847999999999</v>
      </c>
      <c r="O813" s="181" t="s">
        <v>170</v>
      </c>
      <c r="P813" s="83" t="s">
        <v>148</v>
      </c>
      <c r="Q813" s="177" t="s">
        <v>149</v>
      </c>
      <c r="R813" s="83"/>
    </row>
    <row r="814" spans="1:18">
      <c r="A814" s="177">
        <v>80859232</v>
      </c>
      <c r="B814" s="177" t="s">
        <v>291</v>
      </c>
      <c r="C814" s="178" t="s">
        <v>150</v>
      </c>
      <c r="D814" s="177" t="s">
        <v>284</v>
      </c>
      <c r="E814" s="177" t="s">
        <v>172</v>
      </c>
      <c r="F814" s="179">
        <v>45999</v>
      </c>
      <c r="G814" s="177">
        <v>5307</v>
      </c>
      <c r="H814" s="179">
        <v>45993</v>
      </c>
      <c r="I814" s="179" t="s">
        <v>175</v>
      </c>
      <c r="J814" s="83">
        <v>3501428183</v>
      </c>
      <c r="K814" s="179" t="s">
        <v>285</v>
      </c>
      <c r="L814" s="179">
        <v>45993</v>
      </c>
      <c r="M814" s="180">
        <v>45996</v>
      </c>
      <c r="N814" s="181">
        <v>8.6573091000000009</v>
      </c>
      <c r="O814" s="181" t="s">
        <v>170</v>
      </c>
      <c r="P814" s="83" t="s">
        <v>148</v>
      </c>
      <c r="Q814" s="177" t="s">
        <v>149</v>
      </c>
      <c r="R814" s="83"/>
    </row>
    <row r="815" spans="1:18">
      <c r="A815" s="177">
        <v>80859233</v>
      </c>
      <c r="B815" s="177" t="s">
        <v>292</v>
      </c>
      <c r="C815" s="178" t="s">
        <v>150</v>
      </c>
      <c r="D815" s="177" t="s">
        <v>284</v>
      </c>
      <c r="E815" s="177" t="s">
        <v>172</v>
      </c>
      <c r="F815" s="179">
        <v>45999</v>
      </c>
      <c r="G815" s="177">
        <v>3653</v>
      </c>
      <c r="H815" s="179">
        <v>45993</v>
      </c>
      <c r="I815" s="179" t="s">
        <v>175</v>
      </c>
      <c r="J815" s="83">
        <v>3501428185</v>
      </c>
      <c r="K815" s="179" t="s">
        <v>285</v>
      </c>
      <c r="L815" s="179">
        <v>45993</v>
      </c>
      <c r="M815" s="180">
        <v>45996</v>
      </c>
      <c r="N815" s="181">
        <v>5.9591389000000001</v>
      </c>
      <c r="O815" s="181" t="s">
        <v>170</v>
      </c>
      <c r="P815" s="83" t="s">
        <v>148</v>
      </c>
      <c r="Q815" s="177" t="s">
        <v>149</v>
      </c>
      <c r="R815" s="83"/>
    </row>
    <row r="816" spans="1:18">
      <c r="A816" s="177">
        <v>80859236</v>
      </c>
      <c r="B816" s="177" t="s">
        <v>293</v>
      </c>
      <c r="C816" s="178" t="s">
        <v>150</v>
      </c>
      <c r="D816" s="177" t="s">
        <v>284</v>
      </c>
      <c r="E816" s="177" t="s">
        <v>172</v>
      </c>
      <c r="F816" s="179">
        <v>45999</v>
      </c>
      <c r="G816" s="177">
        <v>2147</v>
      </c>
      <c r="H816" s="179">
        <v>45993</v>
      </c>
      <c r="I816" s="179" t="s">
        <v>175</v>
      </c>
      <c r="J816" s="83">
        <v>3501428188</v>
      </c>
      <c r="K816" s="179" t="s">
        <v>285</v>
      </c>
      <c r="L816" s="179">
        <v>45993</v>
      </c>
      <c r="M816" s="180">
        <v>45996</v>
      </c>
      <c r="N816" s="181">
        <v>3.5024011000000002</v>
      </c>
      <c r="O816" s="181" t="s">
        <v>170</v>
      </c>
      <c r="P816" s="83" t="s">
        <v>148</v>
      </c>
      <c r="Q816" s="177" t="s">
        <v>149</v>
      </c>
      <c r="R816" s="83"/>
    </row>
    <row r="817" spans="1:18">
      <c r="A817" s="177">
        <v>80859241</v>
      </c>
      <c r="B817" s="177" t="s">
        <v>294</v>
      </c>
      <c r="C817" s="178" t="s">
        <v>150</v>
      </c>
      <c r="D817" s="177" t="s">
        <v>284</v>
      </c>
      <c r="E817" s="177" t="s">
        <v>172</v>
      </c>
      <c r="F817" s="179">
        <v>45999</v>
      </c>
      <c r="G817" s="177">
        <v>3362</v>
      </c>
      <c r="H817" s="179">
        <v>45993</v>
      </c>
      <c r="I817" s="179" t="s">
        <v>175</v>
      </c>
      <c r="J817" s="83">
        <v>3501428190</v>
      </c>
      <c r="K817" s="179" t="s">
        <v>285</v>
      </c>
      <c r="L817" s="179">
        <v>45993</v>
      </c>
      <c r="M817" s="180">
        <v>45996</v>
      </c>
      <c r="N817" s="181">
        <v>5.4844305999999996</v>
      </c>
      <c r="O817" s="181" t="s">
        <v>170</v>
      </c>
      <c r="P817" s="83" t="s">
        <v>148</v>
      </c>
      <c r="Q817" s="177" t="s">
        <v>149</v>
      </c>
      <c r="R817" s="83"/>
    </row>
    <row r="818" spans="1:18">
      <c r="A818" s="177">
        <v>80859244</v>
      </c>
      <c r="B818" s="177" t="s">
        <v>295</v>
      </c>
      <c r="C818" s="178" t="s">
        <v>150</v>
      </c>
      <c r="D818" s="177" t="s">
        <v>284</v>
      </c>
      <c r="E818" s="177" t="s">
        <v>172</v>
      </c>
      <c r="F818" s="179">
        <v>45999</v>
      </c>
      <c r="G818" s="177">
        <v>897</v>
      </c>
      <c r="H818" s="179">
        <v>45993</v>
      </c>
      <c r="I818" s="179" t="s">
        <v>175</v>
      </c>
      <c r="J818" s="83">
        <v>3501428193</v>
      </c>
      <c r="K818" s="179" t="s">
        <v>285</v>
      </c>
      <c r="L818" s="179">
        <v>45993</v>
      </c>
      <c r="M818" s="180">
        <v>45996</v>
      </c>
      <c r="N818" s="181">
        <v>1.4632761000000001</v>
      </c>
      <c r="O818" s="181" t="s">
        <v>170</v>
      </c>
      <c r="P818" s="83" t="s">
        <v>148</v>
      </c>
      <c r="Q818" s="177" t="s">
        <v>149</v>
      </c>
      <c r="R818" s="83"/>
    </row>
    <row r="819" spans="1:18">
      <c r="A819" s="177">
        <v>80859246</v>
      </c>
      <c r="B819" s="177" t="s">
        <v>296</v>
      </c>
      <c r="C819" s="178" t="s">
        <v>150</v>
      </c>
      <c r="D819" s="177" t="s">
        <v>284</v>
      </c>
      <c r="E819" s="177" t="s">
        <v>172</v>
      </c>
      <c r="F819" s="179">
        <v>45999</v>
      </c>
      <c r="G819" s="177">
        <v>2721</v>
      </c>
      <c r="H819" s="179">
        <v>45993</v>
      </c>
      <c r="I819" s="179" t="s">
        <v>175</v>
      </c>
      <c r="J819" s="83">
        <v>3501428196</v>
      </c>
      <c r="K819" s="179" t="s">
        <v>285</v>
      </c>
      <c r="L819" s="179">
        <v>45993</v>
      </c>
      <c r="M819" s="180">
        <v>45996</v>
      </c>
      <c r="N819" s="181">
        <v>4.4387673000000003</v>
      </c>
      <c r="O819" s="181" t="s">
        <v>170</v>
      </c>
      <c r="P819" s="83" t="s">
        <v>148</v>
      </c>
      <c r="Q819" s="177" t="s">
        <v>149</v>
      </c>
      <c r="R819" s="83"/>
    </row>
    <row r="820" spans="1:18">
      <c r="A820" s="177">
        <v>80859229</v>
      </c>
      <c r="B820" s="177" t="s">
        <v>297</v>
      </c>
      <c r="C820" s="178" t="s">
        <v>150</v>
      </c>
      <c r="D820" s="177" t="s">
        <v>284</v>
      </c>
      <c r="E820" s="177" t="s">
        <v>172</v>
      </c>
      <c r="F820" s="179">
        <v>45999</v>
      </c>
      <c r="G820" s="177">
        <v>1637</v>
      </c>
      <c r="H820" s="179">
        <v>45993</v>
      </c>
      <c r="I820" s="179" t="s">
        <v>175</v>
      </c>
      <c r="J820" s="83">
        <v>3501428198</v>
      </c>
      <c r="K820" s="179" t="s">
        <v>285</v>
      </c>
      <c r="L820" s="179">
        <v>45993</v>
      </c>
      <c r="M820" s="180">
        <v>45996</v>
      </c>
      <c r="N820" s="181">
        <v>5.5635082000000002</v>
      </c>
      <c r="O820" s="181" t="s">
        <v>170</v>
      </c>
      <c r="P820" s="83" t="s">
        <v>148</v>
      </c>
      <c r="Q820" s="177" t="s">
        <v>149</v>
      </c>
      <c r="R820" s="83"/>
    </row>
    <row r="821" spans="1:18">
      <c r="A821" s="177">
        <v>80859231</v>
      </c>
      <c r="B821" s="177" t="s">
        <v>298</v>
      </c>
      <c r="C821" s="178" t="s">
        <v>150</v>
      </c>
      <c r="D821" s="177" t="s">
        <v>284</v>
      </c>
      <c r="E821" s="177" t="s">
        <v>172</v>
      </c>
      <c r="F821" s="179">
        <v>45999</v>
      </c>
      <c r="G821" s="177">
        <v>1196</v>
      </c>
      <c r="H821" s="179">
        <v>45993</v>
      </c>
      <c r="I821" s="179" t="s">
        <v>175</v>
      </c>
      <c r="J821" s="83">
        <v>3501428201</v>
      </c>
      <c r="K821" s="179" t="s">
        <v>285</v>
      </c>
      <c r="L821" s="179">
        <v>45993</v>
      </c>
      <c r="M821" s="180">
        <v>45996</v>
      </c>
      <c r="N821" s="181">
        <v>4.0647256</v>
      </c>
      <c r="O821" s="181" t="s">
        <v>170</v>
      </c>
      <c r="P821" s="83" t="s">
        <v>148</v>
      </c>
      <c r="Q821" s="177" t="s">
        <v>149</v>
      </c>
      <c r="R821" s="83"/>
    </row>
    <row r="822" spans="1:18">
      <c r="A822" s="177">
        <v>80859235</v>
      </c>
      <c r="B822" s="177" t="s">
        <v>299</v>
      </c>
      <c r="C822" s="178" t="s">
        <v>150</v>
      </c>
      <c r="D822" s="177" t="s">
        <v>284</v>
      </c>
      <c r="E822" s="177" t="s">
        <v>172</v>
      </c>
      <c r="F822" s="179">
        <v>45999</v>
      </c>
      <c r="G822" s="177">
        <v>2129</v>
      </c>
      <c r="H822" s="179">
        <v>45993</v>
      </c>
      <c r="I822" s="179" t="s">
        <v>175</v>
      </c>
      <c r="J822" s="83">
        <v>3501428204</v>
      </c>
      <c r="K822" s="179" t="s">
        <v>285</v>
      </c>
      <c r="L822" s="179">
        <v>45993</v>
      </c>
      <c r="M822" s="180">
        <v>45996</v>
      </c>
      <c r="N822" s="181">
        <v>7.2356194</v>
      </c>
      <c r="O822" s="181" t="s">
        <v>170</v>
      </c>
      <c r="P822" s="83" t="s">
        <v>148</v>
      </c>
      <c r="Q822" s="177" t="s">
        <v>149</v>
      </c>
      <c r="R822" s="83"/>
    </row>
    <row r="823" spans="1:18">
      <c r="A823" s="177">
        <v>80859239</v>
      </c>
      <c r="B823" s="177" t="s">
        <v>300</v>
      </c>
      <c r="C823" s="178" t="s">
        <v>150</v>
      </c>
      <c r="D823" s="177" t="s">
        <v>284</v>
      </c>
      <c r="E823" s="177" t="s">
        <v>172</v>
      </c>
      <c r="F823" s="179">
        <v>45999</v>
      </c>
      <c r="G823" s="177">
        <v>3335</v>
      </c>
      <c r="H823" s="179">
        <v>45993</v>
      </c>
      <c r="I823" s="179" t="s">
        <v>175</v>
      </c>
      <c r="J823" s="83">
        <v>3501428207</v>
      </c>
      <c r="K823" s="179" t="s">
        <v>285</v>
      </c>
      <c r="L823" s="179">
        <v>45993</v>
      </c>
      <c r="M823" s="180">
        <v>45996</v>
      </c>
      <c r="N823" s="181">
        <v>11.334331000000001</v>
      </c>
      <c r="O823" s="181" t="s">
        <v>170</v>
      </c>
      <c r="P823" s="83" t="s">
        <v>148</v>
      </c>
      <c r="Q823" s="177" t="s">
        <v>149</v>
      </c>
      <c r="R823" s="83"/>
    </row>
    <row r="824" spans="1:18">
      <c r="A824" s="177">
        <v>80859243</v>
      </c>
      <c r="B824" s="177" t="s">
        <v>301</v>
      </c>
      <c r="C824" s="178" t="s">
        <v>150</v>
      </c>
      <c r="D824" s="177" t="s">
        <v>284</v>
      </c>
      <c r="E824" s="177" t="s">
        <v>172</v>
      </c>
      <c r="F824" s="179">
        <v>45999</v>
      </c>
      <c r="G824" s="177">
        <v>667</v>
      </c>
      <c r="H824" s="179">
        <v>45993</v>
      </c>
      <c r="I824" s="179" t="s">
        <v>175</v>
      </c>
      <c r="J824" s="83">
        <v>3501428211</v>
      </c>
      <c r="K824" s="179" t="s">
        <v>285</v>
      </c>
      <c r="L824" s="179">
        <v>45993</v>
      </c>
      <c r="M824" s="180">
        <v>45996</v>
      </c>
      <c r="N824" s="181">
        <v>2.2668661999999999</v>
      </c>
      <c r="O824" s="181" t="s">
        <v>170</v>
      </c>
      <c r="P824" s="83" t="s">
        <v>148</v>
      </c>
      <c r="Q824" s="177" t="s">
        <v>149</v>
      </c>
      <c r="R824" s="83"/>
    </row>
    <row r="825" spans="1:18">
      <c r="A825" s="177">
        <v>80859245</v>
      </c>
      <c r="B825" s="177" t="s">
        <v>302</v>
      </c>
      <c r="C825" s="178" t="s">
        <v>150</v>
      </c>
      <c r="D825" s="177" t="s">
        <v>284</v>
      </c>
      <c r="E825" s="177" t="s">
        <v>172</v>
      </c>
      <c r="F825" s="179">
        <v>45999</v>
      </c>
      <c r="G825" s="177">
        <v>2069</v>
      </c>
      <c r="H825" s="179">
        <v>45993</v>
      </c>
      <c r="I825" s="179" t="s">
        <v>175</v>
      </c>
      <c r="J825" s="83">
        <v>3501428213</v>
      </c>
      <c r="K825" s="179" t="s">
        <v>285</v>
      </c>
      <c r="L825" s="179">
        <v>45993</v>
      </c>
      <c r="M825" s="180">
        <v>45996</v>
      </c>
      <c r="N825" s="181">
        <v>7.0317033999999996</v>
      </c>
      <c r="O825" s="181" t="s">
        <v>170</v>
      </c>
      <c r="P825" s="83" t="s">
        <v>148</v>
      </c>
      <c r="Q825" s="177" t="s">
        <v>149</v>
      </c>
      <c r="R825" s="83"/>
    </row>
    <row r="826" spans="1:18">
      <c r="A826" s="177">
        <v>80841222</v>
      </c>
      <c r="B826" s="177" t="s">
        <v>303</v>
      </c>
      <c r="C826" s="178" t="s">
        <v>151</v>
      </c>
      <c r="D826" s="177" t="s">
        <v>304</v>
      </c>
      <c r="E826" s="177" t="s">
        <v>172</v>
      </c>
      <c r="F826" s="179">
        <v>45999</v>
      </c>
      <c r="G826" s="177">
        <v>1088</v>
      </c>
      <c r="H826" s="179">
        <v>45993</v>
      </c>
      <c r="I826" s="179" t="s">
        <v>175</v>
      </c>
      <c r="J826" s="83">
        <v>3501428216</v>
      </c>
      <c r="K826" s="179" t="s">
        <v>305</v>
      </c>
      <c r="L826" s="179">
        <v>45993</v>
      </c>
      <c r="M826" s="180">
        <v>45996</v>
      </c>
      <c r="N826" s="181">
        <v>3.6976768</v>
      </c>
      <c r="O826" s="181" t="s">
        <v>170</v>
      </c>
      <c r="P826" s="83" t="s">
        <v>148</v>
      </c>
      <c r="Q826" s="177" t="s">
        <v>149</v>
      </c>
      <c r="R826" s="83"/>
    </row>
    <row r="827" spans="1:18">
      <c r="A827" s="177">
        <v>80841219</v>
      </c>
      <c r="B827" s="177" t="s">
        <v>306</v>
      </c>
      <c r="C827" s="178" t="s">
        <v>151</v>
      </c>
      <c r="D827" s="177" t="s">
        <v>304</v>
      </c>
      <c r="E827" s="177" t="s">
        <v>172</v>
      </c>
      <c r="F827" s="179">
        <v>45999</v>
      </c>
      <c r="G827" s="177">
        <v>268</v>
      </c>
      <c r="H827" s="179">
        <v>45993</v>
      </c>
      <c r="I827" s="179" t="s">
        <v>175</v>
      </c>
      <c r="J827" s="83">
        <v>3501428218</v>
      </c>
      <c r="K827" s="179" t="s">
        <v>305</v>
      </c>
      <c r="L827" s="179">
        <v>45993</v>
      </c>
      <c r="M827" s="180">
        <v>45996</v>
      </c>
      <c r="N827" s="181">
        <v>0.91082479999999999</v>
      </c>
      <c r="O827" s="181" t="s">
        <v>170</v>
      </c>
      <c r="P827" s="83" t="s">
        <v>148</v>
      </c>
      <c r="Q827" s="177" t="s">
        <v>149</v>
      </c>
      <c r="R827" s="83"/>
    </row>
    <row r="828" spans="1:18">
      <c r="A828" s="177">
        <v>80841221</v>
      </c>
      <c r="B828" s="177" t="s">
        <v>307</v>
      </c>
      <c r="C828" s="178" t="s">
        <v>151</v>
      </c>
      <c r="D828" s="177" t="s">
        <v>304</v>
      </c>
      <c r="E828" s="177" t="s">
        <v>172</v>
      </c>
      <c r="F828" s="179">
        <v>45999</v>
      </c>
      <c r="G828" s="177">
        <v>994</v>
      </c>
      <c r="H828" s="179">
        <v>45993</v>
      </c>
      <c r="I828" s="179" t="s">
        <v>175</v>
      </c>
      <c r="J828" s="83">
        <v>3501428221</v>
      </c>
      <c r="K828" s="179" t="s">
        <v>305</v>
      </c>
      <c r="L828" s="179">
        <v>45993</v>
      </c>
      <c r="M828" s="180">
        <v>45996</v>
      </c>
      <c r="N828" s="181">
        <v>3.3782084000000001</v>
      </c>
      <c r="O828" s="181" t="s">
        <v>170</v>
      </c>
      <c r="P828" s="83" t="s">
        <v>148</v>
      </c>
      <c r="Q828" s="177" t="s">
        <v>149</v>
      </c>
      <c r="R828" s="83"/>
    </row>
    <row r="829" spans="1:18">
      <c r="A829" s="177">
        <v>80841220</v>
      </c>
      <c r="B829" s="177" t="s">
        <v>308</v>
      </c>
      <c r="C829" s="178" t="s">
        <v>151</v>
      </c>
      <c r="D829" s="177" t="s">
        <v>304</v>
      </c>
      <c r="E829" s="177" t="s">
        <v>172</v>
      </c>
      <c r="F829" s="179">
        <v>45999</v>
      </c>
      <c r="G829" s="177">
        <v>423</v>
      </c>
      <c r="H829" s="179">
        <v>45993</v>
      </c>
      <c r="I829" s="179" t="s">
        <v>175</v>
      </c>
      <c r="J829" s="83">
        <v>3501428223</v>
      </c>
      <c r="K829" s="179" t="s">
        <v>305</v>
      </c>
      <c r="L829" s="179">
        <v>45993</v>
      </c>
      <c r="M829" s="180">
        <v>45996</v>
      </c>
      <c r="N829" s="181">
        <v>1.4376078000000001</v>
      </c>
      <c r="O829" s="181" t="s">
        <v>170</v>
      </c>
      <c r="P829" s="83" t="s">
        <v>148</v>
      </c>
      <c r="Q829" s="177" t="s">
        <v>149</v>
      </c>
      <c r="R829" s="83"/>
    </row>
    <row r="830" spans="1:18">
      <c r="A830" s="177">
        <v>80813608</v>
      </c>
      <c r="B830" s="177" t="s">
        <v>309</v>
      </c>
      <c r="C830" s="178" t="s">
        <v>151</v>
      </c>
      <c r="D830" s="177" t="s">
        <v>304</v>
      </c>
      <c r="E830" s="177" t="s">
        <v>172</v>
      </c>
      <c r="F830" s="179">
        <v>45999</v>
      </c>
      <c r="G830" s="177">
        <v>2610</v>
      </c>
      <c r="H830" s="179">
        <v>45993</v>
      </c>
      <c r="I830" s="179" t="s">
        <v>175</v>
      </c>
      <c r="J830" s="83">
        <v>3501428226</v>
      </c>
      <c r="K830" s="179" t="s">
        <v>305</v>
      </c>
      <c r="L830" s="179">
        <v>45993</v>
      </c>
      <c r="M830" s="180">
        <v>45996</v>
      </c>
      <c r="N830" s="181">
        <v>8.8703459999999996</v>
      </c>
      <c r="O830" s="181" t="s">
        <v>170</v>
      </c>
      <c r="P830" s="83" t="s">
        <v>148</v>
      </c>
      <c r="Q830" s="177" t="s">
        <v>149</v>
      </c>
      <c r="R830" s="83"/>
    </row>
    <row r="831" spans="1:18">
      <c r="A831" s="177">
        <v>80813635</v>
      </c>
      <c r="B831" s="177" t="s">
        <v>310</v>
      </c>
      <c r="C831" s="178" t="s">
        <v>151</v>
      </c>
      <c r="D831" s="177" t="s">
        <v>304</v>
      </c>
      <c r="E831" s="177" t="s">
        <v>172</v>
      </c>
      <c r="F831" s="179">
        <v>45999</v>
      </c>
      <c r="G831" s="177">
        <v>2286</v>
      </c>
      <c r="H831" s="179">
        <v>45993</v>
      </c>
      <c r="I831" s="179" t="s">
        <v>175</v>
      </c>
      <c r="J831" s="83">
        <v>3501428228</v>
      </c>
      <c r="K831" s="179" t="s">
        <v>305</v>
      </c>
      <c r="L831" s="179">
        <v>45993</v>
      </c>
      <c r="M831" s="180">
        <v>45996</v>
      </c>
      <c r="N831" s="181">
        <v>7.7691996000000003</v>
      </c>
      <c r="O831" s="181" t="s">
        <v>170</v>
      </c>
      <c r="P831" s="83" t="s">
        <v>148</v>
      </c>
      <c r="Q831" s="177" t="s">
        <v>149</v>
      </c>
      <c r="R831" s="83"/>
    </row>
    <row r="832" spans="1:18">
      <c r="A832" s="177">
        <v>80813626</v>
      </c>
      <c r="B832" s="177" t="s">
        <v>311</v>
      </c>
      <c r="C832" s="178" t="s">
        <v>151</v>
      </c>
      <c r="D832" s="177" t="s">
        <v>304</v>
      </c>
      <c r="E832" s="177" t="s">
        <v>172</v>
      </c>
      <c r="F832" s="179">
        <v>45999</v>
      </c>
      <c r="G832" s="177">
        <v>1647</v>
      </c>
      <c r="H832" s="179">
        <v>45993</v>
      </c>
      <c r="I832" s="179" t="s">
        <v>175</v>
      </c>
      <c r="J832" s="83">
        <v>3501428231</v>
      </c>
      <c r="K832" s="179" t="s">
        <v>305</v>
      </c>
      <c r="L832" s="179">
        <v>45993</v>
      </c>
      <c r="M832" s="180">
        <v>45996</v>
      </c>
      <c r="N832" s="181">
        <v>5.5974941999999999</v>
      </c>
      <c r="O832" s="181" t="s">
        <v>170</v>
      </c>
      <c r="P832" s="83" t="s">
        <v>148</v>
      </c>
      <c r="Q832" s="177" t="s">
        <v>149</v>
      </c>
      <c r="R832" s="83"/>
    </row>
    <row r="833" spans="1:18">
      <c r="A833" s="177">
        <v>80813618</v>
      </c>
      <c r="B833" s="177" t="s">
        <v>312</v>
      </c>
      <c r="C833" s="178" t="s">
        <v>151</v>
      </c>
      <c r="D833" s="177" t="s">
        <v>304</v>
      </c>
      <c r="E833" s="177" t="s">
        <v>172</v>
      </c>
      <c r="F833" s="179">
        <v>45999</v>
      </c>
      <c r="G833" s="177">
        <v>1249</v>
      </c>
      <c r="H833" s="179">
        <v>45993</v>
      </c>
      <c r="I833" s="179" t="s">
        <v>175</v>
      </c>
      <c r="J833" s="83">
        <v>3501428234</v>
      </c>
      <c r="K833" s="179" t="s">
        <v>305</v>
      </c>
      <c r="L833" s="179">
        <v>45993</v>
      </c>
      <c r="M833" s="180">
        <v>45996</v>
      </c>
      <c r="N833" s="181">
        <v>4.2448513999999999</v>
      </c>
      <c r="O833" s="181" t="s">
        <v>170</v>
      </c>
      <c r="P833" s="83" t="s">
        <v>148</v>
      </c>
      <c r="Q833" s="177" t="s">
        <v>149</v>
      </c>
      <c r="R833" s="83"/>
    </row>
    <row r="834" spans="1:18">
      <c r="A834" s="177">
        <v>80812166</v>
      </c>
      <c r="B834" s="177" t="s">
        <v>313</v>
      </c>
      <c r="C834" s="178" t="s">
        <v>151</v>
      </c>
      <c r="D834" s="177" t="s">
        <v>304</v>
      </c>
      <c r="E834" s="177" t="s">
        <v>172</v>
      </c>
      <c r="F834" s="179">
        <v>45999</v>
      </c>
      <c r="G834" s="177">
        <v>543</v>
      </c>
      <c r="H834" s="179">
        <v>45993</v>
      </c>
      <c r="I834" s="179" t="s">
        <v>175</v>
      </c>
      <c r="J834" s="83">
        <v>3501428237</v>
      </c>
      <c r="K834" s="179" t="s">
        <v>305</v>
      </c>
      <c r="L834" s="179">
        <v>45993</v>
      </c>
      <c r="M834" s="180">
        <v>45996</v>
      </c>
      <c r="N834" s="181">
        <v>1.8454398000000001</v>
      </c>
      <c r="O834" s="181" t="s">
        <v>170</v>
      </c>
      <c r="P834" s="83" t="s">
        <v>148</v>
      </c>
      <c r="Q834" s="177" t="s">
        <v>149</v>
      </c>
      <c r="R834" s="83"/>
    </row>
    <row r="835" spans="1:18">
      <c r="A835" s="177">
        <v>80820455</v>
      </c>
      <c r="B835" s="177" t="s">
        <v>314</v>
      </c>
      <c r="C835" s="178" t="s">
        <v>151</v>
      </c>
      <c r="D835" s="177" t="s">
        <v>304</v>
      </c>
      <c r="E835" s="177" t="s">
        <v>172</v>
      </c>
      <c r="F835" s="179">
        <v>45999</v>
      </c>
      <c r="G835" s="177">
        <v>1050</v>
      </c>
      <c r="H835" s="179">
        <v>45993</v>
      </c>
      <c r="I835" s="179" t="s">
        <v>175</v>
      </c>
      <c r="J835" s="83">
        <v>3501428261</v>
      </c>
      <c r="K835" s="179" t="s">
        <v>305</v>
      </c>
      <c r="L835" s="179">
        <v>45993</v>
      </c>
      <c r="M835" s="180">
        <v>45996</v>
      </c>
      <c r="N835" s="181">
        <v>3.56853</v>
      </c>
      <c r="O835" s="181" t="s">
        <v>170</v>
      </c>
      <c r="P835" s="83" t="s">
        <v>148</v>
      </c>
      <c r="Q835" s="177" t="s">
        <v>149</v>
      </c>
      <c r="R835" s="83"/>
    </row>
    <row r="836" spans="1:18">
      <c r="A836" s="177">
        <v>80820463</v>
      </c>
      <c r="B836" s="177" t="s">
        <v>315</v>
      </c>
      <c r="C836" s="178" t="s">
        <v>151</v>
      </c>
      <c r="D836" s="177" t="s">
        <v>304</v>
      </c>
      <c r="E836" s="177" t="s">
        <v>172</v>
      </c>
      <c r="F836" s="179">
        <v>45999</v>
      </c>
      <c r="G836" s="177">
        <v>498</v>
      </c>
      <c r="H836" s="179">
        <v>45993</v>
      </c>
      <c r="I836" s="179" t="s">
        <v>175</v>
      </c>
      <c r="J836" s="83">
        <v>3501428264</v>
      </c>
      <c r="K836" s="179" t="s">
        <v>305</v>
      </c>
      <c r="L836" s="179">
        <v>45993</v>
      </c>
      <c r="M836" s="180">
        <v>45996</v>
      </c>
      <c r="N836" s="181">
        <v>1.6925028</v>
      </c>
      <c r="O836" s="181" t="s">
        <v>170</v>
      </c>
      <c r="P836" s="83" t="s">
        <v>148</v>
      </c>
      <c r="Q836" s="177" t="s">
        <v>149</v>
      </c>
      <c r="R836" s="83"/>
    </row>
    <row r="837" spans="1:18">
      <c r="A837" s="177">
        <v>80820458</v>
      </c>
      <c r="B837" s="177" t="s">
        <v>316</v>
      </c>
      <c r="C837" s="178" t="s">
        <v>151</v>
      </c>
      <c r="D837" s="177" t="s">
        <v>304</v>
      </c>
      <c r="E837" s="177" t="s">
        <v>172</v>
      </c>
      <c r="F837" s="179">
        <v>45999</v>
      </c>
      <c r="G837" s="177">
        <v>1552</v>
      </c>
      <c r="H837" s="179">
        <v>45993</v>
      </c>
      <c r="I837" s="179" t="s">
        <v>175</v>
      </c>
      <c r="J837" s="83">
        <v>3501428267</v>
      </c>
      <c r="K837" s="179" t="s">
        <v>305</v>
      </c>
      <c r="L837" s="179">
        <v>45993</v>
      </c>
      <c r="M837" s="180">
        <v>45996</v>
      </c>
      <c r="N837" s="181">
        <v>5.2746272000000003</v>
      </c>
      <c r="O837" s="181" t="s">
        <v>170</v>
      </c>
      <c r="P837" s="83" t="s">
        <v>148</v>
      </c>
      <c r="Q837" s="177" t="s">
        <v>149</v>
      </c>
      <c r="R837" s="83"/>
    </row>
    <row r="838" spans="1:18">
      <c r="A838" s="177">
        <v>80820478</v>
      </c>
      <c r="B838" s="177" t="s">
        <v>317</v>
      </c>
      <c r="C838" s="178" t="s">
        <v>151</v>
      </c>
      <c r="D838" s="177" t="s">
        <v>304</v>
      </c>
      <c r="E838" s="177" t="s">
        <v>172</v>
      </c>
      <c r="F838" s="179">
        <v>45999</v>
      </c>
      <c r="G838" s="177">
        <v>562</v>
      </c>
      <c r="H838" s="179">
        <v>45993</v>
      </c>
      <c r="I838" s="179" t="s">
        <v>175</v>
      </c>
      <c r="J838" s="83">
        <v>3501428269</v>
      </c>
      <c r="K838" s="179" t="s">
        <v>305</v>
      </c>
      <c r="L838" s="179">
        <v>45993</v>
      </c>
      <c r="M838" s="180">
        <v>45996</v>
      </c>
      <c r="N838" s="181">
        <v>1.9100132000000001</v>
      </c>
      <c r="O838" s="181" t="s">
        <v>170</v>
      </c>
      <c r="P838" s="83" t="s">
        <v>148</v>
      </c>
      <c r="Q838" s="177" t="s">
        <v>149</v>
      </c>
      <c r="R838" s="83"/>
    </row>
    <row r="839" spans="1:18">
      <c r="A839" s="177">
        <v>80820490</v>
      </c>
      <c r="B839" s="177" t="s">
        <v>318</v>
      </c>
      <c r="C839" s="178" t="s">
        <v>151</v>
      </c>
      <c r="D839" s="177" t="s">
        <v>304</v>
      </c>
      <c r="E839" s="177" t="s">
        <v>172</v>
      </c>
      <c r="F839" s="179">
        <v>45999</v>
      </c>
      <c r="G839" s="177">
        <v>475</v>
      </c>
      <c r="H839" s="179">
        <v>45993</v>
      </c>
      <c r="I839" s="179" t="s">
        <v>175</v>
      </c>
      <c r="J839" s="83">
        <v>3501428272</v>
      </c>
      <c r="K839" s="179" t="s">
        <v>305</v>
      </c>
      <c r="L839" s="179">
        <v>45993</v>
      </c>
      <c r="M839" s="180">
        <v>45996</v>
      </c>
      <c r="N839" s="181">
        <v>1.6143350000000001</v>
      </c>
      <c r="O839" s="181" t="s">
        <v>170</v>
      </c>
      <c r="P839" s="83" t="s">
        <v>148</v>
      </c>
      <c r="Q839" s="177" t="s">
        <v>149</v>
      </c>
      <c r="R839" s="83"/>
    </row>
    <row r="840" spans="1:18">
      <c r="A840" s="177">
        <v>80869250</v>
      </c>
      <c r="B840" s="177" t="s">
        <v>319</v>
      </c>
      <c r="C840" s="178" t="s">
        <v>152</v>
      </c>
      <c r="D840" s="177" t="s">
        <v>320</v>
      </c>
      <c r="E840" s="177" t="s">
        <v>172</v>
      </c>
      <c r="F840" s="179">
        <v>46001</v>
      </c>
      <c r="G840" s="177">
        <v>243</v>
      </c>
      <c r="H840" s="179">
        <v>45993</v>
      </c>
      <c r="I840" s="179" t="s">
        <v>232</v>
      </c>
      <c r="J840" s="83">
        <v>3501428274</v>
      </c>
      <c r="K840" s="179" t="s">
        <v>321</v>
      </c>
      <c r="L840" s="179">
        <v>45993</v>
      </c>
      <c r="M840" s="180">
        <v>45999</v>
      </c>
      <c r="N840" s="181">
        <v>0.82585980000000003</v>
      </c>
      <c r="O840" s="181" t="s">
        <v>170</v>
      </c>
      <c r="P840" s="83" t="s">
        <v>148</v>
      </c>
      <c r="Q840" s="177" t="s">
        <v>149</v>
      </c>
      <c r="R840" s="83"/>
    </row>
    <row r="841" spans="1:18">
      <c r="A841" s="177">
        <v>80869250</v>
      </c>
      <c r="B841" s="177" t="s">
        <v>319</v>
      </c>
      <c r="C841" s="178" t="s">
        <v>155</v>
      </c>
      <c r="D841" s="177" t="s">
        <v>320</v>
      </c>
      <c r="E841" s="177" t="s">
        <v>172</v>
      </c>
      <c r="F841" s="179">
        <v>46001</v>
      </c>
      <c r="G841" s="177">
        <v>957</v>
      </c>
      <c r="H841" s="179">
        <v>45993</v>
      </c>
      <c r="I841" s="179" t="s">
        <v>232</v>
      </c>
      <c r="J841" s="83">
        <v>3501428277</v>
      </c>
      <c r="K841" s="179" t="s">
        <v>321</v>
      </c>
      <c r="L841" s="179">
        <v>45993</v>
      </c>
      <c r="M841" s="180">
        <v>45999</v>
      </c>
      <c r="N841" s="181">
        <v>3.2524601999999998</v>
      </c>
      <c r="O841" s="181" t="s">
        <v>170</v>
      </c>
      <c r="P841" s="83" t="s">
        <v>148</v>
      </c>
      <c r="Q841" s="177" t="s">
        <v>149</v>
      </c>
      <c r="R841" s="83"/>
    </row>
    <row r="842" spans="1:18">
      <c r="A842" s="177">
        <v>80869250</v>
      </c>
      <c r="B842" s="177" t="s">
        <v>319</v>
      </c>
      <c r="C842" s="178" t="s">
        <v>151</v>
      </c>
      <c r="D842" s="177" t="s">
        <v>320</v>
      </c>
      <c r="E842" s="177" t="s">
        <v>172</v>
      </c>
      <c r="F842" s="179">
        <v>46001</v>
      </c>
      <c r="G842" s="177">
        <v>132</v>
      </c>
      <c r="H842" s="179">
        <v>45993</v>
      </c>
      <c r="I842" s="179" t="s">
        <v>232</v>
      </c>
      <c r="J842" s="83">
        <v>3501428285</v>
      </c>
      <c r="K842" s="179" t="s">
        <v>321</v>
      </c>
      <c r="L842" s="179">
        <v>45993</v>
      </c>
      <c r="M842" s="180">
        <v>45999</v>
      </c>
      <c r="N842" s="181">
        <v>0.44861519999999999</v>
      </c>
      <c r="O842" s="181" t="s">
        <v>170</v>
      </c>
      <c r="P842" s="83" t="s">
        <v>148</v>
      </c>
      <c r="Q842" s="177" t="s">
        <v>149</v>
      </c>
      <c r="R842" s="83"/>
    </row>
    <row r="843" spans="1:18">
      <c r="A843" s="177">
        <v>80869250</v>
      </c>
      <c r="B843" s="177" t="s">
        <v>319</v>
      </c>
      <c r="C843" s="178" t="s">
        <v>143</v>
      </c>
      <c r="D843" s="177" t="s">
        <v>320</v>
      </c>
      <c r="E843" s="177" t="s">
        <v>172</v>
      </c>
      <c r="F843" s="179">
        <v>46001</v>
      </c>
      <c r="G843" s="177">
        <v>271</v>
      </c>
      <c r="H843" s="179">
        <v>45993</v>
      </c>
      <c r="I843" s="179" t="s">
        <v>232</v>
      </c>
      <c r="J843" s="83">
        <v>3501428287</v>
      </c>
      <c r="K843" s="179" t="s">
        <v>321</v>
      </c>
      <c r="L843" s="179">
        <v>45993</v>
      </c>
      <c r="M843" s="180">
        <v>45999</v>
      </c>
      <c r="N843" s="181">
        <v>0.92102059999999997</v>
      </c>
      <c r="O843" s="181" t="s">
        <v>170</v>
      </c>
      <c r="P843" s="83" t="s">
        <v>148</v>
      </c>
      <c r="Q843" s="177" t="s">
        <v>149</v>
      </c>
      <c r="R843" s="83"/>
    </row>
    <row r="844" spans="1:18">
      <c r="A844" s="177">
        <v>80869250</v>
      </c>
      <c r="B844" s="177" t="s">
        <v>319</v>
      </c>
      <c r="C844" s="178" t="s">
        <v>150</v>
      </c>
      <c r="D844" s="177" t="s">
        <v>320</v>
      </c>
      <c r="E844" s="177" t="s">
        <v>172</v>
      </c>
      <c r="F844" s="179">
        <v>46001</v>
      </c>
      <c r="G844" s="177">
        <v>165</v>
      </c>
      <c r="H844" s="179">
        <v>45993</v>
      </c>
      <c r="I844" s="179" t="s">
        <v>232</v>
      </c>
      <c r="J844" s="83">
        <v>3501428290</v>
      </c>
      <c r="K844" s="179" t="s">
        <v>321</v>
      </c>
      <c r="L844" s="179">
        <v>45993</v>
      </c>
      <c r="M844" s="180">
        <v>45999</v>
      </c>
      <c r="N844" s="181">
        <v>0.56076899999999996</v>
      </c>
      <c r="O844" s="181" t="s">
        <v>170</v>
      </c>
      <c r="P844" s="83" t="s">
        <v>148</v>
      </c>
      <c r="Q844" s="177" t="s">
        <v>149</v>
      </c>
      <c r="R844" s="83"/>
    </row>
    <row r="845" spans="1:18">
      <c r="A845" s="177">
        <v>80869252</v>
      </c>
      <c r="B845" s="177" t="s">
        <v>322</v>
      </c>
      <c r="C845" s="178" t="s">
        <v>152</v>
      </c>
      <c r="D845" s="177" t="s">
        <v>320</v>
      </c>
      <c r="E845" s="177" t="s">
        <v>172</v>
      </c>
      <c r="F845" s="179">
        <v>46001</v>
      </c>
      <c r="G845" s="177">
        <v>215</v>
      </c>
      <c r="H845" s="179">
        <v>45993</v>
      </c>
      <c r="I845" s="179" t="s">
        <v>232</v>
      </c>
      <c r="J845" s="83">
        <v>3501428293</v>
      </c>
      <c r="K845" s="179" t="s">
        <v>321</v>
      </c>
      <c r="L845" s="179">
        <v>45993</v>
      </c>
      <c r="M845" s="180">
        <v>45999</v>
      </c>
      <c r="N845" s="181">
        <v>0.68198000000000003</v>
      </c>
      <c r="O845" s="181" t="s">
        <v>170</v>
      </c>
      <c r="P845" s="83" t="s">
        <v>148</v>
      </c>
      <c r="Q845" s="177" t="s">
        <v>149</v>
      </c>
      <c r="R845" s="83"/>
    </row>
    <row r="846" spans="1:18">
      <c r="A846" s="177">
        <v>80869252</v>
      </c>
      <c r="B846" s="177" t="s">
        <v>322</v>
      </c>
      <c r="C846" s="178" t="s">
        <v>155</v>
      </c>
      <c r="D846" s="177" t="s">
        <v>320</v>
      </c>
      <c r="E846" s="177" t="s">
        <v>172</v>
      </c>
      <c r="F846" s="179">
        <v>46001</v>
      </c>
      <c r="G846" s="177">
        <v>873</v>
      </c>
      <c r="H846" s="179">
        <v>45993</v>
      </c>
      <c r="I846" s="179" t="s">
        <v>232</v>
      </c>
      <c r="J846" s="83">
        <v>3501428295</v>
      </c>
      <c r="K846" s="179" t="s">
        <v>321</v>
      </c>
      <c r="L846" s="179">
        <v>45993</v>
      </c>
      <c r="M846" s="180">
        <v>45999</v>
      </c>
      <c r="N846" s="181">
        <v>2.7691560000000002</v>
      </c>
      <c r="O846" s="181" t="s">
        <v>170</v>
      </c>
      <c r="P846" s="83" t="s">
        <v>148</v>
      </c>
      <c r="Q846" s="177" t="s">
        <v>149</v>
      </c>
      <c r="R846" s="83"/>
    </row>
    <row r="847" spans="1:18">
      <c r="A847" s="177">
        <v>80869252</v>
      </c>
      <c r="B847" s="177" t="s">
        <v>322</v>
      </c>
      <c r="C847" s="178" t="s">
        <v>151</v>
      </c>
      <c r="D847" s="177" t="s">
        <v>320</v>
      </c>
      <c r="E847" s="177" t="s">
        <v>172</v>
      </c>
      <c r="F847" s="179">
        <v>46001</v>
      </c>
      <c r="G847" s="177">
        <v>107</v>
      </c>
      <c r="H847" s="179">
        <v>45993</v>
      </c>
      <c r="I847" s="179" t="s">
        <v>232</v>
      </c>
      <c r="J847" s="83">
        <v>3501428298</v>
      </c>
      <c r="K847" s="179" t="s">
        <v>321</v>
      </c>
      <c r="L847" s="179">
        <v>45993</v>
      </c>
      <c r="M847" s="180">
        <v>45999</v>
      </c>
      <c r="N847" s="181">
        <v>0.33940399999999998</v>
      </c>
      <c r="O847" s="181" t="s">
        <v>170</v>
      </c>
      <c r="P847" s="83" t="s">
        <v>148</v>
      </c>
      <c r="Q847" s="177" t="s">
        <v>149</v>
      </c>
      <c r="R847" s="83"/>
    </row>
    <row r="848" spans="1:18">
      <c r="A848" s="177">
        <v>80869252</v>
      </c>
      <c r="B848" s="177" t="s">
        <v>322</v>
      </c>
      <c r="C848" s="178" t="s">
        <v>143</v>
      </c>
      <c r="D848" s="177" t="s">
        <v>320</v>
      </c>
      <c r="E848" s="177" t="s">
        <v>172</v>
      </c>
      <c r="F848" s="179">
        <v>46001</v>
      </c>
      <c r="G848" s="177">
        <v>230</v>
      </c>
      <c r="H848" s="179">
        <v>45993</v>
      </c>
      <c r="I848" s="179" t="s">
        <v>232</v>
      </c>
      <c r="J848" s="83">
        <v>3501428300</v>
      </c>
      <c r="K848" s="179" t="s">
        <v>321</v>
      </c>
      <c r="L848" s="179">
        <v>45993</v>
      </c>
      <c r="M848" s="180">
        <v>45999</v>
      </c>
      <c r="N848" s="181">
        <v>0.72955999999999999</v>
      </c>
      <c r="O848" s="181" t="s">
        <v>170</v>
      </c>
      <c r="P848" s="83" t="s">
        <v>148</v>
      </c>
      <c r="Q848" s="177" t="s">
        <v>149</v>
      </c>
      <c r="R848" s="83"/>
    </row>
    <row r="849" spans="1:18">
      <c r="A849" s="177">
        <v>80869252</v>
      </c>
      <c r="B849" s="177" t="s">
        <v>322</v>
      </c>
      <c r="C849" s="178" t="s">
        <v>150</v>
      </c>
      <c r="D849" s="177" t="s">
        <v>320</v>
      </c>
      <c r="E849" s="177" t="s">
        <v>172</v>
      </c>
      <c r="F849" s="179">
        <v>46001</v>
      </c>
      <c r="G849" s="177">
        <v>154</v>
      </c>
      <c r="H849" s="179">
        <v>45993</v>
      </c>
      <c r="I849" s="179" t="s">
        <v>232</v>
      </c>
      <c r="J849" s="83">
        <v>3501428303</v>
      </c>
      <c r="K849" s="179" t="s">
        <v>321</v>
      </c>
      <c r="L849" s="179">
        <v>45993</v>
      </c>
      <c r="M849" s="180">
        <v>45999</v>
      </c>
      <c r="N849" s="181">
        <v>0.48848799999999998</v>
      </c>
      <c r="O849" s="181" t="s">
        <v>170</v>
      </c>
      <c r="P849" s="83" t="s">
        <v>148</v>
      </c>
      <c r="Q849" s="177" t="s">
        <v>149</v>
      </c>
      <c r="R849" s="83"/>
    </row>
    <row r="850" spans="1:18">
      <c r="A850" s="177">
        <v>80864679</v>
      </c>
      <c r="B850" s="177" t="s">
        <v>224</v>
      </c>
      <c r="C850" s="178" t="s">
        <v>151</v>
      </c>
      <c r="D850" s="177" t="s">
        <v>222</v>
      </c>
      <c r="E850" s="176" t="s">
        <v>145</v>
      </c>
      <c r="F850" s="179">
        <v>46027</v>
      </c>
      <c r="G850" s="177">
        <v>8900</v>
      </c>
      <c r="H850" s="179">
        <v>45999</v>
      </c>
      <c r="I850" s="179" t="s">
        <v>206</v>
      </c>
      <c r="J850" s="83">
        <v>3505596885</v>
      </c>
      <c r="K850" s="179"/>
      <c r="L850" s="179">
        <v>45999</v>
      </c>
      <c r="M850" s="180"/>
      <c r="N850" s="181">
        <v>16.031569999999999</v>
      </c>
      <c r="O850" s="181" t="s">
        <v>147</v>
      </c>
      <c r="P850" s="83" t="s">
        <v>323</v>
      </c>
      <c r="Q850" s="177">
        <v>5</v>
      </c>
      <c r="R850" s="83"/>
    </row>
    <row r="851" spans="1:18">
      <c r="A851" s="177">
        <v>80823143</v>
      </c>
      <c r="B851" s="177" t="s">
        <v>200</v>
      </c>
      <c r="C851" s="178" t="s">
        <v>150</v>
      </c>
      <c r="D851" s="177" t="s">
        <v>325</v>
      </c>
      <c r="E851" s="177" t="s">
        <v>172</v>
      </c>
      <c r="F851" s="179">
        <v>46007</v>
      </c>
      <c r="G851" s="177">
        <v>1600</v>
      </c>
      <c r="H851" s="179">
        <v>45999</v>
      </c>
      <c r="I851" s="179" t="s">
        <v>232</v>
      </c>
      <c r="J851" s="83">
        <v>3505596886</v>
      </c>
      <c r="K851" s="179"/>
      <c r="L851" s="179">
        <v>45999</v>
      </c>
      <c r="M851" s="180">
        <v>46007</v>
      </c>
      <c r="N851" s="181">
        <v>1.99152</v>
      </c>
      <c r="O851" s="181" t="s">
        <v>170</v>
      </c>
      <c r="P851" s="83" t="s">
        <v>148</v>
      </c>
      <c r="Q851" s="177" t="s">
        <v>149</v>
      </c>
      <c r="R851" s="83"/>
    </row>
    <row r="852" spans="1:18">
      <c r="A852" s="177">
        <v>80823143</v>
      </c>
      <c r="B852" s="177" t="s">
        <v>200</v>
      </c>
      <c r="C852" s="178" t="s">
        <v>152</v>
      </c>
      <c r="D852" s="177" t="s">
        <v>325</v>
      </c>
      <c r="E852" s="177" t="s">
        <v>172</v>
      </c>
      <c r="F852" s="179">
        <v>46007</v>
      </c>
      <c r="G852" s="177">
        <v>800</v>
      </c>
      <c r="H852" s="179">
        <v>45999</v>
      </c>
      <c r="I852" s="179" t="s">
        <v>232</v>
      </c>
      <c r="J852" s="83">
        <v>3505596887</v>
      </c>
      <c r="K852" s="179"/>
      <c r="L852" s="179">
        <v>45999</v>
      </c>
      <c r="M852" s="180">
        <v>46007</v>
      </c>
      <c r="N852" s="181">
        <v>0.99575999999999998</v>
      </c>
      <c r="O852" s="181" t="s">
        <v>170</v>
      </c>
      <c r="P852" s="83" t="s">
        <v>148</v>
      </c>
      <c r="Q852" s="177" t="s">
        <v>149</v>
      </c>
      <c r="R852" s="83"/>
    </row>
    <row r="853" spans="1:18">
      <c r="A853" s="177">
        <v>80823143</v>
      </c>
      <c r="B853" s="177" t="s">
        <v>200</v>
      </c>
      <c r="C853" s="178" t="s">
        <v>155</v>
      </c>
      <c r="D853" s="177" t="s">
        <v>325</v>
      </c>
      <c r="E853" s="177" t="s">
        <v>172</v>
      </c>
      <c r="F853" s="179">
        <v>46007</v>
      </c>
      <c r="G853" s="177">
        <v>4800</v>
      </c>
      <c r="H853" s="179">
        <v>45999</v>
      </c>
      <c r="I853" s="179" t="s">
        <v>232</v>
      </c>
      <c r="J853" s="83">
        <v>3505596888</v>
      </c>
      <c r="K853" s="179"/>
      <c r="L853" s="179">
        <v>45999</v>
      </c>
      <c r="M853" s="180">
        <v>46007</v>
      </c>
      <c r="N853" s="181">
        <v>5.9745600000000003</v>
      </c>
      <c r="O853" s="181" t="s">
        <v>170</v>
      </c>
      <c r="P853" s="83" t="s">
        <v>148</v>
      </c>
      <c r="Q853" s="177" t="s">
        <v>149</v>
      </c>
      <c r="R853" s="83"/>
    </row>
    <row r="854" spans="1:18">
      <c r="A854" s="177">
        <v>80859227</v>
      </c>
      <c r="B854" s="177" t="s">
        <v>290</v>
      </c>
      <c r="C854" s="178" t="s">
        <v>150</v>
      </c>
      <c r="D854" s="177" t="s">
        <v>284</v>
      </c>
      <c r="E854" s="177" t="s">
        <v>172</v>
      </c>
      <c r="F854" s="179">
        <v>46003</v>
      </c>
      <c r="G854" s="177">
        <v>4464</v>
      </c>
      <c r="H854" s="179">
        <v>45996</v>
      </c>
      <c r="I854" s="179" t="s">
        <v>253</v>
      </c>
      <c r="J854" s="83">
        <v>3503529829</v>
      </c>
      <c r="K854" s="179" t="s">
        <v>326</v>
      </c>
      <c r="L854" s="179">
        <v>45996</v>
      </c>
      <c r="M854" s="180">
        <v>46004</v>
      </c>
      <c r="N854" s="181">
        <v>6.8776847999999999</v>
      </c>
      <c r="O854" s="181" t="s">
        <v>170</v>
      </c>
      <c r="P854" s="83" t="s">
        <v>148</v>
      </c>
      <c r="Q854" s="177" t="s">
        <v>149</v>
      </c>
      <c r="R854" s="83"/>
    </row>
    <row r="855" spans="1:18">
      <c r="A855" s="177">
        <v>80859232</v>
      </c>
      <c r="B855" s="177" t="s">
        <v>291</v>
      </c>
      <c r="C855" s="178" t="s">
        <v>150</v>
      </c>
      <c r="D855" s="177" t="s">
        <v>284</v>
      </c>
      <c r="E855" s="177" t="s">
        <v>172</v>
      </c>
      <c r="F855" s="179">
        <v>46003</v>
      </c>
      <c r="G855" s="177">
        <v>5307</v>
      </c>
      <c r="H855" s="179">
        <v>45996</v>
      </c>
      <c r="I855" s="179" t="s">
        <v>253</v>
      </c>
      <c r="J855" s="83">
        <v>3503529830</v>
      </c>
      <c r="K855" s="179" t="s">
        <v>326</v>
      </c>
      <c r="L855" s="179">
        <v>45996</v>
      </c>
      <c r="M855" s="180">
        <v>46004</v>
      </c>
      <c r="N855" s="181">
        <v>8.6573091000000009</v>
      </c>
      <c r="O855" s="181" t="s">
        <v>170</v>
      </c>
      <c r="P855" s="83" t="s">
        <v>148</v>
      </c>
      <c r="Q855" s="177" t="s">
        <v>149</v>
      </c>
      <c r="R855" s="83"/>
    </row>
    <row r="856" spans="1:18">
      <c r="A856" s="177">
        <v>80859233</v>
      </c>
      <c r="B856" s="177" t="s">
        <v>292</v>
      </c>
      <c r="C856" s="178" t="s">
        <v>150</v>
      </c>
      <c r="D856" s="177" t="s">
        <v>284</v>
      </c>
      <c r="E856" s="177" t="s">
        <v>172</v>
      </c>
      <c r="F856" s="179">
        <v>46003</v>
      </c>
      <c r="G856" s="177">
        <v>3653</v>
      </c>
      <c r="H856" s="179">
        <v>45996</v>
      </c>
      <c r="I856" s="179" t="s">
        <v>253</v>
      </c>
      <c r="J856" s="83">
        <v>3503529831</v>
      </c>
      <c r="K856" s="179" t="s">
        <v>326</v>
      </c>
      <c r="L856" s="179">
        <v>45996</v>
      </c>
      <c r="M856" s="180">
        <v>46004</v>
      </c>
      <c r="N856" s="181">
        <v>5.9591389000000001</v>
      </c>
      <c r="O856" s="181" t="s">
        <v>170</v>
      </c>
      <c r="P856" s="83" t="s">
        <v>148</v>
      </c>
      <c r="Q856" s="177" t="s">
        <v>149</v>
      </c>
      <c r="R856" s="83"/>
    </row>
    <row r="857" spans="1:18">
      <c r="A857" s="177">
        <v>80859236</v>
      </c>
      <c r="B857" s="177" t="s">
        <v>293</v>
      </c>
      <c r="C857" s="178" t="s">
        <v>150</v>
      </c>
      <c r="D857" s="177" t="s">
        <v>284</v>
      </c>
      <c r="E857" s="177" t="s">
        <v>172</v>
      </c>
      <c r="F857" s="179">
        <v>46003</v>
      </c>
      <c r="G857" s="177">
        <v>2147</v>
      </c>
      <c r="H857" s="179">
        <v>45996</v>
      </c>
      <c r="I857" s="179" t="s">
        <v>253</v>
      </c>
      <c r="J857" s="83">
        <v>3503529832</v>
      </c>
      <c r="K857" s="179" t="s">
        <v>326</v>
      </c>
      <c r="L857" s="179">
        <v>45996</v>
      </c>
      <c r="M857" s="180">
        <v>46004</v>
      </c>
      <c r="N857" s="181">
        <v>3.5024011000000002</v>
      </c>
      <c r="O857" s="181" t="s">
        <v>170</v>
      </c>
      <c r="P857" s="83" t="s">
        <v>148</v>
      </c>
      <c r="Q857" s="177" t="s">
        <v>149</v>
      </c>
      <c r="R857" s="83"/>
    </row>
    <row r="858" spans="1:18">
      <c r="A858" s="177">
        <v>80859241</v>
      </c>
      <c r="B858" s="177" t="s">
        <v>294</v>
      </c>
      <c r="C858" s="178" t="s">
        <v>150</v>
      </c>
      <c r="D858" s="177" t="s">
        <v>284</v>
      </c>
      <c r="E858" s="177" t="s">
        <v>172</v>
      </c>
      <c r="F858" s="179">
        <v>46003</v>
      </c>
      <c r="G858" s="177">
        <v>3362</v>
      </c>
      <c r="H858" s="179">
        <v>45996</v>
      </c>
      <c r="I858" s="179" t="s">
        <v>253</v>
      </c>
      <c r="J858" s="83">
        <v>3503529833</v>
      </c>
      <c r="K858" s="179" t="s">
        <v>326</v>
      </c>
      <c r="L858" s="179">
        <v>45996</v>
      </c>
      <c r="M858" s="180">
        <v>46004</v>
      </c>
      <c r="N858" s="181">
        <v>5.4844305999999996</v>
      </c>
      <c r="O858" s="181" t="s">
        <v>170</v>
      </c>
      <c r="P858" s="83" t="s">
        <v>148</v>
      </c>
      <c r="Q858" s="177" t="s">
        <v>149</v>
      </c>
      <c r="R858" s="83"/>
    </row>
    <row r="859" spans="1:18">
      <c r="A859" s="177">
        <v>80859244</v>
      </c>
      <c r="B859" s="177" t="s">
        <v>295</v>
      </c>
      <c r="C859" s="178" t="s">
        <v>150</v>
      </c>
      <c r="D859" s="177" t="s">
        <v>284</v>
      </c>
      <c r="E859" s="177" t="s">
        <v>172</v>
      </c>
      <c r="F859" s="179">
        <v>46003</v>
      </c>
      <c r="G859" s="177">
        <v>897</v>
      </c>
      <c r="H859" s="179">
        <v>45996</v>
      </c>
      <c r="I859" s="179" t="s">
        <v>253</v>
      </c>
      <c r="J859" s="83">
        <v>3503529834</v>
      </c>
      <c r="K859" s="179" t="s">
        <v>326</v>
      </c>
      <c r="L859" s="179">
        <v>45996</v>
      </c>
      <c r="M859" s="180">
        <v>46004</v>
      </c>
      <c r="N859" s="181">
        <v>1.4632761000000001</v>
      </c>
      <c r="O859" s="181" t="s">
        <v>170</v>
      </c>
      <c r="P859" s="83" t="s">
        <v>148</v>
      </c>
      <c r="Q859" s="177" t="s">
        <v>149</v>
      </c>
      <c r="R859" s="83"/>
    </row>
    <row r="860" spans="1:18">
      <c r="A860" s="177">
        <v>80859246</v>
      </c>
      <c r="B860" s="177" t="s">
        <v>296</v>
      </c>
      <c r="C860" s="178" t="s">
        <v>150</v>
      </c>
      <c r="D860" s="177" t="s">
        <v>284</v>
      </c>
      <c r="E860" s="177" t="s">
        <v>172</v>
      </c>
      <c r="F860" s="179">
        <v>46003</v>
      </c>
      <c r="G860" s="177">
        <v>2721</v>
      </c>
      <c r="H860" s="179">
        <v>45996</v>
      </c>
      <c r="I860" s="179" t="s">
        <v>253</v>
      </c>
      <c r="J860" s="83">
        <v>3503529835</v>
      </c>
      <c r="K860" s="179" t="s">
        <v>326</v>
      </c>
      <c r="L860" s="179">
        <v>45996</v>
      </c>
      <c r="M860" s="180">
        <v>46004</v>
      </c>
      <c r="N860" s="181">
        <v>4.4387673000000003</v>
      </c>
      <c r="O860" s="181" t="s">
        <v>170</v>
      </c>
      <c r="P860" s="83" t="s">
        <v>148</v>
      </c>
      <c r="Q860" s="177" t="s">
        <v>149</v>
      </c>
      <c r="R860" s="83"/>
    </row>
    <row r="861" spans="1:18">
      <c r="A861" s="177">
        <v>80859229</v>
      </c>
      <c r="B861" s="177" t="s">
        <v>297</v>
      </c>
      <c r="C861" s="178" t="s">
        <v>150</v>
      </c>
      <c r="D861" s="177" t="s">
        <v>284</v>
      </c>
      <c r="E861" s="177" t="s">
        <v>172</v>
      </c>
      <c r="F861" s="179">
        <v>46003</v>
      </c>
      <c r="G861" s="177">
        <v>1637</v>
      </c>
      <c r="H861" s="179">
        <v>45996</v>
      </c>
      <c r="I861" s="179" t="s">
        <v>253</v>
      </c>
      <c r="J861" s="83">
        <v>3503529836</v>
      </c>
      <c r="K861" s="179" t="s">
        <v>326</v>
      </c>
      <c r="L861" s="179">
        <v>45996</v>
      </c>
      <c r="M861" s="180">
        <v>46004</v>
      </c>
      <c r="N861" s="181">
        <v>5.5635082000000002</v>
      </c>
      <c r="O861" s="181" t="s">
        <v>170</v>
      </c>
      <c r="P861" s="83" t="s">
        <v>148</v>
      </c>
      <c r="Q861" s="177" t="s">
        <v>149</v>
      </c>
      <c r="R861" s="83"/>
    </row>
    <row r="862" spans="1:18">
      <c r="A862" s="177">
        <v>80859231</v>
      </c>
      <c r="B862" s="177" t="s">
        <v>298</v>
      </c>
      <c r="C862" s="178" t="s">
        <v>150</v>
      </c>
      <c r="D862" s="177" t="s">
        <v>284</v>
      </c>
      <c r="E862" s="177" t="s">
        <v>172</v>
      </c>
      <c r="F862" s="179">
        <v>46003</v>
      </c>
      <c r="G862" s="177">
        <v>1196</v>
      </c>
      <c r="H862" s="179">
        <v>45996</v>
      </c>
      <c r="I862" s="179" t="s">
        <v>253</v>
      </c>
      <c r="J862" s="83">
        <v>3503529837</v>
      </c>
      <c r="K862" s="179" t="s">
        <v>326</v>
      </c>
      <c r="L862" s="179">
        <v>45996</v>
      </c>
      <c r="M862" s="180">
        <v>46004</v>
      </c>
      <c r="N862" s="181">
        <v>4.0647256</v>
      </c>
      <c r="O862" s="181" t="s">
        <v>170</v>
      </c>
      <c r="P862" s="83" t="s">
        <v>148</v>
      </c>
      <c r="Q862" s="177" t="s">
        <v>149</v>
      </c>
      <c r="R862" s="83"/>
    </row>
    <row r="863" spans="1:18">
      <c r="A863" s="177">
        <v>80859235</v>
      </c>
      <c r="B863" s="177" t="s">
        <v>299</v>
      </c>
      <c r="C863" s="178" t="s">
        <v>150</v>
      </c>
      <c r="D863" s="177" t="s">
        <v>284</v>
      </c>
      <c r="E863" s="177" t="s">
        <v>172</v>
      </c>
      <c r="F863" s="179">
        <v>46003</v>
      </c>
      <c r="G863" s="177">
        <v>2129</v>
      </c>
      <c r="H863" s="179">
        <v>45996</v>
      </c>
      <c r="I863" s="179" t="s">
        <v>253</v>
      </c>
      <c r="J863" s="83">
        <v>3503529898</v>
      </c>
      <c r="K863" s="179" t="s">
        <v>326</v>
      </c>
      <c r="L863" s="179">
        <v>45996</v>
      </c>
      <c r="M863" s="180">
        <v>46004</v>
      </c>
      <c r="N863" s="181">
        <v>7.2356194</v>
      </c>
      <c r="O863" s="181" t="s">
        <v>170</v>
      </c>
      <c r="P863" s="83" t="s">
        <v>148</v>
      </c>
      <c r="Q863" s="177" t="s">
        <v>149</v>
      </c>
      <c r="R863" s="83"/>
    </row>
    <row r="864" spans="1:18">
      <c r="A864" s="177">
        <v>80859239</v>
      </c>
      <c r="B864" s="177" t="s">
        <v>300</v>
      </c>
      <c r="C864" s="178" t="s">
        <v>150</v>
      </c>
      <c r="D864" s="177" t="s">
        <v>284</v>
      </c>
      <c r="E864" s="177" t="s">
        <v>172</v>
      </c>
      <c r="F864" s="179">
        <v>46003</v>
      </c>
      <c r="G864" s="177">
        <v>3335</v>
      </c>
      <c r="H864" s="179">
        <v>45996</v>
      </c>
      <c r="I864" s="179" t="s">
        <v>253</v>
      </c>
      <c r="J864" s="83">
        <v>3503529899</v>
      </c>
      <c r="K864" s="179" t="s">
        <v>326</v>
      </c>
      <c r="L864" s="179">
        <v>45996</v>
      </c>
      <c r="M864" s="180">
        <v>46004</v>
      </c>
      <c r="N864" s="181">
        <v>11.334331000000001</v>
      </c>
      <c r="O864" s="181" t="s">
        <v>170</v>
      </c>
      <c r="P864" s="83" t="s">
        <v>148</v>
      </c>
      <c r="Q864" s="177" t="s">
        <v>149</v>
      </c>
      <c r="R864" s="83"/>
    </row>
    <row r="865" spans="1:18">
      <c r="A865" s="177">
        <v>80859243</v>
      </c>
      <c r="B865" s="177" t="s">
        <v>301</v>
      </c>
      <c r="C865" s="178" t="s">
        <v>150</v>
      </c>
      <c r="D865" s="177" t="s">
        <v>284</v>
      </c>
      <c r="E865" s="177" t="s">
        <v>172</v>
      </c>
      <c r="F865" s="179">
        <v>46003</v>
      </c>
      <c r="G865" s="177">
        <v>667</v>
      </c>
      <c r="H865" s="179">
        <v>45996</v>
      </c>
      <c r="I865" s="179" t="s">
        <v>253</v>
      </c>
      <c r="J865" s="83">
        <v>3503529900</v>
      </c>
      <c r="K865" s="179" t="s">
        <v>326</v>
      </c>
      <c r="L865" s="179">
        <v>45996</v>
      </c>
      <c r="M865" s="180">
        <v>46004</v>
      </c>
      <c r="N865" s="181">
        <v>2.2668661999999999</v>
      </c>
      <c r="O865" s="181" t="s">
        <v>170</v>
      </c>
      <c r="P865" s="83" t="s">
        <v>148</v>
      </c>
      <c r="Q865" s="177" t="s">
        <v>149</v>
      </c>
      <c r="R865" s="83"/>
    </row>
    <row r="866" spans="1:18">
      <c r="A866" s="177">
        <v>80859245</v>
      </c>
      <c r="B866" s="177" t="s">
        <v>302</v>
      </c>
      <c r="C866" s="178" t="s">
        <v>150</v>
      </c>
      <c r="D866" s="177" t="s">
        <v>284</v>
      </c>
      <c r="E866" s="177" t="s">
        <v>172</v>
      </c>
      <c r="F866" s="179">
        <v>46003</v>
      </c>
      <c r="G866" s="177">
        <v>2069</v>
      </c>
      <c r="H866" s="179">
        <v>45996</v>
      </c>
      <c r="I866" s="179" t="s">
        <v>253</v>
      </c>
      <c r="J866" s="83">
        <v>3503529901</v>
      </c>
      <c r="K866" s="179" t="s">
        <v>326</v>
      </c>
      <c r="L866" s="179">
        <v>45996</v>
      </c>
      <c r="M866" s="180">
        <v>46004</v>
      </c>
      <c r="N866" s="181">
        <v>7.0317033999999996</v>
      </c>
      <c r="O866" s="181" t="s">
        <v>170</v>
      </c>
      <c r="P866" s="83" t="s">
        <v>148</v>
      </c>
      <c r="Q866" s="177" t="s">
        <v>149</v>
      </c>
      <c r="R866" s="83"/>
    </row>
    <row r="867" spans="1:18">
      <c r="A867" s="177">
        <v>80863707</v>
      </c>
      <c r="B867" s="177" t="s">
        <v>327</v>
      </c>
      <c r="C867" s="178" t="s">
        <v>150</v>
      </c>
      <c r="D867" s="177" t="s">
        <v>328</v>
      </c>
      <c r="E867" s="177" t="s">
        <v>172</v>
      </c>
      <c r="F867" s="179">
        <v>46013</v>
      </c>
      <c r="G867" s="177">
        <v>2449</v>
      </c>
      <c r="H867" s="179">
        <v>45996</v>
      </c>
      <c r="I867" s="179" t="s">
        <v>214</v>
      </c>
      <c r="J867" s="83">
        <v>3503529902</v>
      </c>
      <c r="K867" s="179"/>
      <c r="L867" s="179">
        <v>45996</v>
      </c>
      <c r="M867" s="180">
        <v>46003</v>
      </c>
      <c r="N867" s="181">
        <v>5.9927029999999997</v>
      </c>
      <c r="O867" s="181" t="s">
        <v>170</v>
      </c>
      <c r="P867" s="83" t="s">
        <v>148</v>
      </c>
      <c r="Q867" s="177" t="s">
        <v>149</v>
      </c>
      <c r="R867" s="83"/>
    </row>
    <row r="868" spans="1:18">
      <c r="A868" s="177">
        <v>80863707</v>
      </c>
      <c r="B868" s="177" t="s">
        <v>327</v>
      </c>
      <c r="C868" s="178" t="s">
        <v>151</v>
      </c>
      <c r="D868" s="177" t="s">
        <v>328</v>
      </c>
      <c r="E868" s="177" t="s">
        <v>172</v>
      </c>
      <c r="F868" s="179">
        <v>46013</v>
      </c>
      <c r="G868" s="177">
        <v>2041</v>
      </c>
      <c r="H868" s="179">
        <v>45996</v>
      </c>
      <c r="I868" s="179" t="s">
        <v>214</v>
      </c>
      <c r="J868" s="83">
        <v>3503529903</v>
      </c>
      <c r="K868" s="179"/>
      <c r="L868" s="179">
        <v>45996</v>
      </c>
      <c r="M868" s="180">
        <v>46003</v>
      </c>
      <c r="N868" s="181">
        <v>4.9943270000000002</v>
      </c>
      <c r="O868" s="181" t="s">
        <v>170</v>
      </c>
      <c r="P868" s="83" t="s">
        <v>148</v>
      </c>
      <c r="Q868" s="177" t="s">
        <v>149</v>
      </c>
      <c r="R868" s="83"/>
    </row>
    <row r="869" spans="1:18">
      <c r="A869" s="177">
        <v>80863707</v>
      </c>
      <c r="B869" s="177" t="s">
        <v>327</v>
      </c>
      <c r="C869" s="178" t="s">
        <v>155</v>
      </c>
      <c r="D869" s="177" t="s">
        <v>328</v>
      </c>
      <c r="E869" s="177" t="s">
        <v>172</v>
      </c>
      <c r="F869" s="179">
        <v>46013</v>
      </c>
      <c r="G869" s="177">
        <v>2449</v>
      </c>
      <c r="H869" s="179">
        <v>45996</v>
      </c>
      <c r="I869" s="179" t="s">
        <v>214</v>
      </c>
      <c r="J869" s="83">
        <v>3503529904</v>
      </c>
      <c r="K869" s="179"/>
      <c r="L869" s="179">
        <v>45996</v>
      </c>
      <c r="M869" s="180">
        <v>46003</v>
      </c>
      <c r="N869" s="181">
        <v>5.9927029999999997</v>
      </c>
      <c r="O869" s="181" t="s">
        <v>170</v>
      </c>
      <c r="P869" s="83" t="s">
        <v>148</v>
      </c>
      <c r="Q869" s="177" t="s">
        <v>149</v>
      </c>
      <c r="R869" s="83"/>
    </row>
    <row r="870" spans="1:18">
      <c r="A870" s="177">
        <v>80863706</v>
      </c>
      <c r="B870" s="177" t="s">
        <v>329</v>
      </c>
      <c r="C870" s="178" t="s">
        <v>150</v>
      </c>
      <c r="D870" s="177" t="s">
        <v>328</v>
      </c>
      <c r="E870" s="177" t="s">
        <v>172</v>
      </c>
      <c r="F870" s="179">
        <v>46013</v>
      </c>
      <c r="G870" s="177">
        <v>2449</v>
      </c>
      <c r="H870" s="179">
        <v>45996</v>
      </c>
      <c r="I870" s="179" t="s">
        <v>330</v>
      </c>
      <c r="J870" s="83">
        <v>3503529905</v>
      </c>
      <c r="K870" s="179">
        <v>45996</v>
      </c>
      <c r="L870" s="179">
        <v>45996</v>
      </c>
      <c r="M870" s="180">
        <v>46004</v>
      </c>
      <c r="N870" s="181">
        <v>5.9927029999999997</v>
      </c>
      <c r="O870" s="181" t="s">
        <v>170</v>
      </c>
      <c r="P870" s="83" t="s">
        <v>148</v>
      </c>
      <c r="Q870" s="177" t="s">
        <v>149</v>
      </c>
      <c r="R870" s="83"/>
    </row>
    <row r="871" spans="1:18">
      <c r="A871" s="177">
        <v>80863706</v>
      </c>
      <c r="B871" s="177" t="s">
        <v>329</v>
      </c>
      <c r="C871" s="178" t="s">
        <v>151</v>
      </c>
      <c r="D871" s="177" t="s">
        <v>328</v>
      </c>
      <c r="E871" s="177" t="s">
        <v>172</v>
      </c>
      <c r="F871" s="179">
        <v>46013</v>
      </c>
      <c r="G871" s="177">
        <v>2449</v>
      </c>
      <c r="H871" s="179">
        <v>45996</v>
      </c>
      <c r="I871" s="179" t="s">
        <v>330</v>
      </c>
      <c r="J871" s="83">
        <v>3503529906</v>
      </c>
      <c r="K871" s="179">
        <v>45996</v>
      </c>
      <c r="L871" s="179">
        <v>45996</v>
      </c>
      <c r="M871" s="180">
        <v>46004</v>
      </c>
      <c r="N871" s="181">
        <v>5.9927029999999997</v>
      </c>
      <c r="O871" s="181" t="s">
        <v>170</v>
      </c>
      <c r="P871" s="83" t="s">
        <v>148</v>
      </c>
      <c r="Q871" s="177" t="s">
        <v>149</v>
      </c>
      <c r="R871" s="83"/>
    </row>
    <row r="872" spans="1:18">
      <c r="A872" s="177">
        <v>80863706</v>
      </c>
      <c r="B872" s="177" t="s">
        <v>329</v>
      </c>
      <c r="C872" s="178" t="s">
        <v>151</v>
      </c>
      <c r="D872" s="177" t="s">
        <v>328</v>
      </c>
      <c r="E872" s="177" t="s">
        <v>172</v>
      </c>
      <c r="F872" s="179">
        <v>46013</v>
      </c>
      <c r="G872" s="177">
        <v>2449</v>
      </c>
      <c r="H872" s="179">
        <v>45996</v>
      </c>
      <c r="I872" s="179" t="s">
        <v>330</v>
      </c>
      <c r="J872" s="83">
        <v>3503529907</v>
      </c>
      <c r="K872" s="179">
        <v>45996</v>
      </c>
      <c r="L872" s="179">
        <v>45996</v>
      </c>
      <c r="M872" s="180">
        <v>46004</v>
      </c>
      <c r="N872" s="181">
        <v>5.9927029999999997</v>
      </c>
      <c r="O872" s="181" t="s">
        <v>170</v>
      </c>
      <c r="P872" s="83" t="s">
        <v>148</v>
      </c>
      <c r="Q872" s="177" t="s">
        <v>149</v>
      </c>
      <c r="R872" s="83"/>
    </row>
    <row r="873" spans="1:18">
      <c r="A873" s="177">
        <v>80814089</v>
      </c>
      <c r="B873" s="177" t="s">
        <v>251</v>
      </c>
      <c r="C873" s="178" t="s">
        <v>155</v>
      </c>
      <c r="D873" s="177" t="s">
        <v>252</v>
      </c>
      <c r="E873" s="177" t="s">
        <v>205</v>
      </c>
      <c r="F873" s="179">
        <v>46003</v>
      </c>
      <c r="G873" s="177">
        <v>810</v>
      </c>
      <c r="H873" s="179">
        <v>45996</v>
      </c>
      <c r="I873" s="179" t="s">
        <v>253</v>
      </c>
      <c r="J873" s="83">
        <v>3503529908</v>
      </c>
      <c r="K873" s="179" t="s">
        <v>331</v>
      </c>
      <c r="L873" s="179">
        <v>45996</v>
      </c>
      <c r="M873" s="180">
        <v>46003</v>
      </c>
      <c r="N873" s="181">
        <v>1.4681249999999999</v>
      </c>
      <c r="O873" s="181" t="s">
        <v>170</v>
      </c>
      <c r="P873" s="83" t="s">
        <v>148</v>
      </c>
      <c r="Q873" s="177" t="s">
        <v>149</v>
      </c>
      <c r="R873" s="83"/>
    </row>
    <row r="874" spans="1:18">
      <c r="A874" s="177">
        <v>80814098</v>
      </c>
      <c r="B874" s="177" t="s">
        <v>254</v>
      </c>
      <c r="C874" s="178" t="s">
        <v>155</v>
      </c>
      <c r="D874" s="177" t="s">
        <v>252</v>
      </c>
      <c r="E874" s="177" t="s">
        <v>205</v>
      </c>
      <c r="F874" s="179">
        <v>46003</v>
      </c>
      <c r="G874" s="177">
        <v>810</v>
      </c>
      <c r="H874" s="179">
        <v>45996</v>
      </c>
      <c r="I874" s="179" t="s">
        <v>253</v>
      </c>
      <c r="J874" s="83">
        <v>3503529909</v>
      </c>
      <c r="K874" s="179" t="s">
        <v>331</v>
      </c>
      <c r="L874" s="179">
        <v>45996</v>
      </c>
      <c r="M874" s="180">
        <v>46003</v>
      </c>
      <c r="N874" s="181">
        <v>1.4681249999999999</v>
      </c>
      <c r="O874" s="181" t="s">
        <v>170</v>
      </c>
      <c r="P874" s="83" t="s">
        <v>148</v>
      </c>
      <c r="Q874" s="177" t="s">
        <v>149</v>
      </c>
      <c r="R874" s="83"/>
    </row>
    <row r="875" spans="1:18">
      <c r="A875" s="177">
        <v>80814097</v>
      </c>
      <c r="B875" s="177" t="s">
        <v>255</v>
      </c>
      <c r="C875" s="178" t="s">
        <v>155</v>
      </c>
      <c r="D875" s="177" t="s">
        <v>252</v>
      </c>
      <c r="E875" s="177" t="s">
        <v>205</v>
      </c>
      <c r="F875" s="179">
        <v>46003</v>
      </c>
      <c r="G875" s="177">
        <v>810</v>
      </c>
      <c r="H875" s="179">
        <v>45996</v>
      </c>
      <c r="I875" s="179" t="s">
        <v>253</v>
      </c>
      <c r="J875" s="83">
        <v>3503529910</v>
      </c>
      <c r="K875" s="179" t="s">
        <v>331</v>
      </c>
      <c r="L875" s="179">
        <v>45996</v>
      </c>
      <c r="M875" s="180">
        <v>46003</v>
      </c>
      <c r="N875" s="181">
        <v>1.4681249999999999</v>
      </c>
      <c r="O875" s="181" t="s">
        <v>170</v>
      </c>
      <c r="P875" s="83" t="s">
        <v>148</v>
      </c>
      <c r="Q875" s="177" t="s">
        <v>149</v>
      </c>
      <c r="R875" s="83"/>
    </row>
    <row r="876" spans="1:18">
      <c r="A876" s="177">
        <v>80814081</v>
      </c>
      <c r="B876" s="177" t="s">
        <v>256</v>
      </c>
      <c r="C876" s="178" t="s">
        <v>155</v>
      </c>
      <c r="D876" s="177" t="s">
        <v>252</v>
      </c>
      <c r="E876" s="177" t="s">
        <v>205</v>
      </c>
      <c r="F876" s="179">
        <v>46003</v>
      </c>
      <c r="G876" s="177">
        <v>810</v>
      </c>
      <c r="H876" s="179">
        <v>45996</v>
      </c>
      <c r="I876" s="179" t="s">
        <v>253</v>
      </c>
      <c r="J876" s="83">
        <v>3503529911</v>
      </c>
      <c r="K876" s="179" t="s">
        <v>331</v>
      </c>
      <c r="L876" s="179">
        <v>45996</v>
      </c>
      <c r="M876" s="180">
        <v>46003</v>
      </c>
      <c r="N876" s="181">
        <v>1.4681249999999999</v>
      </c>
      <c r="O876" s="181" t="s">
        <v>170</v>
      </c>
      <c r="P876" s="83" t="s">
        <v>148</v>
      </c>
      <c r="Q876" s="177" t="s">
        <v>149</v>
      </c>
      <c r="R876" s="83"/>
    </row>
    <row r="877" spans="1:18">
      <c r="A877" s="177">
        <v>80815648</v>
      </c>
      <c r="B877" s="177" t="s">
        <v>257</v>
      </c>
      <c r="C877" s="178" t="s">
        <v>155</v>
      </c>
      <c r="D877" s="177" t="s">
        <v>252</v>
      </c>
      <c r="E877" s="177" t="s">
        <v>205</v>
      </c>
      <c r="F877" s="179">
        <v>46003</v>
      </c>
      <c r="G877" s="177">
        <v>1506</v>
      </c>
      <c r="H877" s="179">
        <v>45996</v>
      </c>
      <c r="I877" s="179" t="s">
        <v>253</v>
      </c>
      <c r="J877" s="83">
        <v>3503529912</v>
      </c>
      <c r="K877" s="179" t="s">
        <v>331</v>
      </c>
      <c r="L877" s="179">
        <v>45996</v>
      </c>
      <c r="M877" s="180">
        <v>46003</v>
      </c>
      <c r="N877" s="181">
        <v>2.9344410000000001</v>
      </c>
      <c r="O877" s="181" t="s">
        <v>170</v>
      </c>
      <c r="P877" s="83" t="s">
        <v>148</v>
      </c>
      <c r="Q877" s="177" t="s">
        <v>149</v>
      </c>
      <c r="R877" s="83"/>
    </row>
    <row r="878" spans="1:18">
      <c r="A878" s="177">
        <v>80815643</v>
      </c>
      <c r="B878" s="177" t="s">
        <v>258</v>
      </c>
      <c r="C878" s="178" t="s">
        <v>155</v>
      </c>
      <c r="D878" s="177" t="s">
        <v>252</v>
      </c>
      <c r="E878" s="177" t="s">
        <v>205</v>
      </c>
      <c r="F878" s="179">
        <v>46003</v>
      </c>
      <c r="G878" s="177">
        <v>1506</v>
      </c>
      <c r="H878" s="179">
        <v>45996</v>
      </c>
      <c r="I878" s="179" t="s">
        <v>253</v>
      </c>
      <c r="J878" s="83">
        <v>3503529913</v>
      </c>
      <c r="K878" s="179" t="s">
        <v>331</v>
      </c>
      <c r="L878" s="179">
        <v>45996</v>
      </c>
      <c r="M878" s="180">
        <v>46003</v>
      </c>
      <c r="N878" s="181">
        <v>2.9344410000000001</v>
      </c>
      <c r="O878" s="181" t="s">
        <v>170</v>
      </c>
      <c r="P878" s="83" t="s">
        <v>148</v>
      </c>
      <c r="Q878" s="177" t="s">
        <v>149</v>
      </c>
      <c r="R878" s="83"/>
    </row>
    <row r="879" spans="1:18">
      <c r="A879" s="177">
        <v>80815642</v>
      </c>
      <c r="B879" s="177" t="s">
        <v>259</v>
      </c>
      <c r="C879" s="178" t="s">
        <v>155</v>
      </c>
      <c r="D879" s="177" t="s">
        <v>252</v>
      </c>
      <c r="E879" s="177" t="s">
        <v>205</v>
      </c>
      <c r="F879" s="179">
        <v>46003</v>
      </c>
      <c r="G879" s="177">
        <v>1506</v>
      </c>
      <c r="H879" s="179">
        <v>45996</v>
      </c>
      <c r="I879" s="179" t="s">
        <v>253</v>
      </c>
      <c r="J879" s="83">
        <v>3503529914</v>
      </c>
      <c r="K879" s="179" t="s">
        <v>331</v>
      </c>
      <c r="L879" s="179">
        <v>45996</v>
      </c>
      <c r="M879" s="180">
        <v>46003</v>
      </c>
      <c r="N879" s="181">
        <v>2.9344410000000001</v>
      </c>
      <c r="O879" s="181" t="s">
        <v>170</v>
      </c>
      <c r="P879" s="83" t="s">
        <v>148</v>
      </c>
      <c r="Q879" s="177" t="s">
        <v>149</v>
      </c>
      <c r="R879" s="83"/>
    </row>
    <row r="880" spans="1:18">
      <c r="A880" s="177">
        <v>80815644</v>
      </c>
      <c r="B880" s="177" t="s">
        <v>260</v>
      </c>
      <c r="C880" s="178" t="s">
        <v>155</v>
      </c>
      <c r="D880" s="177" t="s">
        <v>252</v>
      </c>
      <c r="E880" s="177" t="s">
        <v>205</v>
      </c>
      <c r="F880" s="179">
        <v>46003</v>
      </c>
      <c r="G880" s="177">
        <v>754</v>
      </c>
      <c r="H880" s="179">
        <v>45996</v>
      </c>
      <c r="I880" s="179" t="s">
        <v>253</v>
      </c>
      <c r="J880" s="83">
        <v>3503529915</v>
      </c>
      <c r="K880" s="179" t="s">
        <v>331</v>
      </c>
      <c r="L880" s="179">
        <v>45996</v>
      </c>
      <c r="M880" s="180">
        <v>46003</v>
      </c>
      <c r="N880" s="181">
        <v>1.4691689999999999</v>
      </c>
      <c r="O880" s="181" t="s">
        <v>170</v>
      </c>
      <c r="P880" s="83" t="s">
        <v>148</v>
      </c>
      <c r="Q880" s="177" t="s">
        <v>149</v>
      </c>
      <c r="R880" s="83"/>
    </row>
    <row r="881" spans="1:18">
      <c r="A881" s="177">
        <v>80815645</v>
      </c>
      <c r="B881" s="177" t="s">
        <v>261</v>
      </c>
      <c r="C881" s="178" t="s">
        <v>155</v>
      </c>
      <c r="D881" s="177" t="s">
        <v>252</v>
      </c>
      <c r="E881" s="177" t="s">
        <v>205</v>
      </c>
      <c r="F881" s="179">
        <v>46003</v>
      </c>
      <c r="G881" s="177">
        <v>1506</v>
      </c>
      <c r="H881" s="179">
        <v>45996</v>
      </c>
      <c r="I881" s="179" t="s">
        <v>253</v>
      </c>
      <c r="J881" s="83">
        <v>3503529916</v>
      </c>
      <c r="K881" s="179" t="s">
        <v>331</v>
      </c>
      <c r="L881" s="179">
        <v>45996</v>
      </c>
      <c r="M881" s="180">
        <v>46003</v>
      </c>
      <c r="N881" s="181">
        <v>2.9344410000000001</v>
      </c>
      <c r="O881" s="181" t="s">
        <v>170</v>
      </c>
      <c r="P881" s="83" t="s">
        <v>148</v>
      </c>
      <c r="Q881" s="177" t="s">
        <v>149</v>
      </c>
      <c r="R881" s="83"/>
    </row>
    <row r="882" spans="1:18">
      <c r="A882" s="177">
        <v>80815647</v>
      </c>
      <c r="B882" s="177" t="s">
        <v>262</v>
      </c>
      <c r="C882" s="178" t="s">
        <v>155</v>
      </c>
      <c r="D882" s="177" t="s">
        <v>252</v>
      </c>
      <c r="E882" s="177" t="s">
        <v>205</v>
      </c>
      <c r="F882" s="179">
        <v>46003</v>
      </c>
      <c r="G882" s="177">
        <v>754</v>
      </c>
      <c r="H882" s="179">
        <v>45996</v>
      </c>
      <c r="I882" s="179" t="s">
        <v>253</v>
      </c>
      <c r="J882" s="83">
        <v>3503529917</v>
      </c>
      <c r="K882" s="179" t="s">
        <v>331</v>
      </c>
      <c r="L882" s="179">
        <v>45996</v>
      </c>
      <c r="M882" s="180">
        <v>46003</v>
      </c>
      <c r="N882" s="181">
        <v>1.4691689999999999</v>
      </c>
      <c r="O882" s="181" t="s">
        <v>170</v>
      </c>
      <c r="P882" s="83" t="s">
        <v>148</v>
      </c>
      <c r="Q882" s="177" t="s">
        <v>149</v>
      </c>
      <c r="R882" s="83"/>
    </row>
    <row r="883" spans="1:18">
      <c r="A883" s="177">
        <v>80813610</v>
      </c>
      <c r="B883" s="177" t="s">
        <v>263</v>
      </c>
      <c r="C883" s="178" t="s">
        <v>155</v>
      </c>
      <c r="D883" s="177" t="s">
        <v>252</v>
      </c>
      <c r="E883" s="177" t="s">
        <v>205</v>
      </c>
      <c r="F883" s="179">
        <v>46003</v>
      </c>
      <c r="G883" s="177">
        <v>810</v>
      </c>
      <c r="H883" s="179">
        <v>45996</v>
      </c>
      <c r="I883" s="179" t="s">
        <v>253</v>
      </c>
      <c r="J883" s="83">
        <v>3503529918</v>
      </c>
      <c r="K883" s="179" t="s">
        <v>331</v>
      </c>
      <c r="L883" s="179">
        <v>45996</v>
      </c>
      <c r="M883" s="180">
        <v>46003</v>
      </c>
      <c r="N883" s="181">
        <v>1.4682059999999999</v>
      </c>
      <c r="O883" s="181" t="s">
        <v>170</v>
      </c>
      <c r="P883" s="83" t="s">
        <v>148</v>
      </c>
      <c r="Q883" s="177" t="s">
        <v>149</v>
      </c>
      <c r="R883" s="83"/>
    </row>
    <row r="884" spans="1:18">
      <c r="A884" s="177">
        <v>80813619</v>
      </c>
      <c r="B884" s="177" t="s">
        <v>264</v>
      </c>
      <c r="C884" s="178" t="s">
        <v>155</v>
      </c>
      <c r="D884" s="177" t="s">
        <v>252</v>
      </c>
      <c r="E884" s="177" t="s">
        <v>205</v>
      </c>
      <c r="F884" s="179">
        <v>46003</v>
      </c>
      <c r="G884" s="177">
        <v>810</v>
      </c>
      <c r="H884" s="179">
        <v>45996</v>
      </c>
      <c r="I884" s="179" t="s">
        <v>253</v>
      </c>
      <c r="J884" s="83">
        <v>3503529919</v>
      </c>
      <c r="K884" s="179" t="s">
        <v>331</v>
      </c>
      <c r="L884" s="179">
        <v>45996</v>
      </c>
      <c r="M884" s="180">
        <v>46003</v>
      </c>
      <c r="N884" s="181">
        <v>1.4682059999999999</v>
      </c>
      <c r="O884" s="181" t="s">
        <v>170</v>
      </c>
      <c r="P884" s="83" t="s">
        <v>148</v>
      </c>
      <c r="Q884" s="177" t="s">
        <v>149</v>
      </c>
      <c r="R884" s="83"/>
    </row>
    <row r="885" spans="1:18">
      <c r="A885" s="177">
        <v>80813615</v>
      </c>
      <c r="B885" s="177" t="s">
        <v>265</v>
      </c>
      <c r="C885" s="178" t="s">
        <v>155</v>
      </c>
      <c r="D885" s="177" t="s">
        <v>252</v>
      </c>
      <c r="E885" s="177" t="s">
        <v>205</v>
      </c>
      <c r="F885" s="179">
        <v>46003</v>
      </c>
      <c r="G885" s="177">
        <v>810</v>
      </c>
      <c r="H885" s="179">
        <v>45996</v>
      </c>
      <c r="I885" s="179" t="s">
        <v>253</v>
      </c>
      <c r="J885" s="83">
        <v>3503529920</v>
      </c>
      <c r="K885" s="179" t="s">
        <v>331</v>
      </c>
      <c r="L885" s="179">
        <v>45996</v>
      </c>
      <c r="M885" s="180">
        <v>46003</v>
      </c>
      <c r="N885" s="181">
        <v>1.4682059999999999</v>
      </c>
      <c r="O885" s="181" t="s">
        <v>170</v>
      </c>
      <c r="P885" s="83" t="s">
        <v>148</v>
      </c>
      <c r="Q885" s="177" t="s">
        <v>149</v>
      </c>
      <c r="R885" s="83"/>
    </row>
    <row r="886" spans="1:18">
      <c r="A886" s="177">
        <v>80813637</v>
      </c>
      <c r="B886" s="177" t="s">
        <v>266</v>
      </c>
      <c r="C886" s="178" t="s">
        <v>155</v>
      </c>
      <c r="D886" s="177" t="s">
        <v>252</v>
      </c>
      <c r="E886" s="177" t="s">
        <v>205</v>
      </c>
      <c r="F886" s="179">
        <v>46003</v>
      </c>
      <c r="G886" s="177">
        <v>810</v>
      </c>
      <c r="H886" s="179">
        <v>45996</v>
      </c>
      <c r="I886" s="179" t="s">
        <v>253</v>
      </c>
      <c r="J886" s="83">
        <v>3503529921</v>
      </c>
      <c r="K886" s="179" t="s">
        <v>331</v>
      </c>
      <c r="L886" s="179">
        <v>45996</v>
      </c>
      <c r="M886" s="180">
        <v>46003</v>
      </c>
      <c r="N886" s="181">
        <v>1.4682059999999999</v>
      </c>
      <c r="O886" s="181" t="s">
        <v>170</v>
      </c>
      <c r="P886" s="83" t="s">
        <v>148</v>
      </c>
      <c r="Q886" s="177" t="s">
        <v>149</v>
      </c>
      <c r="R886" s="83"/>
    </row>
    <row r="887" spans="1:18">
      <c r="A887" s="177">
        <v>80813617</v>
      </c>
      <c r="B887" s="177" t="s">
        <v>267</v>
      </c>
      <c r="C887" s="178" t="s">
        <v>155</v>
      </c>
      <c r="D887" s="177" t="s">
        <v>252</v>
      </c>
      <c r="E887" s="177" t="s">
        <v>205</v>
      </c>
      <c r="F887" s="179">
        <v>46003</v>
      </c>
      <c r="G887" s="177">
        <v>810</v>
      </c>
      <c r="H887" s="179">
        <v>45996</v>
      </c>
      <c r="I887" s="179" t="s">
        <v>253</v>
      </c>
      <c r="J887" s="83">
        <v>3503529922</v>
      </c>
      <c r="K887" s="179" t="s">
        <v>331</v>
      </c>
      <c r="L887" s="179">
        <v>45996</v>
      </c>
      <c r="M887" s="180">
        <v>46003</v>
      </c>
      <c r="N887" s="181">
        <v>1.4682059999999999</v>
      </c>
      <c r="O887" s="181" t="s">
        <v>170</v>
      </c>
      <c r="P887" s="83" t="s">
        <v>148</v>
      </c>
      <c r="Q887" s="177" t="s">
        <v>149</v>
      </c>
      <c r="R887" s="83"/>
    </row>
    <row r="888" spans="1:18">
      <c r="A888" s="177">
        <v>80813629</v>
      </c>
      <c r="B888" s="177" t="s">
        <v>268</v>
      </c>
      <c r="C888" s="178" t="s">
        <v>155</v>
      </c>
      <c r="D888" s="177" t="s">
        <v>252</v>
      </c>
      <c r="E888" s="177" t="s">
        <v>205</v>
      </c>
      <c r="F888" s="179">
        <v>46003</v>
      </c>
      <c r="G888" s="177">
        <v>810</v>
      </c>
      <c r="H888" s="179">
        <v>45996</v>
      </c>
      <c r="I888" s="179" t="s">
        <v>253</v>
      </c>
      <c r="J888" s="83">
        <v>3503529923</v>
      </c>
      <c r="K888" s="179" t="s">
        <v>331</v>
      </c>
      <c r="L888" s="179">
        <v>45996</v>
      </c>
      <c r="M888" s="180">
        <v>46003</v>
      </c>
      <c r="N888" s="181">
        <v>1.4682059999999999</v>
      </c>
      <c r="O888" s="181" t="s">
        <v>170</v>
      </c>
      <c r="P888" s="83" t="s">
        <v>148</v>
      </c>
      <c r="Q888" s="177" t="s">
        <v>149</v>
      </c>
      <c r="R888" s="83"/>
    </row>
    <row r="889" spans="1:18">
      <c r="A889" s="177">
        <v>80814089</v>
      </c>
      <c r="B889" s="177" t="s">
        <v>251</v>
      </c>
      <c r="C889" s="178" t="s">
        <v>151</v>
      </c>
      <c r="D889" s="177" t="s">
        <v>252</v>
      </c>
      <c r="E889" s="177" t="s">
        <v>205</v>
      </c>
      <c r="F889" s="179">
        <v>46003</v>
      </c>
      <c r="G889" s="177">
        <v>810</v>
      </c>
      <c r="H889" s="179">
        <v>45996</v>
      </c>
      <c r="I889" s="179" t="s">
        <v>253</v>
      </c>
      <c r="J889" s="83">
        <v>3503529924</v>
      </c>
      <c r="K889" s="179" t="s">
        <v>331</v>
      </c>
      <c r="L889" s="179">
        <v>45996</v>
      </c>
      <c r="M889" s="180">
        <v>46003</v>
      </c>
      <c r="N889" s="181">
        <v>1.4681249999999999</v>
      </c>
      <c r="O889" s="181" t="s">
        <v>170</v>
      </c>
      <c r="P889" s="83" t="s">
        <v>148</v>
      </c>
      <c r="Q889" s="177" t="s">
        <v>149</v>
      </c>
      <c r="R889" s="83"/>
    </row>
    <row r="890" spans="1:18">
      <c r="A890" s="177">
        <v>80814098</v>
      </c>
      <c r="B890" s="177" t="s">
        <v>254</v>
      </c>
      <c r="C890" s="178" t="s">
        <v>151</v>
      </c>
      <c r="D890" s="177" t="s">
        <v>252</v>
      </c>
      <c r="E890" s="177" t="s">
        <v>205</v>
      </c>
      <c r="F890" s="179">
        <v>46003</v>
      </c>
      <c r="G890" s="177">
        <v>810</v>
      </c>
      <c r="H890" s="179">
        <v>45996</v>
      </c>
      <c r="I890" s="179" t="s">
        <v>253</v>
      </c>
      <c r="J890" s="83">
        <v>3503529925</v>
      </c>
      <c r="K890" s="179" t="s">
        <v>331</v>
      </c>
      <c r="L890" s="179">
        <v>45996</v>
      </c>
      <c r="M890" s="180">
        <v>46003</v>
      </c>
      <c r="N890" s="181">
        <v>1.4681249999999999</v>
      </c>
      <c r="O890" s="181" t="s">
        <v>170</v>
      </c>
      <c r="P890" s="83" t="s">
        <v>148</v>
      </c>
      <c r="Q890" s="177" t="s">
        <v>149</v>
      </c>
      <c r="R890" s="83"/>
    </row>
    <row r="891" spans="1:18">
      <c r="A891" s="177">
        <v>80814097</v>
      </c>
      <c r="B891" s="177" t="s">
        <v>255</v>
      </c>
      <c r="C891" s="178" t="s">
        <v>151</v>
      </c>
      <c r="D891" s="177" t="s">
        <v>252</v>
      </c>
      <c r="E891" s="177" t="s">
        <v>205</v>
      </c>
      <c r="F891" s="179">
        <v>46003</v>
      </c>
      <c r="G891" s="177">
        <v>810</v>
      </c>
      <c r="H891" s="179">
        <v>45996</v>
      </c>
      <c r="I891" s="179" t="s">
        <v>253</v>
      </c>
      <c r="J891" s="83">
        <v>3503529926</v>
      </c>
      <c r="K891" s="179" t="s">
        <v>331</v>
      </c>
      <c r="L891" s="179">
        <v>45996</v>
      </c>
      <c r="M891" s="180">
        <v>46003</v>
      </c>
      <c r="N891" s="181">
        <v>1.4681249999999999</v>
      </c>
      <c r="O891" s="181" t="s">
        <v>170</v>
      </c>
      <c r="P891" s="83" t="s">
        <v>148</v>
      </c>
      <c r="Q891" s="177" t="s">
        <v>149</v>
      </c>
      <c r="R891" s="83"/>
    </row>
    <row r="892" spans="1:18">
      <c r="A892" s="177">
        <v>80814081</v>
      </c>
      <c r="B892" s="177" t="s">
        <v>256</v>
      </c>
      <c r="C892" s="178" t="s">
        <v>151</v>
      </c>
      <c r="D892" s="177" t="s">
        <v>252</v>
      </c>
      <c r="E892" s="177" t="s">
        <v>205</v>
      </c>
      <c r="F892" s="179">
        <v>46003</v>
      </c>
      <c r="G892" s="177">
        <v>810</v>
      </c>
      <c r="H892" s="179">
        <v>45996</v>
      </c>
      <c r="I892" s="179" t="s">
        <v>253</v>
      </c>
      <c r="J892" s="83">
        <v>3503529927</v>
      </c>
      <c r="K892" s="179" t="s">
        <v>331</v>
      </c>
      <c r="L892" s="179">
        <v>45996</v>
      </c>
      <c r="M892" s="180">
        <v>46003</v>
      </c>
      <c r="N892" s="181">
        <v>1.4681249999999999</v>
      </c>
      <c r="O892" s="181" t="s">
        <v>170</v>
      </c>
      <c r="P892" s="83" t="s">
        <v>148</v>
      </c>
      <c r="Q892" s="177" t="s">
        <v>149</v>
      </c>
      <c r="R892" s="83"/>
    </row>
    <row r="893" spans="1:18">
      <c r="A893" s="177">
        <v>80815648</v>
      </c>
      <c r="B893" s="177" t="s">
        <v>257</v>
      </c>
      <c r="C893" s="178" t="s">
        <v>151</v>
      </c>
      <c r="D893" s="177" t="s">
        <v>252</v>
      </c>
      <c r="E893" s="177" t="s">
        <v>205</v>
      </c>
      <c r="F893" s="179">
        <v>46003</v>
      </c>
      <c r="G893" s="177">
        <v>1506</v>
      </c>
      <c r="H893" s="179">
        <v>45996</v>
      </c>
      <c r="I893" s="179" t="s">
        <v>253</v>
      </c>
      <c r="J893" s="83">
        <v>3503529928</v>
      </c>
      <c r="K893" s="179" t="s">
        <v>331</v>
      </c>
      <c r="L893" s="179">
        <v>45996</v>
      </c>
      <c r="M893" s="180">
        <v>46003</v>
      </c>
      <c r="N893" s="181">
        <v>2.9344410000000001</v>
      </c>
      <c r="O893" s="181" t="s">
        <v>170</v>
      </c>
      <c r="P893" s="83" t="s">
        <v>148</v>
      </c>
      <c r="Q893" s="177" t="s">
        <v>149</v>
      </c>
      <c r="R893" s="83"/>
    </row>
    <row r="894" spans="1:18">
      <c r="A894" s="177">
        <v>80815643</v>
      </c>
      <c r="B894" s="177" t="s">
        <v>258</v>
      </c>
      <c r="C894" s="178" t="s">
        <v>151</v>
      </c>
      <c r="D894" s="177" t="s">
        <v>252</v>
      </c>
      <c r="E894" s="177" t="s">
        <v>205</v>
      </c>
      <c r="F894" s="179">
        <v>46003</v>
      </c>
      <c r="G894" s="177">
        <v>1506</v>
      </c>
      <c r="H894" s="179">
        <v>45996</v>
      </c>
      <c r="I894" s="179" t="s">
        <v>253</v>
      </c>
      <c r="J894" s="83">
        <v>3503529929</v>
      </c>
      <c r="K894" s="179" t="s">
        <v>331</v>
      </c>
      <c r="L894" s="179">
        <v>45996</v>
      </c>
      <c r="M894" s="180">
        <v>46003</v>
      </c>
      <c r="N894" s="181">
        <v>2.9344410000000001</v>
      </c>
      <c r="O894" s="181" t="s">
        <v>170</v>
      </c>
      <c r="P894" s="83" t="s">
        <v>148</v>
      </c>
      <c r="Q894" s="177" t="s">
        <v>149</v>
      </c>
      <c r="R894" s="83"/>
    </row>
    <row r="895" spans="1:18">
      <c r="A895" s="177">
        <v>80815642</v>
      </c>
      <c r="B895" s="177" t="s">
        <v>259</v>
      </c>
      <c r="C895" s="178" t="s">
        <v>151</v>
      </c>
      <c r="D895" s="177" t="s">
        <v>252</v>
      </c>
      <c r="E895" s="177" t="s">
        <v>205</v>
      </c>
      <c r="F895" s="179">
        <v>46003</v>
      </c>
      <c r="G895" s="177">
        <v>1506</v>
      </c>
      <c r="H895" s="179">
        <v>45996</v>
      </c>
      <c r="I895" s="179" t="s">
        <v>253</v>
      </c>
      <c r="J895" s="83">
        <v>3503529930</v>
      </c>
      <c r="K895" s="179" t="s">
        <v>331</v>
      </c>
      <c r="L895" s="179">
        <v>45996</v>
      </c>
      <c r="M895" s="180">
        <v>46003</v>
      </c>
      <c r="N895" s="181">
        <v>2.9344410000000001</v>
      </c>
      <c r="O895" s="181" t="s">
        <v>170</v>
      </c>
      <c r="P895" s="83" t="s">
        <v>148</v>
      </c>
      <c r="Q895" s="177" t="s">
        <v>149</v>
      </c>
      <c r="R895" s="83"/>
    </row>
    <row r="896" spans="1:18">
      <c r="A896" s="177">
        <v>80815644</v>
      </c>
      <c r="B896" s="177" t="s">
        <v>260</v>
      </c>
      <c r="C896" s="178" t="s">
        <v>151</v>
      </c>
      <c r="D896" s="177" t="s">
        <v>252</v>
      </c>
      <c r="E896" s="177" t="s">
        <v>205</v>
      </c>
      <c r="F896" s="179">
        <v>46003</v>
      </c>
      <c r="G896" s="177">
        <v>754</v>
      </c>
      <c r="H896" s="179">
        <v>45996</v>
      </c>
      <c r="I896" s="179" t="s">
        <v>253</v>
      </c>
      <c r="J896" s="83">
        <v>3503529931</v>
      </c>
      <c r="K896" s="179" t="s">
        <v>331</v>
      </c>
      <c r="L896" s="179">
        <v>45996</v>
      </c>
      <c r="M896" s="180">
        <v>46003</v>
      </c>
      <c r="N896" s="181">
        <v>1.4691689999999999</v>
      </c>
      <c r="O896" s="181" t="s">
        <v>170</v>
      </c>
      <c r="P896" s="83" t="s">
        <v>148</v>
      </c>
      <c r="Q896" s="177" t="s">
        <v>149</v>
      </c>
      <c r="R896" s="83"/>
    </row>
    <row r="897" spans="1:18">
      <c r="A897" s="177">
        <v>80815645</v>
      </c>
      <c r="B897" s="177" t="s">
        <v>261</v>
      </c>
      <c r="C897" s="178" t="s">
        <v>151</v>
      </c>
      <c r="D897" s="177" t="s">
        <v>252</v>
      </c>
      <c r="E897" s="177" t="s">
        <v>205</v>
      </c>
      <c r="F897" s="179">
        <v>46003</v>
      </c>
      <c r="G897" s="177">
        <v>1506</v>
      </c>
      <c r="H897" s="179">
        <v>45996</v>
      </c>
      <c r="I897" s="179" t="s">
        <v>253</v>
      </c>
      <c r="J897" s="83">
        <v>3503529932</v>
      </c>
      <c r="K897" s="179" t="s">
        <v>331</v>
      </c>
      <c r="L897" s="179">
        <v>45996</v>
      </c>
      <c r="M897" s="180">
        <v>46003</v>
      </c>
      <c r="N897" s="181">
        <v>2.9344410000000001</v>
      </c>
      <c r="O897" s="181" t="s">
        <v>170</v>
      </c>
      <c r="P897" s="83" t="s">
        <v>148</v>
      </c>
      <c r="Q897" s="177" t="s">
        <v>149</v>
      </c>
      <c r="R897" s="83"/>
    </row>
    <row r="898" spans="1:18">
      <c r="A898" s="177">
        <v>80815647</v>
      </c>
      <c r="B898" s="177" t="s">
        <v>262</v>
      </c>
      <c r="C898" s="178" t="s">
        <v>151</v>
      </c>
      <c r="D898" s="177" t="s">
        <v>252</v>
      </c>
      <c r="E898" s="177" t="s">
        <v>205</v>
      </c>
      <c r="F898" s="179">
        <v>46003</v>
      </c>
      <c r="G898" s="177">
        <v>754</v>
      </c>
      <c r="H898" s="179">
        <v>45996</v>
      </c>
      <c r="I898" s="179" t="s">
        <v>253</v>
      </c>
      <c r="J898" s="83">
        <v>3503529933</v>
      </c>
      <c r="K898" s="179" t="s">
        <v>331</v>
      </c>
      <c r="L898" s="179">
        <v>45996</v>
      </c>
      <c r="M898" s="180">
        <v>46003</v>
      </c>
      <c r="N898" s="181">
        <v>1.4691689999999999</v>
      </c>
      <c r="O898" s="181" t="s">
        <v>170</v>
      </c>
      <c r="P898" s="83" t="s">
        <v>148</v>
      </c>
      <c r="Q898" s="177" t="s">
        <v>149</v>
      </c>
      <c r="R898" s="83"/>
    </row>
    <row r="899" spans="1:18">
      <c r="A899" s="177">
        <v>80813610</v>
      </c>
      <c r="B899" s="177" t="s">
        <v>263</v>
      </c>
      <c r="C899" s="178" t="s">
        <v>151</v>
      </c>
      <c r="D899" s="177" t="s">
        <v>252</v>
      </c>
      <c r="E899" s="177" t="s">
        <v>205</v>
      </c>
      <c r="F899" s="179">
        <v>46003</v>
      </c>
      <c r="G899" s="177">
        <v>810</v>
      </c>
      <c r="H899" s="179">
        <v>45996</v>
      </c>
      <c r="I899" s="179" t="s">
        <v>253</v>
      </c>
      <c r="J899" s="83">
        <v>3503529934</v>
      </c>
      <c r="K899" s="179" t="s">
        <v>331</v>
      </c>
      <c r="L899" s="179">
        <v>45996</v>
      </c>
      <c r="M899" s="180">
        <v>46003</v>
      </c>
      <c r="N899" s="181">
        <v>1.4682059999999999</v>
      </c>
      <c r="O899" s="181" t="s">
        <v>170</v>
      </c>
      <c r="P899" s="83" t="s">
        <v>148</v>
      </c>
      <c r="Q899" s="177" t="s">
        <v>149</v>
      </c>
      <c r="R899" s="83"/>
    </row>
    <row r="900" spans="1:18">
      <c r="A900" s="177">
        <v>80813619</v>
      </c>
      <c r="B900" s="177" t="s">
        <v>264</v>
      </c>
      <c r="C900" s="178" t="s">
        <v>151</v>
      </c>
      <c r="D900" s="177" t="s">
        <v>252</v>
      </c>
      <c r="E900" s="177" t="s">
        <v>205</v>
      </c>
      <c r="F900" s="179">
        <v>46003</v>
      </c>
      <c r="G900" s="177">
        <v>810</v>
      </c>
      <c r="H900" s="179">
        <v>45996</v>
      </c>
      <c r="I900" s="179" t="s">
        <v>253</v>
      </c>
      <c r="J900" s="83">
        <v>3503529935</v>
      </c>
      <c r="K900" s="179" t="s">
        <v>331</v>
      </c>
      <c r="L900" s="179">
        <v>45996</v>
      </c>
      <c r="M900" s="180">
        <v>46003</v>
      </c>
      <c r="N900" s="181">
        <v>1.4682059999999999</v>
      </c>
      <c r="O900" s="181" t="s">
        <v>170</v>
      </c>
      <c r="P900" s="83" t="s">
        <v>148</v>
      </c>
      <c r="Q900" s="177" t="s">
        <v>149</v>
      </c>
      <c r="R900" s="83"/>
    </row>
    <row r="901" spans="1:18">
      <c r="A901" s="177">
        <v>80813615</v>
      </c>
      <c r="B901" s="177" t="s">
        <v>265</v>
      </c>
      <c r="C901" s="178" t="s">
        <v>151</v>
      </c>
      <c r="D901" s="177" t="s">
        <v>252</v>
      </c>
      <c r="E901" s="177" t="s">
        <v>205</v>
      </c>
      <c r="F901" s="179">
        <v>46003</v>
      </c>
      <c r="G901" s="177">
        <v>810</v>
      </c>
      <c r="H901" s="179">
        <v>45996</v>
      </c>
      <c r="I901" s="179" t="s">
        <v>253</v>
      </c>
      <c r="J901" s="83">
        <v>3503529936</v>
      </c>
      <c r="K901" s="179" t="s">
        <v>331</v>
      </c>
      <c r="L901" s="179">
        <v>45996</v>
      </c>
      <c r="M901" s="180">
        <v>46003</v>
      </c>
      <c r="N901" s="181">
        <v>1.4682059999999999</v>
      </c>
      <c r="O901" s="181" t="s">
        <v>170</v>
      </c>
      <c r="P901" s="83" t="s">
        <v>148</v>
      </c>
      <c r="Q901" s="177" t="s">
        <v>149</v>
      </c>
      <c r="R901" s="83"/>
    </row>
    <row r="902" spans="1:18">
      <c r="A902" s="177">
        <v>80813637</v>
      </c>
      <c r="B902" s="177" t="s">
        <v>266</v>
      </c>
      <c r="C902" s="178" t="s">
        <v>151</v>
      </c>
      <c r="D902" s="177" t="s">
        <v>252</v>
      </c>
      <c r="E902" s="177" t="s">
        <v>205</v>
      </c>
      <c r="F902" s="179">
        <v>46003</v>
      </c>
      <c r="G902" s="177">
        <v>810</v>
      </c>
      <c r="H902" s="179">
        <v>45996</v>
      </c>
      <c r="I902" s="179" t="s">
        <v>253</v>
      </c>
      <c r="J902" s="83">
        <v>3503529937</v>
      </c>
      <c r="K902" s="179" t="s">
        <v>331</v>
      </c>
      <c r="L902" s="179">
        <v>45996</v>
      </c>
      <c r="M902" s="180">
        <v>46003</v>
      </c>
      <c r="N902" s="181">
        <v>1.4682059999999999</v>
      </c>
      <c r="O902" s="181" t="s">
        <v>170</v>
      </c>
      <c r="P902" s="83" t="s">
        <v>148</v>
      </c>
      <c r="Q902" s="177" t="s">
        <v>149</v>
      </c>
      <c r="R902" s="83"/>
    </row>
    <row r="903" spans="1:18">
      <c r="A903" s="177">
        <v>80813617</v>
      </c>
      <c r="B903" s="177" t="s">
        <v>267</v>
      </c>
      <c r="C903" s="178" t="s">
        <v>151</v>
      </c>
      <c r="D903" s="177" t="s">
        <v>252</v>
      </c>
      <c r="E903" s="177" t="s">
        <v>205</v>
      </c>
      <c r="F903" s="179">
        <v>46003</v>
      </c>
      <c r="G903" s="177">
        <v>810</v>
      </c>
      <c r="H903" s="179">
        <v>45996</v>
      </c>
      <c r="I903" s="179" t="s">
        <v>253</v>
      </c>
      <c r="J903" s="83">
        <v>3503529938</v>
      </c>
      <c r="K903" s="179" t="s">
        <v>331</v>
      </c>
      <c r="L903" s="179">
        <v>45996</v>
      </c>
      <c r="M903" s="180">
        <v>46003</v>
      </c>
      <c r="N903" s="181">
        <v>1.4682059999999999</v>
      </c>
      <c r="O903" s="181" t="s">
        <v>170</v>
      </c>
      <c r="P903" s="83" t="s">
        <v>148</v>
      </c>
      <c r="Q903" s="177" t="s">
        <v>149</v>
      </c>
      <c r="R903" s="83"/>
    </row>
    <row r="904" spans="1:18">
      <c r="A904" s="177">
        <v>80813629</v>
      </c>
      <c r="B904" s="177" t="s">
        <v>268</v>
      </c>
      <c r="C904" s="178" t="s">
        <v>151</v>
      </c>
      <c r="D904" s="177" t="s">
        <v>252</v>
      </c>
      <c r="E904" s="177" t="s">
        <v>205</v>
      </c>
      <c r="F904" s="179">
        <v>46003</v>
      </c>
      <c r="G904" s="177">
        <v>810</v>
      </c>
      <c r="H904" s="179">
        <v>45996</v>
      </c>
      <c r="I904" s="179" t="s">
        <v>253</v>
      </c>
      <c r="J904" s="83">
        <v>3503529939</v>
      </c>
      <c r="K904" s="179" t="s">
        <v>331</v>
      </c>
      <c r="L904" s="179">
        <v>45996</v>
      </c>
      <c r="M904" s="180">
        <v>46003</v>
      </c>
      <c r="N904" s="181">
        <v>1.4682059999999999</v>
      </c>
      <c r="O904" s="181" t="s">
        <v>170</v>
      </c>
      <c r="P904" s="83" t="s">
        <v>148</v>
      </c>
      <c r="Q904" s="177" t="s">
        <v>149</v>
      </c>
      <c r="R904" s="83"/>
    </row>
    <row r="905" spans="1:18">
      <c r="A905" s="177">
        <v>80814089</v>
      </c>
      <c r="B905" s="177" t="s">
        <v>251</v>
      </c>
      <c r="C905" s="178" t="s">
        <v>150</v>
      </c>
      <c r="D905" s="177" t="s">
        <v>252</v>
      </c>
      <c r="E905" s="177" t="s">
        <v>205</v>
      </c>
      <c r="F905" s="179">
        <v>46003</v>
      </c>
      <c r="G905" s="177">
        <v>810</v>
      </c>
      <c r="H905" s="179">
        <v>45996</v>
      </c>
      <c r="I905" s="179" t="s">
        <v>253</v>
      </c>
      <c r="J905" s="83">
        <v>3503529940</v>
      </c>
      <c r="K905" s="179" t="s">
        <v>331</v>
      </c>
      <c r="L905" s="179">
        <v>45996</v>
      </c>
      <c r="M905" s="180">
        <v>46003</v>
      </c>
      <c r="N905" s="181">
        <v>1.4681249999999999</v>
      </c>
      <c r="O905" s="181" t="s">
        <v>170</v>
      </c>
      <c r="P905" s="83" t="s">
        <v>148</v>
      </c>
      <c r="Q905" s="177" t="s">
        <v>149</v>
      </c>
      <c r="R905" s="83"/>
    </row>
    <row r="906" spans="1:18">
      <c r="A906" s="177">
        <v>80814098</v>
      </c>
      <c r="B906" s="177" t="s">
        <v>254</v>
      </c>
      <c r="C906" s="178" t="s">
        <v>150</v>
      </c>
      <c r="D906" s="177" t="s">
        <v>252</v>
      </c>
      <c r="E906" s="177" t="s">
        <v>205</v>
      </c>
      <c r="F906" s="179">
        <v>46003</v>
      </c>
      <c r="G906" s="177">
        <v>810</v>
      </c>
      <c r="H906" s="179">
        <v>45996</v>
      </c>
      <c r="I906" s="179" t="s">
        <v>253</v>
      </c>
      <c r="J906" s="83">
        <v>3503529941</v>
      </c>
      <c r="K906" s="179" t="s">
        <v>331</v>
      </c>
      <c r="L906" s="179">
        <v>45996</v>
      </c>
      <c r="M906" s="180">
        <v>46003</v>
      </c>
      <c r="N906" s="181">
        <v>1.4681249999999999</v>
      </c>
      <c r="O906" s="181" t="s">
        <v>170</v>
      </c>
      <c r="P906" s="83" t="s">
        <v>148</v>
      </c>
      <c r="Q906" s="177" t="s">
        <v>149</v>
      </c>
      <c r="R906" s="83"/>
    </row>
    <row r="907" spans="1:18">
      <c r="A907" s="177">
        <v>80814097</v>
      </c>
      <c r="B907" s="177" t="s">
        <v>255</v>
      </c>
      <c r="C907" s="178" t="s">
        <v>150</v>
      </c>
      <c r="D907" s="177" t="s">
        <v>252</v>
      </c>
      <c r="E907" s="177" t="s">
        <v>205</v>
      </c>
      <c r="F907" s="179">
        <v>46003</v>
      </c>
      <c r="G907" s="177">
        <v>810</v>
      </c>
      <c r="H907" s="179">
        <v>45996</v>
      </c>
      <c r="I907" s="179" t="s">
        <v>253</v>
      </c>
      <c r="J907" s="83">
        <v>3503529942</v>
      </c>
      <c r="K907" s="179" t="s">
        <v>331</v>
      </c>
      <c r="L907" s="179">
        <v>45996</v>
      </c>
      <c r="M907" s="180">
        <v>46003</v>
      </c>
      <c r="N907" s="181">
        <v>1.4681249999999999</v>
      </c>
      <c r="O907" s="181" t="s">
        <v>170</v>
      </c>
      <c r="P907" s="83" t="s">
        <v>148</v>
      </c>
      <c r="Q907" s="177" t="s">
        <v>149</v>
      </c>
      <c r="R907" s="83"/>
    </row>
    <row r="908" spans="1:18">
      <c r="A908" s="177">
        <v>80814081</v>
      </c>
      <c r="B908" s="177" t="s">
        <v>256</v>
      </c>
      <c r="C908" s="178" t="s">
        <v>150</v>
      </c>
      <c r="D908" s="177" t="s">
        <v>252</v>
      </c>
      <c r="E908" s="177" t="s">
        <v>205</v>
      </c>
      <c r="F908" s="179">
        <v>46003</v>
      </c>
      <c r="G908" s="177">
        <v>810</v>
      </c>
      <c r="H908" s="179">
        <v>45996</v>
      </c>
      <c r="I908" s="179" t="s">
        <v>253</v>
      </c>
      <c r="J908" s="83">
        <v>3503529943</v>
      </c>
      <c r="K908" s="179" t="s">
        <v>331</v>
      </c>
      <c r="L908" s="179">
        <v>45996</v>
      </c>
      <c r="M908" s="180">
        <v>46003</v>
      </c>
      <c r="N908" s="181">
        <v>1.4681249999999999</v>
      </c>
      <c r="O908" s="181" t="s">
        <v>170</v>
      </c>
      <c r="P908" s="83" t="s">
        <v>148</v>
      </c>
      <c r="Q908" s="177" t="s">
        <v>149</v>
      </c>
      <c r="R908" s="83"/>
    </row>
    <row r="909" spans="1:18">
      <c r="A909" s="177">
        <v>80815648</v>
      </c>
      <c r="B909" s="177" t="s">
        <v>257</v>
      </c>
      <c r="C909" s="178" t="s">
        <v>150</v>
      </c>
      <c r="D909" s="177" t="s">
        <v>252</v>
      </c>
      <c r="E909" s="177" t="s">
        <v>205</v>
      </c>
      <c r="F909" s="179">
        <v>46003</v>
      </c>
      <c r="G909" s="177">
        <v>1506</v>
      </c>
      <c r="H909" s="179">
        <v>45996</v>
      </c>
      <c r="I909" s="179" t="s">
        <v>253</v>
      </c>
      <c r="J909" s="83">
        <v>3503529944</v>
      </c>
      <c r="K909" s="179" t="s">
        <v>331</v>
      </c>
      <c r="L909" s="179">
        <v>45996</v>
      </c>
      <c r="M909" s="180">
        <v>46003</v>
      </c>
      <c r="N909" s="181">
        <v>2.9344410000000001</v>
      </c>
      <c r="O909" s="181" t="s">
        <v>170</v>
      </c>
      <c r="P909" s="83" t="s">
        <v>148</v>
      </c>
      <c r="Q909" s="177" t="s">
        <v>149</v>
      </c>
      <c r="R909" s="83"/>
    </row>
    <row r="910" spans="1:18">
      <c r="A910" s="177">
        <v>80815643</v>
      </c>
      <c r="B910" s="177" t="s">
        <v>258</v>
      </c>
      <c r="C910" s="178" t="s">
        <v>150</v>
      </c>
      <c r="D910" s="177" t="s">
        <v>252</v>
      </c>
      <c r="E910" s="177" t="s">
        <v>205</v>
      </c>
      <c r="F910" s="179">
        <v>46003</v>
      </c>
      <c r="G910" s="177">
        <v>1506</v>
      </c>
      <c r="H910" s="179">
        <v>45996</v>
      </c>
      <c r="I910" s="179" t="s">
        <v>253</v>
      </c>
      <c r="J910" s="83">
        <v>3503529945</v>
      </c>
      <c r="K910" s="179" t="s">
        <v>331</v>
      </c>
      <c r="L910" s="179">
        <v>45996</v>
      </c>
      <c r="M910" s="180">
        <v>46003</v>
      </c>
      <c r="N910" s="181">
        <v>2.9344410000000001</v>
      </c>
      <c r="O910" s="181" t="s">
        <v>170</v>
      </c>
      <c r="P910" s="83" t="s">
        <v>148</v>
      </c>
      <c r="Q910" s="177" t="s">
        <v>149</v>
      </c>
      <c r="R910" s="83"/>
    </row>
    <row r="911" spans="1:18">
      <c r="A911" s="177">
        <v>80815642</v>
      </c>
      <c r="B911" s="177" t="s">
        <v>259</v>
      </c>
      <c r="C911" s="178" t="s">
        <v>150</v>
      </c>
      <c r="D911" s="177" t="s">
        <v>252</v>
      </c>
      <c r="E911" s="177" t="s">
        <v>205</v>
      </c>
      <c r="F911" s="179">
        <v>46003</v>
      </c>
      <c r="G911" s="177">
        <v>1506</v>
      </c>
      <c r="H911" s="179">
        <v>45996</v>
      </c>
      <c r="I911" s="179" t="s">
        <v>253</v>
      </c>
      <c r="J911" s="83">
        <v>3503529946</v>
      </c>
      <c r="K911" s="179" t="s">
        <v>331</v>
      </c>
      <c r="L911" s="179">
        <v>45996</v>
      </c>
      <c r="M911" s="180">
        <v>46003</v>
      </c>
      <c r="N911" s="181">
        <v>2.9344410000000001</v>
      </c>
      <c r="O911" s="181" t="s">
        <v>170</v>
      </c>
      <c r="P911" s="83" t="s">
        <v>148</v>
      </c>
      <c r="Q911" s="177" t="s">
        <v>149</v>
      </c>
      <c r="R911" s="83"/>
    </row>
    <row r="912" spans="1:18">
      <c r="A912" s="177">
        <v>80815644</v>
      </c>
      <c r="B912" s="177" t="s">
        <v>260</v>
      </c>
      <c r="C912" s="178" t="s">
        <v>150</v>
      </c>
      <c r="D912" s="177" t="s">
        <v>252</v>
      </c>
      <c r="E912" s="177" t="s">
        <v>205</v>
      </c>
      <c r="F912" s="179">
        <v>46003</v>
      </c>
      <c r="G912" s="177">
        <v>754</v>
      </c>
      <c r="H912" s="179">
        <v>45996</v>
      </c>
      <c r="I912" s="179" t="s">
        <v>253</v>
      </c>
      <c r="J912" s="83">
        <v>3503529947</v>
      </c>
      <c r="K912" s="179" t="s">
        <v>331</v>
      </c>
      <c r="L912" s="179">
        <v>45996</v>
      </c>
      <c r="M912" s="180">
        <v>46003</v>
      </c>
      <c r="N912" s="181">
        <v>1.4691689999999999</v>
      </c>
      <c r="O912" s="181" t="s">
        <v>170</v>
      </c>
      <c r="P912" s="83" t="s">
        <v>148</v>
      </c>
      <c r="Q912" s="177" t="s">
        <v>149</v>
      </c>
      <c r="R912" s="83"/>
    </row>
    <row r="913" spans="1:18">
      <c r="A913" s="177">
        <v>80815645</v>
      </c>
      <c r="B913" s="177" t="s">
        <v>261</v>
      </c>
      <c r="C913" s="178" t="s">
        <v>150</v>
      </c>
      <c r="D913" s="177" t="s">
        <v>252</v>
      </c>
      <c r="E913" s="177" t="s">
        <v>205</v>
      </c>
      <c r="F913" s="179">
        <v>46003</v>
      </c>
      <c r="G913" s="177">
        <v>1506</v>
      </c>
      <c r="H913" s="179">
        <v>45996</v>
      </c>
      <c r="I913" s="179" t="s">
        <v>253</v>
      </c>
      <c r="J913" s="83">
        <v>3503529948</v>
      </c>
      <c r="K913" s="179" t="s">
        <v>331</v>
      </c>
      <c r="L913" s="179">
        <v>45996</v>
      </c>
      <c r="M913" s="180">
        <v>46003</v>
      </c>
      <c r="N913" s="181">
        <v>2.9344410000000001</v>
      </c>
      <c r="O913" s="181" t="s">
        <v>170</v>
      </c>
      <c r="P913" s="83" t="s">
        <v>148</v>
      </c>
      <c r="Q913" s="177" t="s">
        <v>149</v>
      </c>
      <c r="R913" s="83"/>
    </row>
    <row r="914" spans="1:18">
      <c r="A914" s="177">
        <v>80815647</v>
      </c>
      <c r="B914" s="177" t="s">
        <v>262</v>
      </c>
      <c r="C914" s="178" t="s">
        <v>150</v>
      </c>
      <c r="D914" s="177" t="s">
        <v>252</v>
      </c>
      <c r="E914" s="177" t="s">
        <v>205</v>
      </c>
      <c r="F914" s="179">
        <v>46003</v>
      </c>
      <c r="G914" s="177">
        <v>754</v>
      </c>
      <c r="H914" s="179">
        <v>45996</v>
      </c>
      <c r="I914" s="179" t="s">
        <v>253</v>
      </c>
      <c r="J914" s="83">
        <v>3503529949</v>
      </c>
      <c r="K914" s="179" t="s">
        <v>331</v>
      </c>
      <c r="L914" s="179">
        <v>45996</v>
      </c>
      <c r="M914" s="180">
        <v>46003</v>
      </c>
      <c r="N914" s="181">
        <v>1.4691689999999999</v>
      </c>
      <c r="O914" s="181" t="s">
        <v>170</v>
      </c>
      <c r="P914" s="83" t="s">
        <v>148</v>
      </c>
      <c r="Q914" s="177" t="s">
        <v>149</v>
      </c>
      <c r="R914" s="83"/>
    </row>
    <row r="915" spans="1:18">
      <c r="A915" s="177">
        <v>80813610</v>
      </c>
      <c r="B915" s="177" t="s">
        <v>263</v>
      </c>
      <c r="C915" s="178" t="s">
        <v>150</v>
      </c>
      <c r="D915" s="177" t="s">
        <v>252</v>
      </c>
      <c r="E915" s="177" t="s">
        <v>205</v>
      </c>
      <c r="F915" s="179">
        <v>46003</v>
      </c>
      <c r="G915" s="177">
        <v>810</v>
      </c>
      <c r="H915" s="179">
        <v>45996</v>
      </c>
      <c r="I915" s="179" t="s">
        <v>253</v>
      </c>
      <c r="J915" s="83">
        <v>3503529950</v>
      </c>
      <c r="K915" s="179" t="s">
        <v>331</v>
      </c>
      <c r="L915" s="179">
        <v>45996</v>
      </c>
      <c r="M915" s="180">
        <v>46003</v>
      </c>
      <c r="N915" s="181">
        <v>1.4682059999999999</v>
      </c>
      <c r="O915" s="181" t="s">
        <v>170</v>
      </c>
      <c r="P915" s="83" t="s">
        <v>148</v>
      </c>
      <c r="Q915" s="177" t="s">
        <v>149</v>
      </c>
      <c r="R915" s="83"/>
    </row>
    <row r="916" spans="1:18">
      <c r="A916" s="177">
        <v>80813619</v>
      </c>
      <c r="B916" s="177" t="s">
        <v>264</v>
      </c>
      <c r="C916" s="178" t="s">
        <v>150</v>
      </c>
      <c r="D916" s="177" t="s">
        <v>252</v>
      </c>
      <c r="E916" s="177" t="s">
        <v>205</v>
      </c>
      <c r="F916" s="179">
        <v>46003</v>
      </c>
      <c r="G916" s="177">
        <v>810</v>
      </c>
      <c r="H916" s="179">
        <v>45996</v>
      </c>
      <c r="I916" s="179" t="s">
        <v>253</v>
      </c>
      <c r="J916" s="83">
        <v>3503529951</v>
      </c>
      <c r="K916" s="179" t="s">
        <v>331</v>
      </c>
      <c r="L916" s="179">
        <v>45996</v>
      </c>
      <c r="M916" s="180">
        <v>46003</v>
      </c>
      <c r="N916" s="181">
        <v>1.4682059999999999</v>
      </c>
      <c r="O916" s="181" t="s">
        <v>170</v>
      </c>
      <c r="P916" s="83" t="s">
        <v>148</v>
      </c>
      <c r="Q916" s="177" t="s">
        <v>149</v>
      </c>
      <c r="R916" s="83"/>
    </row>
    <row r="917" spans="1:18">
      <c r="A917" s="177">
        <v>80813615</v>
      </c>
      <c r="B917" s="177" t="s">
        <v>265</v>
      </c>
      <c r="C917" s="178" t="s">
        <v>150</v>
      </c>
      <c r="D917" s="177" t="s">
        <v>252</v>
      </c>
      <c r="E917" s="177" t="s">
        <v>205</v>
      </c>
      <c r="F917" s="179">
        <v>46003</v>
      </c>
      <c r="G917" s="177">
        <v>810</v>
      </c>
      <c r="H917" s="179">
        <v>45996</v>
      </c>
      <c r="I917" s="179" t="s">
        <v>253</v>
      </c>
      <c r="J917" s="83">
        <v>3503529952</v>
      </c>
      <c r="K917" s="179" t="s">
        <v>331</v>
      </c>
      <c r="L917" s="179">
        <v>45996</v>
      </c>
      <c r="M917" s="180">
        <v>46003</v>
      </c>
      <c r="N917" s="181">
        <v>1.4682059999999999</v>
      </c>
      <c r="O917" s="181" t="s">
        <v>170</v>
      </c>
      <c r="P917" s="83" t="s">
        <v>148</v>
      </c>
      <c r="Q917" s="177" t="s">
        <v>149</v>
      </c>
      <c r="R917" s="83"/>
    </row>
    <row r="918" spans="1:18">
      <c r="A918" s="177">
        <v>80813637</v>
      </c>
      <c r="B918" s="177" t="s">
        <v>266</v>
      </c>
      <c r="C918" s="178" t="s">
        <v>150</v>
      </c>
      <c r="D918" s="177" t="s">
        <v>252</v>
      </c>
      <c r="E918" s="177" t="s">
        <v>205</v>
      </c>
      <c r="F918" s="179">
        <v>46003</v>
      </c>
      <c r="G918" s="177">
        <v>810</v>
      </c>
      <c r="H918" s="179">
        <v>45996</v>
      </c>
      <c r="I918" s="179" t="s">
        <v>253</v>
      </c>
      <c r="J918" s="83">
        <v>3503529953</v>
      </c>
      <c r="K918" s="179" t="s">
        <v>331</v>
      </c>
      <c r="L918" s="179">
        <v>45996</v>
      </c>
      <c r="M918" s="180">
        <v>46003</v>
      </c>
      <c r="N918" s="181">
        <v>1.4682059999999999</v>
      </c>
      <c r="O918" s="181" t="s">
        <v>170</v>
      </c>
      <c r="P918" s="83" t="s">
        <v>148</v>
      </c>
      <c r="Q918" s="177" t="s">
        <v>149</v>
      </c>
      <c r="R918" s="83"/>
    </row>
    <row r="919" spans="1:18">
      <c r="A919" s="177">
        <v>80813617</v>
      </c>
      <c r="B919" s="177" t="s">
        <v>267</v>
      </c>
      <c r="C919" s="178" t="s">
        <v>150</v>
      </c>
      <c r="D919" s="177" t="s">
        <v>252</v>
      </c>
      <c r="E919" s="177" t="s">
        <v>205</v>
      </c>
      <c r="F919" s="179">
        <v>46003</v>
      </c>
      <c r="G919" s="177">
        <v>810</v>
      </c>
      <c r="H919" s="179">
        <v>45996</v>
      </c>
      <c r="I919" s="179" t="s">
        <v>253</v>
      </c>
      <c r="J919" s="83">
        <v>3503529954</v>
      </c>
      <c r="K919" s="179" t="s">
        <v>331</v>
      </c>
      <c r="L919" s="179">
        <v>45996</v>
      </c>
      <c r="M919" s="180">
        <v>46003</v>
      </c>
      <c r="N919" s="181">
        <v>1.4682059999999999</v>
      </c>
      <c r="O919" s="181" t="s">
        <v>170</v>
      </c>
      <c r="P919" s="83" t="s">
        <v>148</v>
      </c>
      <c r="Q919" s="177" t="s">
        <v>149</v>
      </c>
      <c r="R919" s="83"/>
    </row>
    <row r="920" spans="1:18">
      <c r="A920" s="177">
        <v>80813629</v>
      </c>
      <c r="B920" s="177" t="s">
        <v>268</v>
      </c>
      <c r="C920" s="178" t="s">
        <v>150</v>
      </c>
      <c r="D920" s="177" t="s">
        <v>252</v>
      </c>
      <c r="E920" s="177" t="s">
        <v>205</v>
      </c>
      <c r="F920" s="179">
        <v>46003</v>
      </c>
      <c r="G920" s="177">
        <v>810</v>
      </c>
      <c r="H920" s="179">
        <v>45996</v>
      </c>
      <c r="I920" s="179" t="s">
        <v>253</v>
      </c>
      <c r="J920" s="83">
        <v>3503529955</v>
      </c>
      <c r="K920" s="179" t="s">
        <v>331</v>
      </c>
      <c r="L920" s="179">
        <v>45996</v>
      </c>
      <c r="M920" s="180">
        <v>46003</v>
      </c>
      <c r="N920" s="181">
        <v>1.4682059999999999</v>
      </c>
      <c r="O920" s="181" t="s">
        <v>170</v>
      </c>
      <c r="P920" s="83" t="s">
        <v>148</v>
      </c>
      <c r="Q920" s="177" t="s">
        <v>149</v>
      </c>
      <c r="R920" s="83"/>
    </row>
    <row r="921" spans="1:18">
      <c r="A921" s="177">
        <v>80880191</v>
      </c>
      <c r="B921" s="177" t="s">
        <v>185</v>
      </c>
      <c r="C921" s="178" t="s">
        <v>155</v>
      </c>
      <c r="D921" s="177" t="s">
        <v>275</v>
      </c>
      <c r="E921" s="177" t="s">
        <v>205</v>
      </c>
      <c r="F921" s="179">
        <v>46003</v>
      </c>
      <c r="G921" s="177">
        <v>2428</v>
      </c>
      <c r="H921" s="179">
        <v>45996</v>
      </c>
      <c r="I921" s="179" t="s">
        <v>253</v>
      </c>
      <c r="J921" s="83">
        <v>3503529956</v>
      </c>
      <c r="K921" s="179" t="s">
        <v>331</v>
      </c>
      <c r="L921" s="179">
        <v>45996</v>
      </c>
      <c r="M921" s="180">
        <v>46003</v>
      </c>
      <c r="N921" s="181">
        <v>4.4009928</v>
      </c>
      <c r="O921" s="181" t="s">
        <v>170</v>
      </c>
      <c r="P921" s="83" t="s">
        <v>148</v>
      </c>
      <c r="Q921" s="177" t="s">
        <v>149</v>
      </c>
      <c r="R921" s="83"/>
    </row>
    <row r="922" spans="1:18">
      <c r="A922" s="177">
        <v>80880197</v>
      </c>
      <c r="B922" s="177" t="s">
        <v>276</v>
      </c>
      <c r="C922" s="178" t="s">
        <v>155</v>
      </c>
      <c r="D922" s="177" t="s">
        <v>275</v>
      </c>
      <c r="E922" s="177" t="s">
        <v>205</v>
      </c>
      <c r="F922" s="179">
        <v>46003</v>
      </c>
      <c r="G922" s="177">
        <v>2428</v>
      </c>
      <c r="H922" s="179">
        <v>45996</v>
      </c>
      <c r="I922" s="179" t="s">
        <v>253</v>
      </c>
      <c r="J922" s="83">
        <v>3503529957</v>
      </c>
      <c r="K922" s="179" t="s">
        <v>331</v>
      </c>
      <c r="L922" s="179">
        <v>45996</v>
      </c>
      <c r="M922" s="180">
        <v>46003</v>
      </c>
      <c r="N922" s="181">
        <v>4.4009928</v>
      </c>
      <c r="O922" s="181" t="s">
        <v>170</v>
      </c>
      <c r="P922" s="83" t="s">
        <v>148</v>
      </c>
      <c r="Q922" s="177" t="s">
        <v>149</v>
      </c>
      <c r="R922" s="83"/>
    </row>
    <row r="923" spans="1:18">
      <c r="A923" s="177">
        <v>80880191</v>
      </c>
      <c r="B923" s="177" t="s">
        <v>185</v>
      </c>
      <c r="C923" s="178" t="s">
        <v>151</v>
      </c>
      <c r="D923" s="177" t="s">
        <v>275</v>
      </c>
      <c r="E923" s="177" t="s">
        <v>205</v>
      </c>
      <c r="F923" s="179">
        <v>46003</v>
      </c>
      <c r="G923" s="177">
        <v>2428</v>
      </c>
      <c r="H923" s="179">
        <v>45996</v>
      </c>
      <c r="I923" s="179" t="s">
        <v>253</v>
      </c>
      <c r="J923" s="83">
        <v>3503529998</v>
      </c>
      <c r="K923" s="179" t="s">
        <v>331</v>
      </c>
      <c r="L923" s="179">
        <v>45996</v>
      </c>
      <c r="M923" s="180">
        <v>46003</v>
      </c>
      <c r="N923" s="181">
        <v>4.4009928</v>
      </c>
      <c r="O923" s="181" t="s">
        <v>170</v>
      </c>
      <c r="P923" s="83" t="s">
        <v>148</v>
      </c>
      <c r="Q923" s="177" t="s">
        <v>149</v>
      </c>
      <c r="R923" s="83"/>
    </row>
    <row r="924" spans="1:18">
      <c r="A924" s="177">
        <v>80880197</v>
      </c>
      <c r="B924" s="177" t="s">
        <v>276</v>
      </c>
      <c r="C924" s="178" t="s">
        <v>151</v>
      </c>
      <c r="D924" s="177" t="s">
        <v>275</v>
      </c>
      <c r="E924" s="177" t="s">
        <v>205</v>
      </c>
      <c r="F924" s="179">
        <v>46003</v>
      </c>
      <c r="G924" s="177">
        <v>2428</v>
      </c>
      <c r="H924" s="179">
        <v>45996</v>
      </c>
      <c r="I924" s="179" t="s">
        <v>253</v>
      </c>
      <c r="J924" s="83">
        <v>3503529999</v>
      </c>
      <c r="K924" s="179" t="s">
        <v>331</v>
      </c>
      <c r="L924" s="179">
        <v>45996</v>
      </c>
      <c r="M924" s="180">
        <v>46003</v>
      </c>
      <c r="N924" s="181">
        <v>4.4009928</v>
      </c>
      <c r="O924" s="181" t="s">
        <v>170</v>
      </c>
      <c r="P924" s="83" t="s">
        <v>148</v>
      </c>
      <c r="Q924" s="177" t="s">
        <v>149</v>
      </c>
      <c r="R924" s="83"/>
    </row>
    <row r="925" spans="1:18">
      <c r="A925" s="177">
        <v>80880191</v>
      </c>
      <c r="B925" s="177" t="s">
        <v>185</v>
      </c>
      <c r="C925" s="178" t="s">
        <v>150</v>
      </c>
      <c r="D925" s="177" t="s">
        <v>275</v>
      </c>
      <c r="E925" s="177" t="s">
        <v>205</v>
      </c>
      <c r="F925" s="179">
        <v>46003</v>
      </c>
      <c r="G925" s="177">
        <v>2428</v>
      </c>
      <c r="H925" s="179">
        <v>45996</v>
      </c>
      <c r="I925" s="179" t="s">
        <v>253</v>
      </c>
      <c r="J925" s="83">
        <v>3503530000</v>
      </c>
      <c r="K925" s="179" t="s">
        <v>331</v>
      </c>
      <c r="L925" s="179">
        <v>45996</v>
      </c>
      <c r="M925" s="180">
        <v>46003</v>
      </c>
      <c r="N925" s="181">
        <v>4.4009928</v>
      </c>
      <c r="O925" s="181" t="s">
        <v>170</v>
      </c>
      <c r="P925" s="83" t="s">
        <v>148</v>
      </c>
      <c r="Q925" s="177" t="s">
        <v>149</v>
      </c>
      <c r="R925" s="83"/>
    </row>
    <row r="926" spans="1:18">
      <c r="A926" s="177">
        <v>80880197</v>
      </c>
      <c r="B926" s="177" t="s">
        <v>276</v>
      </c>
      <c r="C926" s="178" t="s">
        <v>150</v>
      </c>
      <c r="D926" s="177" t="s">
        <v>275</v>
      </c>
      <c r="E926" s="177" t="s">
        <v>205</v>
      </c>
      <c r="F926" s="179">
        <v>46003</v>
      </c>
      <c r="G926" s="177">
        <v>2428</v>
      </c>
      <c r="H926" s="179">
        <v>45996</v>
      </c>
      <c r="I926" s="179" t="s">
        <v>253</v>
      </c>
      <c r="J926" s="83">
        <v>3503530001</v>
      </c>
      <c r="K926" s="179" t="s">
        <v>331</v>
      </c>
      <c r="L926" s="179">
        <v>45996</v>
      </c>
      <c r="M926" s="180">
        <v>46003</v>
      </c>
      <c r="N926" s="181">
        <v>4.4009928</v>
      </c>
      <c r="O926" s="181" t="s">
        <v>170</v>
      </c>
      <c r="P926" s="83" t="s">
        <v>148</v>
      </c>
      <c r="Q926" s="177" t="s">
        <v>149</v>
      </c>
      <c r="R926" s="83"/>
    </row>
    <row r="927" spans="1:18">
      <c r="A927" s="177">
        <v>80720217</v>
      </c>
      <c r="B927" s="177" t="s">
        <v>278</v>
      </c>
      <c r="C927" s="178" t="s">
        <v>143</v>
      </c>
      <c r="D927" s="177" t="s">
        <v>332</v>
      </c>
      <c r="E927" s="177" t="s">
        <v>205</v>
      </c>
      <c r="F927" s="179">
        <v>46003</v>
      </c>
      <c r="G927" s="177">
        <v>1000</v>
      </c>
      <c r="H927" s="179">
        <v>45996</v>
      </c>
      <c r="I927" s="179" t="s">
        <v>214</v>
      </c>
      <c r="J927" s="83">
        <v>3503530002</v>
      </c>
      <c r="K927" s="179"/>
      <c r="L927" s="179">
        <v>45996</v>
      </c>
      <c r="M927" s="180">
        <v>46003</v>
      </c>
      <c r="N927" s="181">
        <v>1.3593999999999999</v>
      </c>
      <c r="O927" s="181" t="s">
        <v>170</v>
      </c>
      <c r="P927" s="83" t="s">
        <v>148</v>
      </c>
      <c r="Q927" s="177" t="s">
        <v>149</v>
      </c>
      <c r="R927" s="83"/>
    </row>
    <row r="928" spans="1:18">
      <c r="A928" s="177">
        <v>80720217</v>
      </c>
      <c r="B928" s="177" t="s">
        <v>278</v>
      </c>
      <c r="C928" s="178" t="s">
        <v>150</v>
      </c>
      <c r="D928" s="177" t="s">
        <v>332</v>
      </c>
      <c r="E928" s="177" t="s">
        <v>205</v>
      </c>
      <c r="F928" s="179">
        <v>46003</v>
      </c>
      <c r="G928" s="177">
        <v>4000</v>
      </c>
      <c r="H928" s="179">
        <v>45996</v>
      </c>
      <c r="I928" s="179" t="s">
        <v>214</v>
      </c>
      <c r="J928" s="83">
        <v>3503530003</v>
      </c>
      <c r="K928" s="179"/>
      <c r="L928" s="179">
        <v>45996</v>
      </c>
      <c r="M928" s="180">
        <v>46003</v>
      </c>
      <c r="N928" s="181">
        <v>5.4375999999999998</v>
      </c>
      <c r="O928" s="181" t="s">
        <v>170</v>
      </c>
      <c r="P928" s="83" t="s">
        <v>148</v>
      </c>
      <c r="Q928" s="177" t="s">
        <v>149</v>
      </c>
      <c r="R928" s="83"/>
    </row>
    <row r="929" spans="1:18">
      <c r="A929" s="177">
        <v>80720217</v>
      </c>
      <c r="B929" s="177" t="s">
        <v>278</v>
      </c>
      <c r="C929" s="178" t="s">
        <v>151</v>
      </c>
      <c r="D929" s="177" t="s">
        <v>332</v>
      </c>
      <c r="E929" s="177" t="s">
        <v>205</v>
      </c>
      <c r="F929" s="179">
        <v>46003</v>
      </c>
      <c r="G929" s="177">
        <v>2000</v>
      </c>
      <c r="H929" s="179">
        <v>45996</v>
      </c>
      <c r="I929" s="179" t="s">
        <v>214</v>
      </c>
      <c r="J929" s="83">
        <v>3503530004</v>
      </c>
      <c r="K929" s="179"/>
      <c r="L929" s="179">
        <v>45996</v>
      </c>
      <c r="M929" s="180">
        <v>46003</v>
      </c>
      <c r="N929" s="181">
        <v>2.7187999999999999</v>
      </c>
      <c r="O929" s="181" t="s">
        <v>170</v>
      </c>
      <c r="P929" s="83" t="s">
        <v>148</v>
      </c>
      <c r="Q929" s="177" t="s">
        <v>149</v>
      </c>
      <c r="R929" s="83"/>
    </row>
    <row r="930" spans="1:18">
      <c r="A930" s="177">
        <v>80720217</v>
      </c>
      <c r="B930" s="177" t="s">
        <v>278</v>
      </c>
      <c r="C930" s="178" t="s">
        <v>152</v>
      </c>
      <c r="D930" s="177" t="s">
        <v>332</v>
      </c>
      <c r="E930" s="177" t="s">
        <v>205</v>
      </c>
      <c r="F930" s="179">
        <v>46003</v>
      </c>
      <c r="G930" s="177">
        <v>400</v>
      </c>
      <c r="H930" s="179">
        <v>45996</v>
      </c>
      <c r="I930" s="179" t="s">
        <v>214</v>
      </c>
      <c r="J930" s="83">
        <v>3503530005</v>
      </c>
      <c r="K930" s="179"/>
      <c r="L930" s="179">
        <v>45996</v>
      </c>
      <c r="M930" s="180">
        <v>46003</v>
      </c>
      <c r="N930" s="181">
        <v>0.54376000000000002</v>
      </c>
      <c r="O930" s="181" t="s">
        <v>170</v>
      </c>
      <c r="P930" s="83" t="s">
        <v>148</v>
      </c>
      <c r="Q930" s="177" t="s">
        <v>149</v>
      </c>
      <c r="R930" s="83"/>
    </row>
    <row r="931" spans="1:18">
      <c r="A931" s="177">
        <v>80720217</v>
      </c>
      <c r="B931" s="177" t="s">
        <v>278</v>
      </c>
      <c r="C931" s="178" t="s">
        <v>155</v>
      </c>
      <c r="D931" s="177" t="s">
        <v>332</v>
      </c>
      <c r="E931" s="177" t="s">
        <v>205</v>
      </c>
      <c r="F931" s="179">
        <v>46003</v>
      </c>
      <c r="G931" s="177">
        <v>1200</v>
      </c>
      <c r="H931" s="179">
        <v>45996</v>
      </c>
      <c r="I931" s="179" t="s">
        <v>214</v>
      </c>
      <c r="J931" s="83">
        <v>3503530006</v>
      </c>
      <c r="K931" s="179"/>
      <c r="L931" s="179">
        <v>45996</v>
      </c>
      <c r="M931" s="180">
        <v>46003</v>
      </c>
      <c r="N931" s="181">
        <v>1.6312800000000001</v>
      </c>
      <c r="O931" s="181" t="s">
        <v>170</v>
      </c>
      <c r="P931" s="83" t="s">
        <v>148</v>
      </c>
      <c r="Q931" s="177" t="s">
        <v>149</v>
      </c>
      <c r="R931" s="83"/>
    </row>
    <row r="932" spans="1:18">
      <c r="A932" s="177">
        <v>80720217</v>
      </c>
      <c r="B932" s="177" t="s">
        <v>278</v>
      </c>
      <c r="C932" s="178" t="s">
        <v>153</v>
      </c>
      <c r="D932" s="177" t="s">
        <v>332</v>
      </c>
      <c r="E932" s="177" t="s">
        <v>205</v>
      </c>
      <c r="F932" s="179">
        <v>46003</v>
      </c>
      <c r="G932" s="177">
        <v>50</v>
      </c>
      <c r="H932" s="179">
        <v>45996</v>
      </c>
      <c r="I932" s="179" t="s">
        <v>214</v>
      </c>
      <c r="J932" s="83">
        <v>3503530007</v>
      </c>
      <c r="K932" s="179"/>
      <c r="L932" s="179">
        <v>45996</v>
      </c>
      <c r="M932" s="180">
        <v>46003</v>
      </c>
      <c r="N932" s="181">
        <v>6.7970000000000003E-2</v>
      </c>
      <c r="O932" s="181" t="s">
        <v>170</v>
      </c>
      <c r="P932" s="83" t="s">
        <v>148</v>
      </c>
      <c r="Q932" s="177" t="s">
        <v>149</v>
      </c>
      <c r="R932" s="83"/>
    </row>
    <row r="933" spans="1:18">
      <c r="A933" s="177">
        <v>80720217</v>
      </c>
      <c r="B933" s="177" t="s">
        <v>278</v>
      </c>
      <c r="C933" s="178" t="s">
        <v>154</v>
      </c>
      <c r="D933" s="177" t="s">
        <v>332</v>
      </c>
      <c r="E933" s="177" t="s">
        <v>205</v>
      </c>
      <c r="F933" s="179">
        <v>46003</v>
      </c>
      <c r="G933" s="177">
        <v>150</v>
      </c>
      <c r="H933" s="179">
        <v>45996</v>
      </c>
      <c r="I933" s="179" t="s">
        <v>214</v>
      </c>
      <c r="J933" s="83">
        <v>3503530008</v>
      </c>
      <c r="K933" s="179"/>
      <c r="L933" s="179">
        <v>45996</v>
      </c>
      <c r="M933" s="180">
        <v>46003</v>
      </c>
      <c r="N933" s="181">
        <v>0.20391000000000001</v>
      </c>
      <c r="O933" s="181" t="s">
        <v>170</v>
      </c>
      <c r="P933" s="83" t="s">
        <v>148</v>
      </c>
      <c r="Q933" s="177" t="s">
        <v>149</v>
      </c>
      <c r="R933" s="83"/>
    </row>
    <row r="934" spans="1:18">
      <c r="A934" s="177">
        <v>80864679</v>
      </c>
      <c r="B934" s="177" t="s">
        <v>224</v>
      </c>
      <c r="C934" s="178" t="s">
        <v>151</v>
      </c>
      <c r="D934" s="177" t="s">
        <v>222</v>
      </c>
      <c r="E934" s="176" t="s">
        <v>145</v>
      </c>
      <c r="F934" s="179">
        <v>46027</v>
      </c>
      <c r="G934" s="177">
        <v>8900</v>
      </c>
      <c r="H934" s="179">
        <v>45999</v>
      </c>
      <c r="I934" s="179" t="s">
        <v>206</v>
      </c>
      <c r="J934" s="83">
        <v>3505596885</v>
      </c>
      <c r="K934" s="179"/>
      <c r="L934" s="179">
        <v>45999</v>
      </c>
      <c r="M934" s="180"/>
      <c r="N934" s="181">
        <v>16.031569999999999</v>
      </c>
      <c r="O934" s="181" t="s">
        <v>147</v>
      </c>
      <c r="P934" s="83" t="s">
        <v>323</v>
      </c>
      <c r="Q934" s="177">
        <v>5</v>
      </c>
      <c r="R934" s="83"/>
    </row>
    <row r="935" spans="1:18">
      <c r="A935" s="177">
        <v>80823143</v>
      </c>
      <c r="B935" s="177" t="s">
        <v>200</v>
      </c>
      <c r="C935" s="178" t="s">
        <v>150</v>
      </c>
      <c r="D935" s="177" t="s">
        <v>325</v>
      </c>
      <c r="E935" s="177" t="s">
        <v>172</v>
      </c>
      <c r="F935" s="179">
        <v>46007</v>
      </c>
      <c r="G935" s="177">
        <v>1600</v>
      </c>
      <c r="H935" s="179">
        <v>45999</v>
      </c>
      <c r="I935" s="179" t="s">
        <v>232</v>
      </c>
      <c r="J935" s="83">
        <v>3505596886</v>
      </c>
      <c r="K935" s="179"/>
      <c r="L935" s="179">
        <v>45999</v>
      </c>
      <c r="M935" s="180">
        <v>46007</v>
      </c>
      <c r="N935" s="181">
        <v>1.99152</v>
      </c>
      <c r="O935" s="181" t="s">
        <v>170</v>
      </c>
      <c r="P935" s="180" t="s">
        <v>148</v>
      </c>
      <c r="Q935" s="177" t="s">
        <v>149</v>
      </c>
      <c r="R935" s="83"/>
    </row>
    <row r="936" spans="1:18">
      <c r="A936" s="177">
        <v>80823143</v>
      </c>
      <c r="B936" s="177" t="s">
        <v>200</v>
      </c>
      <c r="C936" s="178" t="s">
        <v>152</v>
      </c>
      <c r="D936" s="177" t="s">
        <v>325</v>
      </c>
      <c r="E936" s="177" t="s">
        <v>172</v>
      </c>
      <c r="F936" s="179">
        <v>46007</v>
      </c>
      <c r="G936" s="177">
        <v>800</v>
      </c>
      <c r="H936" s="179">
        <v>45999</v>
      </c>
      <c r="I936" s="179" t="s">
        <v>232</v>
      </c>
      <c r="J936" s="83">
        <v>3505596887</v>
      </c>
      <c r="K936" s="179"/>
      <c r="L936" s="179">
        <v>45999</v>
      </c>
      <c r="M936" s="180">
        <v>46007</v>
      </c>
      <c r="N936" s="181">
        <v>0.99575999999999998</v>
      </c>
      <c r="O936" s="181" t="s">
        <v>170</v>
      </c>
      <c r="P936" s="180" t="s">
        <v>148</v>
      </c>
      <c r="Q936" s="177" t="s">
        <v>149</v>
      </c>
      <c r="R936" s="83"/>
    </row>
    <row r="937" spans="1:18">
      <c r="A937" s="83">
        <v>80823143</v>
      </c>
      <c r="B937" s="186" t="s">
        <v>200</v>
      </c>
      <c r="C937" s="186" t="s">
        <v>155</v>
      </c>
      <c r="D937" s="83" t="s">
        <v>325</v>
      </c>
      <c r="E937" s="83" t="s">
        <v>172</v>
      </c>
      <c r="F937" s="180">
        <v>46007</v>
      </c>
      <c r="G937" s="83">
        <v>4800</v>
      </c>
      <c r="H937" s="180">
        <v>45999</v>
      </c>
      <c r="I937" s="179" t="s">
        <v>232</v>
      </c>
      <c r="J937" s="83">
        <v>3505596888</v>
      </c>
      <c r="K937" s="180"/>
      <c r="L937" s="180">
        <v>45999</v>
      </c>
      <c r="M937" s="180">
        <v>46007</v>
      </c>
      <c r="N937" s="181">
        <v>5.9745600000000003</v>
      </c>
      <c r="O937" s="181" t="s">
        <v>170</v>
      </c>
      <c r="P937" s="180" t="s">
        <v>148</v>
      </c>
      <c r="Q937" s="177" t="s">
        <v>149</v>
      </c>
      <c r="R937" s="83"/>
    </row>
    <row r="938" spans="1:18">
      <c r="A938" s="83">
        <v>80814074</v>
      </c>
      <c r="B938" s="186" t="s">
        <v>333</v>
      </c>
      <c r="C938" s="186" t="s">
        <v>151</v>
      </c>
      <c r="D938" s="177" t="s">
        <v>334</v>
      </c>
      <c r="E938" s="83" t="s">
        <v>205</v>
      </c>
      <c r="F938" s="180">
        <v>46015</v>
      </c>
      <c r="G938" s="83">
        <v>2354</v>
      </c>
      <c r="H938" s="180">
        <v>45999</v>
      </c>
      <c r="I938" s="180" t="s">
        <v>253</v>
      </c>
      <c r="J938" s="83">
        <v>3505596889</v>
      </c>
      <c r="K938" s="180"/>
      <c r="L938" s="180">
        <v>45999</v>
      </c>
      <c r="M938" s="180">
        <v>46013</v>
      </c>
      <c r="N938" s="181">
        <v>6.4002905999999999</v>
      </c>
      <c r="O938" s="181" t="s">
        <v>170</v>
      </c>
      <c r="P938" s="180" t="s">
        <v>148</v>
      </c>
      <c r="Q938" s="177" t="s">
        <v>149</v>
      </c>
      <c r="R938" s="83"/>
    </row>
    <row r="939" spans="1:18">
      <c r="A939" s="83">
        <v>80814071</v>
      </c>
      <c r="B939" s="186" t="s">
        <v>335</v>
      </c>
      <c r="C939" s="186" t="s">
        <v>151</v>
      </c>
      <c r="D939" s="177" t="s">
        <v>334</v>
      </c>
      <c r="E939" s="83" t="s">
        <v>205</v>
      </c>
      <c r="F939" s="180">
        <v>46015</v>
      </c>
      <c r="G939" s="83">
        <v>2391</v>
      </c>
      <c r="H939" s="180">
        <v>45999</v>
      </c>
      <c r="I939" s="180" t="s">
        <v>253</v>
      </c>
      <c r="J939" s="83">
        <v>3505596890</v>
      </c>
      <c r="K939" s="180"/>
      <c r="L939" s="180">
        <v>45999</v>
      </c>
      <c r="M939" s="180">
        <v>46013</v>
      </c>
      <c r="N939" s="181">
        <v>6.5008898999999998</v>
      </c>
      <c r="O939" s="181" t="s">
        <v>170</v>
      </c>
      <c r="P939" s="180" t="s">
        <v>148</v>
      </c>
      <c r="Q939" s="177" t="s">
        <v>149</v>
      </c>
      <c r="R939" s="83"/>
    </row>
    <row r="940" spans="1:18">
      <c r="A940" s="83">
        <v>80859237</v>
      </c>
      <c r="B940" s="186" t="s">
        <v>336</v>
      </c>
      <c r="C940" s="186" t="s">
        <v>151</v>
      </c>
      <c r="D940" s="177" t="s">
        <v>334</v>
      </c>
      <c r="E940" s="83" t="s">
        <v>205</v>
      </c>
      <c r="F940" s="180">
        <v>46028</v>
      </c>
      <c r="G940" s="83">
        <v>354</v>
      </c>
      <c r="H940" s="180">
        <v>45999</v>
      </c>
      <c r="I940" s="180" t="s">
        <v>253</v>
      </c>
      <c r="J940" s="83">
        <v>3505596891</v>
      </c>
      <c r="K940" s="180"/>
      <c r="L940" s="180">
        <v>45999</v>
      </c>
      <c r="M940" s="180"/>
      <c r="N940" s="181">
        <v>1.6041510000000001</v>
      </c>
      <c r="O940" s="181" t="s">
        <v>170</v>
      </c>
      <c r="P940" s="180" t="s">
        <v>323</v>
      </c>
      <c r="Q940" s="177" t="s">
        <v>324</v>
      </c>
      <c r="R940" s="83"/>
    </row>
    <row r="941" spans="1:18">
      <c r="A941" s="83">
        <v>80859230</v>
      </c>
      <c r="B941" s="186" t="s">
        <v>337</v>
      </c>
      <c r="C941" s="186" t="s">
        <v>151</v>
      </c>
      <c r="D941" s="177" t="s">
        <v>334</v>
      </c>
      <c r="E941" s="83" t="s">
        <v>205</v>
      </c>
      <c r="F941" s="180">
        <v>46028</v>
      </c>
      <c r="G941" s="83">
        <v>221</v>
      </c>
      <c r="H941" s="180">
        <v>45999</v>
      </c>
      <c r="I941" s="180" t="s">
        <v>253</v>
      </c>
      <c r="J941" s="83">
        <v>3505596892</v>
      </c>
      <c r="K941" s="180"/>
      <c r="L941" s="180">
        <v>45999</v>
      </c>
      <c r="M941" s="180"/>
      <c r="N941" s="181">
        <v>1.0014615</v>
      </c>
      <c r="O941" s="181" t="s">
        <v>170</v>
      </c>
      <c r="P941" s="180" t="s">
        <v>323</v>
      </c>
      <c r="Q941" s="177" t="s">
        <v>324</v>
      </c>
      <c r="R941" s="83"/>
    </row>
    <row r="942" spans="1:18">
      <c r="A942" s="83">
        <v>80814095</v>
      </c>
      <c r="B942" s="186" t="s">
        <v>338</v>
      </c>
      <c r="C942" s="186" t="s">
        <v>151</v>
      </c>
      <c r="D942" s="177" t="s">
        <v>334</v>
      </c>
      <c r="E942" s="83" t="s">
        <v>205</v>
      </c>
      <c r="F942" s="180">
        <v>46028</v>
      </c>
      <c r="G942" s="83">
        <v>1016</v>
      </c>
      <c r="H942" s="180">
        <v>45999</v>
      </c>
      <c r="I942" s="180" t="s">
        <v>253</v>
      </c>
      <c r="J942" s="83">
        <v>3505596893</v>
      </c>
      <c r="K942" s="180"/>
      <c r="L942" s="180">
        <v>45999</v>
      </c>
      <c r="M942" s="180"/>
      <c r="N942" s="181">
        <v>2.3019512</v>
      </c>
      <c r="O942" s="181" t="s">
        <v>170</v>
      </c>
      <c r="P942" s="180" t="s">
        <v>323</v>
      </c>
      <c r="Q942" s="177" t="s">
        <v>324</v>
      </c>
      <c r="R942" s="83"/>
    </row>
    <row r="943" spans="1:18">
      <c r="A943" s="83">
        <v>80814091</v>
      </c>
      <c r="B943" s="186" t="s">
        <v>339</v>
      </c>
      <c r="C943" s="186" t="s">
        <v>151</v>
      </c>
      <c r="D943" s="177" t="s">
        <v>334</v>
      </c>
      <c r="E943" s="83" t="s">
        <v>205</v>
      </c>
      <c r="F943" s="180">
        <v>46028</v>
      </c>
      <c r="G943" s="83">
        <v>663</v>
      </c>
      <c r="H943" s="180">
        <v>45999</v>
      </c>
      <c r="I943" s="180" t="s">
        <v>253</v>
      </c>
      <c r="J943" s="83">
        <v>3505596894</v>
      </c>
      <c r="K943" s="180"/>
      <c r="L943" s="180">
        <v>45999</v>
      </c>
      <c r="M943" s="180"/>
      <c r="N943" s="181">
        <v>1.5021591000000001</v>
      </c>
      <c r="O943" s="181" t="s">
        <v>170</v>
      </c>
      <c r="P943" s="180" t="s">
        <v>323</v>
      </c>
      <c r="Q943" s="177" t="s">
        <v>324</v>
      </c>
      <c r="R943" s="83"/>
    </row>
    <row r="944" spans="1:18">
      <c r="A944" s="83">
        <v>80814096</v>
      </c>
      <c r="B944" s="186" t="s">
        <v>340</v>
      </c>
      <c r="C944" s="186" t="s">
        <v>151</v>
      </c>
      <c r="D944" s="177" t="s">
        <v>334</v>
      </c>
      <c r="E944" s="83" t="s">
        <v>205</v>
      </c>
      <c r="F944" s="180">
        <v>46028</v>
      </c>
      <c r="G944" s="83">
        <v>1060</v>
      </c>
      <c r="H944" s="180">
        <v>45999</v>
      </c>
      <c r="I944" s="180" t="s">
        <v>253</v>
      </c>
      <c r="J944" s="83">
        <v>3505596895</v>
      </c>
      <c r="K944" s="180"/>
      <c r="L944" s="180">
        <v>45999</v>
      </c>
      <c r="M944" s="180"/>
      <c r="N944" s="181">
        <v>2.4016419999999998</v>
      </c>
      <c r="O944" s="181" t="s">
        <v>170</v>
      </c>
      <c r="P944" s="180" t="s">
        <v>323</v>
      </c>
      <c r="Q944" s="177" t="s">
        <v>324</v>
      </c>
      <c r="R944" s="83"/>
    </row>
    <row r="945" spans="1:18">
      <c r="A945" s="83">
        <v>80843710</v>
      </c>
      <c r="B945" s="186" t="s">
        <v>341</v>
      </c>
      <c r="C945" s="186" t="s">
        <v>151</v>
      </c>
      <c r="D945" s="177" t="s">
        <v>334</v>
      </c>
      <c r="E945" s="83" t="s">
        <v>205</v>
      </c>
      <c r="F945" s="180">
        <v>46028</v>
      </c>
      <c r="G945" s="83">
        <v>1325</v>
      </c>
      <c r="H945" s="180">
        <v>45999</v>
      </c>
      <c r="I945" s="180" t="s">
        <v>253</v>
      </c>
      <c r="J945" s="83">
        <v>3505596896</v>
      </c>
      <c r="K945" s="180"/>
      <c r="L945" s="180">
        <v>45999</v>
      </c>
      <c r="M945" s="180"/>
      <c r="N945" s="181">
        <v>3.9026550000000002</v>
      </c>
      <c r="O945" s="181" t="s">
        <v>170</v>
      </c>
      <c r="P945" s="180" t="s">
        <v>323</v>
      </c>
      <c r="Q945" s="177" t="s">
        <v>324</v>
      </c>
      <c r="R945" s="83"/>
    </row>
    <row r="946" spans="1:18">
      <c r="A946" s="83">
        <v>80843705</v>
      </c>
      <c r="B946" s="186" t="s">
        <v>342</v>
      </c>
      <c r="C946" s="186" t="s">
        <v>151</v>
      </c>
      <c r="D946" s="177" t="s">
        <v>334</v>
      </c>
      <c r="E946" s="83" t="s">
        <v>205</v>
      </c>
      <c r="F946" s="180">
        <v>46028</v>
      </c>
      <c r="G946" s="83">
        <v>1766</v>
      </c>
      <c r="H946" s="180">
        <v>45999</v>
      </c>
      <c r="I946" s="180" t="s">
        <v>253</v>
      </c>
      <c r="J946" s="83">
        <v>3505596897</v>
      </c>
      <c r="K946" s="180"/>
      <c r="L946" s="180">
        <v>45999</v>
      </c>
      <c r="M946" s="180"/>
      <c r="N946" s="181">
        <v>5.2015764000000004</v>
      </c>
      <c r="O946" s="181" t="s">
        <v>170</v>
      </c>
      <c r="P946" s="180" t="s">
        <v>323</v>
      </c>
      <c r="Q946" s="177" t="s">
        <v>324</v>
      </c>
      <c r="R946" s="83"/>
    </row>
    <row r="947" spans="1:18">
      <c r="A947" s="83">
        <v>80869250</v>
      </c>
      <c r="B947" s="186" t="s">
        <v>343</v>
      </c>
      <c r="C947" s="186" t="s">
        <v>151</v>
      </c>
      <c r="D947" s="177" t="s">
        <v>334</v>
      </c>
      <c r="E947" s="83" t="s">
        <v>205</v>
      </c>
      <c r="F947" s="180">
        <v>46028</v>
      </c>
      <c r="G947" s="83">
        <v>1089</v>
      </c>
      <c r="H947" s="180">
        <v>45999</v>
      </c>
      <c r="I947" s="180" t="s">
        <v>253</v>
      </c>
      <c r="J947" s="83">
        <v>3505596898</v>
      </c>
      <c r="K947" s="180"/>
      <c r="L947" s="180">
        <v>45999</v>
      </c>
      <c r="M947" s="180"/>
      <c r="N947" s="181">
        <v>3.7010754000000001</v>
      </c>
      <c r="O947" s="181" t="s">
        <v>170</v>
      </c>
      <c r="P947" s="83" t="s">
        <v>323</v>
      </c>
      <c r="Q947" s="177" t="s">
        <v>324</v>
      </c>
      <c r="R947" s="83"/>
    </row>
    <row r="948" spans="1:18">
      <c r="A948" s="83">
        <v>80869252</v>
      </c>
      <c r="B948" s="186" t="s">
        <v>344</v>
      </c>
      <c r="C948" s="186" t="s">
        <v>151</v>
      </c>
      <c r="D948" s="177" t="s">
        <v>334</v>
      </c>
      <c r="E948" s="83" t="s">
        <v>205</v>
      </c>
      <c r="F948" s="180">
        <v>46028</v>
      </c>
      <c r="G948" s="83">
        <v>946</v>
      </c>
      <c r="H948" s="180">
        <v>45999</v>
      </c>
      <c r="I948" s="180" t="s">
        <v>253</v>
      </c>
      <c r="J948" s="83">
        <v>3505596899</v>
      </c>
      <c r="K948" s="180"/>
      <c r="L948" s="180">
        <v>45999</v>
      </c>
      <c r="M948" s="180"/>
      <c r="N948" s="181">
        <v>3.000712</v>
      </c>
      <c r="O948" s="181" t="s">
        <v>170</v>
      </c>
      <c r="P948" s="83" t="s">
        <v>323</v>
      </c>
      <c r="Q948" s="177" t="s">
        <v>324</v>
      </c>
      <c r="R948" s="83"/>
    </row>
    <row r="949" spans="1:18">
      <c r="A949" s="83">
        <v>80869249</v>
      </c>
      <c r="B949" s="186" t="s">
        <v>345</v>
      </c>
      <c r="C949" s="186" t="s">
        <v>151</v>
      </c>
      <c r="D949" s="177" t="s">
        <v>334</v>
      </c>
      <c r="E949" s="83" t="s">
        <v>205</v>
      </c>
      <c r="F949" s="180">
        <v>46028</v>
      </c>
      <c r="G949" s="83">
        <v>408</v>
      </c>
      <c r="H949" s="180">
        <v>45999</v>
      </c>
      <c r="I949" s="180" t="s">
        <v>253</v>
      </c>
      <c r="J949" s="83">
        <v>3505596900</v>
      </c>
      <c r="K949" s="180"/>
      <c r="L949" s="180">
        <v>45999</v>
      </c>
      <c r="M949" s="180"/>
      <c r="N949" s="181">
        <v>1.2017640000000001</v>
      </c>
      <c r="O949" s="181" t="s">
        <v>170</v>
      </c>
      <c r="P949" s="83" t="s">
        <v>323</v>
      </c>
      <c r="Q949" s="177" t="s">
        <v>324</v>
      </c>
      <c r="R949" s="83"/>
    </row>
    <row r="950" spans="1:18">
      <c r="A950" s="83">
        <v>80869255</v>
      </c>
      <c r="B950" s="186" t="s">
        <v>346</v>
      </c>
      <c r="C950" s="186" t="s">
        <v>151</v>
      </c>
      <c r="D950" s="177" t="s">
        <v>334</v>
      </c>
      <c r="E950" s="83" t="s">
        <v>205</v>
      </c>
      <c r="F950" s="180">
        <v>46028</v>
      </c>
      <c r="G950" s="83">
        <v>408</v>
      </c>
      <c r="H950" s="180">
        <v>45999</v>
      </c>
      <c r="I950" s="180" t="s">
        <v>253</v>
      </c>
      <c r="J950" s="83">
        <v>3505596901</v>
      </c>
      <c r="K950" s="180"/>
      <c r="L950" s="180">
        <v>45999</v>
      </c>
      <c r="M950" s="180"/>
      <c r="N950" s="181">
        <v>1.2017640000000001</v>
      </c>
      <c r="O950" s="181" t="s">
        <v>170</v>
      </c>
      <c r="P950" s="83" t="s">
        <v>323</v>
      </c>
      <c r="Q950" s="177" t="s">
        <v>324</v>
      </c>
      <c r="R950" s="83"/>
    </row>
    <row r="951" spans="1:18">
      <c r="A951" s="83">
        <v>80857339</v>
      </c>
      <c r="B951" s="186" t="s">
        <v>347</v>
      </c>
      <c r="C951" s="186" t="s">
        <v>150</v>
      </c>
      <c r="D951" s="83" t="s">
        <v>348</v>
      </c>
      <c r="E951" s="83" t="s">
        <v>172</v>
      </c>
      <c r="F951" s="180">
        <v>46009</v>
      </c>
      <c r="G951" s="83">
        <v>1589</v>
      </c>
      <c r="H951" s="180">
        <v>46000</v>
      </c>
      <c r="I951" s="179" t="s">
        <v>232</v>
      </c>
      <c r="J951" s="83">
        <v>3506290044</v>
      </c>
      <c r="K951" s="180">
        <v>46000</v>
      </c>
      <c r="L951" s="180">
        <v>46000</v>
      </c>
      <c r="M951" s="180">
        <v>46004</v>
      </c>
      <c r="N951" s="181">
        <v>3.7486098999999999</v>
      </c>
      <c r="O951" s="181" t="s">
        <v>170</v>
      </c>
      <c r="P951" s="83" t="s">
        <v>148</v>
      </c>
      <c r="Q951" s="177" t="s">
        <v>149</v>
      </c>
      <c r="R951" s="83"/>
    </row>
    <row r="952" spans="1:18">
      <c r="A952" s="83">
        <v>80857339</v>
      </c>
      <c r="B952" s="186" t="s">
        <v>347</v>
      </c>
      <c r="C952" s="186" t="s">
        <v>151</v>
      </c>
      <c r="D952" s="83" t="s">
        <v>348</v>
      </c>
      <c r="E952" s="83" t="s">
        <v>172</v>
      </c>
      <c r="F952" s="180">
        <v>46009</v>
      </c>
      <c r="G952" s="83">
        <v>4767</v>
      </c>
      <c r="H952" s="180">
        <v>46000</v>
      </c>
      <c r="I952" s="179" t="s">
        <v>232</v>
      </c>
      <c r="J952" s="83">
        <v>3506290045</v>
      </c>
      <c r="K952" s="180">
        <v>46000</v>
      </c>
      <c r="L952" s="180">
        <v>46000</v>
      </c>
      <c r="M952" s="180">
        <v>46004</v>
      </c>
      <c r="N952" s="181">
        <v>11.2458297</v>
      </c>
      <c r="O952" s="181" t="s">
        <v>170</v>
      </c>
      <c r="P952" s="83" t="s">
        <v>148</v>
      </c>
      <c r="Q952" s="177" t="s">
        <v>149</v>
      </c>
      <c r="R952" s="83"/>
    </row>
    <row r="953" spans="1:18">
      <c r="A953" s="83">
        <v>80858361</v>
      </c>
      <c r="B953" s="186" t="s">
        <v>349</v>
      </c>
      <c r="C953" s="186" t="s">
        <v>150</v>
      </c>
      <c r="D953" s="83" t="s">
        <v>348</v>
      </c>
      <c r="E953" s="83" t="s">
        <v>172</v>
      </c>
      <c r="F953" s="180">
        <v>46009</v>
      </c>
      <c r="G953" s="83">
        <v>2200</v>
      </c>
      <c r="H953" s="180">
        <v>46000</v>
      </c>
      <c r="I953" s="179" t="s">
        <v>232</v>
      </c>
      <c r="J953" s="83">
        <v>3506290046</v>
      </c>
      <c r="K953" s="180">
        <v>46000</v>
      </c>
      <c r="L953" s="180">
        <v>46000</v>
      </c>
      <c r="M953" s="180">
        <v>46004</v>
      </c>
      <c r="N953" s="181">
        <v>5.4111200000000004</v>
      </c>
      <c r="O953" s="181" t="s">
        <v>170</v>
      </c>
      <c r="P953" s="83" t="s">
        <v>148</v>
      </c>
      <c r="Q953" s="177" t="s">
        <v>149</v>
      </c>
      <c r="R953" s="83"/>
    </row>
    <row r="954" spans="1:18">
      <c r="A954" s="83">
        <v>80858361</v>
      </c>
      <c r="B954" s="186" t="s">
        <v>349</v>
      </c>
      <c r="C954" s="186" t="s">
        <v>151</v>
      </c>
      <c r="D954" s="83" t="s">
        <v>348</v>
      </c>
      <c r="E954" s="83" t="s">
        <v>172</v>
      </c>
      <c r="F954" s="180">
        <v>46009</v>
      </c>
      <c r="G954" s="83">
        <v>4000</v>
      </c>
      <c r="H954" s="180">
        <v>46000</v>
      </c>
      <c r="I954" s="179" t="s">
        <v>232</v>
      </c>
      <c r="J954" s="83">
        <v>3506290048</v>
      </c>
      <c r="K954" s="180">
        <v>46000</v>
      </c>
      <c r="L954" s="180">
        <v>46000</v>
      </c>
      <c r="M954" s="180">
        <v>46004</v>
      </c>
      <c r="N954" s="181">
        <v>9.8384</v>
      </c>
      <c r="O954" s="181" t="s">
        <v>170</v>
      </c>
      <c r="P954" s="83" t="s">
        <v>148</v>
      </c>
      <c r="Q954" s="177" t="s">
        <v>149</v>
      </c>
      <c r="R954" s="83"/>
    </row>
    <row r="955" spans="1:18">
      <c r="A955" s="83">
        <v>80813621</v>
      </c>
      <c r="B955" s="186" t="s">
        <v>350</v>
      </c>
      <c r="C955" s="186" t="s">
        <v>150</v>
      </c>
      <c r="D955" s="83" t="s">
        <v>351</v>
      </c>
      <c r="E955" s="83" t="s">
        <v>172</v>
      </c>
      <c r="F955" s="180">
        <v>46003</v>
      </c>
      <c r="G955" s="83">
        <v>1500</v>
      </c>
      <c r="H955" s="180">
        <v>46000</v>
      </c>
      <c r="I955" s="180" t="s">
        <v>175</v>
      </c>
      <c r="J955" s="83">
        <v>3506290049</v>
      </c>
      <c r="K955" s="180" t="s">
        <v>352</v>
      </c>
      <c r="L955" s="180">
        <v>46000</v>
      </c>
      <c r="M955" s="180">
        <v>46004</v>
      </c>
      <c r="N955" s="181">
        <v>2.7189000000000001</v>
      </c>
      <c r="O955" s="181" t="s">
        <v>170</v>
      </c>
      <c r="P955" s="83" t="s">
        <v>148</v>
      </c>
      <c r="Q955" s="177" t="s">
        <v>149</v>
      </c>
      <c r="R955" s="83"/>
    </row>
    <row r="956" spans="1:18">
      <c r="A956" s="83">
        <v>21073081</v>
      </c>
      <c r="B956" s="186" t="s">
        <v>353</v>
      </c>
      <c r="C956" s="186" t="s">
        <v>12</v>
      </c>
      <c r="D956" s="83" t="s">
        <v>354</v>
      </c>
      <c r="E956" s="83" t="s">
        <v>355</v>
      </c>
      <c r="F956" s="180">
        <v>46106</v>
      </c>
      <c r="G956" s="83">
        <v>192000</v>
      </c>
      <c r="H956" s="180">
        <v>46001</v>
      </c>
      <c r="I956" s="180" t="s">
        <v>356</v>
      </c>
      <c r="J956" s="83">
        <v>3506956061</v>
      </c>
      <c r="K956" s="187"/>
      <c r="L956" s="180">
        <v>46001</v>
      </c>
      <c r="M956" s="180">
        <v>46020</v>
      </c>
      <c r="N956" s="181">
        <v>70.400000000000006</v>
      </c>
      <c r="O956" s="181" t="s">
        <v>147</v>
      </c>
      <c r="P956" s="83" t="s">
        <v>148</v>
      </c>
      <c r="Q956" s="177" t="s">
        <v>149</v>
      </c>
      <c r="R956" s="83"/>
    </row>
    <row r="957" spans="1:18">
      <c r="A957" s="83">
        <v>21294824</v>
      </c>
      <c r="B957" s="186" t="s">
        <v>357</v>
      </c>
      <c r="C957" s="186" t="s">
        <v>12</v>
      </c>
      <c r="D957" s="83" t="s">
        <v>358</v>
      </c>
      <c r="E957" s="83" t="s">
        <v>355</v>
      </c>
      <c r="F957" s="180">
        <v>46106</v>
      </c>
      <c r="G957" s="83">
        <v>84000</v>
      </c>
      <c r="H957" s="180">
        <v>46001</v>
      </c>
      <c r="I957" s="180" t="s">
        <v>356</v>
      </c>
      <c r="J957" s="83">
        <v>3506956063</v>
      </c>
      <c r="K957" s="187"/>
      <c r="L957" s="180">
        <v>46001</v>
      </c>
      <c r="M957" s="180">
        <v>46020</v>
      </c>
      <c r="N957" s="181">
        <v>30.800000000000004</v>
      </c>
      <c r="O957" s="181" t="s">
        <v>147</v>
      </c>
      <c r="P957" s="83" t="s">
        <v>148</v>
      </c>
      <c r="Q957" s="177" t="s">
        <v>149</v>
      </c>
      <c r="R957" s="83"/>
    </row>
    <row r="958" spans="1:18">
      <c r="A958" s="83">
        <v>21073081</v>
      </c>
      <c r="B958" s="186" t="s">
        <v>353</v>
      </c>
      <c r="C958" s="186" t="s">
        <v>359</v>
      </c>
      <c r="D958" s="83" t="s">
        <v>360</v>
      </c>
      <c r="E958" s="83" t="s">
        <v>355</v>
      </c>
      <c r="F958" s="180">
        <v>46113</v>
      </c>
      <c r="G958" s="83">
        <v>534000</v>
      </c>
      <c r="H958" s="180">
        <v>46001</v>
      </c>
      <c r="I958" s="180" t="s">
        <v>356</v>
      </c>
      <c r="J958" s="83">
        <v>3507639777</v>
      </c>
      <c r="K958" s="187"/>
      <c r="L958" s="180">
        <v>46002</v>
      </c>
      <c r="M958" s="180">
        <v>46020</v>
      </c>
      <c r="N958" s="181">
        <v>195.8</v>
      </c>
      <c r="O958" s="181" t="s">
        <v>147</v>
      </c>
      <c r="P958" s="83" t="s">
        <v>148</v>
      </c>
      <c r="Q958" s="177" t="s">
        <v>149</v>
      </c>
      <c r="R958" s="83"/>
    </row>
    <row r="959" spans="1:18">
      <c r="A959" s="83">
        <v>21294824</v>
      </c>
      <c r="B959" s="186" t="s">
        <v>357</v>
      </c>
      <c r="C959" s="186" t="s">
        <v>359</v>
      </c>
      <c r="D959" s="83" t="s">
        <v>361</v>
      </c>
      <c r="E959" s="83" t="s">
        <v>355</v>
      </c>
      <c r="F959" s="180">
        <v>46113</v>
      </c>
      <c r="G959" s="83">
        <v>210000</v>
      </c>
      <c r="H959" s="180">
        <v>46001</v>
      </c>
      <c r="I959" s="180" t="s">
        <v>356</v>
      </c>
      <c r="J959" s="83">
        <v>3507640018</v>
      </c>
      <c r="K959" s="187"/>
      <c r="L959" s="180">
        <v>46002</v>
      </c>
      <c r="M959" s="180">
        <v>46020</v>
      </c>
      <c r="N959" s="181">
        <v>77</v>
      </c>
      <c r="O959" s="181" t="s">
        <v>147</v>
      </c>
      <c r="P959" s="83" t="s">
        <v>148</v>
      </c>
      <c r="Q959" s="177" t="s">
        <v>149</v>
      </c>
      <c r="R959" s="83"/>
    </row>
    <row r="960" spans="1:18">
      <c r="A960" s="83">
        <v>21355402</v>
      </c>
      <c r="B960" s="186" t="s">
        <v>362</v>
      </c>
      <c r="C960" s="186" t="s">
        <v>359</v>
      </c>
      <c r="D960" s="83" t="s">
        <v>363</v>
      </c>
      <c r="E960" s="83" t="s">
        <v>355</v>
      </c>
      <c r="F960" s="180">
        <v>46113</v>
      </c>
      <c r="G960" s="83">
        <v>42000</v>
      </c>
      <c r="H960" s="180">
        <v>46001</v>
      </c>
      <c r="I960" s="180" t="s">
        <v>356</v>
      </c>
      <c r="J960" s="83">
        <v>3507640019</v>
      </c>
      <c r="K960" s="187"/>
      <c r="L960" s="180">
        <v>46002</v>
      </c>
      <c r="M960" s="180">
        <v>46020</v>
      </c>
      <c r="N960" s="181">
        <v>15.400000000000002</v>
      </c>
      <c r="O960" s="181" t="s">
        <v>147</v>
      </c>
      <c r="P960" s="83" t="s">
        <v>148</v>
      </c>
      <c r="Q960" s="177" t="s">
        <v>149</v>
      </c>
      <c r="R960" s="83"/>
    </row>
    <row r="961" spans="1:18">
      <c r="A961" s="83">
        <v>80864131</v>
      </c>
      <c r="B961" s="186" t="s">
        <v>364</v>
      </c>
      <c r="C961" s="186" t="s">
        <v>150</v>
      </c>
      <c r="D961" s="83" t="s">
        <v>365</v>
      </c>
      <c r="E961" s="83" t="s">
        <v>172</v>
      </c>
      <c r="F961" s="180">
        <v>46006</v>
      </c>
      <c r="G961" s="83">
        <v>2700</v>
      </c>
      <c r="H961" s="180">
        <v>46001</v>
      </c>
      <c r="I961" s="180" t="s">
        <v>214</v>
      </c>
      <c r="J961" s="83">
        <v>3506977410</v>
      </c>
      <c r="K961" s="180"/>
      <c r="L961" s="180">
        <v>46001</v>
      </c>
      <c r="M961" s="180">
        <v>46003</v>
      </c>
      <c r="N961" s="181">
        <v>4.4047799999999997</v>
      </c>
      <c r="O961" s="181" t="s">
        <v>170</v>
      </c>
      <c r="P961" s="83" t="s">
        <v>148</v>
      </c>
      <c r="Q961" s="177" t="s">
        <v>149</v>
      </c>
      <c r="R961" s="83"/>
    </row>
    <row r="962" spans="1:18">
      <c r="A962" s="83">
        <v>80864120</v>
      </c>
      <c r="B962" s="186" t="s">
        <v>366</v>
      </c>
      <c r="C962" s="186" t="s">
        <v>150</v>
      </c>
      <c r="D962" s="83" t="s">
        <v>365</v>
      </c>
      <c r="E962" s="83" t="s">
        <v>172</v>
      </c>
      <c r="F962" s="180">
        <v>46006</v>
      </c>
      <c r="G962" s="83">
        <v>1150</v>
      </c>
      <c r="H962" s="180">
        <v>46001</v>
      </c>
      <c r="I962" s="180" t="s">
        <v>214</v>
      </c>
      <c r="J962" s="83">
        <v>3506977412</v>
      </c>
      <c r="K962" s="180"/>
      <c r="L962" s="180">
        <v>46001</v>
      </c>
      <c r="M962" s="180">
        <v>46003</v>
      </c>
      <c r="N962" s="181">
        <v>3.9083899999999998</v>
      </c>
      <c r="O962" s="181" t="s">
        <v>170</v>
      </c>
      <c r="P962" s="83" t="s">
        <v>148</v>
      </c>
      <c r="Q962" s="177" t="s">
        <v>149</v>
      </c>
      <c r="R962" s="83"/>
    </row>
    <row r="963" spans="1:18">
      <c r="A963" s="83">
        <v>80864127</v>
      </c>
      <c r="B963" s="186" t="s">
        <v>367</v>
      </c>
      <c r="C963" s="186" t="s">
        <v>150</v>
      </c>
      <c r="D963" s="83" t="s">
        <v>365</v>
      </c>
      <c r="E963" s="83" t="s">
        <v>172</v>
      </c>
      <c r="F963" s="180">
        <v>46006</v>
      </c>
      <c r="G963" s="83">
        <v>3800</v>
      </c>
      <c r="H963" s="180">
        <v>46001</v>
      </c>
      <c r="I963" s="180" t="s">
        <v>214</v>
      </c>
      <c r="J963" s="83">
        <v>3506977413</v>
      </c>
      <c r="K963" s="180"/>
      <c r="L963" s="180">
        <v>46001</v>
      </c>
      <c r="M963" s="180">
        <v>46003</v>
      </c>
      <c r="N963" s="181">
        <v>5.8550399999999998</v>
      </c>
      <c r="O963" s="181" t="s">
        <v>170</v>
      </c>
      <c r="P963" s="83" t="s">
        <v>148</v>
      </c>
      <c r="Q963" s="177" t="s">
        <v>149</v>
      </c>
      <c r="R963" s="83"/>
    </row>
    <row r="964" spans="1:18">
      <c r="A964" s="83">
        <v>80864120</v>
      </c>
      <c r="B964" s="186" t="s">
        <v>366</v>
      </c>
      <c r="C964" s="186" t="s">
        <v>151</v>
      </c>
      <c r="D964" s="83" t="s">
        <v>368</v>
      </c>
      <c r="E964" s="83" t="s">
        <v>172</v>
      </c>
      <c r="F964" s="180">
        <v>46006</v>
      </c>
      <c r="G964" s="83">
        <v>2000</v>
      </c>
      <c r="H964" s="180">
        <v>46001</v>
      </c>
      <c r="I964" s="180" t="s">
        <v>214</v>
      </c>
      <c r="J964" s="83">
        <v>3506977415</v>
      </c>
      <c r="K964" s="180"/>
      <c r="L964" s="180">
        <v>46001</v>
      </c>
      <c r="M964" s="180">
        <v>46003</v>
      </c>
      <c r="N964" s="181">
        <v>6.7972000000000001</v>
      </c>
      <c r="O964" s="181" t="s">
        <v>170</v>
      </c>
      <c r="P964" s="83" t="s">
        <v>148</v>
      </c>
      <c r="Q964" s="177" t="s">
        <v>149</v>
      </c>
      <c r="R964" s="83"/>
    </row>
    <row r="965" spans="1:18">
      <c r="A965" s="83">
        <v>80864127</v>
      </c>
      <c r="B965" s="186" t="s">
        <v>367</v>
      </c>
      <c r="C965" s="186" t="s">
        <v>151</v>
      </c>
      <c r="D965" s="83" t="s">
        <v>368</v>
      </c>
      <c r="E965" s="83" t="s">
        <v>172</v>
      </c>
      <c r="F965" s="180">
        <v>46006</v>
      </c>
      <c r="G965" s="83">
        <v>3890</v>
      </c>
      <c r="H965" s="180">
        <v>46001</v>
      </c>
      <c r="I965" s="180" t="s">
        <v>214</v>
      </c>
      <c r="J965" s="83">
        <v>3506977416</v>
      </c>
      <c r="K965" s="180"/>
      <c r="L965" s="180">
        <v>46001</v>
      </c>
      <c r="M965" s="180">
        <v>46003</v>
      </c>
      <c r="N965" s="181">
        <v>5.9937120000000004</v>
      </c>
      <c r="O965" s="181" t="s">
        <v>170</v>
      </c>
      <c r="P965" s="83" t="s">
        <v>148</v>
      </c>
      <c r="Q965" s="177" t="s">
        <v>149</v>
      </c>
      <c r="R965" s="83"/>
    </row>
    <row r="966" spans="1:18">
      <c r="A966" s="83">
        <v>80864131</v>
      </c>
      <c r="B966" s="186" t="s">
        <v>364</v>
      </c>
      <c r="C966" s="186" t="s">
        <v>151</v>
      </c>
      <c r="D966" s="83" t="s">
        <v>368</v>
      </c>
      <c r="E966" s="83" t="s">
        <v>172</v>
      </c>
      <c r="F966" s="180">
        <v>46006</v>
      </c>
      <c r="G966" s="83">
        <v>2000</v>
      </c>
      <c r="H966" s="180">
        <v>46001</v>
      </c>
      <c r="I966" s="180" t="s">
        <v>214</v>
      </c>
      <c r="J966" s="83">
        <v>3506977417</v>
      </c>
      <c r="K966" s="180"/>
      <c r="L966" s="180">
        <v>46001</v>
      </c>
      <c r="M966" s="180">
        <v>46003</v>
      </c>
      <c r="N966" s="181">
        <v>3.2627999999999999</v>
      </c>
      <c r="O966" s="181" t="s">
        <v>170</v>
      </c>
      <c r="P966" s="83" t="s">
        <v>148</v>
      </c>
      <c r="Q966" s="177" t="s">
        <v>149</v>
      </c>
      <c r="R966" s="83"/>
    </row>
    <row r="967" spans="1:18">
      <c r="A967" s="83">
        <v>80887125</v>
      </c>
      <c r="B967" s="186" t="s">
        <v>369</v>
      </c>
      <c r="C967" s="186" t="s">
        <v>151</v>
      </c>
      <c r="D967" s="83" t="s">
        <v>368</v>
      </c>
      <c r="E967" s="83" t="s">
        <v>172</v>
      </c>
      <c r="F967" s="180">
        <v>46006</v>
      </c>
      <c r="G967" s="83">
        <v>6000</v>
      </c>
      <c r="H967" s="180">
        <v>46001</v>
      </c>
      <c r="I967" s="180" t="s">
        <v>214</v>
      </c>
      <c r="J967" s="83">
        <v>3506977459</v>
      </c>
      <c r="K967" s="180"/>
      <c r="L967" s="180">
        <v>46001</v>
      </c>
      <c r="M967" s="180">
        <v>46003</v>
      </c>
      <c r="N967" s="181">
        <v>11.601000000000001</v>
      </c>
      <c r="O967" s="181" t="s">
        <v>170</v>
      </c>
      <c r="P967" s="83" t="s">
        <v>148</v>
      </c>
      <c r="Q967" s="177" t="s">
        <v>149</v>
      </c>
      <c r="R967" s="83"/>
    </row>
    <row r="968" spans="1:18">
      <c r="A968" s="83">
        <v>80814068</v>
      </c>
      <c r="B968" s="186" t="s">
        <v>370</v>
      </c>
      <c r="C968" s="186" t="s">
        <v>143</v>
      </c>
      <c r="D968" s="83" t="s">
        <v>371</v>
      </c>
      <c r="E968" s="83" t="s">
        <v>172</v>
      </c>
      <c r="F968" s="180">
        <v>46006</v>
      </c>
      <c r="G968" s="83">
        <v>200</v>
      </c>
      <c r="H968" s="180">
        <v>46001</v>
      </c>
      <c r="I968" s="180" t="s">
        <v>214</v>
      </c>
      <c r="J968" s="83">
        <v>3506977460</v>
      </c>
      <c r="K968" s="180"/>
      <c r="L968" s="180">
        <v>46001</v>
      </c>
      <c r="M968" s="180">
        <v>46003</v>
      </c>
      <c r="N968" s="181">
        <v>0.36252000000000001</v>
      </c>
      <c r="O968" s="181" t="s">
        <v>170</v>
      </c>
      <c r="P968" s="83" t="s">
        <v>148</v>
      </c>
      <c r="Q968" s="177" t="s">
        <v>149</v>
      </c>
      <c r="R968" s="83"/>
    </row>
    <row r="969" spans="1:18">
      <c r="A969" s="83">
        <v>80814068</v>
      </c>
      <c r="B969" s="186" t="s">
        <v>370</v>
      </c>
      <c r="C969" s="186" t="s">
        <v>154</v>
      </c>
      <c r="D969" s="83" t="s">
        <v>371</v>
      </c>
      <c r="E969" s="83" t="s">
        <v>172</v>
      </c>
      <c r="F969" s="180">
        <v>46006</v>
      </c>
      <c r="G969" s="83">
        <v>100</v>
      </c>
      <c r="H969" s="180">
        <v>46001</v>
      </c>
      <c r="I969" s="180" t="s">
        <v>214</v>
      </c>
      <c r="J969" s="83">
        <v>3506977463</v>
      </c>
      <c r="K969" s="180"/>
      <c r="L969" s="180">
        <v>46001</v>
      </c>
      <c r="M969" s="180">
        <v>46003</v>
      </c>
      <c r="N969" s="181">
        <v>0.18126</v>
      </c>
      <c r="O969" s="181" t="s">
        <v>170</v>
      </c>
      <c r="P969" s="83" t="s">
        <v>148</v>
      </c>
      <c r="Q969" s="177" t="s">
        <v>149</v>
      </c>
      <c r="R969" s="83"/>
    </row>
    <row r="970" spans="1:18">
      <c r="A970" s="83">
        <v>80814062</v>
      </c>
      <c r="B970" s="186" t="s">
        <v>372</v>
      </c>
      <c r="C970" s="186" t="s">
        <v>143</v>
      </c>
      <c r="D970" s="83" t="s">
        <v>371</v>
      </c>
      <c r="E970" s="83" t="s">
        <v>172</v>
      </c>
      <c r="F970" s="180">
        <v>46006</v>
      </c>
      <c r="G970" s="83">
        <v>300</v>
      </c>
      <c r="H970" s="180">
        <v>46001</v>
      </c>
      <c r="I970" s="180" t="s">
        <v>214</v>
      </c>
      <c r="J970" s="83">
        <v>3506977465</v>
      </c>
      <c r="K970" s="180"/>
      <c r="L970" s="180">
        <v>46001</v>
      </c>
      <c r="M970" s="180">
        <v>46003</v>
      </c>
      <c r="N970" s="181">
        <v>0.54378000000000004</v>
      </c>
      <c r="O970" s="181" t="s">
        <v>170</v>
      </c>
      <c r="P970" s="83" t="s">
        <v>148</v>
      </c>
      <c r="Q970" s="177" t="s">
        <v>149</v>
      </c>
      <c r="R970" s="83"/>
    </row>
    <row r="971" spans="1:18">
      <c r="A971" s="83">
        <v>80814062</v>
      </c>
      <c r="B971" s="186" t="s">
        <v>372</v>
      </c>
      <c r="C971" s="186" t="s">
        <v>150</v>
      </c>
      <c r="D971" s="83" t="s">
        <v>371</v>
      </c>
      <c r="E971" s="83" t="s">
        <v>172</v>
      </c>
      <c r="F971" s="180">
        <v>46006</v>
      </c>
      <c r="G971" s="83">
        <v>1100</v>
      </c>
      <c r="H971" s="180">
        <v>46001</v>
      </c>
      <c r="I971" s="180" t="s">
        <v>214</v>
      </c>
      <c r="J971" s="83">
        <v>3506977467</v>
      </c>
      <c r="K971" s="180"/>
      <c r="L971" s="180">
        <v>46001</v>
      </c>
      <c r="M971" s="180">
        <v>46003</v>
      </c>
      <c r="N971" s="181">
        <v>1.99386</v>
      </c>
      <c r="O971" s="181" t="s">
        <v>170</v>
      </c>
      <c r="P971" s="83" t="s">
        <v>148</v>
      </c>
      <c r="Q971" s="177" t="s">
        <v>149</v>
      </c>
      <c r="R971" s="83"/>
    </row>
    <row r="972" spans="1:18">
      <c r="A972" s="83">
        <v>80814062</v>
      </c>
      <c r="B972" s="186" t="s">
        <v>372</v>
      </c>
      <c r="C972" s="186" t="s">
        <v>151</v>
      </c>
      <c r="D972" s="83" t="s">
        <v>371</v>
      </c>
      <c r="E972" s="83" t="s">
        <v>172</v>
      </c>
      <c r="F972" s="180">
        <v>46006</v>
      </c>
      <c r="G972" s="83">
        <v>500</v>
      </c>
      <c r="H972" s="180">
        <v>46001</v>
      </c>
      <c r="I972" s="180" t="s">
        <v>214</v>
      </c>
      <c r="J972" s="83">
        <v>3506977468</v>
      </c>
      <c r="K972" s="180"/>
      <c r="L972" s="180">
        <v>46001</v>
      </c>
      <c r="M972" s="180">
        <v>46003</v>
      </c>
      <c r="N972" s="181">
        <v>0.90629999999999999</v>
      </c>
      <c r="O972" s="181" t="s">
        <v>170</v>
      </c>
      <c r="P972" s="83" t="s">
        <v>148</v>
      </c>
      <c r="Q972" s="177" t="s">
        <v>149</v>
      </c>
      <c r="R972" s="83"/>
    </row>
    <row r="973" spans="1:18">
      <c r="A973" s="83">
        <v>80814062</v>
      </c>
      <c r="B973" s="186" t="s">
        <v>372</v>
      </c>
      <c r="C973" s="186" t="s">
        <v>152</v>
      </c>
      <c r="D973" s="83" t="s">
        <v>371</v>
      </c>
      <c r="E973" s="83" t="s">
        <v>172</v>
      </c>
      <c r="F973" s="180">
        <v>46006</v>
      </c>
      <c r="G973" s="83">
        <v>100</v>
      </c>
      <c r="H973" s="180">
        <v>46001</v>
      </c>
      <c r="I973" s="180" t="s">
        <v>214</v>
      </c>
      <c r="J973" s="83">
        <v>3506977470</v>
      </c>
      <c r="K973" s="180"/>
      <c r="L973" s="180">
        <v>46001</v>
      </c>
      <c r="M973" s="180">
        <v>46003</v>
      </c>
      <c r="N973" s="181">
        <v>0.18126</v>
      </c>
      <c r="O973" s="181" t="s">
        <v>170</v>
      </c>
      <c r="P973" s="83" t="s">
        <v>148</v>
      </c>
      <c r="Q973" s="177" t="s">
        <v>149</v>
      </c>
      <c r="R973" s="83"/>
    </row>
    <row r="974" spans="1:18">
      <c r="A974" s="83">
        <v>80814062</v>
      </c>
      <c r="B974" s="186" t="s">
        <v>372</v>
      </c>
      <c r="C974" s="186" t="s">
        <v>155</v>
      </c>
      <c r="D974" s="83" t="s">
        <v>371</v>
      </c>
      <c r="E974" s="83" t="s">
        <v>172</v>
      </c>
      <c r="F974" s="180">
        <v>46006</v>
      </c>
      <c r="G974" s="83">
        <v>500</v>
      </c>
      <c r="H974" s="180">
        <v>46001</v>
      </c>
      <c r="I974" s="180" t="s">
        <v>214</v>
      </c>
      <c r="J974" s="83">
        <v>3506977471</v>
      </c>
      <c r="K974" s="180"/>
      <c r="L974" s="180">
        <v>46001</v>
      </c>
      <c r="M974" s="180">
        <v>46003</v>
      </c>
      <c r="N974" s="181">
        <v>0.90629999999999999</v>
      </c>
      <c r="O974" s="181" t="s">
        <v>170</v>
      </c>
      <c r="P974" s="83" t="s">
        <v>148</v>
      </c>
      <c r="Q974" s="177" t="s">
        <v>149</v>
      </c>
      <c r="R974" s="83"/>
    </row>
    <row r="975" spans="1:18">
      <c r="A975" s="83">
        <v>80814062</v>
      </c>
      <c r="B975" s="186" t="s">
        <v>372</v>
      </c>
      <c r="C975" s="186" t="s">
        <v>154</v>
      </c>
      <c r="D975" s="83" t="s">
        <v>371</v>
      </c>
      <c r="E975" s="83" t="s">
        <v>172</v>
      </c>
      <c r="F975" s="180">
        <v>46006</v>
      </c>
      <c r="G975" s="83">
        <v>100</v>
      </c>
      <c r="H975" s="180">
        <v>46001</v>
      </c>
      <c r="I975" s="180" t="s">
        <v>214</v>
      </c>
      <c r="J975" s="83">
        <v>3506977472</v>
      </c>
      <c r="K975" s="180"/>
      <c r="L975" s="180">
        <v>46001</v>
      </c>
      <c r="M975" s="180">
        <v>46003</v>
      </c>
      <c r="N975" s="181">
        <v>0.18126</v>
      </c>
      <c r="O975" s="181" t="s">
        <v>170</v>
      </c>
      <c r="P975" s="83" t="s">
        <v>148</v>
      </c>
      <c r="Q975" s="177" t="s">
        <v>149</v>
      </c>
      <c r="R975" s="83"/>
    </row>
    <row r="976" spans="1:18">
      <c r="A976" s="83">
        <v>80814072</v>
      </c>
      <c r="B976" s="186" t="s">
        <v>373</v>
      </c>
      <c r="C976" s="186" t="s">
        <v>151</v>
      </c>
      <c r="D976" s="83" t="s">
        <v>374</v>
      </c>
      <c r="E976" s="83" t="s">
        <v>172</v>
      </c>
      <c r="F976" s="180">
        <v>46006</v>
      </c>
      <c r="G976" s="83">
        <v>240</v>
      </c>
      <c r="H976" s="180">
        <v>46001</v>
      </c>
      <c r="I976" s="180" t="s">
        <v>214</v>
      </c>
      <c r="J976" s="83">
        <v>3506977475</v>
      </c>
      <c r="K976" s="180"/>
      <c r="L976" s="180">
        <v>46001</v>
      </c>
      <c r="M976" s="180">
        <v>46003</v>
      </c>
      <c r="N976" s="181">
        <v>0.17399999999999999</v>
      </c>
      <c r="O976" s="181" t="s">
        <v>170</v>
      </c>
      <c r="P976" s="83" t="s">
        <v>148</v>
      </c>
      <c r="Q976" s="177" t="s">
        <v>149</v>
      </c>
      <c r="R976" s="83"/>
    </row>
    <row r="977" spans="1:18">
      <c r="A977" s="83">
        <v>80814073</v>
      </c>
      <c r="B977" s="186" t="s">
        <v>375</v>
      </c>
      <c r="C977" s="186" t="s">
        <v>151</v>
      </c>
      <c r="D977" s="83" t="s">
        <v>374</v>
      </c>
      <c r="E977" s="83" t="s">
        <v>172</v>
      </c>
      <c r="F977" s="180">
        <v>46006</v>
      </c>
      <c r="G977" s="83">
        <v>105</v>
      </c>
      <c r="H977" s="180">
        <v>46001</v>
      </c>
      <c r="I977" s="180" t="s">
        <v>214</v>
      </c>
      <c r="J977" s="83">
        <v>3506977476</v>
      </c>
      <c r="K977" s="180"/>
      <c r="L977" s="180">
        <v>46001</v>
      </c>
      <c r="M977" s="180">
        <v>46003</v>
      </c>
      <c r="N977" s="181">
        <v>7.6124999999999998E-2</v>
      </c>
      <c r="O977" s="181" t="s">
        <v>170</v>
      </c>
      <c r="P977" s="83" t="s">
        <v>148</v>
      </c>
      <c r="Q977" s="177" t="s">
        <v>149</v>
      </c>
      <c r="R977" s="83"/>
    </row>
    <row r="978" spans="1:18">
      <c r="A978" s="83">
        <v>80814068</v>
      </c>
      <c r="B978" s="186" t="s">
        <v>370</v>
      </c>
      <c r="C978" s="186" t="s">
        <v>151</v>
      </c>
      <c r="D978" s="83" t="s">
        <v>374</v>
      </c>
      <c r="E978" s="83" t="s">
        <v>172</v>
      </c>
      <c r="F978" s="180">
        <v>46006</v>
      </c>
      <c r="G978" s="83">
        <v>1150</v>
      </c>
      <c r="H978" s="180">
        <v>46001</v>
      </c>
      <c r="I978" s="180" t="s">
        <v>214</v>
      </c>
      <c r="J978" s="83">
        <v>3506977478</v>
      </c>
      <c r="K978" s="180"/>
      <c r="L978" s="180">
        <v>46001</v>
      </c>
      <c r="M978" s="180">
        <v>46003</v>
      </c>
      <c r="N978" s="181">
        <v>2.0844900000000002</v>
      </c>
      <c r="O978" s="181" t="s">
        <v>170</v>
      </c>
      <c r="P978" s="83" t="s">
        <v>148</v>
      </c>
      <c r="Q978" s="177" t="s">
        <v>149</v>
      </c>
      <c r="R978" s="83"/>
    </row>
    <row r="979" spans="1:18">
      <c r="A979" s="83">
        <v>80814062</v>
      </c>
      <c r="B979" s="186" t="s">
        <v>372</v>
      </c>
      <c r="C979" s="186" t="s">
        <v>151</v>
      </c>
      <c r="D979" s="83" t="s">
        <v>374</v>
      </c>
      <c r="E979" s="83" t="s">
        <v>172</v>
      </c>
      <c r="F979" s="180">
        <v>46006</v>
      </c>
      <c r="G979" s="83">
        <v>430</v>
      </c>
      <c r="H979" s="180">
        <v>46001</v>
      </c>
      <c r="I979" s="180" t="s">
        <v>214</v>
      </c>
      <c r="J979" s="83">
        <v>3506977479</v>
      </c>
      <c r="K979" s="180"/>
      <c r="L979" s="180">
        <v>46001</v>
      </c>
      <c r="M979" s="180">
        <v>46003</v>
      </c>
      <c r="N979" s="181">
        <v>0.77941800000000006</v>
      </c>
      <c r="O979" s="181" t="s">
        <v>170</v>
      </c>
      <c r="P979" s="83" t="s">
        <v>148</v>
      </c>
      <c r="Q979" s="177" t="s">
        <v>149</v>
      </c>
      <c r="R979" s="83"/>
    </row>
    <row r="980" spans="1:18">
      <c r="A980" s="83">
        <v>80720843</v>
      </c>
      <c r="B980" s="186" t="s">
        <v>376</v>
      </c>
      <c r="C980" s="186" t="s">
        <v>151</v>
      </c>
      <c r="D980" s="83" t="s">
        <v>374</v>
      </c>
      <c r="E980" s="83" t="s">
        <v>172</v>
      </c>
      <c r="F980" s="180">
        <v>46006</v>
      </c>
      <c r="G980" s="83">
        <v>200</v>
      </c>
      <c r="H980" s="180">
        <v>46001</v>
      </c>
      <c r="I980" s="180" t="s">
        <v>214</v>
      </c>
      <c r="J980" s="83">
        <v>3506977481</v>
      </c>
      <c r="K980" s="180"/>
      <c r="L980" s="180">
        <v>46001</v>
      </c>
      <c r="M980" s="180">
        <v>46003</v>
      </c>
      <c r="N980" s="181">
        <v>0.14499999999999999</v>
      </c>
      <c r="O980" s="181" t="s">
        <v>170</v>
      </c>
      <c r="P980" s="83" t="s">
        <v>148</v>
      </c>
      <c r="Q980" s="177" t="s">
        <v>149</v>
      </c>
      <c r="R980" s="83"/>
    </row>
    <row r="981" spans="1:18">
      <c r="A981" s="83">
        <v>80870884</v>
      </c>
      <c r="B981" s="186" t="s">
        <v>377</v>
      </c>
      <c r="C981" s="186" t="s">
        <v>151</v>
      </c>
      <c r="D981" s="83" t="s">
        <v>374</v>
      </c>
      <c r="E981" s="83" t="s">
        <v>172</v>
      </c>
      <c r="F981" s="180">
        <v>46006</v>
      </c>
      <c r="G981" s="83">
        <v>30</v>
      </c>
      <c r="H981" s="180">
        <v>46001</v>
      </c>
      <c r="I981" s="180" t="s">
        <v>214</v>
      </c>
      <c r="J981" s="83">
        <v>3506977482</v>
      </c>
      <c r="K981" s="180"/>
      <c r="L981" s="180">
        <v>46001</v>
      </c>
      <c r="M981" s="180">
        <v>46003</v>
      </c>
      <c r="N981" s="181">
        <v>2.1749999999999999E-2</v>
      </c>
      <c r="O981" s="181" t="s">
        <v>170</v>
      </c>
      <c r="P981" s="83" t="s">
        <v>148</v>
      </c>
      <c r="Q981" s="177" t="s">
        <v>149</v>
      </c>
      <c r="R981" s="83"/>
    </row>
    <row r="982" spans="1:18">
      <c r="A982" s="83">
        <v>80830276</v>
      </c>
      <c r="B982" s="186" t="s">
        <v>378</v>
      </c>
      <c r="C982" s="186" t="s">
        <v>151</v>
      </c>
      <c r="D982" s="83" t="s">
        <v>374</v>
      </c>
      <c r="E982" s="83" t="s">
        <v>172</v>
      </c>
      <c r="F982" s="180">
        <v>46006</v>
      </c>
      <c r="G982" s="83">
        <v>75</v>
      </c>
      <c r="H982" s="180">
        <v>46001</v>
      </c>
      <c r="I982" s="180" t="s">
        <v>214</v>
      </c>
      <c r="J982" s="83">
        <v>3506977484</v>
      </c>
      <c r="K982" s="180"/>
      <c r="L982" s="180">
        <v>46001</v>
      </c>
      <c r="M982" s="180">
        <v>46003</v>
      </c>
      <c r="N982" s="181">
        <v>0.13594500000000001</v>
      </c>
      <c r="O982" s="181" t="s">
        <v>170</v>
      </c>
      <c r="P982" s="83" t="s">
        <v>148</v>
      </c>
      <c r="Q982" s="177" t="s">
        <v>149</v>
      </c>
      <c r="R982" s="83"/>
    </row>
    <row r="983" spans="1:18">
      <c r="A983" s="83">
        <v>80859238</v>
      </c>
      <c r="B983" s="186" t="s">
        <v>283</v>
      </c>
      <c r="C983" s="186" t="s">
        <v>150</v>
      </c>
      <c r="D983" s="83" t="s">
        <v>284</v>
      </c>
      <c r="E983" s="83" t="s">
        <v>172</v>
      </c>
      <c r="F983" s="180">
        <v>46010</v>
      </c>
      <c r="G983" s="83">
        <v>2167</v>
      </c>
      <c r="H983" s="180">
        <v>46003</v>
      </c>
      <c r="I983" s="180" t="s">
        <v>175</v>
      </c>
      <c r="J983" s="83">
        <v>3508304873</v>
      </c>
      <c r="K983" s="180" t="s">
        <v>379</v>
      </c>
      <c r="L983" s="180">
        <v>46003</v>
      </c>
      <c r="M983" s="180">
        <v>46009</v>
      </c>
      <c r="N983" s="181">
        <v>3.3386969</v>
      </c>
      <c r="O983" s="181" t="s">
        <v>170</v>
      </c>
      <c r="P983" s="83" t="s">
        <v>148</v>
      </c>
      <c r="Q983" s="177" t="s">
        <v>149</v>
      </c>
      <c r="R983" s="83"/>
    </row>
    <row r="984" spans="1:18">
      <c r="A984" s="83">
        <v>80859240</v>
      </c>
      <c r="B984" s="186" t="s">
        <v>286</v>
      </c>
      <c r="C984" s="186" t="s">
        <v>150</v>
      </c>
      <c r="D984" s="83" t="s">
        <v>284</v>
      </c>
      <c r="E984" s="83" t="s">
        <v>172</v>
      </c>
      <c r="F984" s="180">
        <v>46010</v>
      </c>
      <c r="G984" s="83">
        <v>2434</v>
      </c>
      <c r="H984" s="180">
        <v>46003</v>
      </c>
      <c r="I984" s="180" t="s">
        <v>175</v>
      </c>
      <c r="J984" s="83">
        <v>3508304874</v>
      </c>
      <c r="K984" s="180" t="s">
        <v>379</v>
      </c>
      <c r="L984" s="180">
        <v>46003</v>
      </c>
      <c r="M984" s="180">
        <v>46009</v>
      </c>
      <c r="N984" s="181">
        <v>3.7500637999999999</v>
      </c>
      <c r="O984" s="181" t="s">
        <v>170</v>
      </c>
      <c r="P984" s="83" t="s">
        <v>148</v>
      </c>
      <c r="Q984" s="177" t="s">
        <v>149</v>
      </c>
      <c r="R984" s="83"/>
    </row>
    <row r="985" spans="1:18">
      <c r="A985" s="83">
        <v>80859242</v>
      </c>
      <c r="B985" s="186" t="s">
        <v>287</v>
      </c>
      <c r="C985" s="186" t="s">
        <v>150</v>
      </c>
      <c r="D985" s="83" t="s">
        <v>284</v>
      </c>
      <c r="E985" s="83" t="s">
        <v>172</v>
      </c>
      <c r="F985" s="180">
        <v>46010</v>
      </c>
      <c r="G985" s="83">
        <v>1420</v>
      </c>
      <c r="H985" s="180">
        <v>46003</v>
      </c>
      <c r="I985" s="180" t="s">
        <v>175</v>
      </c>
      <c r="J985" s="83">
        <v>3508304876</v>
      </c>
      <c r="K985" s="180" t="s">
        <v>379</v>
      </c>
      <c r="L985" s="180">
        <v>46003</v>
      </c>
      <c r="M985" s="180">
        <v>46009</v>
      </c>
      <c r="N985" s="181">
        <v>2.1877939999999998</v>
      </c>
      <c r="O985" s="181" t="s">
        <v>170</v>
      </c>
      <c r="P985" s="83" t="s">
        <v>148</v>
      </c>
      <c r="Q985" s="177" t="s">
        <v>149</v>
      </c>
      <c r="R985" s="83"/>
    </row>
    <row r="986" spans="1:18">
      <c r="A986" s="83">
        <v>80859226</v>
      </c>
      <c r="B986" s="186" t="s">
        <v>288</v>
      </c>
      <c r="C986" s="186" t="s">
        <v>150</v>
      </c>
      <c r="D986" s="83" t="s">
        <v>284</v>
      </c>
      <c r="E986" s="83" t="s">
        <v>172</v>
      </c>
      <c r="F986" s="180">
        <v>46010</v>
      </c>
      <c r="G986" s="83">
        <v>6002</v>
      </c>
      <c r="H986" s="180">
        <v>46003</v>
      </c>
      <c r="I986" s="180" t="s">
        <v>175</v>
      </c>
      <c r="J986" s="83">
        <v>3508304877</v>
      </c>
      <c r="K986" s="180" t="s">
        <v>379</v>
      </c>
      <c r="L986" s="180">
        <v>46003</v>
      </c>
      <c r="M986" s="180">
        <v>46009</v>
      </c>
      <c r="N986" s="181">
        <v>9.2472814000000003</v>
      </c>
      <c r="O986" s="181" t="s">
        <v>170</v>
      </c>
      <c r="P986" s="83" t="s">
        <v>148</v>
      </c>
      <c r="Q986" s="177" t="s">
        <v>149</v>
      </c>
      <c r="R986" s="83"/>
    </row>
    <row r="987" spans="1:18">
      <c r="A987" s="83">
        <v>80859250</v>
      </c>
      <c r="B987" s="186" t="s">
        <v>289</v>
      </c>
      <c r="C987" s="186" t="s">
        <v>150</v>
      </c>
      <c r="D987" s="83" t="s">
        <v>284</v>
      </c>
      <c r="E987" s="83" t="s">
        <v>172</v>
      </c>
      <c r="F987" s="180">
        <v>46010</v>
      </c>
      <c r="G987" s="83">
        <v>4935</v>
      </c>
      <c r="H987" s="180">
        <v>46003</v>
      </c>
      <c r="I987" s="180" t="s">
        <v>175</v>
      </c>
      <c r="J987" s="83">
        <v>3508304898</v>
      </c>
      <c r="K987" s="180" t="s">
        <v>379</v>
      </c>
      <c r="L987" s="180">
        <v>46003</v>
      </c>
      <c r="M987" s="180">
        <v>46009</v>
      </c>
      <c r="N987" s="181">
        <v>7.6033545</v>
      </c>
      <c r="O987" s="181" t="s">
        <v>170</v>
      </c>
      <c r="P987" s="83" t="s">
        <v>148</v>
      </c>
      <c r="Q987" s="177" t="s">
        <v>149</v>
      </c>
      <c r="R987" s="83"/>
    </row>
    <row r="988" spans="1:18">
      <c r="A988" s="83">
        <v>80859227</v>
      </c>
      <c r="B988" s="186" t="s">
        <v>290</v>
      </c>
      <c r="C988" s="186" t="s">
        <v>150</v>
      </c>
      <c r="D988" s="83" t="s">
        <v>284</v>
      </c>
      <c r="E988" s="83" t="s">
        <v>172</v>
      </c>
      <c r="F988" s="180">
        <v>46010</v>
      </c>
      <c r="G988" s="83">
        <v>4464</v>
      </c>
      <c r="H988" s="180">
        <v>46003</v>
      </c>
      <c r="I988" s="180" t="s">
        <v>175</v>
      </c>
      <c r="J988" s="83">
        <v>3508304900</v>
      </c>
      <c r="K988" s="180" t="s">
        <v>379</v>
      </c>
      <c r="L988" s="180">
        <v>46003</v>
      </c>
      <c r="M988" s="180">
        <v>46009</v>
      </c>
      <c r="N988" s="181">
        <v>6.8776847999999999</v>
      </c>
      <c r="O988" s="181" t="s">
        <v>170</v>
      </c>
      <c r="P988" s="83" t="s">
        <v>148</v>
      </c>
      <c r="Q988" s="177" t="s">
        <v>149</v>
      </c>
      <c r="R988" s="83"/>
    </row>
    <row r="989" spans="1:18">
      <c r="A989" s="83">
        <v>80859232</v>
      </c>
      <c r="B989" s="186" t="s">
        <v>291</v>
      </c>
      <c r="C989" s="186" t="s">
        <v>150</v>
      </c>
      <c r="D989" s="83" t="s">
        <v>284</v>
      </c>
      <c r="E989" s="83" t="s">
        <v>172</v>
      </c>
      <c r="F989" s="180">
        <v>46010</v>
      </c>
      <c r="G989" s="83">
        <v>5307</v>
      </c>
      <c r="H989" s="180">
        <v>46003</v>
      </c>
      <c r="I989" s="180" t="s">
        <v>175</v>
      </c>
      <c r="J989" s="83">
        <v>3508304901</v>
      </c>
      <c r="K989" s="180" t="s">
        <v>379</v>
      </c>
      <c r="L989" s="180">
        <v>46003</v>
      </c>
      <c r="M989" s="180">
        <v>46009</v>
      </c>
      <c r="N989" s="181">
        <v>8.6573091000000009</v>
      </c>
      <c r="O989" s="181" t="s">
        <v>170</v>
      </c>
      <c r="P989" s="83" t="s">
        <v>148</v>
      </c>
      <c r="Q989" s="177" t="s">
        <v>149</v>
      </c>
      <c r="R989" s="83"/>
    </row>
    <row r="990" spans="1:18">
      <c r="A990" s="83">
        <v>80859233</v>
      </c>
      <c r="B990" s="186" t="s">
        <v>292</v>
      </c>
      <c r="C990" s="186" t="s">
        <v>150</v>
      </c>
      <c r="D990" s="83" t="s">
        <v>284</v>
      </c>
      <c r="E990" s="83" t="s">
        <v>172</v>
      </c>
      <c r="F990" s="180">
        <v>46010</v>
      </c>
      <c r="G990" s="83">
        <v>3653</v>
      </c>
      <c r="H990" s="180">
        <v>46003</v>
      </c>
      <c r="I990" s="180" t="s">
        <v>175</v>
      </c>
      <c r="J990" s="83">
        <v>3508304902</v>
      </c>
      <c r="K990" s="180" t="s">
        <v>379</v>
      </c>
      <c r="L990" s="180">
        <v>46003</v>
      </c>
      <c r="M990" s="180">
        <v>46009</v>
      </c>
      <c r="N990" s="181">
        <v>5.9591389000000001</v>
      </c>
      <c r="O990" s="181" t="s">
        <v>170</v>
      </c>
      <c r="P990" s="83" t="s">
        <v>148</v>
      </c>
      <c r="Q990" s="177" t="s">
        <v>149</v>
      </c>
      <c r="R990" s="83"/>
    </row>
    <row r="991" spans="1:18">
      <c r="A991" s="83">
        <v>80859236</v>
      </c>
      <c r="B991" s="186" t="s">
        <v>293</v>
      </c>
      <c r="C991" s="186" t="s">
        <v>150</v>
      </c>
      <c r="D991" s="83" t="s">
        <v>284</v>
      </c>
      <c r="E991" s="83" t="s">
        <v>172</v>
      </c>
      <c r="F991" s="180">
        <v>46010</v>
      </c>
      <c r="G991" s="83">
        <v>2147</v>
      </c>
      <c r="H991" s="180">
        <v>46003</v>
      </c>
      <c r="I991" s="180" t="s">
        <v>175</v>
      </c>
      <c r="J991" s="83">
        <v>3508304903</v>
      </c>
      <c r="K991" s="180" t="s">
        <v>379</v>
      </c>
      <c r="L991" s="180">
        <v>46003</v>
      </c>
      <c r="M991" s="180">
        <v>46009</v>
      </c>
      <c r="N991" s="181">
        <v>3.5024011000000002</v>
      </c>
      <c r="O991" s="181" t="s">
        <v>170</v>
      </c>
      <c r="P991" s="83" t="s">
        <v>148</v>
      </c>
      <c r="Q991" s="177" t="s">
        <v>149</v>
      </c>
      <c r="R991" s="83"/>
    </row>
    <row r="992" spans="1:18">
      <c r="A992" s="83">
        <v>80859241</v>
      </c>
      <c r="B992" s="186" t="s">
        <v>294</v>
      </c>
      <c r="C992" s="186" t="s">
        <v>150</v>
      </c>
      <c r="D992" s="83" t="s">
        <v>284</v>
      </c>
      <c r="E992" s="83" t="s">
        <v>172</v>
      </c>
      <c r="F992" s="180">
        <v>46010</v>
      </c>
      <c r="G992" s="83">
        <v>3362</v>
      </c>
      <c r="H992" s="180">
        <v>46003</v>
      </c>
      <c r="I992" s="180" t="s">
        <v>175</v>
      </c>
      <c r="J992" s="83">
        <v>3508304904</v>
      </c>
      <c r="K992" s="180" t="s">
        <v>379</v>
      </c>
      <c r="L992" s="180">
        <v>46003</v>
      </c>
      <c r="M992" s="180">
        <v>46009</v>
      </c>
      <c r="N992" s="181">
        <v>5.4844305999999996</v>
      </c>
      <c r="O992" s="181" t="s">
        <v>170</v>
      </c>
      <c r="P992" s="83" t="s">
        <v>148</v>
      </c>
      <c r="Q992" s="177" t="s">
        <v>149</v>
      </c>
      <c r="R992" s="83"/>
    </row>
    <row r="993" spans="1:18">
      <c r="A993" s="83">
        <v>80859244</v>
      </c>
      <c r="B993" s="186" t="s">
        <v>295</v>
      </c>
      <c r="C993" s="186" t="s">
        <v>150</v>
      </c>
      <c r="D993" s="83" t="s">
        <v>284</v>
      </c>
      <c r="E993" s="83" t="s">
        <v>172</v>
      </c>
      <c r="F993" s="180">
        <v>46010</v>
      </c>
      <c r="G993" s="83">
        <v>897</v>
      </c>
      <c r="H993" s="180">
        <v>46003</v>
      </c>
      <c r="I993" s="180" t="s">
        <v>175</v>
      </c>
      <c r="J993" s="83">
        <v>3508304905</v>
      </c>
      <c r="K993" s="180" t="s">
        <v>379</v>
      </c>
      <c r="L993" s="180">
        <v>46003</v>
      </c>
      <c r="M993" s="180">
        <v>46009</v>
      </c>
      <c r="N993" s="181">
        <v>1.4632761000000001</v>
      </c>
      <c r="O993" s="181" t="s">
        <v>170</v>
      </c>
      <c r="P993" s="83" t="s">
        <v>148</v>
      </c>
      <c r="Q993" s="177" t="s">
        <v>149</v>
      </c>
      <c r="R993" s="83"/>
    </row>
    <row r="994" spans="1:18">
      <c r="A994" s="83">
        <v>80859246</v>
      </c>
      <c r="B994" s="186" t="s">
        <v>296</v>
      </c>
      <c r="C994" s="186" t="s">
        <v>150</v>
      </c>
      <c r="D994" s="83" t="s">
        <v>284</v>
      </c>
      <c r="E994" s="83" t="s">
        <v>172</v>
      </c>
      <c r="F994" s="180">
        <v>46010</v>
      </c>
      <c r="G994" s="83">
        <v>2721</v>
      </c>
      <c r="H994" s="180">
        <v>46003</v>
      </c>
      <c r="I994" s="180" t="s">
        <v>175</v>
      </c>
      <c r="J994" s="83">
        <v>3508304906</v>
      </c>
      <c r="K994" s="180" t="s">
        <v>379</v>
      </c>
      <c r="L994" s="180">
        <v>46003</v>
      </c>
      <c r="M994" s="180">
        <v>46009</v>
      </c>
      <c r="N994" s="181">
        <v>4.4387673000000003</v>
      </c>
      <c r="O994" s="181" t="s">
        <v>170</v>
      </c>
      <c r="P994" s="83" t="s">
        <v>148</v>
      </c>
      <c r="Q994" s="177" t="s">
        <v>149</v>
      </c>
      <c r="R994" s="83"/>
    </row>
    <row r="995" spans="1:18">
      <c r="A995" s="83">
        <v>80859229</v>
      </c>
      <c r="B995" s="186" t="s">
        <v>297</v>
      </c>
      <c r="C995" s="186" t="s">
        <v>150</v>
      </c>
      <c r="D995" s="83" t="s">
        <v>284</v>
      </c>
      <c r="E995" s="83" t="s">
        <v>172</v>
      </c>
      <c r="F995" s="180">
        <v>46010</v>
      </c>
      <c r="G995" s="83">
        <v>1637</v>
      </c>
      <c r="H995" s="180">
        <v>46003</v>
      </c>
      <c r="I995" s="180" t="s">
        <v>175</v>
      </c>
      <c r="J995" s="83">
        <v>3508304907</v>
      </c>
      <c r="K995" s="180" t="s">
        <v>379</v>
      </c>
      <c r="L995" s="180">
        <v>46003</v>
      </c>
      <c r="M995" s="180">
        <v>46009</v>
      </c>
      <c r="N995" s="181">
        <v>5.5635082000000002</v>
      </c>
      <c r="O995" s="181" t="s">
        <v>170</v>
      </c>
      <c r="P995" s="83" t="s">
        <v>148</v>
      </c>
      <c r="Q995" s="177" t="s">
        <v>149</v>
      </c>
      <c r="R995" s="83"/>
    </row>
    <row r="996" spans="1:18">
      <c r="A996" s="83">
        <v>80859231</v>
      </c>
      <c r="B996" s="186" t="s">
        <v>298</v>
      </c>
      <c r="C996" s="186" t="s">
        <v>150</v>
      </c>
      <c r="D996" s="83" t="s">
        <v>284</v>
      </c>
      <c r="E996" s="83" t="s">
        <v>172</v>
      </c>
      <c r="F996" s="180">
        <v>46010</v>
      </c>
      <c r="G996" s="83">
        <v>1196</v>
      </c>
      <c r="H996" s="180">
        <v>46003</v>
      </c>
      <c r="I996" s="180" t="s">
        <v>175</v>
      </c>
      <c r="J996" s="83">
        <v>3508304908</v>
      </c>
      <c r="K996" s="180" t="s">
        <v>379</v>
      </c>
      <c r="L996" s="180">
        <v>46003</v>
      </c>
      <c r="M996" s="180">
        <v>46009</v>
      </c>
      <c r="N996" s="181">
        <v>4.0647256</v>
      </c>
      <c r="O996" s="181" t="s">
        <v>170</v>
      </c>
      <c r="P996" s="83" t="s">
        <v>148</v>
      </c>
      <c r="Q996" s="177" t="s">
        <v>149</v>
      </c>
      <c r="R996" s="83"/>
    </row>
    <row r="997" spans="1:18">
      <c r="A997" s="83">
        <v>80859235</v>
      </c>
      <c r="B997" s="186" t="s">
        <v>299</v>
      </c>
      <c r="C997" s="186" t="s">
        <v>150</v>
      </c>
      <c r="D997" s="83" t="s">
        <v>284</v>
      </c>
      <c r="E997" s="83" t="s">
        <v>172</v>
      </c>
      <c r="F997" s="180">
        <v>46010</v>
      </c>
      <c r="G997" s="83">
        <v>2129</v>
      </c>
      <c r="H997" s="180">
        <v>46003</v>
      </c>
      <c r="I997" s="180" t="s">
        <v>175</v>
      </c>
      <c r="J997" s="83">
        <v>3508304909</v>
      </c>
      <c r="K997" s="180" t="s">
        <v>379</v>
      </c>
      <c r="L997" s="180">
        <v>46003</v>
      </c>
      <c r="M997" s="180">
        <v>46009</v>
      </c>
      <c r="N997" s="181">
        <v>7.2356194</v>
      </c>
      <c r="O997" s="181" t="s">
        <v>170</v>
      </c>
      <c r="P997" s="83" t="s">
        <v>148</v>
      </c>
      <c r="Q997" s="177" t="s">
        <v>149</v>
      </c>
      <c r="R997" s="83"/>
    </row>
    <row r="998" spans="1:18">
      <c r="A998" s="83">
        <v>80859239</v>
      </c>
      <c r="B998" s="186" t="s">
        <v>300</v>
      </c>
      <c r="C998" s="186" t="s">
        <v>150</v>
      </c>
      <c r="D998" s="83" t="s">
        <v>284</v>
      </c>
      <c r="E998" s="83" t="s">
        <v>172</v>
      </c>
      <c r="F998" s="180">
        <v>46010</v>
      </c>
      <c r="G998" s="83">
        <v>3335</v>
      </c>
      <c r="H998" s="180">
        <v>46003</v>
      </c>
      <c r="I998" s="180" t="s">
        <v>175</v>
      </c>
      <c r="J998" s="83">
        <v>3508304910</v>
      </c>
      <c r="K998" s="180" t="s">
        <v>379</v>
      </c>
      <c r="L998" s="180">
        <v>46003</v>
      </c>
      <c r="M998" s="180">
        <v>46009</v>
      </c>
      <c r="N998" s="181">
        <v>11.334331000000001</v>
      </c>
      <c r="O998" s="181" t="s">
        <v>170</v>
      </c>
      <c r="P998" s="83" t="s">
        <v>148</v>
      </c>
      <c r="Q998" s="177" t="s">
        <v>149</v>
      </c>
      <c r="R998" s="83"/>
    </row>
    <row r="999" spans="1:18">
      <c r="A999" s="83">
        <v>80859243</v>
      </c>
      <c r="B999" s="186" t="s">
        <v>301</v>
      </c>
      <c r="C999" s="186" t="s">
        <v>150</v>
      </c>
      <c r="D999" s="83" t="s">
        <v>284</v>
      </c>
      <c r="E999" s="83" t="s">
        <v>172</v>
      </c>
      <c r="F999" s="180">
        <v>46010</v>
      </c>
      <c r="G999" s="83">
        <v>667</v>
      </c>
      <c r="H999" s="180">
        <v>46003</v>
      </c>
      <c r="I999" s="180" t="s">
        <v>175</v>
      </c>
      <c r="J999" s="83">
        <v>3508304911</v>
      </c>
      <c r="K999" s="180" t="s">
        <v>379</v>
      </c>
      <c r="L999" s="180">
        <v>46003</v>
      </c>
      <c r="M999" s="180">
        <v>46009</v>
      </c>
      <c r="N999" s="181">
        <v>2.2668661999999999</v>
      </c>
      <c r="O999" s="181" t="s">
        <v>170</v>
      </c>
      <c r="P999" s="83" t="s">
        <v>148</v>
      </c>
      <c r="Q999" s="177" t="s">
        <v>149</v>
      </c>
      <c r="R999" s="83"/>
    </row>
    <row r="1000" spans="1:18">
      <c r="A1000" s="83">
        <v>80859245</v>
      </c>
      <c r="B1000" s="186" t="s">
        <v>302</v>
      </c>
      <c r="C1000" s="186" t="s">
        <v>150</v>
      </c>
      <c r="D1000" s="83" t="s">
        <v>284</v>
      </c>
      <c r="E1000" s="83" t="s">
        <v>172</v>
      </c>
      <c r="F1000" s="180">
        <v>46010</v>
      </c>
      <c r="G1000" s="83">
        <v>2069</v>
      </c>
      <c r="H1000" s="180">
        <v>46003</v>
      </c>
      <c r="I1000" s="180" t="s">
        <v>175</v>
      </c>
      <c r="J1000" s="83">
        <v>3508304912</v>
      </c>
      <c r="K1000" s="180" t="s">
        <v>379</v>
      </c>
      <c r="L1000" s="180">
        <v>46003</v>
      </c>
      <c r="M1000" s="180">
        <v>46009</v>
      </c>
      <c r="N1000" s="181">
        <v>7.0317033999999996</v>
      </c>
      <c r="O1000" s="181" t="s">
        <v>170</v>
      </c>
      <c r="P1000" s="83" t="s">
        <v>148</v>
      </c>
      <c r="Q1000" s="177" t="s">
        <v>149</v>
      </c>
      <c r="R1000" s="83"/>
    </row>
    <row r="1001" spans="1:18">
      <c r="A1001" s="83">
        <v>80891917</v>
      </c>
      <c r="B1001" s="186" t="s">
        <v>380</v>
      </c>
      <c r="C1001" s="186" t="s">
        <v>155</v>
      </c>
      <c r="D1001" s="83" t="s">
        <v>381</v>
      </c>
      <c r="E1001" s="176" t="s">
        <v>145</v>
      </c>
      <c r="F1001" s="180">
        <v>46048</v>
      </c>
      <c r="G1001" s="83">
        <v>1545</v>
      </c>
      <c r="H1001" s="180">
        <v>46006</v>
      </c>
      <c r="I1001" s="180" t="s">
        <v>382</v>
      </c>
      <c r="J1001" s="83">
        <v>3510995147</v>
      </c>
      <c r="K1001" s="180"/>
      <c r="L1001" s="180">
        <v>46007</v>
      </c>
      <c r="M1001" s="180">
        <v>46017</v>
      </c>
      <c r="N1001" s="181">
        <v>1.2602564999999999</v>
      </c>
      <c r="O1001" s="181" t="s">
        <v>147</v>
      </c>
      <c r="P1001" s="83" t="s">
        <v>148</v>
      </c>
      <c r="Q1001" s="177" t="s">
        <v>149</v>
      </c>
      <c r="R1001" s="83"/>
    </row>
    <row r="1002" spans="1:18">
      <c r="A1002" s="83">
        <v>80891917</v>
      </c>
      <c r="B1002" s="186" t="s">
        <v>380</v>
      </c>
      <c r="C1002" s="186" t="s">
        <v>151</v>
      </c>
      <c r="D1002" s="83" t="s">
        <v>381</v>
      </c>
      <c r="E1002" s="176" t="s">
        <v>145</v>
      </c>
      <c r="F1002" s="180">
        <v>46048</v>
      </c>
      <c r="G1002" s="83">
        <v>2060</v>
      </c>
      <c r="H1002" s="180">
        <v>46006</v>
      </c>
      <c r="I1002" s="180" t="s">
        <v>382</v>
      </c>
      <c r="J1002" s="83">
        <v>3510995148</v>
      </c>
      <c r="K1002" s="180"/>
      <c r="L1002" s="180">
        <v>46007</v>
      </c>
      <c r="M1002" s="180">
        <v>46017</v>
      </c>
      <c r="N1002" s="181">
        <v>1.680342</v>
      </c>
      <c r="O1002" s="181" t="s">
        <v>147</v>
      </c>
      <c r="P1002" s="83" t="s">
        <v>148</v>
      </c>
      <c r="Q1002" s="177" t="s">
        <v>149</v>
      </c>
      <c r="R1002" s="83"/>
    </row>
    <row r="1003" spans="1:18">
      <c r="A1003" s="83">
        <v>80891917</v>
      </c>
      <c r="B1003" s="186" t="s">
        <v>380</v>
      </c>
      <c r="C1003" s="186" t="s">
        <v>150</v>
      </c>
      <c r="D1003" s="83" t="s">
        <v>381</v>
      </c>
      <c r="E1003" s="176" t="s">
        <v>145</v>
      </c>
      <c r="F1003" s="180">
        <v>46048</v>
      </c>
      <c r="G1003" s="83">
        <v>1545</v>
      </c>
      <c r="H1003" s="180">
        <v>46006</v>
      </c>
      <c r="I1003" s="180" t="s">
        <v>382</v>
      </c>
      <c r="J1003" s="83">
        <v>3510995149</v>
      </c>
      <c r="K1003" s="180"/>
      <c r="L1003" s="180">
        <v>46007</v>
      </c>
      <c r="M1003" s="180">
        <v>46017</v>
      </c>
      <c r="N1003" s="181">
        <v>1.2602564999999999</v>
      </c>
      <c r="O1003" s="181" t="s">
        <v>147</v>
      </c>
      <c r="P1003" s="83" t="s">
        <v>148</v>
      </c>
      <c r="Q1003" s="177" t="s">
        <v>149</v>
      </c>
      <c r="R1003" s="83"/>
    </row>
    <row r="1004" spans="1:18">
      <c r="A1004" s="83">
        <v>80891917</v>
      </c>
      <c r="B1004" s="186" t="s">
        <v>380</v>
      </c>
      <c r="C1004" s="186" t="s">
        <v>155</v>
      </c>
      <c r="D1004" s="83" t="s">
        <v>381</v>
      </c>
      <c r="E1004" s="176" t="s">
        <v>145</v>
      </c>
      <c r="F1004" s="180">
        <v>46082</v>
      </c>
      <c r="G1004" s="83">
        <v>3567</v>
      </c>
      <c r="H1004" s="180">
        <v>46006</v>
      </c>
      <c r="I1004" s="180" t="s">
        <v>382</v>
      </c>
      <c r="J1004" s="83">
        <v>3510995150</v>
      </c>
      <c r="K1004" s="180"/>
      <c r="L1004" s="180">
        <v>46007</v>
      </c>
      <c r="M1004" s="180">
        <v>46017</v>
      </c>
      <c r="N1004" s="181">
        <v>2.9096019000000002</v>
      </c>
      <c r="O1004" s="181" t="s">
        <v>147</v>
      </c>
      <c r="P1004" s="83" t="s">
        <v>148</v>
      </c>
      <c r="Q1004" s="177" t="s">
        <v>149</v>
      </c>
      <c r="R1004" s="83"/>
    </row>
    <row r="1005" spans="1:18">
      <c r="A1005" s="83">
        <v>80891917</v>
      </c>
      <c r="B1005" s="186" t="s">
        <v>380</v>
      </c>
      <c r="C1005" s="186" t="s">
        <v>151</v>
      </c>
      <c r="D1005" s="83" t="s">
        <v>381</v>
      </c>
      <c r="E1005" s="176" t="s">
        <v>145</v>
      </c>
      <c r="F1005" s="180">
        <v>46082</v>
      </c>
      <c r="G1005" s="83">
        <v>4757</v>
      </c>
      <c r="H1005" s="180">
        <v>46006</v>
      </c>
      <c r="I1005" s="180" t="s">
        <v>382</v>
      </c>
      <c r="J1005" s="83">
        <v>3510995151</v>
      </c>
      <c r="K1005" s="180"/>
      <c r="L1005" s="180">
        <v>46007</v>
      </c>
      <c r="M1005" s="180">
        <v>46017</v>
      </c>
      <c r="N1005" s="181">
        <v>3.8802848999999999</v>
      </c>
      <c r="O1005" s="181" t="s">
        <v>147</v>
      </c>
      <c r="P1005" s="83" t="s">
        <v>148</v>
      </c>
      <c r="Q1005" s="177" t="s">
        <v>149</v>
      </c>
      <c r="R1005" s="83"/>
    </row>
    <row r="1006" spans="1:18">
      <c r="A1006" s="83">
        <v>80891917</v>
      </c>
      <c r="B1006" s="186" t="s">
        <v>380</v>
      </c>
      <c r="C1006" s="186" t="s">
        <v>150</v>
      </c>
      <c r="D1006" s="83" t="s">
        <v>381</v>
      </c>
      <c r="E1006" s="176" t="s">
        <v>145</v>
      </c>
      <c r="F1006" s="180">
        <v>46082</v>
      </c>
      <c r="G1006" s="83">
        <v>3567</v>
      </c>
      <c r="H1006" s="180">
        <v>46006</v>
      </c>
      <c r="I1006" s="180" t="s">
        <v>382</v>
      </c>
      <c r="J1006" s="83">
        <v>3510995152</v>
      </c>
      <c r="K1006" s="180"/>
      <c r="L1006" s="180">
        <v>46007</v>
      </c>
      <c r="M1006" s="180">
        <v>46017</v>
      </c>
      <c r="N1006" s="181">
        <v>2.9096019000000002</v>
      </c>
      <c r="O1006" s="181" t="s">
        <v>147</v>
      </c>
      <c r="P1006" s="83" t="s">
        <v>148</v>
      </c>
      <c r="Q1006" s="177" t="s">
        <v>149</v>
      </c>
      <c r="R1006" s="83"/>
    </row>
    <row r="1007" spans="1:18">
      <c r="A1007" s="83">
        <v>80891917</v>
      </c>
      <c r="B1007" s="186" t="s">
        <v>380</v>
      </c>
      <c r="C1007" s="186" t="s">
        <v>155</v>
      </c>
      <c r="D1007" s="83" t="s">
        <v>381</v>
      </c>
      <c r="E1007" s="176" t="s">
        <v>145</v>
      </c>
      <c r="F1007" s="180">
        <v>46113</v>
      </c>
      <c r="G1007" s="83">
        <v>1214</v>
      </c>
      <c r="H1007" s="180">
        <v>46006</v>
      </c>
      <c r="I1007" s="180" t="s">
        <v>382</v>
      </c>
      <c r="J1007" s="83">
        <v>3510995153</v>
      </c>
      <c r="K1007" s="180"/>
      <c r="L1007" s="180">
        <v>46007</v>
      </c>
      <c r="M1007" s="180">
        <v>46017</v>
      </c>
      <c r="N1007" s="181">
        <v>0.99025980000000002</v>
      </c>
      <c r="O1007" s="181" t="s">
        <v>147</v>
      </c>
      <c r="P1007" s="83" t="s">
        <v>148</v>
      </c>
      <c r="Q1007" s="177" t="s">
        <v>149</v>
      </c>
      <c r="R1007" s="83"/>
    </row>
    <row r="1008" spans="1:18">
      <c r="A1008" s="83">
        <v>80891917</v>
      </c>
      <c r="B1008" s="186" t="s">
        <v>380</v>
      </c>
      <c r="C1008" s="186" t="s">
        <v>151</v>
      </c>
      <c r="D1008" s="83" t="s">
        <v>381</v>
      </c>
      <c r="E1008" s="176" t="s">
        <v>145</v>
      </c>
      <c r="F1008" s="180">
        <v>46113</v>
      </c>
      <c r="G1008" s="83">
        <v>1618</v>
      </c>
      <c r="H1008" s="180">
        <v>46006</v>
      </c>
      <c r="I1008" s="180" t="s">
        <v>382</v>
      </c>
      <c r="J1008" s="83">
        <v>3510995154</v>
      </c>
      <c r="K1008" s="180"/>
      <c r="L1008" s="180">
        <v>46007</v>
      </c>
      <c r="M1008" s="180">
        <v>46017</v>
      </c>
      <c r="N1008" s="181">
        <v>1.3198026</v>
      </c>
      <c r="O1008" s="181" t="s">
        <v>147</v>
      </c>
      <c r="P1008" s="83" t="s">
        <v>148</v>
      </c>
      <c r="Q1008" s="177" t="s">
        <v>149</v>
      </c>
      <c r="R1008" s="83"/>
    </row>
    <row r="1009" spans="1:18">
      <c r="A1009" s="83">
        <v>80891917</v>
      </c>
      <c r="B1009" s="186" t="s">
        <v>380</v>
      </c>
      <c r="C1009" s="186" t="s">
        <v>150</v>
      </c>
      <c r="D1009" s="83" t="s">
        <v>381</v>
      </c>
      <c r="E1009" s="176" t="s">
        <v>145</v>
      </c>
      <c r="F1009" s="180">
        <v>46113</v>
      </c>
      <c r="G1009" s="83">
        <v>1214</v>
      </c>
      <c r="H1009" s="180">
        <v>46006</v>
      </c>
      <c r="I1009" s="180" t="s">
        <v>382</v>
      </c>
      <c r="J1009" s="83">
        <v>3510995155</v>
      </c>
      <c r="K1009" s="180"/>
      <c r="L1009" s="180">
        <v>46007</v>
      </c>
      <c r="M1009" s="180">
        <v>46017</v>
      </c>
      <c r="N1009" s="181">
        <v>0.99025980000000002</v>
      </c>
      <c r="O1009" s="181" t="s">
        <v>147</v>
      </c>
      <c r="P1009" s="83" t="s">
        <v>148</v>
      </c>
      <c r="Q1009" s="177" t="s">
        <v>149</v>
      </c>
      <c r="R1009" s="83"/>
    </row>
    <row r="1010" spans="1:18">
      <c r="A1010" s="83">
        <v>80814084</v>
      </c>
      <c r="B1010" s="186" t="s">
        <v>196</v>
      </c>
      <c r="C1010" s="186" t="s">
        <v>151</v>
      </c>
      <c r="D1010" s="83" t="s">
        <v>383</v>
      </c>
      <c r="E1010" s="83" t="s">
        <v>205</v>
      </c>
      <c r="F1010" s="180">
        <v>46041</v>
      </c>
      <c r="G1010" s="83">
        <v>3086</v>
      </c>
      <c r="H1010" s="180">
        <v>46007</v>
      </c>
      <c r="I1010" s="180" t="s">
        <v>384</v>
      </c>
      <c r="J1010" s="83">
        <v>3510995156</v>
      </c>
      <c r="K1010" s="180"/>
      <c r="L1010" s="180">
        <v>46007</v>
      </c>
      <c r="M1010" s="180"/>
      <c r="N1010" s="181">
        <v>2.9131840000000002</v>
      </c>
      <c r="O1010" s="181" t="s">
        <v>170</v>
      </c>
      <c r="P1010" s="180" t="s">
        <v>323</v>
      </c>
      <c r="Q1010" s="177" t="s">
        <v>324</v>
      </c>
      <c r="R1010" s="83"/>
    </row>
    <row r="1011" spans="1:18">
      <c r="A1011" s="83">
        <v>80814084</v>
      </c>
      <c r="B1011" s="186" t="s">
        <v>196</v>
      </c>
      <c r="C1011" s="186" t="s">
        <v>385</v>
      </c>
      <c r="D1011" s="83" t="s">
        <v>383</v>
      </c>
      <c r="E1011" s="176" t="s">
        <v>145</v>
      </c>
      <c r="F1011" s="180">
        <v>46041</v>
      </c>
      <c r="G1011" s="83">
        <v>2392</v>
      </c>
      <c r="H1011" s="180">
        <v>46007</v>
      </c>
      <c r="I1011" s="180" t="s">
        <v>384</v>
      </c>
      <c r="J1011" s="83">
        <v>3510995157</v>
      </c>
      <c r="K1011" s="180"/>
      <c r="L1011" s="180">
        <v>46007</v>
      </c>
      <c r="M1011" s="180"/>
      <c r="N1011" s="181">
        <v>2.2580480000000001</v>
      </c>
      <c r="O1011" s="181" t="s">
        <v>147</v>
      </c>
      <c r="P1011" s="83" t="s">
        <v>323</v>
      </c>
      <c r="Q1011" s="177" t="s">
        <v>324</v>
      </c>
      <c r="R1011" s="83"/>
    </row>
    <row r="1012" spans="1:18">
      <c r="A1012" s="83">
        <v>83900169</v>
      </c>
      <c r="B1012" s="186" t="s">
        <v>386</v>
      </c>
      <c r="C1012" s="186" t="s">
        <v>359</v>
      </c>
      <c r="D1012" s="83" t="s">
        <v>387</v>
      </c>
      <c r="E1012" s="83" t="s">
        <v>168</v>
      </c>
      <c r="F1012" s="180">
        <v>46030</v>
      </c>
      <c r="G1012" s="83">
        <v>3047</v>
      </c>
      <c r="H1012" s="180">
        <v>46008</v>
      </c>
      <c r="I1012" s="180" t="s">
        <v>146</v>
      </c>
      <c r="J1012" s="83">
        <v>3512260148</v>
      </c>
      <c r="K1012" s="180"/>
      <c r="L1012" s="180">
        <v>46009</v>
      </c>
      <c r="M1012" s="180"/>
      <c r="N1012" s="181">
        <v>2.2090749999999999</v>
      </c>
      <c r="O1012" s="181" t="s">
        <v>170</v>
      </c>
      <c r="P1012" s="83" t="s">
        <v>323</v>
      </c>
      <c r="Q1012" s="177" t="s">
        <v>324</v>
      </c>
      <c r="R1012" s="83"/>
    </row>
    <row r="1013" spans="1:18">
      <c r="A1013" s="83">
        <v>83900169</v>
      </c>
      <c r="B1013" s="186" t="s">
        <v>386</v>
      </c>
      <c r="C1013" s="186" t="s">
        <v>359</v>
      </c>
      <c r="D1013" s="83" t="s">
        <v>387</v>
      </c>
      <c r="E1013" s="83" t="s">
        <v>168</v>
      </c>
      <c r="F1013" s="180">
        <v>46041</v>
      </c>
      <c r="G1013" s="83">
        <v>3047</v>
      </c>
      <c r="H1013" s="180">
        <v>46008</v>
      </c>
      <c r="I1013" s="180" t="s">
        <v>146</v>
      </c>
      <c r="J1013" s="83">
        <v>3512260149</v>
      </c>
      <c r="K1013" s="180"/>
      <c r="L1013" s="180">
        <v>46009</v>
      </c>
      <c r="M1013" s="180"/>
      <c r="N1013" s="181">
        <v>2.2090749999999999</v>
      </c>
      <c r="O1013" s="181" t="s">
        <v>170</v>
      </c>
      <c r="P1013" s="83" t="s">
        <v>323</v>
      </c>
      <c r="Q1013" s="177" t="s">
        <v>324</v>
      </c>
      <c r="R1013" s="83"/>
    </row>
    <row r="1014" spans="1:18">
      <c r="A1014" s="83">
        <v>80883601</v>
      </c>
      <c r="B1014" s="186" t="s">
        <v>159</v>
      </c>
      <c r="C1014" s="186" t="s">
        <v>359</v>
      </c>
      <c r="D1014" s="83" t="s">
        <v>388</v>
      </c>
      <c r="E1014" s="83" t="s">
        <v>168</v>
      </c>
      <c r="F1014" s="180">
        <v>46026</v>
      </c>
      <c r="G1014" s="83">
        <v>1750</v>
      </c>
      <c r="H1014" s="180">
        <v>46009</v>
      </c>
      <c r="I1014" s="180" t="s">
        <v>161</v>
      </c>
      <c r="J1014" s="83">
        <v>3512260150</v>
      </c>
      <c r="K1014" s="180"/>
      <c r="L1014" s="180">
        <v>46009</v>
      </c>
      <c r="M1014" s="180">
        <v>46021</v>
      </c>
      <c r="N1014" s="181">
        <v>4.7580749999999998</v>
      </c>
      <c r="O1014" s="181" t="s">
        <v>170</v>
      </c>
      <c r="P1014" s="83" t="s">
        <v>148</v>
      </c>
      <c r="Q1014" s="177" t="s">
        <v>149</v>
      </c>
      <c r="R1014" s="83"/>
    </row>
    <row r="1015" spans="1:18">
      <c r="A1015" s="83">
        <v>80883601</v>
      </c>
      <c r="B1015" s="186" t="s">
        <v>159</v>
      </c>
      <c r="C1015" s="186" t="s">
        <v>12</v>
      </c>
      <c r="D1015" s="83" t="s">
        <v>388</v>
      </c>
      <c r="E1015" s="83" t="s">
        <v>168</v>
      </c>
      <c r="F1015" s="180">
        <v>46026</v>
      </c>
      <c r="G1015" s="83">
        <v>1484</v>
      </c>
      <c r="H1015" s="180">
        <v>46009</v>
      </c>
      <c r="I1015" s="180" t="s">
        <v>161</v>
      </c>
      <c r="J1015" s="83">
        <v>3512260151</v>
      </c>
      <c r="K1015" s="180"/>
      <c r="L1015" s="180">
        <v>46009</v>
      </c>
      <c r="M1015" s="180">
        <v>46021</v>
      </c>
      <c r="N1015" s="181">
        <v>4.0348476</v>
      </c>
      <c r="O1015" s="181" t="s">
        <v>170</v>
      </c>
      <c r="P1015" s="83" t="s">
        <v>148</v>
      </c>
      <c r="Q1015" s="177" t="s">
        <v>149</v>
      </c>
      <c r="R1015" s="83"/>
    </row>
    <row r="1016" spans="1:18">
      <c r="A1016" s="83">
        <v>80883600</v>
      </c>
      <c r="B1016" s="186" t="s">
        <v>164</v>
      </c>
      <c r="C1016" s="186" t="s">
        <v>359</v>
      </c>
      <c r="D1016" s="83" t="s">
        <v>388</v>
      </c>
      <c r="E1016" s="83" t="s">
        <v>168</v>
      </c>
      <c r="F1016" s="180">
        <v>46026</v>
      </c>
      <c r="G1016" s="83">
        <v>661</v>
      </c>
      <c r="H1016" s="180">
        <v>46009</v>
      </c>
      <c r="I1016" s="180" t="s">
        <v>161</v>
      </c>
      <c r="J1016" s="83">
        <v>3512260152</v>
      </c>
      <c r="K1016" s="180"/>
      <c r="L1016" s="180">
        <v>46009</v>
      </c>
      <c r="M1016" s="180">
        <v>46021</v>
      </c>
      <c r="N1016" s="181">
        <v>1.4976277</v>
      </c>
      <c r="O1016" s="181" t="s">
        <v>170</v>
      </c>
      <c r="P1016" s="83" t="s">
        <v>148</v>
      </c>
      <c r="Q1016" s="177" t="s">
        <v>149</v>
      </c>
      <c r="R1016" s="83"/>
    </row>
    <row r="1017" spans="1:18">
      <c r="A1017" s="83">
        <v>80883600</v>
      </c>
      <c r="B1017" s="186" t="s">
        <v>164</v>
      </c>
      <c r="C1017" s="186" t="s">
        <v>385</v>
      </c>
      <c r="D1017" s="83" t="s">
        <v>388</v>
      </c>
      <c r="E1017" s="83" t="s">
        <v>168</v>
      </c>
      <c r="F1017" s="180">
        <v>46026</v>
      </c>
      <c r="G1017" s="83">
        <v>401</v>
      </c>
      <c r="H1017" s="180">
        <v>46009</v>
      </c>
      <c r="I1017" s="180" t="s">
        <v>161</v>
      </c>
      <c r="J1017" s="83">
        <v>3512260153</v>
      </c>
      <c r="K1017" s="180"/>
      <c r="L1017" s="180">
        <v>46009</v>
      </c>
      <c r="M1017" s="180">
        <v>46021</v>
      </c>
      <c r="N1017" s="181">
        <v>0.90854570000000001</v>
      </c>
      <c r="O1017" s="181" t="s">
        <v>170</v>
      </c>
      <c r="P1017" s="83" t="s">
        <v>148</v>
      </c>
      <c r="Q1017" s="177" t="s">
        <v>149</v>
      </c>
      <c r="R1017" s="83"/>
    </row>
    <row r="1018" spans="1:18">
      <c r="A1018" s="83">
        <v>80883600</v>
      </c>
      <c r="B1018" s="186" t="s">
        <v>164</v>
      </c>
      <c r="C1018" s="186" t="s">
        <v>12</v>
      </c>
      <c r="D1018" s="83" t="s">
        <v>388</v>
      </c>
      <c r="E1018" s="83" t="s">
        <v>168</v>
      </c>
      <c r="F1018" s="180">
        <v>46026</v>
      </c>
      <c r="G1018" s="83">
        <v>900</v>
      </c>
      <c r="H1018" s="180">
        <v>46009</v>
      </c>
      <c r="I1018" s="180" t="s">
        <v>161</v>
      </c>
      <c r="J1018" s="83">
        <v>3512260154</v>
      </c>
      <c r="K1018" s="180"/>
      <c r="L1018" s="180">
        <v>46009</v>
      </c>
      <c r="M1018" s="180">
        <v>46021</v>
      </c>
      <c r="N1018" s="181">
        <v>2.0391300000000001</v>
      </c>
      <c r="O1018" s="181" t="s">
        <v>170</v>
      </c>
      <c r="P1018" s="83" t="s">
        <v>148</v>
      </c>
      <c r="Q1018" s="177" t="s">
        <v>149</v>
      </c>
      <c r="R1018" s="83"/>
    </row>
    <row r="1019" spans="1:18">
      <c r="A1019" s="83">
        <v>80883601</v>
      </c>
      <c r="B1019" s="186" t="s">
        <v>159</v>
      </c>
      <c r="C1019" s="186" t="s">
        <v>359</v>
      </c>
      <c r="D1019" s="83" t="s">
        <v>388</v>
      </c>
      <c r="E1019" s="83" t="s">
        <v>145</v>
      </c>
      <c r="F1019" s="180">
        <v>46027</v>
      </c>
      <c r="G1019" s="83">
        <v>1385</v>
      </c>
      <c r="H1019" s="180">
        <v>46009</v>
      </c>
      <c r="I1019" s="180" t="s">
        <v>161</v>
      </c>
      <c r="J1019" s="83">
        <v>3512260155</v>
      </c>
      <c r="K1019" s="180"/>
      <c r="L1019" s="180">
        <v>46009</v>
      </c>
      <c r="M1019" s="180"/>
      <c r="N1019" s="181">
        <v>3.7656765000000001</v>
      </c>
      <c r="O1019" s="181" t="s">
        <v>147</v>
      </c>
      <c r="P1019" s="83" t="s">
        <v>323</v>
      </c>
      <c r="Q1019" s="177">
        <v>5</v>
      </c>
      <c r="R1019" s="83"/>
    </row>
    <row r="1020" spans="1:18">
      <c r="A1020" s="83">
        <v>80883601</v>
      </c>
      <c r="B1020" s="186" t="s">
        <v>159</v>
      </c>
      <c r="C1020" s="186" t="s">
        <v>12</v>
      </c>
      <c r="D1020" s="83" t="s">
        <v>388</v>
      </c>
      <c r="E1020" s="83" t="s">
        <v>145</v>
      </c>
      <c r="F1020" s="180">
        <v>46027</v>
      </c>
      <c r="G1020" s="83">
        <v>1174</v>
      </c>
      <c r="H1020" s="180">
        <v>46009</v>
      </c>
      <c r="I1020" s="180" t="s">
        <v>161</v>
      </c>
      <c r="J1020" s="83">
        <v>3512260156</v>
      </c>
      <c r="K1020" s="180"/>
      <c r="L1020" s="180">
        <v>46009</v>
      </c>
      <c r="M1020" s="180"/>
      <c r="N1020" s="181">
        <v>3.1919886000000002</v>
      </c>
      <c r="O1020" s="181" t="s">
        <v>147</v>
      </c>
      <c r="P1020" s="83" t="s">
        <v>323</v>
      </c>
      <c r="Q1020" s="177">
        <v>5</v>
      </c>
      <c r="R1020" s="83"/>
    </row>
    <row r="1021" spans="1:18">
      <c r="A1021" s="83">
        <v>80883600</v>
      </c>
      <c r="B1021" s="186" t="s">
        <v>164</v>
      </c>
      <c r="C1021" s="186" t="s">
        <v>359</v>
      </c>
      <c r="D1021" s="83" t="s">
        <v>388</v>
      </c>
      <c r="E1021" s="83" t="s">
        <v>145</v>
      </c>
      <c r="F1021" s="180">
        <v>46027</v>
      </c>
      <c r="G1021" s="83">
        <v>522</v>
      </c>
      <c r="H1021" s="180">
        <v>46009</v>
      </c>
      <c r="I1021" s="180" t="s">
        <v>161</v>
      </c>
      <c r="J1021" s="83">
        <v>3512260157</v>
      </c>
      <c r="K1021" s="180"/>
      <c r="L1021" s="180">
        <v>46009</v>
      </c>
      <c r="M1021" s="180"/>
      <c r="N1021" s="181">
        <v>1.1826954000000001</v>
      </c>
      <c r="O1021" s="181" t="s">
        <v>147</v>
      </c>
      <c r="P1021" s="83" t="s">
        <v>323</v>
      </c>
      <c r="Q1021" s="177">
        <v>5</v>
      </c>
      <c r="R1021" s="83"/>
    </row>
    <row r="1022" spans="1:18">
      <c r="A1022" s="83">
        <v>80883600</v>
      </c>
      <c r="B1022" s="186" t="s">
        <v>164</v>
      </c>
      <c r="C1022" s="186" t="s">
        <v>385</v>
      </c>
      <c r="D1022" s="83" t="s">
        <v>388</v>
      </c>
      <c r="E1022" s="83" t="s">
        <v>145</v>
      </c>
      <c r="F1022" s="180">
        <v>46027</v>
      </c>
      <c r="G1022" s="83">
        <v>318</v>
      </c>
      <c r="H1022" s="180">
        <v>46009</v>
      </c>
      <c r="I1022" s="180" t="s">
        <v>161</v>
      </c>
      <c r="J1022" s="83">
        <v>3512280238</v>
      </c>
      <c r="K1022" s="180"/>
      <c r="L1022" s="180">
        <v>46009</v>
      </c>
      <c r="M1022" s="180"/>
      <c r="N1022" s="181">
        <v>0.72049260000000004</v>
      </c>
      <c r="O1022" s="181" t="s">
        <v>147</v>
      </c>
      <c r="P1022" s="83" t="s">
        <v>323</v>
      </c>
      <c r="Q1022" s="177">
        <v>5</v>
      </c>
      <c r="R1022" s="83"/>
    </row>
    <row r="1023" spans="1:18">
      <c r="A1023" s="83">
        <v>80883600</v>
      </c>
      <c r="B1023" s="186" t="s">
        <v>164</v>
      </c>
      <c r="C1023" s="186" t="s">
        <v>12</v>
      </c>
      <c r="D1023" s="83" t="s">
        <v>388</v>
      </c>
      <c r="E1023" s="83" t="s">
        <v>145</v>
      </c>
      <c r="F1023" s="180">
        <v>46027</v>
      </c>
      <c r="G1023" s="83">
        <v>712</v>
      </c>
      <c r="H1023" s="180">
        <v>46009</v>
      </c>
      <c r="I1023" s="180" t="s">
        <v>161</v>
      </c>
      <c r="J1023" s="83">
        <v>3512280239</v>
      </c>
      <c r="K1023" s="180"/>
      <c r="L1023" s="180">
        <v>46009</v>
      </c>
      <c r="M1023" s="180"/>
      <c r="N1023" s="181">
        <v>1.6131784</v>
      </c>
      <c r="O1023" s="181" t="s">
        <v>147</v>
      </c>
      <c r="P1023" s="83" t="s">
        <v>323</v>
      </c>
      <c r="Q1023" s="177">
        <v>5</v>
      </c>
      <c r="R1023" s="83"/>
    </row>
    <row r="1024" spans="1:18">
      <c r="A1024" s="83">
        <v>80813608</v>
      </c>
      <c r="B1024" s="186" t="s">
        <v>389</v>
      </c>
      <c r="C1024" s="186" t="s">
        <v>150</v>
      </c>
      <c r="D1024" s="83" t="s">
        <v>390</v>
      </c>
      <c r="E1024" s="83" t="s">
        <v>168</v>
      </c>
      <c r="F1024" s="180">
        <v>46013</v>
      </c>
      <c r="G1024" s="83">
        <v>600</v>
      </c>
      <c r="H1024" s="180">
        <v>46009</v>
      </c>
      <c r="I1024" s="180" t="s">
        <v>175</v>
      </c>
      <c r="J1024" s="83">
        <v>3512280240</v>
      </c>
      <c r="K1024" s="180" t="s">
        <v>391</v>
      </c>
      <c r="L1024" s="180">
        <v>46009</v>
      </c>
      <c r="M1024" s="180">
        <v>46013</v>
      </c>
      <c r="N1024" s="181">
        <v>2.0391599999999999</v>
      </c>
      <c r="O1024" s="181" t="s">
        <v>170</v>
      </c>
      <c r="P1024" s="180" t="s">
        <v>148</v>
      </c>
      <c r="Q1024" s="177" t="s">
        <v>149</v>
      </c>
      <c r="R1024" s="83"/>
    </row>
    <row r="1025" spans="1:18">
      <c r="A1025" s="83">
        <v>80856843</v>
      </c>
      <c r="B1025" s="186" t="s">
        <v>392</v>
      </c>
      <c r="C1025" s="186" t="s">
        <v>150</v>
      </c>
      <c r="D1025" s="83" t="s">
        <v>390</v>
      </c>
      <c r="E1025" s="83" t="s">
        <v>168</v>
      </c>
      <c r="F1025" s="180">
        <v>46013</v>
      </c>
      <c r="G1025" s="83">
        <v>600</v>
      </c>
      <c r="H1025" s="180">
        <v>46009</v>
      </c>
      <c r="I1025" s="180" t="s">
        <v>175</v>
      </c>
      <c r="J1025" s="83">
        <v>3512280241</v>
      </c>
      <c r="K1025" s="180" t="s">
        <v>391</v>
      </c>
      <c r="L1025" s="180">
        <v>46009</v>
      </c>
      <c r="M1025" s="180">
        <v>46013</v>
      </c>
      <c r="N1025" s="181">
        <v>1.8216600000000001</v>
      </c>
      <c r="O1025" s="181" t="s">
        <v>170</v>
      </c>
      <c r="P1025" s="180" t="s">
        <v>148</v>
      </c>
      <c r="Q1025" s="177" t="s">
        <v>149</v>
      </c>
      <c r="R1025" s="83"/>
    </row>
    <row r="1026" spans="1:18">
      <c r="A1026" s="83">
        <v>83900171</v>
      </c>
      <c r="B1026" s="186" t="s">
        <v>393</v>
      </c>
      <c r="C1026" s="186" t="s">
        <v>151</v>
      </c>
      <c r="D1026" s="83" t="s">
        <v>394</v>
      </c>
      <c r="E1026" s="83" t="s">
        <v>145</v>
      </c>
      <c r="F1026" s="180">
        <v>46032</v>
      </c>
      <c r="G1026" s="83">
        <v>1300</v>
      </c>
      <c r="H1026" s="180">
        <v>46010</v>
      </c>
      <c r="I1026" s="180" t="s">
        <v>146</v>
      </c>
      <c r="J1026" s="83">
        <v>3513407639</v>
      </c>
      <c r="K1026" s="180"/>
      <c r="L1026" s="180">
        <v>46011</v>
      </c>
      <c r="M1026" s="180"/>
      <c r="N1026" s="181">
        <v>2.1206900000000002</v>
      </c>
      <c r="O1026" s="181" t="s">
        <v>147</v>
      </c>
      <c r="P1026" s="83" t="s">
        <v>323</v>
      </c>
      <c r="Q1026" s="177" t="s">
        <v>324</v>
      </c>
      <c r="R1026" s="83"/>
    </row>
    <row r="1027" spans="1:18">
      <c r="A1027" s="83">
        <v>83900171</v>
      </c>
      <c r="B1027" s="186" t="s">
        <v>393</v>
      </c>
      <c r="C1027" s="186" t="s">
        <v>155</v>
      </c>
      <c r="D1027" s="83" t="s">
        <v>394</v>
      </c>
      <c r="E1027" s="83" t="s">
        <v>145</v>
      </c>
      <c r="F1027" s="180">
        <v>46032</v>
      </c>
      <c r="G1027" s="83">
        <v>1330</v>
      </c>
      <c r="H1027" s="180">
        <v>46010</v>
      </c>
      <c r="I1027" s="180" t="s">
        <v>146</v>
      </c>
      <c r="J1027" s="83">
        <v>3513407640</v>
      </c>
      <c r="K1027" s="180"/>
      <c r="L1027" s="180">
        <v>46011</v>
      </c>
      <c r="M1027" s="180"/>
      <c r="N1027" s="181">
        <v>2.169629</v>
      </c>
      <c r="O1027" s="181" t="s">
        <v>147</v>
      </c>
      <c r="P1027" s="83" t="s">
        <v>323</v>
      </c>
      <c r="Q1027" s="177" t="s">
        <v>324</v>
      </c>
      <c r="R1027" s="83"/>
    </row>
    <row r="1028" spans="1:18">
      <c r="A1028" s="83">
        <v>83900171</v>
      </c>
      <c r="B1028" s="186" t="s">
        <v>393</v>
      </c>
      <c r="C1028" s="186" t="s">
        <v>151</v>
      </c>
      <c r="D1028" s="83" t="s">
        <v>395</v>
      </c>
      <c r="E1028" s="83" t="s">
        <v>168</v>
      </c>
      <c r="F1028" s="180">
        <v>46032</v>
      </c>
      <c r="G1028" s="83">
        <v>1349</v>
      </c>
      <c r="H1028" s="180">
        <v>46010</v>
      </c>
      <c r="I1028" s="180" t="s">
        <v>146</v>
      </c>
      <c r="J1028" s="83">
        <v>3513407641</v>
      </c>
      <c r="K1028" s="180"/>
      <c r="L1028" s="180">
        <v>46011</v>
      </c>
      <c r="M1028" s="180">
        <v>46021</v>
      </c>
      <c r="N1028" s="181">
        <v>2.2006237</v>
      </c>
      <c r="O1028" s="181" t="s">
        <v>170</v>
      </c>
      <c r="P1028" s="83" t="s">
        <v>148</v>
      </c>
      <c r="Q1028" s="177" t="s">
        <v>149</v>
      </c>
      <c r="R1028" s="83"/>
    </row>
    <row r="1029" spans="1:18">
      <c r="A1029" s="83">
        <v>83900171</v>
      </c>
      <c r="B1029" s="186" t="s">
        <v>393</v>
      </c>
      <c r="C1029" s="186" t="s">
        <v>155</v>
      </c>
      <c r="D1029" s="83" t="s">
        <v>395</v>
      </c>
      <c r="E1029" s="83" t="s">
        <v>168</v>
      </c>
      <c r="F1029" s="180">
        <v>46032</v>
      </c>
      <c r="G1029" s="83">
        <v>1012</v>
      </c>
      <c r="H1029" s="180">
        <v>46010</v>
      </c>
      <c r="I1029" s="180" t="s">
        <v>146</v>
      </c>
      <c r="J1029" s="83">
        <v>3513407642</v>
      </c>
      <c r="K1029" s="180"/>
      <c r="L1029" s="180">
        <v>46011</v>
      </c>
      <c r="M1029" s="180">
        <v>46021</v>
      </c>
      <c r="N1029" s="181">
        <v>1.6508756</v>
      </c>
      <c r="O1029" s="181" t="s">
        <v>170</v>
      </c>
      <c r="P1029" s="83" t="s">
        <v>148</v>
      </c>
      <c r="Q1029" s="177" t="s">
        <v>149</v>
      </c>
      <c r="R1029" s="83"/>
    </row>
    <row r="1030" spans="1:18">
      <c r="A1030" s="83">
        <v>83900171</v>
      </c>
      <c r="B1030" s="186" t="s">
        <v>393</v>
      </c>
      <c r="C1030" s="186" t="s">
        <v>150</v>
      </c>
      <c r="D1030" s="83" t="s">
        <v>395</v>
      </c>
      <c r="E1030" s="83" t="s">
        <v>168</v>
      </c>
      <c r="F1030" s="180">
        <v>46032</v>
      </c>
      <c r="G1030" s="83">
        <v>1012</v>
      </c>
      <c r="H1030" s="180">
        <v>46010</v>
      </c>
      <c r="I1030" s="180" t="s">
        <v>146</v>
      </c>
      <c r="J1030" s="83">
        <v>3513407644</v>
      </c>
      <c r="K1030" s="180"/>
      <c r="L1030" s="180">
        <v>46011</v>
      </c>
      <c r="M1030" s="180">
        <v>46021</v>
      </c>
      <c r="N1030" s="181">
        <v>1.6508756</v>
      </c>
      <c r="O1030" s="181" t="s">
        <v>170</v>
      </c>
      <c r="P1030" s="83" t="s">
        <v>148</v>
      </c>
      <c r="Q1030" s="177" t="s">
        <v>149</v>
      </c>
      <c r="R1030" s="83"/>
    </row>
    <row r="1031" spans="1:18">
      <c r="A1031" s="83">
        <v>83900170</v>
      </c>
      <c r="B1031" s="186" t="s">
        <v>396</v>
      </c>
      <c r="C1031" s="186" t="s">
        <v>151</v>
      </c>
      <c r="D1031" s="83" t="s">
        <v>395</v>
      </c>
      <c r="E1031" s="83" t="s">
        <v>168</v>
      </c>
      <c r="F1031" s="180">
        <v>46032</v>
      </c>
      <c r="G1031" s="83">
        <v>369</v>
      </c>
      <c r="H1031" s="180">
        <v>46010</v>
      </c>
      <c r="I1031" s="180" t="s">
        <v>146</v>
      </c>
      <c r="J1031" s="83">
        <v>3513407645</v>
      </c>
      <c r="K1031" s="180"/>
      <c r="L1031" s="180">
        <v>46011</v>
      </c>
      <c r="M1031" s="180"/>
      <c r="N1031" s="181">
        <v>1.1203209000000001</v>
      </c>
      <c r="O1031" s="181" t="s">
        <v>170</v>
      </c>
      <c r="P1031" s="83" t="s">
        <v>323</v>
      </c>
      <c r="Q1031" s="177" t="s">
        <v>324</v>
      </c>
      <c r="R1031" s="83"/>
    </row>
    <row r="1032" spans="1:18">
      <c r="A1032" s="83">
        <v>83900170</v>
      </c>
      <c r="B1032" s="186" t="s">
        <v>396</v>
      </c>
      <c r="C1032" s="186" t="s">
        <v>155</v>
      </c>
      <c r="D1032" s="83" t="s">
        <v>395</v>
      </c>
      <c r="E1032" s="83" t="s">
        <v>168</v>
      </c>
      <c r="F1032" s="180">
        <v>46032</v>
      </c>
      <c r="G1032" s="83">
        <v>277</v>
      </c>
      <c r="H1032" s="180">
        <v>46010</v>
      </c>
      <c r="I1032" s="180" t="s">
        <v>146</v>
      </c>
      <c r="J1032" s="83">
        <v>3513407646</v>
      </c>
      <c r="K1032" s="180"/>
      <c r="L1032" s="180">
        <v>46011</v>
      </c>
      <c r="M1032" s="180"/>
      <c r="N1032" s="181">
        <v>0.84099970000000002</v>
      </c>
      <c r="O1032" s="181" t="s">
        <v>170</v>
      </c>
      <c r="P1032" s="83" t="s">
        <v>323</v>
      </c>
      <c r="Q1032" s="177" t="s">
        <v>324</v>
      </c>
      <c r="R1032" s="83"/>
    </row>
    <row r="1033" spans="1:18">
      <c r="A1033" s="83">
        <v>83900170</v>
      </c>
      <c r="B1033" s="186" t="s">
        <v>396</v>
      </c>
      <c r="C1033" s="186" t="s">
        <v>150</v>
      </c>
      <c r="D1033" s="83" t="s">
        <v>395</v>
      </c>
      <c r="E1033" s="83" t="s">
        <v>168</v>
      </c>
      <c r="F1033" s="180">
        <v>46032</v>
      </c>
      <c r="G1033" s="83">
        <v>277</v>
      </c>
      <c r="H1033" s="180">
        <v>46010</v>
      </c>
      <c r="I1033" s="180" t="s">
        <v>146</v>
      </c>
      <c r="J1033" s="83">
        <v>3513407647</v>
      </c>
      <c r="K1033" s="180"/>
      <c r="L1033" s="180">
        <v>46011</v>
      </c>
      <c r="M1033" s="180"/>
      <c r="N1033" s="181">
        <v>0.84099970000000002</v>
      </c>
      <c r="O1033" s="181" t="s">
        <v>170</v>
      </c>
      <c r="P1033" s="83" t="s">
        <v>323</v>
      </c>
      <c r="Q1033" s="177" t="s">
        <v>324</v>
      </c>
      <c r="R1033" s="83"/>
    </row>
    <row r="1034" spans="1:18">
      <c r="A1034" s="83">
        <v>83900171</v>
      </c>
      <c r="B1034" s="186" t="s">
        <v>393</v>
      </c>
      <c r="C1034" s="186" t="s">
        <v>151</v>
      </c>
      <c r="D1034" s="83" t="s">
        <v>395</v>
      </c>
      <c r="E1034" s="83" t="s">
        <v>145</v>
      </c>
      <c r="F1034" s="180">
        <v>46054</v>
      </c>
      <c r="G1034" s="83">
        <v>515</v>
      </c>
      <c r="H1034" s="180">
        <v>46010</v>
      </c>
      <c r="I1034" s="180" t="s">
        <v>146</v>
      </c>
      <c r="J1034" s="83">
        <v>3513407648</v>
      </c>
      <c r="K1034" s="180"/>
      <c r="L1034" s="180">
        <v>46011</v>
      </c>
      <c r="M1034" s="180"/>
      <c r="N1034" s="181">
        <v>0.84011950000000002</v>
      </c>
      <c r="O1034" s="181" t="s">
        <v>147</v>
      </c>
      <c r="P1034" s="83" t="s">
        <v>323</v>
      </c>
      <c r="Q1034" s="177" t="s">
        <v>324</v>
      </c>
      <c r="R1034" s="83"/>
    </row>
    <row r="1035" spans="1:18">
      <c r="A1035" s="83">
        <v>83900171</v>
      </c>
      <c r="B1035" s="186" t="s">
        <v>393</v>
      </c>
      <c r="C1035" s="186" t="s">
        <v>155</v>
      </c>
      <c r="D1035" s="83" t="s">
        <v>395</v>
      </c>
      <c r="E1035" s="83" t="s">
        <v>145</v>
      </c>
      <c r="F1035" s="180">
        <v>46054</v>
      </c>
      <c r="G1035" s="83">
        <v>387</v>
      </c>
      <c r="H1035" s="180">
        <v>46010</v>
      </c>
      <c r="I1035" s="180" t="s">
        <v>146</v>
      </c>
      <c r="J1035" s="83">
        <v>3513407649</v>
      </c>
      <c r="K1035" s="180"/>
      <c r="L1035" s="180">
        <v>46011</v>
      </c>
      <c r="M1035" s="180"/>
      <c r="N1035" s="181">
        <v>0.63131309999999996</v>
      </c>
      <c r="O1035" s="181" t="s">
        <v>147</v>
      </c>
      <c r="P1035" s="83" t="s">
        <v>323</v>
      </c>
      <c r="Q1035" s="177" t="s">
        <v>324</v>
      </c>
      <c r="R1035" s="83"/>
    </row>
    <row r="1036" spans="1:18">
      <c r="A1036" s="83">
        <v>83900171</v>
      </c>
      <c r="B1036" s="186" t="s">
        <v>393</v>
      </c>
      <c r="C1036" s="186" t="s">
        <v>150</v>
      </c>
      <c r="D1036" s="83" t="s">
        <v>395</v>
      </c>
      <c r="E1036" s="83" t="s">
        <v>145</v>
      </c>
      <c r="F1036" s="180">
        <v>46054</v>
      </c>
      <c r="G1036" s="83">
        <v>387</v>
      </c>
      <c r="H1036" s="180">
        <v>46010</v>
      </c>
      <c r="I1036" s="180" t="s">
        <v>146</v>
      </c>
      <c r="J1036" s="83">
        <v>3513407651</v>
      </c>
      <c r="K1036" s="180"/>
      <c r="L1036" s="180">
        <v>46011</v>
      </c>
      <c r="M1036" s="180"/>
      <c r="N1036" s="181">
        <v>0.63131309999999996</v>
      </c>
      <c r="O1036" s="181" t="s">
        <v>147</v>
      </c>
      <c r="P1036" s="83" t="s">
        <v>323</v>
      </c>
      <c r="Q1036" s="177" t="s">
        <v>324</v>
      </c>
      <c r="R1036" s="83"/>
    </row>
    <row r="1037" spans="1:18">
      <c r="A1037" s="83">
        <v>83900170</v>
      </c>
      <c r="B1037" s="186" t="s">
        <v>396</v>
      </c>
      <c r="C1037" s="186" t="s">
        <v>151</v>
      </c>
      <c r="D1037" s="83" t="s">
        <v>395</v>
      </c>
      <c r="E1037" s="83" t="s">
        <v>145</v>
      </c>
      <c r="F1037" s="180">
        <v>46054</v>
      </c>
      <c r="G1037" s="83">
        <v>145</v>
      </c>
      <c r="H1037" s="180">
        <v>46010</v>
      </c>
      <c r="I1037" s="180" t="s">
        <v>146</v>
      </c>
      <c r="J1037" s="83">
        <v>3513407652</v>
      </c>
      <c r="K1037" s="180"/>
      <c r="L1037" s="180">
        <v>46011</v>
      </c>
      <c r="M1037" s="180"/>
      <c r="N1037" s="181">
        <v>0.44023449999999997</v>
      </c>
      <c r="O1037" s="181" t="s">
        <v>147</v>
      </c>
      <c r="P1037" s="83" t="s">
        <v>323</v>
      </c>
      <c r="Q1037" s="177" t="s">
        <v>324</v>
      </c>
      <c r="R1037" s="83"/>
    </row>
    <row r="1038" spans="1:18">
      <c r="A1038" s="83">
        <v>83900170</v>
      </c>
      <c r="B1038" s="186" t="s">
        <v>396</v>
      </c>
      <c r="C1038" s="186" t="s">
        <v>155</v>
      </c>
      <c r="D1038" s="83" t="s">
        <v>395</v>
      </c>
      <c r="E1038" s="83" t="s">
        <v>145</v>
      </c>
      <c r="F1038" s="180">
        <v>46054</v>
      </c>
      <c r="G1038" s="83">
        <v>109</v>
      </c>
      <c r="H1038" s="180">
        <v>46010</v>
      </c>
      <c r="I1038" s="180" t="s">
        <v>146</v>
      </c>
      <c r="J1038" s="83">
        <v>3513407653</v>
      </c>
      <c r="K1038" s="180"/>
      <c r="L1038" s="180">
        <v>46011</v>
      </c>
      <c r="M1038" s="180"/>
      <c r="N1038" s="181">
        <v>0.33093489999999998</v>
      </c>
      <c r="O1038" s="181" t="s">
        <v>147</v>
      </c>
      <c r="P1038" s="83" t="s">
        <v>323</v>
      </c>
      <c r="Q1038" s="177" t="s">
        <v>324</v>
      </c>
      <c r="R1038" s="83"/>
    </row>
    <row r="1039" spans="1:18">
      <c r="A1039" s="83">
        <v>83900170</v>
      </c>
      <c r="B1039" s="186" t="s">
        <v>396</v>
      </c>
      <c r="C1039" s="186" t="s">
        <v>150</v>
      </c>
      <c r="D1039" s="83" t="s">
        <v>395</v>
      </c>
      <c r="E1039" s="83" t="s">
        <v>145</v>
      </c>
      <c r="F1039" s="180">
        <v>46054</v>
      </c>
      <c r="G1039" s="83">
        <v>109</v>
      </c>
      <c r="H1039" s="180">
        <v>46010</v>
      </c>
      <c r="I1039" s="180" t="s">
        <v>146</v>
      </c>
      <c r="J1039" s="83">
        <v>3513407654</v>
      </c>
      <c r="K1039" s="180"/>
      <c r="L1039" s="180">
        <v>46011</v>
      </c>
      <c r="M1039" s="180"/>
      <c r="N1039" s="181">
        <v>0.33093489999999998</v>
      </c>
      <c r="O1039" s="181" t="s">
        <v>147</v>
      </c>
      <c r="P1039" s="83" t="s">
        <v>323</v>
      </c>
      <c r="Q1039" s="177" t="s">
        <v>324</v>
      </c>
      <c r="R1039" s="83"/>
    </row>
    <row r="1040" spans="1:18">
      <c r="A1040" s="83">
        <v>83900171</v>
      </c>
      <c r="B1040" s="186" t="s">
        <v>393</v>
      </c>
      <c r="C1040" s="186" t="s">
        <v>151</v>
      </c>
      <c r="D1040" s="83" t="s">
        <v>395</v>
      </c>
      <c r="E1040" s="83" t="s">
        <v>145</v>
      </c>
      <c r="F1040" s="180">
        <v>46082</v>
      </c>
      <c r="G1040" s="83">
        <v>197</v>
      </c>
      <c r="H1040" s="180">
        <v>46010</v>
      </c>
      <c r="I1040" s="180" t="s">
        <v>146</v>
      </c>
      <c r="J1040" s="83">
        <v>3513407655</v>
      </c>
      <c r="K1040" s="180"/>
      <c r="L1040" s="180">
        <v>46011</v>
      </c>
      <c r="M1040" s="180"/>
      <c r="N1040" s="181">
        <v>0.32136609999999999</v>
      </c>
      <c r="O1040" s="181" t="s">
        <v>147</v>
      </c>
      <c r="P1040" s="83" t="s">
        <v>323</v>
      </c>
      <c r="Q1040" s="177" t="s">
        <v>324</v>
      </c>
      <c r="R1040" s="83"/>
    </row>
    <row r="1041" spans="1:18">
      <c r="A1041" s="83">
        <v>83900171</v>
      </c>
      <c r="B1041" s="186" t="s">
        <v>393</v>
      </c>
      <c r="C1041" s="186" t="s">
        <v>155</v>
      </c>
      <c r="D1041" s="83" t="s">
        <v>395</v>
      </c>
      <c r="E1041" s="83" t="s">
        <v>145</v>
      </c>
      <c r="F1041" s="180">
        <v>46082</v>
      </c>
      <c r="G1041" s="83">
        <v>148</v>
      </c>
      <c r="H1041" s="180">
        <v>46010</v>
      </c>
      <c r="I1041" s="180" t="s">
        <v>146</v>
      </c>
      <c r="J1041" s="83">
        <v>3513407657</v>
      </c>
      <c r="K1041" s="180"/>
      <c r="L1041" s="180">
        <v>46011</v>
      </c>
      <c r="M1041" s="180"/>
      <c r="N1041" s="181">
        <v>0.24143239999999999</v>
      </c>
      <c r="O1041" s="181" t="s">
        <v>147</v>
      </c>
      <c r="P1041" s="83" t="s">
        <v>323</v>
      </c>
      <c r="Q1041" s="177" t="s">
        <v>324</v>
      </c>
      <c r="R1041" s="83"/>
    </row>
    <row r="1042" spans="1:18">
      <c r="A1042" s="83">
        <v>83900171</v>
      </c>
      <c r="B1042" s="186" t="s">
        <v>393</v>
      </c>
      <c r="C1042" s="186" t="s">
        <v>150</v>
      </c>
      <c r="D1042" s="83" t="s">
        <v>395</v>
      </c>
      <c r="E1042" s="83" t="s">
        <v>145</v>
      </c>
      <c r="F1042" s="180">
        <v>46082</v>
      </c>
      <c r="G1042" s="83">
        <v>148</v>
      </c>
      <c r="H1042" s="180">
        <v>46010</v>
      </c>
      <c r="I1042" s="180" t="s">
        <v>146</v>
      </c>
      <c r="J1042" s="83">
        <v>3513407658</v>
      </c>
      <c r="K1042" s="180"/>
      <c r="L1042" s="180">
        <v>46011</v>
      </c>
      <c r="M1042" s="180"/>
      <c r="N1042" s="181">
        <v>0.24143239999999999</v>
      </c>
      <c r="O1042" s="181" t="s">
        <v>147</v>
      </c>
      <c r="P1042" s="83" t="s">
        <v>323</v>
      </c>
      <c r="Q1042" s="177" t="s">
        <v>324</v>
      </c>
      <c r="R1042" s="83"/>
    </row>
    <row r="1043" spans="1:18">
      <c r="A1043" s="83">
        <v>83900170</v>
      </c>
      <c r="B1043" s="186" t="s">
        <v>396</v>
      </c>
      <c r="C1043" s="186" t="s">
        <v>151</v>
      </c>
      <c r="D1043" s="83" t="s">
        <v>395</v>
      </c>
      <c r="E1043" s="83" t="s">
        <v>145</v>
      </c>
      <c r="F1043" s="180">
        <v>46082</v>
      </c>
      <c r="G1043" s="83">
        <v>53</v>
      </c>
      <c r="H1043" s="180">
        <v>46010</v>
      </c>
      <c r="I1043" s="180" t="s">
        <v>146</v>
      </c>
      <c r="J1043" s="83">
        <v>3513407659</v>
      </c>
      <c r="K1043" s="180"/>
      <c r="L1043" s="180">
        <v>46011</v>
      </c>
      <c r="M1043" s="180"/>
      <c r="N1043" s="181">
        <v>0.16091330000000001</v>
      </c>
      <c r="O1043" s="181" t="s">
        <v>147</v>
      </c>
      <c r="P1043" s="83" t="s">
        <v>323</v>
      </c>
      <c r="Q1043" s="177" t="s">
        <v>324</v>
      </c>
      <c r="R1043" s="83"/>
    </row>
    <row r="1044" spans="1:18">
      <c r="A1044" s="83">
        <v>83900170</v>
      </c>
      <c r="B1044" s="186" t="s">
        <v>396</v>
      </c>
      <c r="C1044" s="186" t="s">
        <v>155</v>
      </c>
      <c r="D1044" s="83" t="s">
        <v>395</v>
      </c>
      <c r="E1044" s="83" t="s">
        <v>145</v>
      </c>
      <c r="F1044" s="180">
        <v>46082</v>
      </c>
      <c r="G1044" s="83">
        <v>40</v>
      </c>
      <c r="H1044" s="180">
        <v>46010</v>
      </c>
      <c r="I1044" s="180" t="s">
        <v>146</v>
      </c>
      <c r="J1044" s="83">
        <v>3513407660</v>
      </c>
      <c r="K1044" s="180"/>
      <c r="L1044" s="180">
        <v>46011</v>
      </c>
      <c r="M1044" s="180"/>
      <c r="N1044" s="181">
        <v>0.121444</v>
      </c>
      <c r="O1044" s="181" t="s">
        <v>147</v>
      </c>
      <c r="P1044" s="83" t="s">
        <v>323</v>
      </c>
      <c r="Q1044" s="177" t="s">
        <v>324</v>
      </c>
      <c r="R1044" s="83"/>
    </row>
    <row r="1045" spans="1:18">
      <c r="A1045" s="83">
        <v>83900170</v>
      </c>
      <c r="B1045" s="186" t="s">
        <v>396</v>
      </c>
      <c r="C1045" s="186" t="s">
        <v>150</v>
      </c>
      <c r="D1045" s="83" t="s">
        <v>395</v>
      </c>
      <c r="E1045" s="83" t="s">
        <v>145</v>
      </c>
      <c r="F1045" s="180">
        <v>46082</v>
      </c>
      <c r="G1045" s="83">
        <v>40</v>
      </c>
      <c r="H1045" s="180">
        <v>46010</v>
      </c>
      <c r="I1045" s="180" t="s">
        <v>146</v>
      </c>
      <c r="J1045" s="83">
        <v>3513407661</v>
      </c>
      <c r="K1045" s="180"/>
      <c r="L1045" s="180">
        <v>46011</v>
      </c>
      <c r="M1045" s="180"/>
      <c r="N1045" s="181">
        <v>0.121444</v>
      </c>
      <c r="O1045" s="181" t="s">
        <v>147</v>
      </c>
      <c r="P1045" s="83" t="s">
        <v>323</v>
      </c>
      <c r="Q1045" s="177" t="s">
        <v>324</v>
      </c>
      <c r="R1045" s="83"/>
    </row>
    <row r="1046" spans="1:18">
      <c r="A1046" s="83">
        <v>21493506</v>
      </c>
      <c r="B1046" s="186" t="s">
        <v>397</v>
      </c>
      <c r="C1046" s="186" t="s">
        <v>359</v>
      </c>
      <c r="D1046" s="83" t="s">
        <v>398</v>
      </c>
      <c r="E1046" s="83" t="s">
        <v>355</v>
      </c>
      <c r="F1046" s="180">
        <v>46048</v>
      </c>
      <c r="G1046" s="83">
        <v>18000</v>
      </c>
      <c r="H1046" s="180">
        <v>46013</v>
      </c>
      <c r="I1046" s="180" t="s">
        <v>399</v>
      </c>
      <c r="J1046" s="83">
        <v>3514538993</v>
      </c>
      <c r="K1046" s="180"/>
      <c r="L1046" s="180">
        <v>46013</v>
      </c>
      <c r="M1046" s="180"/>
      <c r="N1046" s="181">
        <v>6.6000000000000005</v>
      </c>
      <c r="O1046" s="181" t="s">
        <v>147</v>
      </c>
      <c r="P1046" s="83" t="s">
        <v>323</v>
      </c>
      <c r="Q1046" s="177" t="s">
        <v>324</v>
      </c>
      <c r="R1046" s="83"/>
    </row>
    <row r="1047" spans="1:18">
      <c r="A1047" s="83">
        <v>21493506</v>
      </c>
      <c r="B1047" s="186" t="s">
        <v>397</v>
      </c>
      <c r="C1047" s="186" t="s">
        <v>359</v>
      </c>
      <c r="D1047" s="83" t="s">
        <v>398</v>
      </c>
      <c r="E1047" s="83" t="s">
        <v>355</v>
      </c>
      <c r="F1047" s="180">
        <v>46062</v>
      </c>
      <c r="G1047" s="83">
        <v>12000</v>
      </c>
      <c r="H1047" s="180">
        <v>46013</v>
      </c>
      <c r="I1047" s="180" t="s">
        <v>399</v>
      </c>
      <c r="J1047" s="83">
        <v>3514538994</v>
      </c>
      <c r="K1047" s="180"/>
      <c r="L1047" s="180">
        <v>46013</v>
      </c>
      <c r="M1047" s="180"/>
      <c r="N1047" s="181">
        <v>4.4000000000000004</v>
      </c>
      <c r="O1047" s="181" t="s">
        <v>147</v>
      </c>
      <c r="P1047" s="83" t="s">
        <v>323</v>
      </c>
      <c r="Q1047" s="177" t="s">
        <v>324</v>
      </c>
      <c r="R1047" s="83"/>
    </row>
    <row r="1048" spans="1:18">
      <c r="A1048" s="83">
        <v>21493506</v>
      </c>
      <c r="B1048" s="186" t="s">
        <v>397</v>
      </c>
      <c r="C1048" s="186" t="s">
        <v>359</v>
      </c>
      <c r="D1048" s="83" t="s">
        <v>400</v>
      </c>
      <c r="E1048" s="83" t="s">
        <v>355</v>
      </c>
      <c r="F1048" s="180">
        <v>46048</v>
      </c>
      <c r="G1048" s="83">
        <v>108000</v>
      </c>
      <c r="H1048" s="180">
        <v>46013</v>
      </c>
      <c r="I1048" s="180" t="s">
        <v>161</v>
      </c>
      <c r="J1048" s="83">
        <v>3514538995</v>
      </c>
      <c r="K1048" s="180"/>
      <c r="L1048" s="180">
        <v>46013</v>
      </c>
      <c r="M1048" s="180">
        <v>46021</v>
      </c>
      <c r="N1048" s="181">
        <v>39.6</v>
      </c>
      <c r="O1048" s="181" t="s">
        <v>147</v>
      </c>
      <c r="P1048" s="83" t="s">
        <v>148</v>
      </c>
      <c r="Q1048" s="177" t="s">
        <v>149</v>
      </c>
      <c r="R1048" s="83"/>
    </row>
    <row r="1049" spans="1:18">
      <c r="A1049" s="83">
        <v>21493506</v>
      </c>
      <c r="B1049" s="186" t="s">
        <v>397</v>
      </c>
      <c r="C1049" s="186" t="s">
        <v>12</v>
      </c>
      <c r="D1049" s="83" t="s">
        <v>400</v>
      </c>
      <c r="E1049" s="83" t="s">
        <v>355</v>
      </c>
      <c r="F1049" s="180">
        <v>46048</v>
      </c>
      <c r="G1049" s="83">
        <v>132000</v>
      </c>
      <c r="H1049" s="180">
        <v>46013</v>
      </c>
      <c r="I1049" s="180" t="s">
        <v>161</v>
      </c>
      <c r="J1049" s="83">
        <v>3514538996</v>
      </c>
      <c r="K1049" s="180"/>
      <c r="L1049" s="180">
        <v>46013</v>
      </c>
      <c r="M1049" s="180">
        <v>46021</v>
      </c>
      <c r="N1049" s="181">
        <v>48.400000000000006</v>
      </c>
      <c r="O1049" s="181" t="s">
        <v>147</v>
      </c>
      <c r="P1049" s="83" t="s">
        <v>148</v>
      </c>
      <c r="Q1049" s="177" t="s">
        <v>149</v>
      </c>
      <c r="R1049" s="83"/>
    </row>
    <row r="1050" spans="1:18">
      <c r="A1050" s="83">
        <v>80865245</v>
      </c>
      <c r="B1050" s="186" t="s">
        <v>401</v>
      </c>
      <c r="C1050" s="186" t="s">
        <v>12</v>
      </c>
      <c r="D1050" s="83" t="s">
        <v>402</v>
      </c>
      <c r="E1050" s="83" t="s">
        <v>145</v>
      </c>
      <c r="F1050" s="180">
        <v>46048</v>
      </c>
      <c r="G1050" s="83">
        <v>800</v>
      </c>
      <c r="H1050" s="180">
        <v>46013</v>
      </c>
      <c r="I1050" s="180" t="s">
        <v>399</v>
      </c>
      <c r="J1050" s="83">
        <v>3514538997</v>
      </c>
      <c r="K1050" s="180"/>
      <c r="L1050" s="180">
        <v>46013</v>
      </c>
      <c r="M1050" s="180"/>
      <c r="N1050" s="181">
        <v>1.70384</v>
      </c>
      <c r="O1050" s="181" t="s">
        <v>147</v>
      </c>
      <c r="P1050" s="83" t="s">
        <v>323</v>
      </c>
      <c r="Q1050" s="177" t="s">
        <v>324</v>
      </c>
      <c r="R1050" s="83"/>
    </row>
    <row r="1051" spans="1:18">
      <c r="A1051" s="83">
        <v>80865244</v>
      </c>
      <c r="B1051" s="186" t="s">
        <v>403</v>
      </c>
      <c r="C1051" s="186" t="s">
        <v>12</v>
      </c>
      <c r="D1051" s="83" t="s">
        <v>402</v>
      </c>
      <c r="E1051" s="83" t="s">
        <v>145</v>
      </c>
      <c r="F1051" s="180">
        <v>46048</v>
      </c>
      <c r="G1051" s="83">
        <v>800</v>
      </c>
      <c r="H1051" s="180">
        <v>46013</v>
      </c>
      <c r="I1051" s="180" t="s">
        <v>399</v>
      </c>
      <c r="J1051" s="83">
        <v>3514539018</v>
      </c>
      <c r="K1051" s="180"/>
      <c r="L1051" s="180">
        <v>46013</v>
      </c>
      <c r="M1051" s="180"/>
      <c r="N1051" s="181">
        <v>1.70384</v>
      </c>
      <c r="O1051" s="181" t="s">
        <v>147</v>
      </c>
      <c r="P1051" s="83" t="s">
        <v>323</v>
      </c>
      <c r="Q1051" s="177" t="s">
        <v>324</v>
      </c>
      <c r="R1051" s="83"/>
    </row>
    <row r="1052" spans="1:18">
      <c r="A1052" s="83">
        <v>80868686</v>
      </c>
      <c r="B1052" s="186" t="s">
        <v>404</v>
      </c>
      <c r="C1052" s="186" t="s">
        <v>12</v>
      </c>
      <c r="D1052" s="83" t="s">
        <v>402</v>
      </c>
      <c r="E1052" s="83" t="s">
        <v>145</v>
      </c>
      <c r="F1052" s="180">
        <v>46048</v>
      </c>
      <c r="G1052" s="83">
        <v>800</v>
      </c>
      <c r="H1052" s="180">
        <v>46013</v>
      </c>
      <c r="I1052" s="180" t="s">
        <v>399</v>
      </c>
      <c r="J1052" s="83">
        <v>3514539019</v>
      </c>
      <c r="K1052" s="180"/>
      <c r="L1052" s="180">
        <v>46013</v>
      </c>
      <c r="M1052" s="180"/>
      <c r="N1052" s="181">
        <v>1.70384</v>
      </c>
      <c r="O1052" s="181" t="s">
        <v>147</v>
      </c>
      <c r="P1052" s="83" t="s">
        <v>323</v>
      </c>
      <c r="Q1052" s="177" t="s">
        <v>324</v>
      </c>
      <c r="R1052" s="83"/>
    </row>
    <row r="1053" spans="1:18">
      <c r="A1053" s="83">
        <v>80895890</v>
      </c>
      <c r="B1053" s="186" t="s">
        <v>405</v>
      </c>
      <c r="C1053" s="186" t="s">
        <v>12</v>
      </c>
      <c r="D1053" s="83" t="s">
        <v>406</v>
      </c>
      <c r="E1053" s="83" t="s">
        <v>145</v>
      </c>
      <c r="F1053" s="180">
        <v>46048</v>
      </c>
      <c r="G1053" s="83">
        <v>200</v>
      </c>
      <c r="H1053" s="180">
        <v>46014</v>
      </c>
      <c r="I1053" s="180" t="s">
        <v>399</v>
      </c>
      <c r="J1053" s="83">
        <v>3515664652</v>
      </c>
      <c r="K1053" s="180"/>
      <c r="L1053" s="180">
        <v>46015</v>
      </c>
      <c r="M1053" s="180"/>
      <c r="N1053" s="181">
        <v>0.24016000000000001</v>
      </c>
      <c r="O1053" s="181" t="s">
        <v>147</v>
      </c>
      <c r="P1053" s="83" t="s">
        <v>323</v>
      </c>
      <c r="Q1053" s="177" t="s">
        <v>324</v>
      </c>
      <c r="R1053" s="83"/>
    </row>
    <row r="1054" spans="1:18">
      <c r="A1054" s="83">
        <v>80893119</v>
      </c>
      <c r="B1054" s="186" t="s">
        <v>407</v>
      </c>
      <c r="C1054" s="186" t="s">
        <v>150</v>
      </c>
      <c r="D1054" s="83" t="s">
        <v>408</v>
      </c>
      <c r="E1054" s="83" t="s">
        <v>168</v>
      </c>
      <c r="F1054" s="180">
        <v>46020</v>
      </c>
      <c r="G1054" s="83">
        <v>10000</v>
      </c>
      <c r="H1054" s="180">
        <v>46015</v>
      </c>
      <c r="I1054" s="180" t="s">
        <v>214</v>
      </c>
      <c r="J1054" s="83">
        <v>3515681543</v>
      </c>
      <c r="K1054" s="180" t="s">
        <v>409</v>
      </c>
      <c r="L1054" s="180">
        <v>46015</v>
      </c>
      <c r="M1054" s="180">
        <v>46017</v>
      </c>
      <c r="N1054" s="181">
        <v>45.316000000000003</v>
      </c>
      <c r="O1054" s="181" t="s">
        <v>170</v>
      </c>
      <c r="P1054" s="180" t="s">
        <v>148</v>
      </c>
      <c r="Q1054" s="177" t="s">
        <v>149</v>
      </c>
      <c r="R1054" s="83"/>
    </row>
    <row r="1055" spans="1:18">
      <c r="A1055" s="83">
        <v>83900171</v>
      </c>
      <c r="B1055" s="186" t="s">
        <v>393</v>
      </c>
      <c r="C1055" s="186" t="s">
        <v>151</v>
      </c>
      <c r="D1055" s="83" t="s">
        <v>395</v>
      </c>
      <c r="E1055" s="83" t="s">
        <v>168</v>
      </c>
      <c r="F1055" s="180">
        <v>46032</v>
      </c>
      <c r="G1055" s="83">
        <v>1300</v>
      </c>
      <c r="H1055" s="180">
        <v>46017</v>
      </c>
      <c r="I1055" s="180" t="s">
        <v>146</v>
      </c>
      <c r="J1055" s="83">
        <v>3516756631</v>
      </c>
      <c r="K1055" s="180"/>
      <c r="L1055" s="180">
        <v>46017</v>
      </c>
      <c r="M1055" s="180">
        <v>46021</v>
      </c>
      <c r="N1055" s="181">
        <v>2.1206900000000002</v>
      </c>
      <c r="O1055" s="181" t="s">
        <v>170</v>
      </c>
      <c r="P1055" s="180" t="s">
        <v>148</v>
      </c>
      <c r="Q1055" s="177" t="s">
        <v>149</v>
      </c>
      <c r="R1055" s="83"/>
    </row>
    <row r="1056" spans="1:18">
      <c r="A1056" s="83">
        <v>83900171</v>
      </c>
      <c r="B1056" s="186" t="s">
        <v>393</v>
      </c>
      <c r="C1056" s="186" t="s">
        <v>155</v>
      </c>
      <c r="D1056" s="83" t="s">
        <v>395</v>
      </c>
      <c r="E1056" s="83" t="s">
        <v>168</v>
      </c>
      <c r="F1056" s="180">
        <v>46032</v>
      </c>
      <c r="G1056" s="83">
        <v>1330</v>
      </c>
      <c r="H1056" s="180">
        <v>46017</v>
      </c>
      <c r="I1056" s="180" t="s">
        <v>146</v>
      </c>
      <c r="J1056" s="83">
        <v>3516756632</v>
      </c>
      <c r="K1056" s="180"/>
      <c r="L1056" s="180">
        <v>46017</v>
      </c>
      <c r="M1056" s="180">
        <v>46021</v>
      </c>
      <c r="N1056" s="181">
        <v>2.169629</v>
      </c>
      <c r="O1056" s="181" t="s">
        <v>170</v>
      </c>
      <c r="P1056" s="180" t="s">
        <v>148</v>
      </c>
      <c r="Q1056" s="177" t="s">
        <v>149</v>
      </c>
      <c r="R1056" s="83"/>
    </row>
    <row r="1057" spans="1:18">
      <c r="A1057" s="83">
        <v>83900171</v>
      </c>
      <c r="B1057" s="186" t="s">
        <v>393</v>
      </c>
      <c r="C1057" s="186" t="s">
        <v>150</v>
      </c>
      <c r="D1057" s="83" t="s">
        <v>395</v>
      </c>
      <c r="E1057" s="83" t="s">
        <v>168</v>
      </c>
      <c r="F1057" s="180">
        <v>46032</v>
      </c>
      <c r="G1057" s="83">
        <v>1303</v>
      </c>
      <c r="H1057" s="180">
        <v>46017</v>
      </c>
      <c r="I1057" s="180" t="s">
        <v>146</v>
      </c>
      <c r="J1057" s="83">
        <v>3516756633</v>
      </c>
      <c r="K1057" s="180"/>
      <c r="L1057" s="180">
        <v>46017</v>
      </c>
      <c r="M1057" s="180">
        <v>46021</v>
      </c>
      <c r="N1057" s="181">
        <v>2.1255839000000001</v>
      </c>
      <c r="O1057" s="181" t="s">
        <v>170</v>
      </c>
      <c r="P1057" s="180" t="s">
        <v>148</v>
      </c>
      <c r="Q1057" s="177" t="s">
        <v>149</v>
      </c>
      <c r="R1057" s="83"/>
    </row>
    <row r="1058" spans="1:18">
      <c r="A1058" s="83">
        <v>83900171</v>
      </c>
      <c r="B1058" s="186" t="s">
        <v>393</v>
      </c>
      <c r="C1058" s="186" t="s">
        <v>151</v>
      </c>
      <c r="D1058" s="83" t="s">
        <v>395</v>
      </c>
      <c r="E1058" s="83" t="s">
        <v>168</v>
      </c>
      <c r="F1058" s="180">
        <v>46032</v>
      </c>
      <c r="G1058" s="83">
        <v>1300</v>
      </c>
      <c r="H1058" s="180">
        <v>46017</v>
      </c>
      <c r="I1058" s="180" t="s">
        <v>146</v>
      </c>
      <c r="J1058" s="83">
        <v>3516756634</v>
      </c>
      <c r="K1058" s="180"/>
      <c r="L1058" s="180">
        <v>46017</v>
      </c>
      <c r="M1058" s="180">
        <v>46021</v>
      </c>
      <c r="N1058" s="181">
        <v>2.1206900000000002</v>
      </c>
      <c r="O1058" s="181" t="s">
        <v>170</v>
      </c>
      <c r="P1058" s="180" t="s">
        <v>148</v>
      </c>
      <c r="Q1058" s="177" t="s">
        <v>149</v>
      </c>
      <c r="R1058" s="83"/>
    </row>
    <row r="1059" spans="1:18">
      <c r="A1059" s="83">
        <v>83900171</v>
      </c>
      <c r="B1059" s="186" t="s">
        <v>393</v>
      </c>
      <c r="C1059" s="186" t="s">
        <v>155</v>
      </c>
      <c r="D1059" s="83" t="s">
        <v>395</v>
      </c>
      <c r="E1059" s="83" t="s">
        <v>168</v>
      </c>
      <c r="F1059" s="180">
        <v>46032</v>
      </c>
      <c r="G1059" s="83">
        <v>1330</v>
      </c>
      <c r="H1059" s="180">
        <v>46017</v>
      </c>
      <c r="I1059" s="180" t="s">
        <v>146</v>
      </c>
      <c r="J1059" s="83">
        <v>3516756635</v>
      </c>
      <c r="K1059" s="180"/>
      <c r="L1059" s="180">
        <v>46017</v>
      </c>
      <c r="M1059" s="180">
        <v>46021</v>
      </c>
      <c r="N1059" s="181">
        <v>2.169629</v>
      </c>
      <c r="O1059" s="181" t="s">
        <v>170</v>
      </c>
      <c r="P1059" s="180" t="s">
        <v>148</v>
      </c>
      <c r="Q1059" s="177" t="s">
        <v>149</v>
      </c>
      <c r="R1059" s="83"/>
    </row>
    <row r="1060" spans="1:18">
      <c r="A1060" s="83">
        <v>80891917</v>
      </c>
      <c r="B1060" s="186" t="s">
        <v>380</v>
      </c>
      <c r="C1060" s="186" t="s">
        <v>143</v>
      </c>
      <c r="D1060" s="83" t="s">
        <v>381</v>
      </c>
      <c r="E1060" s="83" t="s">
        <v>168</v>
      </c>
      <c r="F1060" s="180">
        <v>46048</v>
      </c>
      <c r="G1060" s="83">
        <v>1133</v>
      </c>
      <c r="H1060" s="180">
        <v>46017</v>
      </c>
      <c r="I1060" s="180" t="s">
        <v>382</v>
      </c>
      <c r="J1060" s="83">
        <v>3516765555</v>
      </c>
      <c r="K1060" s="180"/>
      <c r="L1060" s="180">
        <v>46017</v>
      </c>
      <c r="M1060" s="180"/>
      <c r="N1060" s="181">
        <v>0.92418809999999996</v>
      </c>
      <c r="O1060" s="181" t="s">
        <v>170</v>
      </c>
      <c r="P1060" s="180" t="s">
        <v>323</v>
      </c>
      <c r="Q1060" s="177" t="s">
        <v>324</v>
      </c>
      <c r="R1060" s="83"/>
    </row>
    <row r="1061" spans="1:18">
      <c r="A1061" s="83">
        <v>80891917</v>
      </c>
      <c r="B1061" s="186" t="s">
        <v>380</v>
      </c>
      <c r="C1061" s="186" t="s">
        <v>150</v>
      </c>
      <c r="D1061" s="83" t="s">
        <v>381</v>
      </c>
      <c r="E1061" s="83" t="s">
        <v>168</v>
      </c>
      <c r="F1061" s="180">
        <v>46048</v>
      </c>
      <c r="G1061" s="83">
        <v>1423</v>
      </c>
      <c r="H1061" s="180">
        <v>46017</v>
      </c>
      <c r="I1061" s="180" t="s">
        <v>382</v>
      </c>
      <c r="J1061" s="83">
        <v>3516765556</v>
      </c>
      <c r="K1061" s="180"/>
      <c r="L1061" s="180">
        <v>46017</v>
      </c>
      <c r="M1061" s="180"/>
      <c r="N1061" s="181">
        <v>1.1607411000000001</v>
      </c>
      <c r="O1061" s="181" t="s">
        <v>170</v>
      </c>
      <c r="P1061" s="180" t="s">
        <v>323</v>
      </c>
      <c r="Q1061" s="177" t="s">
        <v>324</v>
      </c>
      <c r="R1061" s="83"/>
    </row>
    <row r="1062" spans="1:18">
      <c r="A1062" s="83">
        <v>80891917</v>
      </c>
      <c r="B1062" s="186" t="s">
        <v>380</v>
      </c>
      <c r="C1062" s="186" t="s">
        <v>151</v>
      </c>
      <c r="D1062" s="83" t="s">
        <v>381</v>
      </c>
      <c r="E1062" s="83" t="s">
        <v>168</v>
      </c>
      <c r="F1062" s="180">
        <v>46048</v>
      </c>
      <c r="G1062" s="83">
        <v>1615</v>
      </c>
      <c r="H1062" s="180">
        <v>46017</v>
      </c>
      <c r="I1062" s="180" t="s">
        <v>382</v>
      </c>
      <c r="J1062" s="83">
        <v>3516765557</v>
      </c>
      <c r="K1062" s="180"/>
      <c r="L1062" s="180">
        <v>46017</v>
      </c>
      <c r="M1062" s="180"/>
      <c r="N1062" s="181">
        <v>1.3173554999999999</v>
      </c>
      <c r="O1062" s="181" t="s">
        <v>170</v>
      </c>
      <c r="P1062" s="180" t="s">
        <v>323</v>
      </c>
      <c r="Q1062" s="177" t="s">
        <v>324</v>
      </c>
      <c r="R1062" s="83"/>
    </row>
    <row r="1063" spans="1:18">
      <c r="A1063" s="83">
        <v>80891917</v>
      </c>
      <c r="B1063" s="186" t="s">
        <v>380</v>
      </c>
      <c r="C1063" s="186" t="s">
        <v>152</v>
      </c>
      <c r="D1063" s="83" t="s">
        <v>381</v>
      </c>
      <c r="E1063" s="83" t="s">
        <v>168</v>
      </c>
      <c r="F1063" s="180">
        <v>46048</v>
      </c>
      <c r="G1063" s="83">
        <v>1021</v>
      </c>
      <c r="H1063" s="180">
        <v>46017</v>
      </c>
      <c r="I1063" s="180" t="s">
        <v>382</v>
      </c>
      <c r="J1063" s="83">
        <v>3516765580</v>
      </c>
      <c r="K1063" s="180"/>
      <c r="L1063" s="180">
        <v>46017</v>
      </c>
      <c r="M1063" s="180"/>
      <c r="N1063" s="181">
        <v>0.83282970000000001</v>
      </c>
      <c r="O1063" s="181" t="s">
        <v>170</v>
      </c>
      <c r="P1063" s="180" t="s">
        <v>323</v>
      </c>
      <c r="Q1063" s="177" t="s">
        <v>324</v>
      </c>
      <c r="R1063" s="83"/>
    </row>
    <row r="1064" spans="1:18">
      <c r="A1064" s="83">
        <v>80891917</v>
      </c>
      <c r="B1064" s="186" t="s">
        <v>380</v>
      </c>
      <c r="C1064" s="186" t="s">
        <v>153</v>
      </c>
      <c r="D1064" s="83" t="s">
        <v>381</v>
      </c>
      <c r="E1064" s="83" t="s">
        <v>168</v>
      </c>
      <c r="F1064" s="180">
        <v>46048</v>
      </c>
      <c r="G1064" s="83">
        <v>147</v>
      </c>
      <c r="H1064" s="180">
        <v>46017</v>
      </c>
      <c r="I1064" s="180" t="s">
        <v>382</v>
      </c>
      <c r="J1064" s="83">
        <v>3516765583</v>
      </c>
      <c r="K1064" s="180"/>
      <c r="L1064" s="180">
        <v>46017</v>
      </c>
      <c r="M1064" s="180"/>
      <c r="N1064" s="181">
        <v>0.1199079</v>
      </c>
      <c r="O1064" s="181" t="s">
        <v>170</v>
      </c>
      <c r="P1064" s="180" t="s">
        <v>323</v>
      </c>
      <c r="Q1064" s="177" t="s">
        <v>324</v>
      </c>
      <c r="R1064" s="83"/>
    </row>
    <row r="1065" spans="1:18">
      <c r="A1065" s="83">
        <v>80891917</v>
      </c>
      <c r="B1065" s="186" t="s">
        <v>380</v>
      </c>
      <c r="C1065" s="186" t="s">
        <v>154</v>
      </c>
      <c r="D1065" s="83" t="s">
        <v>381</v>
      </c>
      <c r="E1065" s="83" t="s">
        <v>168</v>
      </c>
      <c r="F1065" s="180">
        <v>46048</v>
      </c>
      <c r="G1065" s="83">
        <v>124</v>
      </c>
      <c r="H1065" s="180">
        <v>46017</v>
      </c>
      <c r="I1065" s="180" t="s">
        <v>382</v>
      </c>
      <c r="J1065" s="83">
        <v>3516765587</v>
      </c>
      <c r="K1065" s="180"/>
      <c r="L1065" s="180">
        <v>46017</v>
      </c>
      <c r="M1065" s="180"/>
      <c r="N1065" s="181">
        <v>0.1011468</v>
      </c>
      <c r="O1065" s="181" t="s">
        <v>170</v>
      </c>
      <c r="P1065" s="180" t="s">
        <v>323</v>
      </c>
      <c r="Q1065" s="177" t="s">
        <v>324</v>
      </c>
      <c r="R1065" s="83"/>
    </row>
    <row r="1066" spans="1:18">
      <c r="A1066" s="83">
        <v>80891917</v>
      </c>
      <c r="B1066" s="186" t="s">
        <v>380</v>
      </c>
      <c r="C1066" s="186" t="s">
        <v>155</v>
      </c>
      <c r="D1066" s="83" t="s">
        <v>381</v>
      </c>
      <c r="E1066" s="83" t="s">
        <v>168</v>
      </c>
      <c r="F1066" s="180">
        <v>46048</v>
      </c>
      <c r="G1066" s="83">
        <v>1407</v>
      </c>
      <c r="H1066" s="180">
        <v>46017</v>
      </c>
      <c r="I1066" s="180" t="s">
        <v>382</v>
      </c>
      <c r="J1066" s="83">
        <v>3516765590</v>
      </c>
      <c r="K1066" s="180"/>
      <c r="L1066" s="180">
        <v>46017</v>
      </c>
      <c r="M1066" s="180"/>
      <c r="N1066" s="181">
        <v>1.1476899</v>
      </c>
      <c r="O1066" s="181" t="s">
        <v>170</v>
      </c>
      <c r="P1066" s="83" t="s">
        <v>323</v>
      </c>
      <c r="Q1066" s="177" t="s">
        <v>324</v>
      </c>
      <c r="R1066" s="83"/>
    </row>
    <row r="1067" spans="1:18">
      <c r="A1067" s="83">
        <v>80891917</v>
      </c>
      <c r="B1067" s="186" t="s">
        <v>380</v>
      </c>
      <c r="C1067" s="186" t="s">
        <v>143</v>
      </c>
      <c r="D1067" s="83" t="s">
        <v>381</v>
      </c>
      <c r="E1067" s="83" t="s">
        <v>145</v>
      </c>
      <c r="F1067" s="180">
        <v>46082</v>
      </c>
      <c r="G1067" s="83">
        <v>340</v>
      </c>
      <c r="H1067" s="180">
        <v>46017</v>
      </c>
      <c r="I1067" s="180" t="s">
        <v>382</v>
      </c>
      <c r="J1067" s="83">
        <v>3516765593</v>
      </c>
      <c r="K1067" s="180"/>
      <c r="L1067" s="180">
        <v>46017</v>
      </c>
      <c r="M1067" s="180"/>
      <c r="N1067" s="181">
        <v>0.27733799999999997</v>
      </c>
      <c r="O1067" s="181" t="s">
        <v>147</v>
      </c>
      <c r="P1067" s="83" t="s">
        <v>323</v>
      </c>
      <c r="Q1067" s="177" t="s">
        <v>324</v>
      </c>
      <c r="R1067" s="83"/>
    </row>
    <row r="1068" spans="1:18">
      <c r="A1068" s="83">
        <v>80891917</v>
      </c>
      <c r="B1068" s="186" t="s">
        <v>380</v>
      </c>
      <c r="C1068" s="186" t="s">
        <v>150</v>
      </c>
      <c r="D1068" s="83" t="s">
        <v>381</v>
      </c>
      <c r="E1068" s="83" t="s">
        <v>145</v>
      </c>
      <c r="F1068" s="180">
        <v>46082</v>
      </c>
      <c r="G1068" s="83">
        <v>427</v>
      </c>
      <c r="H1068" s="180">
        <v>46017</v>
      </c>
      <c r="I1068" s="180" t="s">
        <v>382</v>
      </c>
      <c r="J1068" s="83">
        <v>3516765595</v>
      </c>
      <c r="K1068" s="180"/>
      <c r="L1068" s="180">
        <v>46017</v>
      </c>
      <c r="M1068" s="180"/>
      <c r="N1068" s="181">
        <v>0.3483039</v>
      </c>
      <c r="O1068" s="181" t="s">
        <v>147</v>
      </c>
      <c r="P1068" s="83" t="s">
        <v>323</v>
      </c>
      <c r="Q1068" s="177" t="s">
        <v>324</v>
      </c>
      <c r="R1068" s="83"/>
    </row>
    <row r="1069" spans="1:18">
      <c r="A1069" s="83">
        <v>80891917</v>
      </c>
      <c r="B1069" s="186" t="s">
        <v>380</v>
      </c>
      <c r="C1069" s="186" t="s">
        <v>151</v>
      </c>
      <c r="D1069" s="83" t="s">
        <v>381</v>
      </c>
      <c r="E1069" s="83" t="s">
        <v>145</v>
      </c>
      <c r="F1069" s="180">
        <v>46082</v>
      </c>
      <c r="G1069" s="83">
        <v>484</v>
      </c>
      <c r="H1069" s="180">
        <v>46017</v>
      </c>
      <c r="I1069" s="180" t="s">
        <v>382</v>
      </c>
      <c r="J1069" s="83">
        <v>3516765598</v>
      </c>
      <c r="K1069" s="180"/>
      <c r="L1069" s="180">
        <v>46017</v>
      </c>
      <c r="M1069" s="180"/>
      <c r="N1069" s="181">
        <v>0.39479880000000001</v>
      </c>
      <c r="O1069" s="181" t="s">
        <v>147</v>
      </c>
      <c r="P1069" s="83" t="s">
        <v>323</v>
      </c>
      <c r="Q1069" s="177" t="s">
        <v>324</v>
      </c>
      <c r="R1069" s="83"/>
    </row>
    <row r="1070" spans="1:18">
      <c r="A1070" s="83">
        <v>80891917</v>
      </c>
      <c r="B1070" s="186" t="s">
        <v>380</v>
      </c>
      <c r="C1070" s="186" t="s">
        <v>152</v>
      </c>
      <c r="D1070" s="83" t="s">
        <v>381</v>
      </c>
      <c r="E1070" s="83" t="s">
        <v>145</v>
      </c>
      <c r="F1070" s="180">
        <v>46082</v>
      </c>
      <c r="G1070" s="83">
        <v>305</v>
      </c>
      <c r="H1070" s="180">
        <v>46017</v>
      </c>
      <c r="I1070" s="180" t="s">
        <v>382</v>
      </c>
      <c r="J1070" s="83">
        <v>3516765600</v>
      </c>
      <c r="K1070" s="180"/>
      <c r="L1070" s="180">
        <v>46017</v>
      </c>
      <c r="M1070" s="180"/>
      <c r="N1070" s="181">
        <v>0.2487885</v>
      </c>
      <c r="O1070" s="181" t="s">
        <v>147</v>
      </c>
      <c r="P1070" s="83" t="s">
        <v>323</v>
      </c>
      <c r="Q1070" s="177" t="s">
        <v>324</v>
      </c>
      <c r="R1070" s="83"/>
    </row>
    <row r="1071" spans="1:18">
      <c r="A1071" s="83">
        <v>80891917</v>
      </c>
      <c r="B1071" s="186" t="s">
        <v>380</v>
      </c>
      <c r="C1071" s="186" t="s">
        <v>153</v>
      </c>
      <c r="D1071" s="83" t="s">
        <v>381</v>
      </c>
      <c r="E1071" s="83" t="s">
        <v>145</v>
      </c>
      <c r="F1071" s="180">
        <v>46082</v>
      </c>
      <c r="G1071" s="83">
        <v>44</v>
      </c>
      <c r="H1071" s="180">
        <v>46017</v>
      </c>
      <c r="I1071" s="180" t="s">
        <v>382</v>
      </c>
      <c r="J1071" s="83">
        <v>3516765602</v>
      </c>
      <c r="K1071" s="180"/>
      <c r="L1071" s="180">
        <v>46017</v>
      </c>
      <c r="M1071" s="180"/>
      <c r="N1071" s="181">
        <v>3.58908E-2</v>
      </c>
      <c r="O1071" s="181" t="s">
        <v>147</v>
      </c>
      <c r="P1071" s="83" t="s">
        <v>323</v>
      </c>
      <c r="Q1071" s="177" t="s">
        <v>324</v>
      </c>
      <c r="R1071" s="83"/>
    </row>
    <row r="1072" spans="1:18">
      <c r="A1072" s="83">
        <v>80891917</v>
      </c>
      <c r="B1072" s="186" t="s">
        <v>380</v>
      </c>
      <c r="C1072" s="186" t="s">
        <v>154</v>
      </c>
      <c r="D1072" s="83" t="s">
        <v>381</v>
      </c>
      <c r="E1072" s="83" t="s">
        <v>145</v>
      </c>
      <c r="F1072" s="180">
        <v>46082</v>
      </c>
      <c r="G1072" s="83">
        <v>37</v>
      </c>
      <c r="H1072" s="180">
        <v>46017</v>
      </c>
      <c r="I1072" s="180" t="s">
        <v>382</v>
      </c>
      <c r="J1072" s="83">
        <v>3516765606</v>
      </c>
      <c r="K1072" s="180"/>
      <c r="L1072" s="180">
        <v>46017</v>
      </c>
      <c r="M1072" s="180"/>
      <c r="N1072" s="181">
        <v>3.01809E-2</v>
      </c>
      <c r="O1072" s="181" t="s">
        <v>147</v>
      </c>
      <c r="P1072" s="83" t="s">
        <v>323</v>
      </c>
      <c r="Q1072" s="177" t="s">
        <v>324</v>
      </c>
      <c r="R1072" s="83"/>
    </row>
    <row r="1073" spans="1:18">
      <c r="A1073" s="83">
        <v>80891917</v>
      </c>
      <c r="B1073" s="186" t="s">
        <v>380</v>
      </c>
      <c r="C1073" s="186" t="s">
        <v>155</v>
      </c>
      <c r="D1073" s="83" t="s">
        <v>381</v>
      </c>
      <c r="E1073" s="83" t="s">
        <v>145</v>
      </c>
      <c r="F1073" s="180">
        <v>46082</v>
      </c>
      <c r="G1073" s="83">
        <v>423</v>
      </c>
      <c r="H1073" s="180">
        <v>46017</v>
      </c>
      <c r="I1073" s="180" t="s">
        <v>382</v>
      </c>
      <c r="J1073" s="83">
        <v>3516765609</v>
      </c>
      <c r="K1073" s="180"/>
      <c r="L1073" s="180">
        <v>46017</v>
      </c>
      <c r="M1073" s="180"/>
      <c r="N1073" s="181">
        <v>0.34504109999999999</v>
      </c>
      <c r="O1073" s="181" t="s">
        <v>147</v>
      </c>
      <c r="P1073" s="83" t="s">
        <v>323</v>
      </c>
      <c r="Q1073" s="177" t="s">
        <v>324</v>
      </c>
      <c r="R1073" s="83"/>
    </row>
    <row r="1074" spans="1:18">
      <c r="A1074" s="83">
        <v>80891917</v>
      </c>
      <c r="B1074" s="186" t="s">
        <v>380</v>
      </c>
      <c r="C1074" s="186" t="s">
        <v>143</v>
      </c>
      <c r="D1074" s="83" t="s">
        <v>381</v>
      </c>
      <c r="E1074" s="83" t="s">
        <v>145</v>
      </c>
      <c r="F1074" s="180">
        <v>46113</v>
      </c>
      <c r="G1074" s="83">
        <v>793</v>
      </c>
      <c r="H1074" s="180">
        <v>46017</v>
      </c>
      <c r="I1074" s="180" t="s">
        <v>382</v>
      </c>
      <c r="J1074" s="83">
        <v>3516765610</v>
      </c>
      <c r="K1074" s="180"/>
      <c r="L1074" s="180">
        <v>46017</v>
      </c>
      <c r="M1074" s="180"/>
      <c r="N1074" s="181">
        <v>0.64685009999999998</v>
      </c>
      <c r="O1074" s="181" t="s">
        <v>147</v>
      </c>
      <c r="P1074" s="83" t="s">
        <v>323</v>
      </c>
      <c r="Q1074" s="177" t="s">
        <v>324</v>
      </c>
      <c r="R1074" s="83"/>
    </row>
    <row r="1075" spans="1:18">
      <c r="A1075" s="83">
        <v>80891917</v>
      </c>
      <c r="B1075" s="186" t="s">
        <v>380</v>
      </c>
      <c r="C1075" s="186" t="s">
        <v>150</v>
      </c>
      <c r="D1075" s="83" t="s">
        <v>381</v>
      </c>
      <c r="E1075" s="83" t="s">
        <v>145</v>
      </c>
      <c r="F1075" s="180">
        <v>46113</v>
      </c>
      <c r="G1075" s="83">
        <v>997</v>
      </c>
      <c r="H1075" s="180">
        <v>46017</v>
      </c>
      <c r="I1075" s="180" t="s">
        <v>382</v>
      </c>
      <c r="J1075" s="83">
        <v>3516765611</v>
      </c>
      <c r="K1075" s="180"/>
      <c r="L1075" s="180">
        <v>46017</v>
      </c>
      <c r="M1075" s="180"/>
      <c r="N1075" s="181">
        <v>0.81325289999999995</v>
      </c>
      <c r="O1075" s="181" t="s">
        <v>147</v>
      </c>
      <c r="P1075" s="83" t="s">
        <v>323</v>
      </c>
      <c r="Q1075" s="177" t="s">
        <v>324</v>
      </c>
      <c r="R1075" s="83"/>
    </row>
    <row r="1076" spans="1:18">
      <c r="A1076" s="83">
        <v>80891917</v>
      </c>
      <c r="B1076" s="186" t="s">
        <v>380</v>
      </c>
      <c r="C1076" s="186" t="s">
        <v>151</v>
      </c>
      <c r="D1076" s="83" t="s">
        <v>381</v>
      </c>
      <c r="E1076" s="83" t="s">
        <v>145</v>
      </c>
      <c r="F1076" s="180">
        <v>46113</v>
      </c>
      <c r="G1076" s="83">
        <v>1130</v>
      </c>
      <c r="H1076" s="180">
        <v>46017</v>
      </c>
      <c r="I1076" s="180" t="s">
        <v>382</v>
      </c>
      <c r="J1076" s="83">
        <v>3516765612</v>
      </c>
      <c r="K1076" s="180"/>
      <c r="L1076" s="180">
        <v>46017</v>
      </c>
      <c r="M1076" s="180"/>
      <c r="N1076" s="181">
        <v>0.92174100000000003</v>
      </c>
      <c r="O1076" s="181" t="s">
        <v>147</v>
      </c>
      <c r="P1076" s="83" t="s">
        <v>323</v>
      </c>
      <c r="Q1076" s="177" t="s">
        <v>324</v>
      </c>
      <c r="R1076" s="83"/>
    </row>
    <row r="1077" spans="1:18">
      <c r="A1077" s="83">
        <v>80891917</v>
      </c>
      <c r="B1077" s="186" t="s">
        <v>380</v>
      </c>
      <c r="C1077" s="186" t="s">
        <v>152</v>
      </c>
      <c r="D1077" s="83" t="s">
        <v>381</v>
      </c>
      <c r="E1077" s="83" t="s">
        <v>145</v>
      </c>
      <c r="F1077" s="180">
        <v>46113</v>
      </c>
      <c r="G1077" s="83">
        <v>715</v>
      </c>
      <c r="H1077" s="180">
        <v>46017</v>
      </c>
      <c r="I1077" s="180" t="s">
        <v>382</v>
      </c>
      <c r="J1077" s="83">
        <v>3516765613</v>
      </c>
      <c r="K1077" s="180"/>
      <c r="L1077" s="180">
        <v>46017</v>
      </c>
      <c r="M1077" s="180"/>
      <c r="N1077" s="181">
        <v>0.58322549999999995</v>
      </c>
      <c r="O1077" s="181" t="s">
        <v>147</v>
      </c>
      <c r="P1077" s="83" t="s">
        <v>323</v>
      </c>
      <c r="Q1077" s="177" t="s">
        <v>324</v>
      </c>
      <c r="R1077" s="83"/>
    </row>
    <row r="1078" spans="1:18">
      <c r="A1078" s="83">
        <v>80891917</v>
      </c>
      <c r="B1078" s="186" t="s">
        <v>380</v>
      </c>
      <c r="C1078" s="186" t="s">
        <v>153</v>
      </c>
      <c r="D1078" s="83" t="s">
        <v>381</v>
      </c>
      <c r="E1078" s="83" t="s">
        <v>145</v>
      </c>
      <c r="F1078" s="180">
        <v>46113</v>
      </c>
      <c r="G1078" s="83">
        <v>103</v>
      </c>
      <c r="H1078" s="180">
        <v>46017</v>
      </c>
      <c r="I1078" s="180" t="s">
        <v>382</v>
      </c>
      <c r="J1078" s="83">
        <v>3516765614</v>
      </c>
      <c r="K1078" s="180"/>
      <c r="L1078" s="180">
        <v>46017</v>
      </c>
      <c r="M1078" s="180"/>
      <c r="N1078" s="181">
        <v>8.4017099999999997E-2</v>
      </c>
      <c r="O1078" s="181" t="s">
        <v>147</v>
      </c>
      <c r="P1078" s="83" t="s">
        <v>323</v>
      </c>
      <c r="Q1078" s="177" t="s">
        <v>324</v>
      </c>
      <c r="R1078" s="83"/>
    </row>
    <row r="1079" spans="1:18">
      <c r="A1079" s="83">
        <v>80891917</v>
      </c>
      <c r="B1079" s="186" t="s">
        <v>380</v>
      </c>
      <c r="C1079" s="186" t="s">
        <v>154</v>
      </c>
      <c r="D1079" s="83" t="s">
        <v>381</v>
      </c>
      <c r="E1079" s="83" t="s">
        <v>145</v>
      </c>
      <c r="F1079" s="180">
        <v>46113</v>
      </c>
      <c r="G1079" s="83">
        <v>86</v>
      </c>
      <c r="H1079" s="180">
        <v>46017</v>
      </c>
      <c r="I1079" s="180" t="s">
        <v>382</v>
      </c>
      <c r="J1079" s="83">
        <v>3516765615</v>
      </c>
      <c r="K1079" s="180"/>
      <c r="L1079" s="180">
        <v>46017</v>
      </c>
      <c r="M1079" s="180"/>
      <c r="N1079" s="181">
        <v>7.0150199999999996E-2</v>
      </c>
      <c r="O1079" s="181" t="s">
        <v>147</v>
      </c>
      <c r="P1079" s="83" t="s">
        <v>323</v>
      </c>
      <c r="Q1079" s="177" t="s">
        <v>324</v>
      </c>
      <c r="R1079" s="83"/>
    </row>
    <row r="1080" spans="1:18">
      <c r="A1080" s="83">
        <v>80891917</v>
      </c>
      <c r="B1080" s="186" t="s">
        <v>380</v>
      </c>
      <c r="C1080" s="186" t="s">
        <v>155</v>
      </c>
      <c r="D1080" s="83" t="s">
        <v>381</v>
      </c>
      <c r="E1080" s="83" t="s">
        <v>145</v>
      </c>
      <c r="F1080" s="180">
        <v>46113</v>
      </c>
      <c r="G1080" s="83">
        <v>986</v>
      </c>
      <c r="H1080" s="180">
        <v>46017</v>
      </c>
      <c r="I1080" s="180" t="s">
        <v>382</v>
      </c>
      <c r="J1080" s="83">
        <v>3516765616</v>
      </c>
      <c r="K1080" s="180"/>
      <c r="L1080" s="180">
        <v>46017</v>
      </c>
      <c r="M1080" s="180"/>
      <c r="N1080" s="181">
        <v>0.8042802</v>
      </c>
      <c r="O1080" s="181" t="s">
        <v>147</v>
      </c>
      <c r="P1080" s="83" t="s">
        <v>323</v>
      </c>
      <c r="Q1080" s="177" t="s">
        <v>324</v>
      </c>
      <c r="R1080" s="83"/>
    </row>
    <row r="1081" spans="1:18">
      <c r="A1081" s="83">
        <v>80885105</v>
      </c>
      <c r="B1081" s="186" t="s">
        <v>410</v>
      </c>
      <c r="C1081" s="186" t="s">
        <v>12</v>
      </c>
      <c r="D1081" s="83" t="s">
        <v>411</v>
      </c>
      <c r="E1081" s="83" t="s">
        <v>145</v>
      </c>
      <c r="F1081" s="180">
        <v>46027</v>
      </c>
      <c r="G1081" s="83">
        <v>1090</v>
      </c>
      <c r="H1081" s="180">
        <v>46017</v>
      </c>
      <c r="I1081" s="180" t="s">
        <v>399</v>
      </c>
      <c r="J1081" s="83">
        <v>3516765617</v>
      </c>
      <c r="K1081" s="180"/>
      <c r="L1081" s="180">
        <v>46017</v>
      </c>
      <c r="M1081" s="180">
        <v>46020</v>
      </c>
      <c r="N1081" s="181">
        <v>1.9456500000000001</v>
      </c>
      <c r="O1081" s="181" t="s">
        <v>147</v>
      </c>
      <c r="P1081" s="83" t="s">
        <v>148</v>
      </c>
      <c r="Q1081" s="177" t="s">
        <v>149</v>
      </c>
      <c r="R1081" s="83"/>
    </row>
    <row r="1082" spans="1:18">
      <c r="A1082" s="83">
        <v>80885108</v>
      </c>
      <c r="B1082" s="186" t="s">
        <v>412</v>
      </c>
      <c r="C1082" s="186" t="s">
        <v>12</v>
      </c>
      <c r="D1082" s="83" t="s">
        <v>411</v>
      </c>
      <c r="E1082" s="83" t="s">
        <v>145</v>
      </c>
      <c r="F1082" s="180">
        <v>46027</v>
      </c>
      <c r="G1082" s="83">
        <v>3494</v>
      </c>
      <c r="H1082" s="180">
        <v>46017</v>
      </c>
      <c r="I1082" s="180" t="s">
        <v>399</v>
      </c>
      <c r="J1082" s="83">
        <v>3516765618</v>
      </c>
      <c r="K1082" s="180"/>
      <c r="L1082" s="180">
        <v>46017</v>
      </c>
      <c r="M1082" s="180">
        <v>46020</v>
      </c>
      <c r="N1082" s="181">
        <v>6.0561502000000003</v>
      </c>
      <c r="O1082" s="181" t="s">
        <v>147</v>
      </c>
      <c r="P1082" s="83" t="s">
        <v>148</v>
      </c>
      <c r="Q1082" s="177" t="s">
        <v>149</v>
      </c>
      <c r="R1082" s="83"/>
    </row>
    <row r="1083" spans="1:18">
      <c r="A1083" s="83">
        <v>80885101</v>
      </c>
      <c r="B1083" s="186" t="s">
        <v>413</v>
      </c>
      <c r="C1083" s="186" t="s">
        <v>12</v>
      </c>
      <c r="D1083" s="83" t="s">
        <v>411</v>
      </c>
      <c r="E1083" s="83" t="s">
        <v>145</v>
      </c>
      <c r="F1083" s="180">
        <v>46027</v>
      </c>
      <c r="G1083" s="83">
        <v>2385</v>
      </c>
      <c r="H1083" s="180">
        <v>46017</v>
      </c>
      <c r="I1083" s="180" t="s">
        <v>399</v>
      </c>
      <c r="J1083" s="83">
        <v>3516765620</v>
      </c>
      <c r="K1083" s="180"/>
      <c r="L1083" s="180">
        <v>46017</v>
      </c>
      <c r="M1083" s="180">
        <v>46020</v>
      </c>
      <c r="N1083" s="181">
        <v>4.1339205000000003</v>
      </c>
      <c r="O1083" s="181" t="s">
        <v>147</v>
      </c>
      <c r="P1083" s="83" t="s">
        <v>148</v>
      </c>
      <c r="Q1083" s="177" t="s">
        <v>149</v>
      </c>
      <c r="R1083" s="83"/>
    </row>
    <row r="1084" spans="1:18">
      <c r="A1084" s="83">
        <v>80885103</v>
      </c>
      <c r="B1084" s="186" t="s">
        <v>414</v>
      </c>
      <c r="C1084" s="186" t="s">
        <v>12</v>
      </c>
      <c r="D1084" s="83" t="s">
        <v>411</v>
      </c>
      <c r="E1084" s="83" t="s">
        <v>145</v>
      </c>
      <c r="F1084" s="180">
        <v>46027</v>
      </c>
      <c r="G1084" s="83">
        <v>3469</v>
      </c>
      <c r="H1084" s="180">
        <v>46017</v>
      </c>
      <c r="I1084" s="180" t="s">
        <v>399</v>
      </c>
      <c r="J1084" s="83">
        <v>3516765621</v>
      </c>
      <c r="K1084" s="180"/>
      <c r="L1084" s="180">
        <v>46017</v>
      </c>
      <c r="M1084" s="180">
        <v>46020</v>
      </c>
      <c r="N1084" s="181">
        <v>6.0128177000000003</v>
      </c>
      <c r="O1084" s="181" t="s">
        <v>147</v>
      </c>
      <c r="P1084" s="83" t="s">
        <v>148</v>
      </c>
      <c r="Q1084" s="177" t="s">
        <v>149</v>
      </c>
      <c r="R1084" s="83"/>
    </row>
    <row r="1085" spans="1:18">
      <c r="A1085" s="83">
        <v>80885097</v>
      </c>
      <c r="B1085" s="186" t="s">
        <v>415</v>
      </c>
      <c r="C1085" s="186" t="s">
        <v>12</v>
      </c>
      <c r="D1085" s="83" t="s">
        <v>411</v>
      </c>
      <c r="E1085" s="83" t="s">
        <v>145</v>
      </c>
      <c r="F1085" s="180">
        <v>46027</v>
      </c>
      <c r="G1085" s="83">
        <v>1563</v>
      </c>
      <c r="H1085" s="180">
        <v>46017</v>
      </c>
      <c r="I1085" s="180" t="s">
        <v>399</v>
      </c>
      <c r="J1085" s="83">
        <v>3516765622</v>
      </c>
      <c r="K1085" s="180"/>
      <c r="L1085" s="180">
        <v>46017</v>
      </c>
      <c r="M1085" s="180">
        <v>46020</v>
      </c>
      <c r="N1085" s="181">
        <v>2.7904239</v>
      </c>
      <c r="O1085" s="181" t="s">
        <v>147</v>
      </c>
      <c r="P1085" s="83" t="s">
        <v>148</v>
      </c>
      <c r="Q1085" s="177" t="s">
        <v>149</v>
      </c>
      <c r="R1085" s="83"/>
    </row>
    <row r="1086" spans="1:18">
      <c r="A1086" s="83">
        <v>80885100</v>
      </c>
      <c r="B1086" s="186" t="s">
        <v>416</v>
      </c>
      <c r="C1086" s="186" t="s">
        <v>12</v>
      </c>
      <c r="D1086" s="83" t="s">
        <v>411</v>
      </c>
      <c r="E1086" s="83" t="s">
        <v>145</v>
      </c>
      <c r="F1086" s="180">
        <v>46027</v>
      </c>
      <c r="G1086" s="83">
        <v>270</v>
      </c>
      <c r="H1086" s="180">
        <v>46017</v>
      </c>
      <c r="I1086" s="180" t="s">
        <v>399</v>
      </c>
      <c r="J1086" s="83">
        <v>3516765623</v>
      </c>
      <c r="K1086" s="180"/>
      <c r="L1086" s="180">
        <v>46017</v>
      </c>
      <c r="M1086" s="180">
        <v>46020</v>
      </c>
      <c r="N1086" s="181">
        <v>0.34257599999999999</v>
      </c>
      <c r="O1086" s="181" t="s">
        <v>147</v>
      </c>
      <c r="P1086" s="83" t="s">
        <v>148</v>
      </c>
      <c r="Q1086" s="177" t="s">
        <v>149</v>
      </c>
      <c r="R1086" s="83"/>
    </row>
    <row r="1087" spans="1:18">
      <c r="A1087" s="83">
        <v>80885099</v>
      </c>
      <c r="B1087" s="186" t="s">
        <v>417</v>
      </c>
      <c r="C1087" s="186" t="s">
        <v>12</v>
      </c>
      <c r="D1087" s="83" t="s">
        <v>411</v>
      </c>
      <c r="E1087" s="83" t="s">
        <v>145</v>
      </c>
      <c r="F1087" s="180">
        <v>46027</v>
      </c>
      <c r="G1087" s="83">
        <v>608</v>
      </c>
      <c r="H1087" s="180">
        <v>46017</v>
      </c>
      <c r="I1087" s="180" t="s">
        <v>399</v>
      </c>
      <c r="J1087" s="83">
        <v>3516765624</v>
      </c>
      <c r="K1087" s="180"/>
      <c r="L1087" s="180">
        <v>46017</v>
      </c>
      <c r="M1087" s="180">
        <v>46020</v>
      </c>
      <c r="N1087" s="181">
        <v>0.77143039999999996</v>
      </c>
      <c r="O1087" s="181" t="s">
        <v>147</v>
      </c>
      <c r="P1087" s="83" t="s">
        <v>148</v>
      </c>
      <c r="Q1087" s="177" t="s">
        <v>149</v>
      </c>
      <c r="R1087" s="83"/>
    </row>
    <row r="1088" spans="1:18">
      <c r="A1088" s="83">
        <v>80868678</v>
      </c>
      <c r="B1088" s="186" t="s">
        <v>418</v>
      </c>
      <c r="C1088" s="186" t="s">
        <v>12</v>
      </c>
      <c r="D1088" s="83" t="s">
        <v>411</v>
      </c>
      <c r="E1088" s="83" t="s">
        <v>145</v>
      </c>
      <c r="F1088" s="180">
        <v>46027</v>
      </c>
      <c r="G1088" s="83">
        <v>328</v>
      </c>
      <c r="H1088" s="180">
        <v>46017</v>
      </c>
      <c r="I1088" s="180" t="s">
        <v>399</v>
      </c>
      <c r="J1088" s="83">
        <v>3516765625</v>
      </c>
      <c r="K1088" s="180"/>
      <c r="L1088" s="180">
        <v>46017</v>
      </c>
      <c r="M1088" s="180">
        <v>46021</v>
      </c>
      <c r="N1088" s="181">
        <v>0.27555279999999999</v>
      </c>
      <c r="O1088" s="181" t="s">
        <v>147</v>
      </c>
      <c r="P1088" s="83" t="s">
        <v>148</v>
      </c>
      <c r="Q1088" s="177" t="s">
        <v>149</v>
      </c>
      <c r="R1088" s="83"/>
    </row>
    <row r="1089" spans="1:18">
      <c r="A1089" s="83">
        <v>80868686</v>
      </c>
      <c r="B1089" s="186" t="s">
        <v>419</v>
      </c>
      <c r="C1089" s="186" t="s">
        <v>12</v>
      </c>
      <c r="D1089" s="83" t="s">
        <v>411</v>
      </c>
      <c r="E1089" s="83" t="s">
        <v>145</v>
      </c>
      <c r="F1089" s="180">
        <v>46027</v>
      </c>
      <c r="G1089" s="83">
        <v>1831</v>
      </c>
      <c r="H1089" s="180">
        <v>46017</v>
      </c>
      <c r="I1089" s="180" t="s">
        <v>399</v>
      </c>
      <c r="J1089" s="83">
        <v>3516765627</v>
      </c>
      <c r="K1089" s="180"/>
      <c r="L1089" s="180">
        <v>46017</v>
      </c>
      <c r="M1089" s="180">
        <v>46021</v>
      </c>
      <c r="N1089" s="181">
        <v>3.8996637999999999</v>
      </c>
      <c r="O1089" s="181" t="s">
        <v>147</v>
      </c>
      <c r="P1089" s="83" t="s">
        <v>148</v>
      </c>
      <c r="Q1089" s="177" t="s">
        <v>149</v>
      </c>
      <c r="R1089" s="83"/>
    </row>
    <row r="1090" spans="1:18">
      <c r="A1090" s="83">
        <v>80865245</v>
      </c>
      <c r="B1090" s="186" t="s">
        <v>401</v>
      </c>
      <c r="C1090" s="186" t="s">
        <v>12</v>
      </c>
      <c r="D1090" s="83" t="s">
        <v>420</v>
      </c>
      <c r="E1090" s="83" t="s">
        <v>145</v>
      </c>
      <c r="F1090" s="180">
        <v>46027</v>
      </c>
      <c r="G1090" s="83">
        <v>997</v>
      </c>
      <c r="H1090" s="180">
        <v>46017</v>
      </c>
      <c r="I1090" s="180" t="s">
        <v>399</v>
      </c>
      <c r="J1090" s="83">
        <v>3516765628</v>
      </c>
      <c r="K1090" s="180"/>
      <c r="L1090" s="180">
        <v>46017</v>
      </c>
      <c r="M1090" s="180">
        <v>46021</v>
      </c>
      <c r="N1090" s="181">
        <v>2.1234106000000001</v>
      </c>
      <c r="O1090" s="181" t="s">
        <v>147</v>
      </c>
      <c r="P1090" s="83" t="s">
        <v>148</v>
      </c>
      <c r="Q1090" s="177" t="s">
        <v>149</v>
      </c>
      <c r="R1090" s="83"/>
    </row>
    <row r="1091" spans="1:18">
      <c r="A1091" s="83">
        <v>80865244</v>
      </c>
      <c r="B1091" s="186" t="s">
        <v>403</v>
      </c>
      <c r="C1091" s="186" t="s">
        <v>12</v>
      </c>
      <c r="D1091" s="83" t="s">
        <v>420</v>
      </c>
      <c r="E1091" s="83" t="s">
        <v>145</v>
      </c>
      <c r="F1091" s="180">
        <v>46027</v>
      </c>
      <c r="G1091" s="83">
        <v>897</v>
      </c>
      <c r="H1091" s="180">
        <v>46017</v>
      </c>
      <c r="I1091" s="180" t="s">
        <v>399</v>
      </c>
      <c r="J1091" s="83">
        <v>3516765630</v>
      </c>
      <c r="K1091" s="180"/>
      <c r="L1091" s="180">
        <v>46017</v>
      </c>
      <c r="M1091" s="180">
        <v>46021</v>
      </c>
      <c r="N1091" s="181">
        <v>1.9104306</v>
      </c>
      <c r="O1091" s="181" t="s">
        <v>147</v>
      </c>
      <c r="P1091" s="83" t="s">
        <v>148</v>
      </c>
      <c r="Q1091" s="177" t="s">
        <v>149</v>
      </c>
      <c r="R1091" s="83"/>
    </row>
    <row r="1092" spans="1:18">
      <c r="A1092" s="83">
        <v>80889182</v>
      </c>
      <c r="B1092" s="186" t="s">
        <v>142</v>
      </c>
      <c r="C1092" s="186" t="s">
        <v>143</v>
      </c>
      <c r="D1092" s="83" t="s">
        <v>144</v>
      </c>
      <c r="E1092" s="83" t="s">
        <v>145</v>
      </c>
      <c r="F1092" s="180">
        <v>46034</v>
      </c>
      <c r="G1092" s="83">
        <v>118</v>
      </c>
      <c r="H1092" s="180">
        <v>46020</v>
      </c>
      <c r="I1092" s="180" t="s">
        <v>146</v>
      </c>
      <c r="J1092" s="83">
        <v>3518191348</v>
      </c>
      <c r="K1092" s="180"/>
      <c r="L1092" s="180">
        <v>46020</v>
      </c>
      <c r="M1092" s="180"/>
      <c r="N1092" s="181">
        <v>0.35825980000000002</v>
      </c>
      <c r="O1092" s="181" t="s">
        <v>147</v>
      </c>
      <c r="P1092" s="83" t="s">
        <v>323</v>
      </c>
      <c r="Q1092" s="177" t="s">
        <v>324</v>
      </c>
      <c r="R1092" s="83"/>
    </row>
    <row r="1093" spans="1:18">
      <c r="A1093" s="83">
        <v>80889182</v>
      </c>
      <c r="B1093" s="186" t="s">
        <v>142</v>
      </c>
      <c r="C1093" s="186" t="s">
        <v>150</v>
      </c>
      <c r="D1093" s="83" t="s">
        <v>144</v>
      </c>
      <c r="E1093" s="83" t="s">
        <v>145</v>
      </c>
      <c r="F1093" s="180">
        <v>46034</v>
      </c>
      <c r="G1093" s="83">
        <v>433</v>
      </c>
      <c r="H1093" s="180">
        <v>46020</v>
      </c>
      <c r="I1093" s="180" t="s">
        <v>146</v>
      </c>
      <c r="J1093" s="83">
        <v>3518191349</v>
      </c>
      <c r="K1093" s="180"/>
      <c r="L1093" s="180">
        <v>46020</v>
      </c>
      <c r="M1093" s="180"/>
      <c r="N1093" s="181">
        <v>1.3146313000000001</v>
      </c>
      <c r="O1093" s="181" t="s">
        <v>147</v>
      </c>
      <c r="P1093" s="83" t="s">
        <v>323</v>
      </c>
      <c r="Q1093" s="177" t="s">
        <v>324</v>
      </c>
      <c r="R1093" s="83"/>
    </row>
    <row r="1094" spans="1:18">
      <c r="A1094" s="83">
        <v>80889182</v>
      </c>
      <c r="B1094" s="186" t="s">
        <v>142</v>
      </c>
      <c r="C1094" s="186" t="s">
        <v>151</v>
      </c>
      <c r="D1094" s="83" t="s">
        <v>144</v>
      </c>
      <c r="E1094" s="83" t="s">
        <v>145</v>
      </c>
      <c r="F1094" s="180">
        <v>46034</v>
      </c>
      <c r="G1094" s="83">
        <v>594</v>
      </c>
      <c r="H1094" s="180">
        <v>46020</v>
      </c>
      <c r="I1094" s="180" t="s">
        <v>146</v>
      </c>
      <c r="J1094" s="83">
        <v>3518191350</v>
      </c>
      <c r="K1094" s="180"/>
      <c r="L1094" s="180">
        <v>46020</v>
      </c>
      <c r="M1094" s="180"/>
      <c r="N1094" s="181">
        <v>1.8034433999999999</v>
      </c>
      <c r="O1094" s="181" t="s">
        <v>147</v>
      </c>
      <c r="P1094" s="83" t="s">
        <v>323</v>
      </c>
      <c r="Q1094" s="177" t="s">
        <v>324</v>
      </c>
      <c r="R1094" s="83"/>
    </row>
    <row r="1095" spans="1:18">
      <c r="A1095" s="83">
        <v>80889182</v>
      </c>
      <c r="B1095" s="186" t="s">
        <v>142</v>
      </c>
      <c r="C1095" s="186" t="s">
        <v>152</v>
      </c>
      <c r="D1095" s="83" t="s">
        <v>144</v>
      </c>
      <c r="E1095" s="83" t="s">
        <v>145</v>
      </c>
      <c r="F1095" s="180">
        <v>46034</v>
      </c>
      <c r="G1095" s="83">
        <v>219</v>
      </c>
      <c r="H1095" s="180">
        <v>46020</v>
      </c>
      <c r="I1095" s="180" t="s">
        <v>146</v>
      </c>
      <c r="J1095" s="83">
        <v>3518191351</v>
      </c>
      <c r="K1095" s="180"/>
      <c r="L1095" s="180">
        <v>46020</v>
      </c>
      <c r="M1095" s="180"/>
      <c r="N1095" s="181">
        <v>0.66490590000000005</v>
      </c>
      <c r="O1095" s="181" t="s">
        <v>147</v>
      </c>
      <c r="P1095" s="83" t="s">
        <v>323</v>
      </c>
      <c r="Q1095" s="177" t="s">
        <v>324</v>
      </c>
      <c r="R1095" s="83"/>
    </row>
    <row r="1096" spans="1:18">
      <c r="A1096" s="83">
        <v>80889182</v>
      </c>
      <c r="B1096" s="186" t="s">
        <v>142</v>
      </c>
      <c r="C1096" s="186" t="s">
        <v>153</v>
      </c>
      <c r="D1096" s="83" t="s">
        <v>144</v>
      </c>
      <c r="E1096" s="83" t="s">
        <v>145</v>
      </c>
      <c r="F1096" s="180">
        <v>46034</v>
      </c>
      <c r="G1096" s="83">
        <v>60</v>
      </c>
      <c r="H1096" s="180">
        <v>46020</v>
      </c>
      <c r="I1096" s="180" t="s">
        <v>146</v>
      </c>
      <c r="J1096" s="83">
        <v>3518191352</v>
      </c>
      <c r="K1096" s="180"/>
      <c r="L1096" s="180">
        <v>46020</v>
      </c>
      <c r="M1096" s="180"/>
      <c r="N1096" s="181">
        <v>0.18216599999999999</v>
      </c>
      <c r="O1096" s="181" t="s">
        <v>147</v>
      </c>
      <c r="P1096" s="83" t="s">
        <v>323</v>
      </c>
      <c r="Q1096" s="177" t="s">
        <v>324</v>
      </c>
      <c r="R1096" s="83"/>
    </row>
    <row r="1097" spans="1:18">
      <c r="A1097" s="83">
        <v>80889182</v>
      </c>
      <c r="B1097" s="186" t="s">
        <v>142</v>
      </c>
      <c r="C1097" s="186" t="s">
        <v>154</v>
      </c>
      <c r="D1097" s="83" t="s">
        <v>144</v>
      </c>
      <c r="E1097" s="83" t="s">
        <v>145</v>
      </c>
      <c r="F1097" s="180">
        <v>46034</v>
      </c>
      <c r="G1097" s="83">
        <v>80</v>
      </c>
      <c r="H1097" s="180">
        <v>46020</v>
      </c>
      <c r="I1097" s="180" t="s">
        <v>146</v>
      </c>
      <c r="J1097" s="83">
        <v>3518191353</v>
      </c>
      <c r="K1097" s="180"/>
      <c r="L1097" s="180">
        <v>46020</v>
      </c>
      <c r="M1097" s="180"/>
      <c r="N1097" s="181">
        <v>0.24288799999999999</v>
      </c>
      <c r="O1097" s="181" t="s">
        <v>147</v>
      </c>
      <c r="P1097" s="83" t="s">
        <v>323</v>
      </c>
      <c r="Q1097" s="177" t="s">
        <v>324</v>
      </c>
      <c r="R1097" s="83"/>
    </row>
    <row r="1098" spans="1:18">
      <c r="A1098" s="83">
        <v>80889182</v>
      </c>
      <c r="B1098" s="186" t="s">
        <v>142</v>
      </c>
      <c r="C1098" s="186" t="s">
        <v>155</v>
      </c>
      <c r="D1098" s="83" t="s">
        <v>144</v>
      </c>
      <c r="E1098" s="83" t="s">
        <v>145</v>
      </c>
      <c r="F1098" s="180">
        <v>46034</v>
      </c>
      <c r="G1098" s="83">
        <v>476</v>
      </c>
      <c r="H1098" s="180">
        <v>46020</v>
      </c>
      <c r="I1098" s="180" t="s">
        <v>146</v>
      </c>
      <c r="J1098" s="83">
        <v>3518191354</v>
      </c>
      <c r="K1098" s="180"/>
      <c r="L1098" s="180">
        <v>46020</v>
      </c>
      <c r="M1098" s="180"/>
      <c r="N1098" s="181">
        <v>1.4451836</v>
      </c>
      <c r="O1098" s="181" t="s">
        <v>147</v>
      </c>
      <c r="P1098" s="83" t="s">
        <v>323</v>
      </c>
      <c r="Q1098" s="177" t="s">
        <v>324</v>
      </c>
      <c r="R1098" s="83"/>
    </row>
    <row r="1099" spans="1:18">
      <c r="A1099" s="83">
        <v>80889183</v>
      </c>
      <c r="B1099" s="186" t="s">
        <v>156</v>
      </c>
      <c r="C1099" s="186" t="s">
        <v>143</v>
      </c>
      <c r="D1099" s="83" t="s">
        <v>144</v>
      </c>
      <c r="E1099" s="83" t="s">
        <v>145</v>
      </c>
      <c r="F1099" s="180">
        <v>46034</v>
      </c>
      <c r="G1099" s="83">
        <v>158</v>
      </c>
      <c r="H1099" s="180">
        <v>46020</v>
      </c>
      <c r="I1099" s="180" t="s">
        <v>146</v>
      </c>
      <c r="J1099" s="83">
        <v>3518191355</v>
      </c>
      <c r="K1099" s="180"/>
      <c r="L1099" s="180">
        <v>46020</v>
      </c>
      <c r="M1099" s="180"/>
      <c r="N1099" s="181">
        <v>0.47970380000000001</v>
      </c>
      <c r="O1099" s="181" t="s">
        <v>147</v>
      </c>
      <c r="P1099" s="83" t="s">
        <v>323</v>
      </c>
      <c r="Q1099" s="177" t="s">
        <v>324</v>
      </c>
      <c r="R1099" s="83"/>
    </row>
    <row r="1100" spans="1:18">
      <c r="A1100" s="83">
        <v>80889183</v>
      </c>
      <c r="B1100" s="186" t="s">
        <v>156</v>
      </c>
      <c r="C1100" s="186" t="s">
        <v>150</v>
      </c>
      <c r="D1100" s="83" t="s">
        <v>144</v>
      </c>
      <c r="E1100" s="83" t="s">
        <v>145</v>
      </c>
      <c r="F1100" s="180">
        <v>46034</v>
      </c>
      <c r="G1100" s="83">
        <v>581</v>
      </c>
      <c r="H1100" s="180">
        <v>46020</v>
      </c>
      <c r="I1100" s="180" t="s">
        <v>146</v>
      </c>
      <c r="J1100" s="83">
        <v>3518191356</v>
      </c>
      <c r="K1100" s="180"/>
      <c r="L1100" s="180">
        <v>46020</v>
      </c>
      <c r="M1100" s="180"/>
      <c r="N1100" s="181">
        <v>1.7639741</v>
      </c>
      <c r="O1100" s="181" t="s">
        <v>147</v>
      </c>
      <c r="P1100" s="83" t="s">
        <v>323</v>
      </c>
      <c r="Q1100" s="177" t="s">
        <v>324</v>
      </c>
      <c r="R1100" s="83"/>
    </row>
    <row r="1101" spans="1:18">
      <c r="A1101" s="83">
        <v>80889183</v>
      </c>
      <c r="B1101" s="186" t="s">
        <v>156</v>
      </c>
      <c r="C1101" s="186" t="s">
        <v>151</v>
      </c>
      <c r="D1101" s="83" t="s">
        <v>144</v>
      </c>
      <c r="E1101" s="83" t="s">
        <v>145</v>
      </c>
      <c r="F1101" s="180">
        <v>46034</v>
      </c>
      <c r="G1101" s="83">
        <v>790</v>
      </c>
      <c r="H1101" s="180">
        <v>46020</v>
      </c>
      <c r="I1101" s="180" t="s">
        <v>146</v>
      </c>
      <c r="J1101" s="83">
        <v>3518191357</v>
      </c>
      <c r="K1101" s="180"/>
      <c r="L1101" s="180">
        <v>46020</v>
      </c>
      <c r="M1101" s="180"/>
      <c r="N1101" s="181">
        <v>2.3985189999999998</v>
      </c>
      <c r="O1101" s="181" t="s">
        <v>147</v>
      </c>
      <c r="P1101" s="83" t="s">
        <v>323</v>
      </c>
      <c r="Q1101" s="177" t="s">
        <v>324</v>
      </c>
      <c r="R1101" s="83"/>
    </row>
    <row r="1102" spans="1:18">
      <c r="A1102" s="83">
        <v>80889183</v>
      </c>
      <c r="B1102" s="186" t="s">
        <v>156</v>
      </c>
      <c r="C1102" s="186" t="s">
        <v>152</v>
      </c>
      <c r="D1102" s="83" t="s">
        <v>144</v>
      </c>
      <c r="E1102" s="83" t="s">
        <v>145</v>
      </c>
      <c r="F1102" s="180">
        <v>46034</v>
      </c>
      <c r="G1102" s="83">
        <v>292</v>
      </c>
      <c r="H1102" s="180">
        <v>46020</v>
      </c>
      <c r="I1102" s="180" t="s">
        <v>146</v>
      </c>
      <c r="J1102" s="83">
        <v>3518191418</v>
      </c>
      <c r="K1102" s="180"/>
      <c r="L1102" s="180">
        <v>46020</v>
      </c>
      <c r="M1102" s="180"/>
      <c r="N1102" s="181">
        <v>0.88654120000000003</v>
      </c>
      <c r="O1102" s="181" t="s">
        <v>147</v>
      </c>
      <c r="P1102" s="83" t="s">
        <v>323</v>
      </c>
      <c r="Q1102" s="177" t="s">
        <v>324</v>
      </c>
      <c r="R1102" s="83"/>
    </row>
    <row r="1103" spans="1:18">
      <c r="A1103" s="83">
        <v>80889183</v>
      </c>
      <c r="B1103" s="186" t="s">
        <v>156</v>
      </c>
      <c r="C1103" s="186" t="s">
        <v>153</v>
      </c>
      <c r="D1103" s="83" t="s">
        <v>144</v>
      </c>
      <c r="E1103" s="83" t="s">
        <v>145</v>
      </c>
      <c r="F1103" s="180">
        <v>46034</v>
      </c>
      <c r="G1103" s="83">
        <v>80</v>
      </c>
      <c r="H1103" s="180">
        <v>46020</v>
      </c>
      <c r="I1103" s="180" t="s">
        <v>146</v>
      </c>
      <c r="J1103" s="83">
        <v>3518191419</v>
      </c>
      <c r="K1103" s="180"/>
      <c r="L1103" s="180">
        <v>46020</v>
      </c>
      <c r="M1103" s="180"/>
      <c r="N1103" s="181">
        <v>0.24288799999999999</v>
      </c>
      <c r="O1103" s="181" t="s">
        <v>147</v>
      </c>
      <c r="P1103" s="83" t="s">
        <v>323</v>
      </c>
      <c r="Q1103" s="177" t="s">
        <v>324</v>
      </c>
      <c r="R1103" s="83"/>
    </row>
    <row r="1104" spans="1:18">
      <c r="A1104" s="83">
        <v>80889183</v>
      </c>
      <c r="B1104" s="186" t="s">
        <v>156</v>
      </c>
      <c r="C1104" s="186" t="s">
        <v>154</v>
      </c>
      <c r="D1104" s="83" t="s">
        <v>144</v>
      </c>
      <c r="E1104" s="83" t="s">
        <v>145</v>
      </c>
      <c r="F1104" s="180">
        <v>46034</v>
      </c>
      <c r="G1104" s="83">
        <v>105</v>
      </c>
      <c r="H1104" s="180">
        <v>46020</v>
      </c>
      <c r="I1104" s="180" t="s">
        <v>146</v>
      </c>
      <c r="J1104" s="83">
        <v>3518191420</v>
      </c>
      <c r="K1104" s="180"/>
      <c r="L1104" s="180">
        <v>46020</v>
      </c>
      <c r="M1104" s="180"/>
      <c r="N1104" s="181">
        <v>0.31879049999999998</v>
      </c>
      <c r="O1104" s="181" t="s">
        <v>147</v>
      </c>
      <c r="P1104" s="83" t="s">
        <v>323</v>
      </c>
      <c r="Q1104" s="177" t="s">
        <v>324</v>
      </c>
      <c r="R1104" s="83"/>
    </row>
    <row r="1105" spans="1:18">
      <c r="A1105" s="83">
        <v>80889183</v>
      </c>
      <c r="B1105" s="186" t="s">
        <v>156</v>
      </c>
      <c r="C1105" s="186" t="s">
        <v>155</v>
      </c>
      <c r="D1105" s="83" t="s">
        <v>144</v>
      </c>
      <c r="E1105" s="83" t="s">
        <v>145</v>
      </c>
      <c r="F1105" s="180">
        <v>46034</v>
      </c>
      <c r="G1105" s="83">
        <v>634</v>
      </c>
      <c r="H1105" s="180">
        <v>46020</v>
      </c>
      <c r="I1105" s="180" t="s">
        <v>146</v>
      </c>
      <c r="J1105" s="83">
        <v>3518191421</v>
      </c>
      <c r="K1105" s="180"/>
      <c r="L1105" s="180">
        <v>46020</v>
      </c>
      <c r="M1105" s="180"/>
      <c r="N1105" s="181">
        <v>1.9248874</v>
      </c>
      <c r="O1105" s="181" t="s">
        <v>147</v>
      </c>
      <c r="P1105" s="83" t="s">
        <v>323</v>
      </c>
      <c r="Q1105" s="177" t="s">
        <v>324</v>
      </c>
      <c r="R1105" s="83"/>
    </row>
    <row r="1106" spans="1:18">
      <c r="A1106" s="83">
        <v>80889184</v>
      </c>
      <c r="B1106" s="186" t="s">
        <v>157</v>
      </c>
      <c r="C1106" s="186" t="s">
        <v>143</v>
      </c>
      <c r="D1106" s="83" t="s">
        <v>144</v>
      </c>
      <c r="E1106" s="83" t="s">
        <v>145</v>
      </c>
      <c r="F1106" s="180">
        <v>46034</v>
      </c>
      <c r="G1106" s="83">
        <v>149</v>
      </c>
      <c r="H1106" s="180">
        <v>46020</v>
      </c>
      <c r="I1106" s="180" t="s">
        <v>146</v>
      </c>
      <c r="J1106" s="83">
        <v>3518191422</v>
      </c>
      <c r="K1106" s="180"/>
      <c r="L1106" s="180">
        <v>46020</v>
      </c>
      <c r="M1106" s="180"/>
      <c r="N1106" s="181">
        <v>0.24306369999999999</v>
      </c>
      <c r="O1106" s="181" t="s">
        <v>147</v>
      </c>
      <c r="P1106" s="83" t="s">
        <v>323</v>
      </c>
      <c r="Q1106" s="177" t="s">
        <v>324</v>
      </c>
      <c r="R1106" s="83"/>
    </row>
    <row r="1107" spans="1:18">
      <c r="A1107" s="83">
        <v>80889184</v>
      </c>
      <c r="B1107" s="186" t="s">
        <v>157</v>
      </c>
      <c r="C1107" s="186" t="s">
        <v>150</v>
      </c>
      <c r="D1107" s="83" t="s">
        <v>144</v>
      </c>
      <c r="E1107" s="83" t="s">
        <v>145</v>
      </c>
      <c r="F1107" s="180">
        <v>46034</v>
      </c>
      <c r="G1107" s="83">
        <v>541</v>
      </c>
      <c r="H1107" s="180">
        <v>46020</v>
      </c>
      <c r="I1107" s="180" t="s">
        <v>146</v>
      </c>
      <c r="J1107" s="83">
        <v>3518191423</v>
      </c>
      <c r="K1107" s="180"/>
      <c r="L1107" s="180">
        <v>46020</v>
      </c>
      <c r="M1107" s="180"/>
      <c r="N1107" s="181">
        <v>0.88253329999999997</v>
      </c>
      <c r="O1107" s="181" t="s">
        <v>147</v>
      </c>
      <c r="P1107" s="83" t="s">
        <v>323</v>
      </c>
      <c r="Q1107" s="177" t="s">
        <v>324</v>
      </c>
      <c r="R1107" s="83"/>
    </row>
    <row r="1108" spans="1:18">
      <c r="A1108" s="83">
        <v>80889184</v>
      </c>
      <c r="B1108" s="186" t="s">
        <v>157</v>
      </c>
      <c r="C1108" s="186" t="s">
        <v>151</v>
      </c>
      <c r="D1108" s="83" t="s">
        <v>144</v>
      </c>
      <c r="E1108" s="83" t="s">
        <v>145</v>
      </c>
      <c r="F1108" s="180">
        <v>46034</v>
      </c>
      <c r="G1108" s="83">
        <v>734</v>
      </c>
      <c r="H1108" s="180">
        <v>46020</v>
      </c>
      <c r="I1108" s="180" t="s">
        <v>146</v>
      </c>
      <c r="J1108" s="83">
        <v>3518191424</v>
      </c>
      <c r="K1108" s="180"/>
      <c r="L1108" s="180">
        <v>46020</v>
      </c>
      <c r="M1108" s="180"/>
      <c r="N1108" s="181">
        <v>1.1973742000000001</v>
      </c>
      <c r="O1108" s="181" t="s">
        <v>147</v>
      </c>
      <c r="P1108" s="83" t="s">
        <v>323</v>
      </c>
      <c r="Q1108" s="177" t="s">
        <v>324</v>
      </c>
      <c r="R1108" s="83"/>
    </row>
    <row r="1109" spans="1:18">
      <c r="A1109" s="83">
        <v>80889184</v>
      </c>
      <c r="B1109" s="186" t="s">
        <v>157</v>
      </c>
      <c r="C1109" s="186" t="s">
        <v>152</v>
      </c>
      <c r="D1109" s="83" t="s">
        <v>144</v>
      </c>
      <c r="E1109" s="83" t="s">
        <v>145</v>
      </c>
      <c r="F1109" s="180">
        <v>46034</v>
      </c>
      <c r="G1109" s="83">
        <v>271</v>
      </c>
      <c r="H1109" s="180">
        <v>46020</v>
      </c>
      <c r="I1109" s="180" t="s">
        <v>146</v>
      </c>
      <c r="J1109" s="83">
        <v>3518191425</v>
      </c>
      <c r="K1109" s="180"/>
      <c r="L1109" s="180">
        <v>46020</v>
      </c>
      <c r="M1109" s="180"/>
      <c r="N1109" s="181">
        <v>0.44208229999999998</v>
      </c>
      <c r="O1109" s="181" t="s">
        <v>147</v>
      </c>
      <c r="P1109" s="83" t="s">
        <v>323</v>
      </c>
      <c r="Q1109" s="177" t="s">
        <v>324</v>
      </c>
      <c r="R1109" s="83"/>
    </row>
    <row r="1110" spans="1:18">
      <c r="A1110" s="83">
        <v>80889184</v>
      </c>
      <c r="B1110" s="186" t="s">
        <v>157</v>
      </c>
      <c r="C1110" s="186" t="s">
        <v>153</v>
      </c>
      <c r="D1110" s="83" t="s">
        <v>144</v>
      </c>
      <c r="E1110" s="83" t="s">
        <v>145</v>
      </c>
      <c r="F1110" s="180">
        <v>46034</v>
      </c>
      <c r="G1110" s="83">
        <v>73</v>
      </c>
      <c r="H1110" s="180">
        <v>46020</v>
      </c>
      <c r="I1110" s="180" t="s">
        <v>146</v>
      </c>
      <c r="J1110" s="83">
        <v>3518191426</v>
      </c>
      <c r="K1110" s="180"/>
      <c r="L1110" s="180">
        <v>46020</v>
      </c>
      <c r="M1110" s="180"/>
      <c r="N1110" s="181">
        <v>0.11908489999999999</v>
      </c>
      <c r="O1110" s="181" t="s">
        <v>147</v>
      </c>
      <c r="P1110" s="83" t="s">
        <v>323</v>
      </c>
      <c r="Q1110" s="177" t="s">
        <v>324</v>
      </c>
      <c r="R1110" s="83"/>
    </row>
    <row r="1111" spans="1:18">
      <c r="A1111" s="83">
        <v>80889184</v>
      </c>
      <c r="B1111" s="186" t="s">
        <v>157</v>
      </c>
      <c r="C1111" s="186" t="s">
        <v>154</v>
      </c>
      <c r="D1111" s="83" t="s">
        <v>144</v>
      </c>
      <c r="E1111" s="83" t="s">
        <v>145</v>
      </c>
      <c r="F1111" s="180">
        <v>46034</v>
      </c>
      <c r="G1111" s="83">
        <v>100</v>
      </c>
      <c r="H1111" s="180">
        <v>46020</v>
      </c>
      <c r="I1111" s="180" t="s">
        <v>146</v>
      </c>
      <c r="J1111" s="83">
        <v>3518191427</v>
      </c>
      <c r="K1111" s="180"/>
      <c r="L1111" s="180">
        <v>46020</v>
      </c>
      <c r="M1111" s="180"/>
      <c r="N1111" s="181">
        <v>0.16313</v>
      </c>
      <c r="O1111" s="181" t="s">
        <v>147</v>
      </c>
      <c r="P1111" s="83" t="s">
        <v>323</v>
      </c>
      <c r="Q1111" s="177" t="s">
        <v>324</v>
      </c>
      <c r="R1111" s="83"/>
    </row>
    <row r="1112" spans="1:18">
      <c r="A1112" s="83">
        <v>80889184</v>
      </c>
      <c r="B1112" s="186" t="s">
        <v>157</v>
      </c>
      <c r="C1112" s="186" t="s">
        <v>155</v>
      </c>
      <c r="D1112" s="83" t="s">
        <v>144</v>
      </c>
      <c r="E1112" s="83" t="s">
        <v>145</v>
      </c>
      <c r="F1112" s="180">
        <v>46034</v>
      </c>
      <c r="G1112" s="83">
        <v>588</v>
      </c>
      <c r="H1112" s="180">
        <v>46020</v>
      </c>
      <c r="I1112" s="180" t="s">
        <v>146</v>
      </c>
      <c r="J1112" s="83">
        <v>3518191428</v>
      </c>
      <c r="K1112" s="180"/>
      <c r="L1112" s="180">
        <v>46020</v>
      </c>
      <c r="M1112" s="180"/>
      <c r="N1112" s="181">
        <v>0.95920439999999996</v>
      </c>
      <c r="O1112" s="181" t="s">
        <v>147</v>
      </c>
      <c r="P1112" s="83" t="s">
        <v>323</v>
      </c>
      <c r="Q1112" s="177" t="s">
        <v>324</v>
      </c>
      <c r="R1112" s="83"/>
    </row>
    <row r="1113" spans="1:18">
      <c r="A1113" s="83">
        <v>80889185</v>
      </c>
      <c r="B1113" s="186" t="s">
        <v>158</v>
      </c>
      <c r="C1113" s="186" t="s">
        <v>143</v>
      </c>
      <c r="D1113" s="83" t="s">
        <v>144</v>
      </c>
      <c r="E1113" s="83" t="s">
        <v>145</v>
      </c>
      <c r="F1113" s="180">
        <v>46034</v>
      </c>
      <c r="G1113" s="83">
        <v>148</v>
      </c>
      <c r="H1113" s="180">
        <v>46020</v>
      </c>
      <c r="I1113" s="180" t="s">
        <v>146</v>
      </c>
      <c r="J1113" s="83">
        <v>3518191429</v>
      </c>
      <c r="K1113" s="180"/>
      <c r="L1113" s="180">
        <v>46020</v>
      </c>
      <c r="M1113" s="180"/>
      <c r="N1113" s="181">
        <v>0.24143239999999999</v>
      </c>
      <c r="O1113" s="181" t="s">
        <v>147</v>
      </c>
      <c r="P1113" s="83" t="s">
        <v>323</v>
      </c>
      <c r="Q1113" s="177" t="s">
        <v>324</v>
      </c>
      <c r="R1113" s="83"/>
    </row>
    <row r="1114" spans="1:18">
      <c r="A1114" s="83">
        <v>80889185</v>
      </c>
      <c r="B1114" s="186" t="s">
        <v>158</v>
      </c>
      <c r="C1114" s="186" t="s">
        <v>150</v>
      </c>
      <c r="D1114" s="83" t="s">
        <v>144</v>
      </c>
      <c r="E1114" s="83" t="s">
        <v>145</v>
      </c>
      <c r="F1114" s="180">
        <v>46034</v>
      </c>
      <c r="G1114" s="83">
        <v>540</v>
      </c>
      <c r="H1114" s="180">
        <v>46020</v>
      </c>
      <c r="I1114" s="180" t="s">
        <v>146</v>
      </c>
      <c r="J1114" s="83">
        <v>3518191430</v>
      </c>
      <c r="K1114" s="180"/>
      <c r="L1114" s="180">
        <v>46020</v>
      </c>
      <c r="M1114" s="180"/>
      <c r="N1114" s="181">
        <v>0.88090199999999996</v>
      </c>
      <c r="O1114" s="181" t="s">
        <v>147</v>
      </c>
      <c r="P1114" s="83" t="s">
        <v>323</v>
      </c>
      <c r="Q1114" s="177" t="s">
        <v>324</v>
      </c>
      <c r="R1114" s="83"/>
    </row>
    <row r="1115" spans="1:18">
      <c r="A1115" s="83">
        <v>80889185</v>
      </c>
      <c r="B1115" s="186" t="s">
        <v>158</v>
      </c>
      <c r="C1115" s="186" t="s">
        <v>151</v>
      </c>
      <c r="D1115" s="83" t="s">
        <v>144</v>
      </c>
      <c r="E1115" s="83" t="s">
        <v>145</v>
      </c>
      <c r="F1115" s="180">
        <v>46034</v>
      </c>
      <c r="G1115" s="83">
        <v>734</v>
      </c>
      <c r="H1115" s="180">
        <v>46020</v>
      </c>
      <c r="I1115" s="180" t="s">
        <v>146</v>
      </c>
      <c r="J1115" s="83">
        <v>3518191431</v>
      </c>
      <c r="K1115" s="180"/>
      <c r="L1115" s="180">
        <v>46020</v>
      </c>
      <c r="M1115" s="180"/>
      <c r="N1115" s="181">
        <v>1.1973742000000001</v>
      </c>
      <c r="O1115" s="181" t="s">
        <v>147</v>
      </c>
      <c r="P1115" s="83" t="s">
        <v>323</v>
      </c>
      <c r="Q1115" s="177" t="s">
        <v>324</v>
      </c>
      <c r="R1115" s="83"/>
    </row>
    <row r="1116" spans="1:18">
      <c r="A1116" s="83">
        <v>80889185</v>
      </c>
      <c r="B1116" s="186" t="s">
        <v>158</v>
      </c>
      <c r="C1116" s="186" t="s">
        <v>152</v>
      </c>
      <c r="D1116" s="83" t="s">
        <v>144</v>
      </c>
      <c r="E1116" s="83" t="s">
        <v>145</v>
      </c>
      <c r="F1116" s="180">
        <v>46034</v>
      </c>
      <c r="G1116" s="83">
        <v>271</v>
      </c>
      <c r="H1116" s="180">
        <v>46020</v>
      </c>
      <c r="I1116" s="180" t="s">
        <v>146</v>
      </c>
      <c r="J1116" s="83">
        <v>3518191432</v>
      </c>
      <c r="K1116" s="180"/>
      <c r="L1116" s="180">
        <v>46020</v>
      </c>
      <c r="M1116" s="180"/>
      <c r="N1116" s="181">
        <v>0.44208229999999998</v>
      </c>
      <c r="O1116" s="181" t="s">
        <v>147</v>
      </c>
      <c r="P1116" s="83" t="s">
        <v>323</v>
      </c>
      <c r="Q1116" s="177" t="s">
        <v>324</v>
      </c>
      <c r="R1116" s="83"/>
    </row>
    <row r="1117" spans="1:18">
      <c r="A1117" s="83">
        <v>80889185</v>
      </c>
      <c r="B1117" s="186" t="s">
        <v>158</v>
      </c>
      <c r="C1117" s="186" t="s">
        <v>153</v>
      </c>
      <c r="D1117" s="83" t="s">
        <v>144</v>
      </c>
      <c r="E1117" s="83" t="s">
        <v>145</v>
      </c>
      <c r="F1117" s="180">
        <v>46034</v>
      </c>
      <c r="G1117" s="83">
        <v>75</v>
      </c>
      <c r="H1117" s="180">
        <v>46020</v>
      </c>
      <c r="I1117" s="180" t="s">
        <v>146</v>
      </c>
      <c r="J1117" s="83">
        <v>3518191433</v>
      </c>
      <c r="K1117" s="180"/>
      <c r="L1117" s="180">
        <v>46020</v>
      </c>
      <c r="M1117" s="180"/>
      <c r="N1117" s="181">
        <v>0.1223475</v>
      </c>
      <c r="O1117" s="181" t="s">
        <v>147</v>
      </c>
      <c r="P1117" s="83" t="s">
        <v>323</v>
      </c>
      <c r="Q1117" s="177" t="s">
        <v>324</v>
      </c>
      <c r="R1117" s="83"/>
    </row>
    <row r="1118" spans="1:18">
      <c r="A1118" s="83">
        <v>80889185</v>
      </c>
      <c r="B1118" s="186" t="s">
        <v>158</v>
      </c>
      <c r="C1118" s="186" t="s">
        <v>154</v>
      </c>
      <c r="D1118" s="83" t="s">
        <v>144</v>
      </c>
      <c r="E1118" s="83" t="s">
        <v>145</v>
      </c>
      <c r="F1118" s="180">
        <v>46034</v>
      </c>
      <c r="G1118" s="83">
        <v>99</v>
      </c>
      <c r="H1118" s="180">
        <v>46020</v>
      </c>
      <c r="I1118" s="180" t="s">
        <v>146</v>
      </c>
      <c r="J1118" s="83">
        <v>3518191434</v>
      </c>
      <c r="K1118" s="180"/>
      <c r="L1118" s="180">
        <v>46020</v>
      </c>
      <c r="M1118" s="180"/>
      <c r="N1118" s="181">
        <v>0.1614987</v>
      </c>
      <c r="O1118" s="181" t="s">
        <v>147</v>
      </c>
      <c r="P1118" s="83" t="s">
        <v>323</v>
      </c>
      <c r="Q1118" s="177" t="s">
        <v>324</v>
      </c>
      <c r="R1118" s="83"/>
    </row>
    <row r="1119" spans="1:18">
      <c r="A1119" s="83">
        <v>80889185</v>
      </c>
      <c r="B1119" s="186" t="s">
        <v>158</v>
      </c>
      <c r="C1119" s="186" t="s">
        <v>155</v>
      </c>
      <c r="D1119" s="83" t="s">
        <v>144</v>
      </c>
      <c r="E1119" s="83" t="s">
        <v>145</v>
      </c>
      <c r="F1119" s="180">
        <v>46034</v>
      </c>
      <c r="G1119" s="83">
        <v>588</v>
      </c>
      <c r="H1119" s="180">
        <v>46020</v>
      </c>
      <c r="I1119" s="180" t="s">
        <v>146</v>
      </c>
      <c r="J1119" s="83">
        <v>3518191435</v>
      </c>
      <c r="K1119" s="180"/>
      <c r="L1119" s="180">
        <v>46020</v>
      </c>
      <c r="M1119" s="180"/>
      <c r="N1119" s="181">
        <v>0.95920439999999996</v>
      </c>
      <c r="O1119" s="181" t="s">
        <v>147</v>
      </c>
      <c r="P1119" s="83" t="s">
        <v>323</v>
      </c>
      <c r="Q1119" s="177" t="s">
        <v>324</v>
      </c>
      <c r="R1119" s="83"/>
    </row>
    <row r="1120" spans="1:18">
      <c r="A1120" s="83">
        <v>80889182</v>
      </c>
      <c r="B1120" s="186" t="s">
        <v>142</v>
      </c>
      <c r="C1120" s="186" t="s">
        <v>143</v>
      </c>
      <c r="D1120" s="83" t="s">
        <v>144</v>
      </c>
      <c r="E1120" s="83" t="s">
        <v>145</v>
      </c>
      <c r="F1120" s="180">
        <v>46034</v>
      </c>
      <c r="G1120" s="83">
        <v>98</v>
      </c>
      <c r="H1120" s="180">
        <v>46020</v>
      </c>
      <c r="I1120" s="180" t="s">
        <v>146</v>
      </c>
      <c r="J1120" s="83">
        <v>3518191436</v>
      </c>
      <c r="K1120" s="180"/>
      <c r="L1120" s="180">
        <v>46020</v>
      </c>
      <c r="M1120" s="180"/>
      <c r="N1120" s="181">
        <v>0.29753780000000002</v>
      </c>
      <c r="O1120" s="181" t="s">
        <v>147</v>
      </c>
      <c r="P1120" s="83" t="s">
        <v>323</v>
      </c>
      <c r="Q1120" s="177" t="s">
        <v>324</v>
      </c>
      <c r="R1120" s="83"/>
    </row>
    <row r="1121" spans="1:18">
      <c r="A1121" s="83">
        <v>80889182</v>
      </c>
      <c r="B1121" s="186" t="s">
        <v>142</v>
      </c>
      <c r="C1121" s="186" t="s">
        <v>150</v>
      </c>
      <c r="D1121" s="83" t="s">
        <v>144</v>
      </c>
      <c r="E1121" s="83" t="s">
        <v>145</v>
      </c>
      <c r="F1121" s="180">
        <v>46063</v>
      </c>
      <c r="G1121" s="83">
        <v>361</v>
      </c>
      <c r="H1121" s="180">
        <v>46020</v>
      </c>
      <c r="I1121" s="180" t="s">
        <v>146</v>
      </c>
      <c r="J1121" s="83">
        <v>3518191437</v>
      </c>
      <c r="K1121" s="180"/>
      <c r="L1121" s="180">
        <v>46020</v>
      </c>
      <c r="M1121" s="180"/>
      <c r="N1121" s="181">
        <v>1.0960321</v>
      </c>
      <c r="O1121" s="181" t="s">
        <v>147</v>
      </c>
      <c r="P1121" s="83" t="s">
        <v>323</v>
      </c>
      <c r="Q1121" s="177" t="s">
        <v>324</v>
      </c>
      <c r="R1121" s="83"/>
    </row>
    <row r="1122" spans="1:18">
      <c r="A1122" s="83">
        <v>80889182</v>
      </c>
      <c r="B1122" s="186" t="s">
        <v>142</v>
      </c>
      <c r="C1122" s="186" t="s">
        <v>151</v>
      </c>
      <c r="D1122" s="83" t="s">
        <v>144</v>
      </c>
      <c r="E1122" s="83" t="s">
        <v>145</v>
      </c>
      <c r="F1122" s="180">
        <v>46063</v>
      </c>
      <c r="G1122" s="83">
        <v>495</v>
      </c>
      <c r="H1122" s="180">
        <v>46020</v>
      </c>
      <c r="I1122" s="180" t="s">
        <v>146</v>
      </c>
      <c r="J1122" s="83">
        <v>3518191458</v>
      </c>
      <c r="K1122" s="180"/>
      <c r="L1122" s="180">
        <v>46020</v>
      </c>
      <c r="M1122" s="180"/>
      <c r="N1122" s="181">
        <v>1.5028695000000001</v>
      </c>
      <c r="O1122" s="181" t="s">
        <v>147</v>
      </c>
      <c r="P1122" s="83" t="s">
        <v>323</v>
      </c>
      <c r="Q1122" s="177" t="s">
        <v>324</v>
      </c>
      <c r="R1122" s="83"/>
    </row>
    <row r="1123" spans="1:18">
      <c r="A1123" s="83">
        <v>80889182</v>
      </c>
      <c r="B1123" s="186" t="s">
        <v>142</v>
      </c>
      <c r="C1123" s="186" t="s">
        <v>152</v>
      </c>
      <c r="D1123" s="83" t="s">
        <v>144</v>
      </c>
      <c r="E1123" s="83" t="s">
        <v>145</v>
      </c>
      <c r="F1123" s="180">
        <v>46063</v>
      </c>
      <c r="G1123" s="83">
        <v>182</v>
      </c>
      <c r="H1123" s="180">
        <v>46020</v>
      </c>
      <c r="I1123" s="180" t="s">
        <v>146</v>
      </c>
      <c r="J1123" s="83">
        <v>3518191459</v>
      </c>
      <c r="K1123" s="180"/>
      <c r="L1123" s="180">
        <v>46020</v>
      </c>
      <c r="M1123" s="180"/>
      <c r="N1123" s="181">
        <v>0.55257020000000001</v>
      </c>
      <c r="O1123" s="181" t="s">
        <v>147</v>
      </c>
      <c r="P1123" s="83" t="s">
        <v>323</v>
      </c>
      <c r="Q1123" s="177" t="s">
        <v>324</v>
      </c>
      <c r="R1123" s="83"/>
    </row>
    <row r="1124" spans="1:18">
      <c r="A1124" s="83">
        <v>80889182</v>
      </c>
      <c r="B1124" s="186" t="s">
        <v>142</v>
      </c>
      <c r="C1124" s="186" t="s">
        <v>153</v>
      </c>
      <c r="D1124" s="83" t="s">
        <v>144</v>
      </c>
      <c r="E1124" s="83" t="s">
        <v>145</v>
      </c>
      <c r="F1124" s="180">
        <v>46063</v>
      </c>
      <c r="G1124" s="83">
        <v>50</v>
      </c>
      <c r="H1124" s="180">
        <v>46020</v>
      </c>
      <c r="I1124" s="180" t="s">
        <v>146</v>
      </c>
      <c r="J1124" s="83">
        <v>3518191460</v>
      </c>
      <c r="K1124" s="180"/>
      <c r="L1124" s="180">
        <v>46020</v>
      </c>
      <c r="M1124" s="180"/>
      <c r="N1124" s="181">
        <v>0.151805</v>
      </c>
      <c r="O1124" s="181" t="s">
        <v>147</v>
      </c>
      <c r="P1124" s="83" t="s">
        <v>323</v>
      </c>
      <c r="Q1124" s="177" t="s">
        <v>324</v>
      </c>
      <c r="R1124" s="83"/>
    </row>
    <row r="1125" spans="1:18">
      <c r="A1125" s="83">
        <v>80889182</v>
      </c>
      <c r="B1125" s="186" t="s">
        <v>142</v>
      </c>
      <c r="C1125" s="186" t="s">
        <v>154</v>
      </c>
      <c r="D1125" s="83" t="s">
        <v>144</v>
      </c>
      <c r="E1125" s="83" t="s">
        <v>145</v>
      </c>
      <c r="F1125" s="180">
        <v>46063</v>
      </c>
      <c r="G1125" s="83">
        <v>67</v>
      </c>
      <c r="H1125" s="180">
        <v>46020</v>
      </c>
      <c r="I1125" s="180" t="s">
        <v>146</v>
      </c>
      <c r="J1125" s="83">
        <v>3518191461</v>
      </c>
      <c r="K1125" s="180"/>
      <c r="L1125" s="180">
        <v>46020</v>
      </c>
      <c r="M1125" s="180"/>
      <c r="N1125" s="181">
        <v>0.20341870000000001</v>
      </c>
      <c r="O1125" s="181" t="s">
        <v>147</v>
      </c>
      <c r="P1125" s="83" t="s">
        <v>323</v>
      </c>
      <c r="Q1125" s="177" t="s">
        <v>324</v>
      </c>
      <c r="R1125" s="83"/>
    </row>
    <row r="1126" spans="1:18">
      <c r="A1126" s="83">
        <v>80889182</v>
      </c>
      <c r="B1126" s="186" t="s">
        <v>142</v>
      </c>
      <c r="C1126" s="186" t="s">
        <v>155</v>
      </c>
      <c r="D1126" s="83" t="s">
        <v>144</v>
      </c>
      <c r="E1126" s="83" t="s">
        <v>145</v>
      </c>
      <c r="F1126" s="180">
        <v>46063</v>
      </c>
      <c r="G1126" s="83">
        <v>397</v>
      </c>
      <c r="H1126" s="180">
        <v>46020</v>
      </c>
      <c r="I1126" s="180" t="s">
        <v>146</v>
      </c>
      <c r="J1126" s="83">
        <v>3518191462</v>
      </c>
      <c r="K1126" s="180"/>
      <c r="L1126" s="180">
        <v>46020</v>
      </c>
      <c r="M1126" s="180"/>
      <c r="N1126" s="181">
        <v>1.2053316999999999</v>
      </c>
      <c r="O1126" s="181" t="s">
        <v>147</v>
      </c>
      <c r="P1126" s="83" t="s">
        <v>323</v>
      </c>
      <c r="Q1126" s="177" t="s">
        <v>324</v>
      </c>
      <c r="R1126" s="83"/>
    </row>
    <row r="1127" spans="1:18">
      <c r="A1127" s="83">
        <v>80889183</v>
      </c>
      <c r="B1127" s="186" t="s">
        <v>156</v>
      </c>
      <c r="C1127" s="186" t="s">
        <v>143</v>
      </c>
      <c r="D1127" s="83" t="s">
        <v>144</v>
      </c>
      <c r="E1127" s="83" t="s">
        <v>145</v>
      </c>
      <c r="F1127" s="180">
        <v>46063</v>
      </c>
      <c r="G1127" s="83">
        <v>138</v>
      </c>
      <c r="H1127" s="180">
        <v>46020</v>
      </c>
      <c r="I1127" s="180" t="s">
        <v>146</v>
      </c>
      <c r="J1127" s="83">
        <v>3518191463</v>
      </c>
      <c r="K1127" s="180"/>
      <c r="L1127" s="180">
        <v>46020</v>
      </c>
      <c r="M1127" s="180"/>
      <c r="N1127" s="181">
        <v>0.41898180000000002</v>
      </c>
      <c r="O1127" s="181" t="s">
        <v>147</v>
      </c>
      <c r="P1127" s="83" t="s">
        <v>323</v>
      </c>
      <c r="Q1127" s="177" t="s">
        <v>324</v>
      </c>
      <c r="R1127" s="83"/>
    </row>
    <row r="1128" spans="1:18">
      <c r="A1128" s="83">
        <v>80889183</v>
      </c>
      <c r="B1128" s="186" t="s">
        <v>156</v>
      </c>
      <c r="C1128" s="186" t="s">
        <v>150</v>
      </c>
      <c r="D1128" s="83" t="s">
        <v>144</v>
      </c>
      <c r="E1128" s="83" t="s">
        <v>145</v>
      </c>
      <c r="F1128" s="180">
        <v>46063</v>
      </c>
      <c r="G1128" s="83">
        <v>508</v>
      </c>
      <c r="H1128" s="180">
        <v>46020</v>
      </c>
      <c r="I1128" s="180" t="s">
        <v>146</v>
      </c>
      <c r="J1128" s="83">
        <v>3518191464</v>
      </c>
      <c r="K1128" s="180"/>
      <c r="L1128" s="180">
        <v>46020</v>
      </c>
      <c r="M1128" s="180"/>
      <c r="N1128" s="181">
        <v>1.5423388</v>
      </c>
      <c r="O1128" s="181" t="s">
        <v>147</v>
      </c>
      <c r="P1128" s="83" t="s">
        <v>323</v>
      </c>
      <c r="Q1128" s="177" t="s">
        <v>324</v>
      </c>
      <c r="R1128" s="83"/>
    </row>
    <row r="1129" spans="1:18">
      <c r="A1129" s="83">
        <v>80889183</v>
      </c>
      <c r="B1129" s="186" t="s">
        <v>156</v>
      </c>
      <c r="C1129" s="186" t="s">
        <v>151</v>
      </c>
      <c r="D1129" s="83" t="s">
        <v>144</v>
      </c>
      <c r="E1129" s="83" t="s">
        <v>145</v>
      </c>
      <c r="F1129" s="180">
        <v>46063</v>
      </c>
      <c r="G1129" s="83">
        <v>691</v>
      </c>
      <c r="H1129" s="180">
        <v>46020</v>
      </c>
      <c r="I1129" s="180" t="s">
        <v>146</v>
      </c>
      <c r="J1129" s="83">
        <v>3518191465</v>
      </c>
      <c r="K1129" s="180"/>
      <c r="L1129" s="180">
        <v>46020</v>
      </c>
      <c r="M1129" s="180"/>
      <c r="N1129" s="181">
        <v>2.0979451</v>
      </c>
      <c r="O1129" s="181" t="s">
        <v>147</v>
      </c>
      <c r="P1129" s="83" t="s">
        <v>323</v>
      </c>
      <c r="Q1129" s="177" t="s">
        <v>324</v>
      </c>
      <c r="R1129" s="83"/>
    </row>
    <row r="1130" spans="1:18">
      <c r="A1130" s="83">
        <v>80889183</v>
      </c>
      <c r="B1130" s="186" t="s">
        <v>156</v>
      </c>
      <c r="C1130" s="186" t="s">
        <v>152</v>
      </c>
      <c r="D1130" s="83" t="s">
        <v>144</v>
      </c>
      <c r="E1130" s="83" t="s">
        <v>145</v>
      </c>
      <c r="F1130" s="180">
        <v>46063</v>
      </c>
      <c r="G1130" s="83">
        <v>255</v>
      </c>
      <c r="H1130" s="180">
        <v>46020</v>
      </c>
      <c r="I1130" s="180" t="s">
        <v>146</v>
      </c>
      <c r="J1130" s="83">
        <v>3518191466</v>
      </c>
      <c r="K1130" s="180"/>
      <c r="L1130" s="180">
        <v>46020</v>
      </c>
      <c r="M1130" s="180"/>
      <c r="N1130" s="181">
        <v>0.77420549999999999</v>
      </c>
      <c r="O1130" s="181" t="s">
        <v>147</v>
      </c>
      <c r="P1130" s="83" t="s">
        <v>323</v>
      </c>
      <c r="Q1130" s="177" t="s">
        <v>324</v>
      </c>
      <c r="R1130" s="83"/>
    </row>
    <row r="1131" spans="1:18">
      <c r="A1131" s="83">
        <v>80889183</v>
      </c>
      <c r="B1131" s="186" t="s">
        <v>156</v>
      </c>
      <c r="C1131" s="186" t="s">
        <v>153</v>
      </c>
      <c r="D1131" s="83" t="s">
        <v>144</v>
      </c>
      <c r="E1131" s="83" t="s">
        <v>145</v>
      </c>
      <c r="F1131" s="180">
        <v>46063</v>
      </c>
      <c r="G1131" s="83">
        <v>70</v>
      </c>
      <c r="H1131" s="180">
        <v>46020</v>
      </c>
      <c r="I1131" s="180" t="s">
        <v>146</v>
      </c>
      <c r="J1131" s="83">
        <v>3518191467</v>
      </c>
      <c r="K1131" s="180"/>
      <c r="L1131" s="180">
        <v>46020</v>
      </c>
      <c r="M1131" s="180"/>
      <c r="N1131" s="181">
        <v>0.21252699999999999</v>
      </c>
      <c r="O1131" s="181" t="s">
        <v>147</v>
      </c>
      <c r="P1131" s="83" t="s">
        <v>323</v>
      </c>
      <c r="Q1131" s="177" t="s">
        <v>324</v>
      </c>
      <c r="R1131" s="83"/>
    </row>
    <row r="1132" spans="1:18">
      <c r="A1132" s="83">
        <v>80889183</v>
      </c>
      <c r="B1132" s="186" t="s">
        <v>156</v>
      </c>
      <c r="C1132" s="186" t="s">
        <v>154</v>
      </c>
      <c r="D1132" s="83" t="s">
        <v>144</v>
      </c>
      <c r="E1132" s="83" t="s">
        <v>145</v>
      </c>
      <c r="F1132" s="180">
        <v>46063</v>
      </c>
      <c r="G1132" s="83">
        <v>92</v>
      </c>
      <c r="H1132" s="180">
        <v>46020</v>
      </c>
      <c r="I1132" s="180" t="s">
        <v>146</v>
      </c>
      <c r="J1132" s="83">
        <v>3518191468</v>
      </c>
      <c r="K1132" s="180"/>
      <c r="L1132" s="180">
        <v>46020</v>
      </c>
      <c r="M1132" s="180"/>
      <c r="N1132" s="181">
        <v>0.27932119999999999</v>
      </c>
      <c r="O1132" s="181" t="s">
        <v>147</v>
      </c>
      <c r="P1132" s="83" t="s">
        <v>323</v>
      </c>
      <c r="Q1132" s="177" t="s">
        <v>324</v>
      </c>
      <c r="R1132" s="83"/>
    </row>
    <row r="1133" spans="1:18">
      <c r="A1133" s="83">
        <v>80889183</v>
      </c>
      <c r="B1133" s="186" t="s">
        <v>156</v>
      </c>
      <c r="C1133" s="186" t="s">
        <v>155</v>
      </c>
      <c r="D1133" s="83" t="s">
        <v>144</v>
      </c>
      <c r="E1133" s="83" t="s">
        <v>145</v>
      </c>
      <c r="F1133" s="180">
        <v>46063</v>
      </c>
      <c r="G1133" s="83">
        <v>555</v>
      </c>
      <c r="H1133" s="180">
        <v>46020</v>
      </c>
      <c r="I1133" s="180" t="s">
        <v>146</v>
      </c>
      <c r="J1133" s="83">
        <v>3518191469</v>
      </c>
      <c r="K1133" s="180"/>
      <c r="L1133" s="180">
        <v>46020</v>
      </c>
      <c r="M1133" s="180"/>
      <c r="N1133" s="181">
        <v>1.6850354999999999</v>
      </c>
      <c r="O1133" s="181" t="s">
        <v>147</v>
      </c>
      <c r="P1133" s="83" t="s">
        <v>323</v>
      </c>
      <c r="Q1133" s="177" t="s">
        <v>324</v>
      </c>
      <c r="R1133" s="83"/>
    </row>
    <row r="1134" spans="1:18">
      <c r="A1134" s="83">
        <v>80889184</v>
      </c>
      <c r="B1134" s="186" t="s">
        <v>157</v>
      </c>
      <c r="C1134" s="186" t="s">
        <v>143</v>
      </c>
      <c r="D1134" s="83" t="s">
        <v>144</v>
      </c>
      <c r="E1134" s="83" t="s">
        <v>145</v>
      </c>
      <c r="F1134" s="180">
        <v>46063</v>
      </c>
      <c r="G1134" s="83">
        <v>112</v>
      </c>
      <c r="H1134" s="180">
        <v>46020</v>
      </c>
      <c r="I1134" s="180" t="s">
        <v>146</v>
      </c>
      <c r="J1134" s="83">
        <v>3518191470</v>
      </c>
      <c r="K1134" s="180"/>
      <c r="L1134" s="180">
        <v>46020</v>
      </c>
      <c r="M1134" s="180"/>
      <c r="N1134" s="181">
        <v>0.1827056</v>
      </c>
      <c r="O1134" s="181" t="s">
        <v>147</v>
      </c>
      <c r="P1134" s="83" t="s">
        <v>323</v>
      </c>
      <c r="Q1134" s="177" t="s">
        <v>324</v>
      </c>
      <c r="R1134" s="83"/>
    </row>
    <row r="1135" spans="1:18">
      <c r="A1135" s="83">
        <v>80889184</v>
      </c>
      <c r="B1135" s="186" t="s">
        <v>157</v>
      </c>
      <c r="C1135" s="186" t="s">
        <v>150</v>
      </c>
      <c r="D1135" s="83" t="s">
        <v>144</v>
      </c>
      <c r="E1135" s="83" t="s">
        <v>145</v>
      </c>
      <c r="F1135" s="180">
        <v>46063</v>
      </c>
      <c r="G1135" s="83">
        <v>406</v>
      </c>
      <c r="H1135" s="180">
        <v>46020</v>
      </c>
      <c r="I1135" s="180" t="s">
        <v>146</v>
      </c>
      <c r="J1135" s="83">
        <v>3518191471</v>
      </c>
      <c r="K1135" s="180"/>
      <c r="L1135" s="180">
        <v>46020</v>
      </c>
      <c r="M1135" s="180"/>
      <c r="N1135" s="181">
        <v>0.6623078</v>
      </c>
      <c r="O1135" s="181" t="s">
        <v>147</v>
      </c>
      <c r="P1135" s="83" t="s">
        <v>323</v>
      </c>
      <c r="Q1135" s="177" t="s">
        <v>324</v>
      </c>
      <c r="R1135" s="83"/>
    </row>
    <row r="1136" spans="1:18">
      <c r="A1136" s="83">
        <v>80889184</v>
      </c>
      <c r="B1136" s="186" t="s">
        <v>157</v>
      </c>
      <c r="C1136" s="186" t="s">
        <v>151</v>
      </c>
      <c r="D1136" s="83" t="s">
        <v>144</v>
      </c>
      <c r="E1136" s="83" t="s">
        <v>145</v>
      </c>
      <c r="F1136" s="180">
        <v>46063</v>
      </c>
      <c r="G1136" s="83">
        <v>551</v>
      </c>
      <c r="H1136" s="180">
        <v>46020</v>
      </c>
      <c r="I1136" s="180" t="s">
        <v>146</v>
      </c>
      <c r="J1136" s="83">
        <v>3518191472</v>
      </c>
      <c r="K1136" s="180"/>
      <c r="L1136" s="180">
        <v>46020</v>
      </c>
      <c r="M1136" s="180"/>
      <c r="N1136" s="181">
        <v>0.89884629999999999</v>
      </c>
      <c r="O1136" s="181" t="s">
        <v>147</v>
      </c>
      <c r="P1136" s="83" t="s">
        <v>323</v>
      </c>
      <c r="Q1136" s="177" t="s">
        <v>324</v>
      </c>
      <c r="R1136" s="83"/>
    </row>
    <row r="1137" spans="1:18">
      <c r="A1137" s="83">
        <v>80889184</v>
      </c>
      <c r="B1137" s="186" t="s">
        <v>157</v>
      </c>
      <c r="C1137" s="186" t="s">
        <v>152</v>
      </c>
      <c r="D1137" s="83" t="s">
        <v>144</v>
      </c>
      <c r="E1137" s="83" t="s">
        <v>145</v>
      </c>
      <c r="F1137" s="180">
        <v>46063</v>
      </c>
      <c r="G1137" s="83">
        <v>204</v>
      </c>
      <c r="H1137" s="180">
        <v>46020</v>
      </c>
      <c r="I1137" s="180" t="s">
        <v>146</v>
      </c>
      <c r="J1137" s="83">
        <v>3518191473</v>
      </c>
      <c r="K1137" s="180"/>
      <c r="L1137" s="180">
        <v>46020</v>
      </c>
      <c r="M1137" s="180"/>
      <c r="N1137" s="181">
        <v>0.3327852</v>
      </c>
      <c r="O1137" s="181" t="s">
        <v>147</v>
      </c>
      <c r="P1137" s="83" t="s">
        <v>323</v>
      </c>
      <c r="Q1137" s="177" t="s">
        <v>324</v>
      </c>
      <c r="R1137" s="83"/>
    </row>
    <row r="1138" spans="1:18">
      <c r="A1138" s="83">
        <v>80889184</v>
      </c>
      <c r="B1138" s="186" t="s">
        <v>157</v>
      </c>
      <c r="C1138" s="186" t="s">
        <v>153</v>
      </c>
      <c r="D1138" s="83" t="s">
        <v>144</v>
      </c>
      <c r="E1138" s="83" t="s">
        <v>145</v>
      </c>
      <c r="F1138" s="180">
        <v>46063</v>
      </c>
      <c r="G1138" s="83">
        <v>55</v>
      </c>
      <c r="H1138" s="180">
        <v>46020</v>
      </c>
      <c r="I1138" s="180" t="s">
        <v>146</v>
      </c>
      <c r="J1138" s="83">
        <v>3518191474</v>
      </c>
      <c r="K1138" s="180"/>
      <c r="L1138" s="180">
        <v>46020</v>
      </c>
      <c r="M1138" s="180"/>
      <c r="N1138" s="181">
        <v>8.9721499999999996E-2</v>
      </c>
      <c r="O1138" s="181" t="s">
        <v>147</v>
      </c>
      <c r="P1138" s="83" t="s">
        <v>323</v>
      </c>
      <c r="Q1138" s="177" t="s">
        <v>324</v>
      </c>
      <c r="R1138" s="83"/>
    </row>
    <row r="1139" spans="1:18">
      <c r="A1139" s="83">
        <v>80889184</v>
      </c>
      <c r="B1139" s="186" t="s">
        <v>157</v>
      </c>
      <c r="C1139" s="186" t="s">
        <v>154</v>
      </c>
      <c r="D1139" s="83" t="s">
        <v>144</v>
      </c>
      <c r="E1139" s="83" t="s">
        <v>145</v>
      </c>
      <c r="F1139" s="180">
        <v>46063</v>
      </c>
      <c r="G1139" s="83">
        <v>75</v>
      </c>
      <c r="H1139" s="180">
        <v>46020</v>
      </c>
      <c r="I1139" s="180" t="s">
        <v>146</v>
      </c>
      <c r="J1139" s="83">
        <v>3518191475</v>
      </c>
      <c r="K1139" s="180"/>
      <c r="L1139" s="180">
        <v>46020</v>
      </c>
      <c r="M1139" s="180"/>
      <c r="N1139" s="181">
        <v>0.1223475</v>
      </c>
      <c r="O1139" s="181" t="s">
        <v>147</v>
      </c>
      <c r="P1139" s="83" t="s">
        <v>323</v>
      </c>
      <c r="Q1139" s="177" t="s">
        <v>324</v>
      </c>
      <c r="R1139" s="83"/>
    </row>
    <row r="1140" spans="1:18">
      <c r="A1140" s="83">
        <v>80889184</v>
      </c>
      <c r="B1140" s="186" t="s">
        <v>157</v>
      </c>
      <c r="C1140" s="186" t="s">
        <v>155</v>
      </c>
      <c r="D1140" s="83" t="s">
        <v>144</v>
      </c>
      <c r="E1140" s="83" t="s">
        <v>145</v>
      </c>
      <c r="F1140" s="180">
        <v>46063</v>
      </c>
      <c r="G1140" s="83">
        <v>441</v>
      </c>
      <c r="H1140" s="180">
        <v>46020</v>
      </c>
      <c r="I1140" s="180" t="s">
        <v>146</v>
      </c>
      <c r="J1140" s="83">
        <v>3518191476</v>
      </c>
      <c r="K1140" s="180"/>
      <c r="L1140" s="180">
        <v>46020</v>
      </c>
      <c r="M1140" s="180"/>
      <c r="N1140" s="181">
        <v>0.71940329999999997</v>
      </c>
      <c r="O1140" s="181" t="s">
        <v>147</v>
      </c>
      <c r="P1140" s="83" t="s">
        <v>323</v>
      </c>
      <c r="Q1140" s="177" t="s">
        <v>324</v>
      </c>
      <c r="R1140" s="83"/>
    </row>
    <row r="1141" spans="1:18">
      <c r="A1141" s="83">
        <v>80889185</v>
      </c>
      <c r="B1141" s="186" t="s">
        <v>158</v>
      </c>
      <c r="C1141" s="186" t="s">
        <v>143</v>
      </c>
      <c r="D1141" s="83" t="s">
        <v>144</v>
      </c>
      <c r="E1141" s="83" t="s">
        <v>145</v>
      </c>
      <c r="F1141" s="180">
        <v>46063</v>
      </c>
      <c r="G1141" s="83">
        <v>111</v>
      </c>
      <c r="H1141" s="180">
        <v>46020</v>
      </c>
      <c r="I1141" s="180" t="s">
        <v>146</v>
      </c>
      <c r="J1141" s="83">
        <v>3518191477</v>
      </c>
      <c r="K1141" s="180"/>
      <c r="L1141" s="180">
        <v>46020</v>
      </c>
      <c r="M1141" s="180"/>
      <c r="N1141" s="181">
        <v>0.18107429999999999</v>
      </c>
      <c r="O1141" s="181" t="s">
        <v>147</v>
      </c>
      <c r="P1141" s="83" t="s">
        <v>323</v>
      </c>
      <c r="Q1141" s="177" t="s">
        <v>324</v>
      </c>
      <c r="R1141" s="83"/>
    </row>
    <row r="1142" spans="1:18">
      <c r="A1142" s="83">
        <v>80889185</v>
      </c>
      <c r="B1142" s="186" t="s">
        <v>158</v>
      </c>
      <c r="C1142" s="186" t="s">
        <v>150</v>
      </c>
      <c r="D1142" s="83" t="s">
        <v>144</v>
      </c>
      <c r="E1142" s="83" t="s">
        <v>145</v>
      </c>
      <c r="F1142" s="180">
        <v>46063</v>
      </c>
      <c r="G1142" s="83">
        <v>405</v>
      </c>
      <c r="H1142" s="180">
        <v>46020</v>
      </c>
      <c r="I1142" s="180" t="s">
        <v>146</v>
      </c>
      <c r="J1142" s="83">
        <v>3518191498</v>
      </c>
      <c r="K1142" s="180"/>
      <c r="L1142" s="180">
        <v>46020</v>
      </c>
      <c r="M1142" s="180"/>
      <c r="N1142" s="181">
        <v>0.6606765</v>
      </c>
      <c r="O1142" s="181" t="s">
        <v>147</v>
      </c>
      <c r="P1142" s="83" t="s">
        <v>323</v>
      </c>
      <c r="Q1142" s="177" t="s">
        <v>324</v>
      </c>
      <c r="R1142" s="83"/>
    </row>
    <row r="1143" spans="1:18">
      <c r="A1143" s="83">
        <v>80889185</v>
      </c>
      <c r="B1143" s="186" t="s">
        <v>158</v>
      </c>
      <c r="C1143" s="186" t="s">
        <v>151</v>
      </c>
      <c r="D1143" s="83" t="s">
        <v>144</v>
      </c>
      <c r="E1143" s="83" t="s">
        <v>145</v>
      </c>
      <c r="F1143" s="180">
        <v>46063</v>
      </c>
      <c r="G1143" s="83">
        <v>551</v>
      </c>
      <c r="H1143" s="180">
        <v>46020</v>
      </c>
      <c r="I1143" s="180" t="s">
        <v>146</v>
      </c>
      <c r="J1143" s="83">
        <v>3518191499</v>
      </c>
      <c r="K1143" s="180"/>
      <c r="L1143" s="180">
        <v>46020</v>
      </c>
      <c r="M1143" s="180"/>
      <c r="N1143" s="181">
        <v>0.89884629999999999</v>
      </c>
      <c r="O1143" s="181" t="s">
        <v>147</v>
      </c>
      <c r="P1143" s="83" t="s">
        <v>323</v>
      </c>
      <c r="Q1143" s="177" t="s">
        <v>324</v>
      </c>
      <c r="R1143" s="83"/>
    </row>
    <row r="1144" spans="1:18">
      <c r="A1144" s="83">
        <v>80889185</v>
      </c>
      <c r="B1144" s="186" t="s">
        <v>158</v>
      </c>
      <c r="C1144" s="186" t="s">
        <v>152</v>
      </c>
      <c r="D1144" s="83" t="s">
        <v>144</v>
      </c>
      <c r="E1144" s="83" t="s">
        <v>145</v>
      </c>
      <c r="F1144" s="180">
        <v>46063</v>
      </c>
      <c r="G1144" s="83">
        <v>203</v>
      </c>
      <c r="H1144" s="180">
        <v>46020</v>
      </c>
      <c r="I1144" s="180" t="s">
        <v>146</v>
      </c>
      <c r="J1144" s="83">
        <v>3518191500</v>
      </c>
      <c r="K1144" s="180"/>
      <c r="L1144" s="180">
        <v>46020</v>
      </c>
      <c r="M1144" s="180"/>
      <c r="N1144" s="181">
        <v>0.3311539</v>
      </c>
      <c r="O1144" s="181" t="s">
        <v>147</v>
      </c>
      <c r="P1144" s="83" t="s">
        <v>323</v>
      </c>
      <c r="Q1144" s="177" t="s">
        <v>324</v>
      </c>
      <c r="R1144" s="83"/>
    </row>
    <row r="1145" spans="1:18">
      <c r="A1145" s="83">
        <v>80889185</v>
      </c>
      <c r="B1145" s="186" t="s">
        <v>158</v>
      </c>
      <c r="C1145" s="186" t="s">
        <v>153</v>
      </c>
      <c r="D1145" s="83" t="s">
        <v>144</v>
      </c>
      <c r="E1145" s="83" t="s">
        <v>145</v>
      </c>
      <c r="F1145" s="180">
        <v>46063</v>
      </c>
      <c r="G1145" s="83">
        <v>56</v>
      </c>
      <c r="H1145" s="180">
        <v>46020</v>
      </c>
      <c r="I1145" s="180" t="s">
        <v>146</v>
      </c>
      <c r="J1145" s="83">
        <v>3518191501</v>
      </c>
      <c r="K1145" s="180"/>
      <c r="L1145" s="180">
        <v>46020</v>
      </c>
      <c r="M1145" s="180"/>
      <c r="N1145" s="181">
        <v>9.1352799999999998E-2</v>
      </c>
      <c r="O1145" s="181" t="s">
        <v>147</v>
      </c>
      <c r="P1145" s="83" t="s">
        <v>323</v>
      </c>
      <c r="Q1145" s="177" t="s">
        <v>324</v>
      </c>
      <c r="R1145" s="83"/>
    </row>
    <row r="1146" spans="1:18">
      <c r="A1146" s="83">
        <v>80889185</v>
      </c>
      <c r="B1146" s="186" t="s">
        <v>158</v>
      </c>
      <c r="C1146" s="186" t="s">
        <v>154</v>
      </c>
      <c r="D1146" s="83" t="s">
        <v>144</v>
      </c>
      <c r="E1146" s="83" t="s">
        <v>145</v>
      </c>
      <c r="F1146" s="180">
        <v>46063</v>
      </c>
      <c r="G1146" s="83">
        <v>75</v>
      </c>
      <c r="H1146" s="180">
        <v>46020</v>
      </c>
      <c r="I1146" s="180" t="s">
        <v>146</v>
      </c>
      <c r="J1146" s="83">
        <v>3518191502</v>
      </c>
      <c r="K1146" s="180"/>
      <c r="L1146" s="180">
        <v>46020</v>
      </c>
      <c r="M1146" s="180"/>
      <c r="N1146" s="181">
        <v>0.1223475</v>
      </c>
      <c r="O1146" s="181" t="s">
        <v>147</v>
      </c>
      <c r="P1146" s="83" t="s">
        <v>323</v>
      </c>
      <c r="Q1146" s="177" t="s">
        <v>324</v>
      </c>
      <c r="R1146" s="83"/>
    </row>
    <row r="1147" spans="1:18">
      <c r="A1147" s="83">
        <v>80889185</v>
      </c>
      <c r="B1147" s="186" t="s">
        <v>158</v>
      </c>
      <c r="C1147" s="186" t="s">
        <v>155</v>
      </c>
      <c r="D1147" s="83" t="s">
        <v>144</v>
      </c>
      <c r="E1147" s="83" t="s">
        <v>145</v>
      </c>
      <c r="F1147" s="180">
        <v>46063</v>
      </c>
      <c r="G1147" s="83">
        <v>441</v>
      </c>
      <c r="H1147" s="180">
        <v>46020</v>
      </c>
      <c r="I1147" s="180" t="s">
        <v>146</v>
      </c>
      <c r="J1147" s="83">
        <v>3518191503</v>
      </c>
      <c r="K1147" s="180"/>
      <c r="L1147" s="180">
        <v>46020</v>
      </c>
      <c r="M1147" s="180"/>
      <c r="N1147" s="181">
        <v>0.71940329999999997</v>
      </c>
      <c r="O1147" s="181" t="s">
        <v>147</v>
      </c>
      <c r="P1147" s="83" t="s">
        <v>323</v>
      </c>
      <c r="Q1147" s="177" t="s">
        <v>324</v>
      </c>
      <c r="R1147" s="83"/>
    </row>
    <row r="1148" spans="1:18">
      <c r="A1148" s="83">
        <v>21073081</v>
      </c>
      <c r="B1148" s="186" t="s">
        <v>353</v>
      </c>
      <c r="C1148" s="186" t="s">
        <v>12</v>
      </c>
      <c r="D1148" s="83" t="s">
        <v>421</v>
      </c>
      <c r="E1148" s="83" t="s">
        <v>355</v>
      </c>
      <c r="F1148" s="180">
        <v>46106</v>
      </c>
      <c r="G1148" s="83">
        <v>66000</v>
      </c>
      <c r="H1148" s="180">
        <v>46020</v>
      </c>
      <c r="I1148" s="180" t="s">
        <v>422</v>
      </c>
      <c r="J1148" s="83">
        <v>3518191504</v>
      </c>
      <c r="K1148" s="180"/>
      <c r="L1148" s="180">
        <v>46020</v>
      </c>
      <c r="M1148" s="180"/>
      <c r="N1148" s="181">
        <v>24.200000000000003</v>
      </c>
      <c r="O1148" s="181" t="s">
        <v>147</v>
      </c>
      <c r="P1148" s="83" t="s">
        <v>323</v>
      </c>
      <c r="Q1148" s="177" t="s">
        <v>324</v>
      </c>
      <c r="R1148" s="83"/>
    </row>
    <row r="1149" spans="1:18">
      <c r="A1149" s="83">
        <v>21294824</v>
      </c>
      <c r="B1149" s="186" t="s">
        <v>357</v>
      </c>
      <c r="C1149" s="186" t="s">
        <v>12</v>
      </c>
      <c r="D1149" s="83" t="s">
        <v>421</v>
      </c>
      <c r="E1149" s="83" t="s">
        <v>355</v>
      </c>
      <c r="F1149" s="180">
        <v>46106</v>
      </c>
      <c r="G1149" s="83">
        <v>30000</v>
      </c>
      <c r="H1149" s="180">
        <v>46020</v>
      </c>
      <c r="I1149" s="180" t="s">
        <v>422</v>
      </c>
      <c r="J1149" s="83">
        <v>3518191505</v>
      </c>
      <c r="K1149" s="180"/>
      <c r="L1149" s="180">
        <v>46020</v>
      </c>
      <c r="M1149" s="180"/>
      <c r="N1149" s="181">
        <v>11</v>
      </c>
      <c r="O1149" s="181" t="s">
        <v>147</v>
      </c>
      <c r="P1149" s="83" t="s">
        <v>323</v>
      </c>
      <c r="Q1149" s="177" t="s">
        <v>324</v>
      </c>
      <c r="R1149" s="83"/>
    </row>
    <row r="1150" spans="1:18">
      <c r="A1150" s="83">
        <v>21073081</v>
      </c>
      <c r="B1150" s="186" t="s">
        <v>353</v>
      </c>
      <c r="C1150" s="186" t="s">
        <v>359</v>
      </c>
      <c r="D1150" s="83" t="s">
        <v>423</v>
      </c>
      <c r="E1150" s="83" t="s">
        <v>355</v>
      </c>
      <c r="F1150" s="180">
        <v>46113</v>
      </c>
      <c r="G1150" s="83">
        <v>498000</v>
      </c>
      <c r="H1150" s="180">
        <v>46020</v>
      </c>
      <c r="I1150" s="180" t="s">
        <v>422</v>
      </c>
      <c r="J1150" s="83">
        <v>3518191506</v>
      </c>
      <c r="K1150" s="180"/>
      <c r="L1150" s="180">
        <v>46020</v>
      </c>
      <c r="M1150" s="180"/>
      <c r="N1150" s="181">
        <v>182.60000000000002</v>
      </c>
      <c r="O1150" s="181" t="s">
        <v>147</v>
      </c>
      <c r="P1150" s="83" t="s">
        <v>323</v>
      </c>
      <c r="Q1150" s="177" t="s">
        <v>324</v>
      </c>
      <c r="R1150" s="83"/>
    </row>
    <row r="1151" spans="1:18">
      <c r="A1151" s="83">
        <v>21294824</v>
      </c>
      <c r="B1151" s="186" t="s">
        <v>357</v>
      </c>
      <c r="C1151" s="186" t="s">
        <v>359</v>
      </c>
      <c r="D1151" s="83" t="s">
        <v>423</v>
      </c>
      <c r="E1151" s="83" t="s">
        <v>355</v>
      </c>
      <c r="F1151" s="180">
        <v>46113</v>
      </c>
      <c r="G1151" s="83">
        <v>192000</v>
      </c>
      <c r="H1151" s="180">
        <v>46020</v>
      </c>
      <c r="I1151" s="180" t="s">
        <v>422</v>
      </c>
      <c r="J1151" s="83">
        <v>3518191507</v>
      </c>
      <c r="K1151" s="180"/>
      <c r="L1151" s="180">
        <v>46020</v>
      </c>
      <c r="M1151" s="180"/>
      <c r="N1151" s="181">
        <v>70.400000000000006</v>
      </c>
      <c r="O1151" s="181" t="s">
        <v>147</v>
      </c>
      <c r="P1151" s="83" t="s">
        <v>323</v>
      </c>
      <c r="Q1151" s="177" t="s">
        <v>324</v>
      </c>
      <c r="R1151" s="83"/>
    </row>
    <row r="1152" spans="1:18">
      <c r="A1152" s="83">
        <v>21355402</v>
      </c>
      <c r="B1152" s="186" t="s">
        <v>362</v>
      </c>
      <c r="C1152" s="186" t="s">
        <v>359</v>
      </c>
      <c r="D1152" s="83" t="s">
        <v>423</v>
      </c>
      <c r="E1152" s="83" t="s">
        <v>355</v>
      </c>
      <c r="F1152" s="180">
        <v>46113</v>
      </c>
      <c r="G1152" s="83">
        <v>42000</v>
      </c>
      <c r="H1152" s="180">
        <v>46020</v>
      </c>
      <c r="I1152" s="180" t="s">
        <v>422</v>
      </c>
      <c r="J1152" s="83">
        <v>3518191508</v>
      </c>
      <c r="K1152" s="180"/>
      <c r="L1152" s="180">
        <v>46020</v>
      </c>
      <c r="M1152" s="180"/>
      <c r="N1152" s="181">
        <v>15.400000000000002</v>
      </c>
      <c r="O1152" s="181" t="s">
        <v>147</v>
      </c>
      <c r="P1152" s="83" t="s">
        <v>323</v>
      </c>
      <c r="Q1152" s="177" t="s">
        <v>324</v>
      </c>
      <c r="R1152" s="83"/>
    </row>
    <row r="1153" spans="1:18">
      <c r="A1153" s="83">
        <v>80817092</v>
      </c>
      <c r="B1153" s="186" t="s">
        <v>424</v>
      </c>
      <c r="C1153" s="186" t="s">
        <v>143</v>
      </c>
      <c r="D1153" s="83" t="s">
        <v>425</v>
      </c>
      <c r="E1153" s="83" t="s">
        <v>168</v>
      </c>
      <c r="F1153" s="180">
        <v>46038</v>
      </c>
      <c r="G1153" s="83">
        <v>500</v>
      </c>
      <c r="H1153" s="180">
        <v>46021</v>
      </c>
      <c r="I1153" s="180" t="s">
        <v>232</v>
      </c>
      <c r="J1153" s="83">
        <v>3518703907</v>
      </c>
      <c r="K1153" s="180"/>
      <c r="L1153" s="180">
        <v>46021</v>
      </c>
      <c r="M1153" s="180"/>
      <c r="N1153" s="181">
        <v>1.3141</v>
      </c>
      <c r="O1153" s="181" t="s">
        <v>170</v>
      </c>
      <c r="P1153" s="83" t="s">
        <v>323</v>
      </c>
      <c r="Q1153" s="177" t="s">
        <v>324</v>
      </c>
      <c r="R1153" s="83"/>
    </row>
    <row r="1154" spans="1:18">
      <c r="A1154" s="83">
        <v>80817092</v>
      </c>
      <c r="B1154" s="186" t="s">
        <v>424</v>
      </c>
      <c r="C1154" s="186" t="s">
        <v>150</v>
      </c>
      <c r="D1154" s="83" t="s">
        <v>425</v>
      </c>
      <c r="E1154" s="83" t="s">
        <v>168</v>
      </c>
      <c r="F1154" s="180">
        <v>46038</v>
      </c>
      <c r="G1154" s="83">
        <v>333</v>
      </c>
      <c r="H1154" s="180">
        <v>46021</v>
      </c>
      <c r="I1154" s="180" t="s">
        <v>232</v>
      </c>
      <c r="J1154" s="83">
        <v>3518703908</v>
      </c>
      <c r="K1154" s="180"/>
      <c r="L1154" s="180">
        <v>46021</v>
      </c>
      <c r="M1154" s="180"/>
      <c r="N1154" s="181">
        <v>0.87519060000000004</v>
      </c>
      <c r="O1154" s="181" t="s">
        <v>170</v>
      </c>
      <c r="P1154" s="83" t="s">
        <v>323</v>
      </c>
      <c r="Q1154" s="177" t="s">
        <v>324</v>
      </c>
      <c r="R1154" s="83"/>
    </row>
    <row r="1155" spans="1:18">
      <c r="A1155" s="83">
        <v>80817092</v>
      </c>
      <c r="B1155" s="186" t="s">
        <v>424</v>
      </c>
      <c r="C1155" s="186" t="s">
        <v>151</v>
      </c>
      <c r="D1155" s="83" t="s">
        <v>425</v>
      </c>
      <c r="E1155" s="83" t="s">
        <v>168</v>
      </c>
      <c r="F1155" s="180">
        <v>46038</v>
      </c>
      <c r="G1155" s="83">
        <v>500</v>
      </c>
      <c r="H1155" s="180">
        <v>46021</v>
      </c>
      <c r="I1155" s="180" t="s">
        <v>232</v>
      </c>
      <c r="J1155" s="83">
        <v>3518703909</v>
      </c>
      <c r="K1155" s="180"/>
      <c r="L1155" s="180">
        <v>46021</v>
      </c>
      <c r="M1155" s="180"/>
      <c r="N1155" s="181">
        <v>1.3141</v>
      </c>
      <c r="O1155" s="181" t="s">
        <v>170</v>
      </c>
      <c r="P1155" s="83" t="s">
        <v>323</v>
      </c>
      <c r="Q1155" s="177" t="s">
        <v>324</v>
      </c>
      <c r="R1155" s="83"/>
    </row>
    <row r="1156" spans="1:18">
      <c r="A1156" s="83">
        <v>80817092</v>
      </c>
      <c r="B1156" s="186" t="s">
        <v>424</v>
      </c>
      <c r="C1156" s="186" t="s">
        <v>155</v>
      </c>
      <c r="D1156" s="83" t="s">
        <v>425</v>
      </c>
      <c r="E1156" s="83" t="s">
        <v>168</v>
      </c>
      <c r="F1156" s="180">
        <v>46038</v>
      </c>
      <c r="G1156" s="83">
        <v>333</v>
      </c>
      <c r="H1156" s="180">
        <v>46021</v>
      </c>
      <c r="I1156" s="180" t="s">
        <v>232</v>
      </c>
      <c r="J1156" s="83">
        <v>3518703910</v>
      </c>
      <c r="K1156" s="180"/>
      <c r="L1156" s="180">
        <v>46021</v>
      </c>
      <c r="M1156" s="180"/>
      <c r="N1156" s="181">
        <v>0.87519060000000004</v>
      </c>
      <c r="O1156" s="181" t="s">
        <v>170</v>
      </c>
      <c r="P1156" s="83" t="s">
        <v>323</v>
      </c>
      <c r="Q1156" s="177" t="s">
        <v>324</v>
      </c>
      <c r="R1156" s="83"/>
    </row>
    <row r="1157" spans="1:18">
      <c r="A1157" s="83">
        <v>80817094</v>
      </c>
      <c r="B1157" s="186" t="s">
        <v>426</v>
      </c>
      <c r="C1157" s="186" t="s">
        <v>143</v>
      </c>
      <c r="D1157" s="83" t="s">
        <v>425</v>
      </c>
      <c r="E1157" s="83" t="s">
        <v>168</v>
      </c>
      <c r="F1157" s="180">
        <v>46038</v>
      </c>
      <c r="G1157" s="83">
        <v>750</v>
      </c>
      <c r="H1157" s="180">
        <v>46021</v>
      </c>
      <c r="I1157" s="180" t="s">
        <v>232</v>
      </c>
      <c r="J1157" s="83">
        <v>3518703911</v>
      </c>
      <c r="K1157" s="180"/>
      <c r="L1157" s="180">
        <v>46021</v>
      </c>
      <c r="M1157" s="180"/>
      <c r="N1157" s="181">
        <v>1.97115</v>
      </c>
      <c r="O1157" s="181" t="s">
        <v>170</v>
      </c>
      <c r="P1157" s="83" t="s">
        <v>323</v>
      </c>
      <c r="Q1157" s="177" t="s">
        <v>324</v>
      </c>
      <c r="R1157" s="83"/>
    </row>
    <row r="1158" spans="1:18">
      <c r="A1158" s="83">
        <v>80817094</v>
      </c>
      <c r="B1158" s="186" t="s">
        <v>426</v>
      </c>
      <c r="C1158" s="186" t="s">
        <v>150</v>
      </c>
      <c r="D1158" s="83" t="s">
        <v>425</v>
      </c>
      <c r="E1158" s="83" t="s">
        <v>168</v>
      </c>
      <c r="F1158" s="180">
        <v>46038</v>
      </c>
      <c r="G1158" s="83">
        <v>500</v>
      </c>
      <c r="H1158" s="180">
        <v>46021</v>
      </c>
      <c r="I1158" s="180" t="s">
        <v>232</v>
      </c>
      <c r="J1158" s="83">
        <v>3518703912</v>
      </c>
      <c r="K1158" s="180"/>
      <c r="L1158" s="180">
        <v>46021</v>
      </c>
      <c r="M1158" s="180"/>
      <c r="N1158" s="181">
        <v>1.3141</v>
      </c>
      <c r="O1158" s="181" t="s">
        <v>170</v>
      </c>
      <c r="P1158" s="83" t="s">
        <v>323</v>
      </c>
      <c r="Q1158" s="177" t="s">
        <v>324</v>
      </c>
      <c r="R1158" s="83"/>
    </row>
    <row r="1159" spans="1:18">
      <c r="A1159" s="83">
        <v>80817094</v>
      </c>
      <c r="B1159" s="186" t="s">
        <v>426</v>
      </c>
      <c r="C1159" s="186" t="s">
        <v>151</v>
      </c>
      <c r="D1159" s="83" t="s">
        <v>425</v>
      </c>
      <c r="E1159" s="83" t="s">
        <v>168</v>
      </c>
      <c r="F1159" s="180">
        <v>46038</v>
      </c>
      <c r="G1159" s="83">
        <v>750</v>
      </c>
      <c r="H1159" s="180">
        <v>46021</v>
      </c>
      <c r="I1159" s="180" t="s">
        <v>232</v>
      </c>
      <c r="J1159" s="83">
        <v>3518703913</v>
      </c>
      <c r="K1159" s="180"/>
      <c r="L1159" s="180">
        <v>46021</v>
      </c>
      <c r="M1159" s="180"/>
      <c r="N1159" s="181">
        <v>1.97115</v>
      </c>
      <c r="O1159" s="181" t="s">
        <v>170</v>
      </c>
      <c r="P1159" s="83" t="s">
        <v>323</v>
      </c>
      <c r="Q1159" s="177" t="s">
        <v>324</v>
      </c>
      <c r="R1159" s="83"/>
    </row>
    <row r="1160" spans="1:18">
      <c r="A1160" s="83">
        <v>80817094</v>
      </c>
      <c r="B1160" s="186" t="s">
        <v>426</v>
      </c>
      <c r="C1160" s="186" t="s">
        <v>155</v>
      </c>
      <c r="D1160" s="83" t="s">
        <v>425</v>
      </c>
      <c r="E1160" s="83" t="s">
        <v>168</v>
      </c>
      <c r="F1160" s="180">
        <v>46038</v>
      </c>
      <c r="G1160" s="83">
        <v>500</v>
      </c>
      <c r="H1160" s="180">
        <v>46021</v>
      </c>
      <c r="I1160" s="180" t="s">
        <v>232</v>
      </c>
      <c r="J1160" s="83">
        <v>3518703914</v>
      </c>
      <c r="K1160" s="180"/>
      <c r="L1160" s="180">
        <v>46021</v>
      </c>
      <c r="M1160" s="180"/>
      <c r="N1160" s="181">
        <v>1.3141</v>
      </c>
      <c r="O1160" s="181" t="s">
        <v>170</v>
      </c>
      <c r="P1160" s="83" t="s">
        <v>323</v>
      </c>
      <c r="Q1160" s="177" t="s">
        <v>324</v>
      </c>
      <c r="R1160" s="83"/>
    </row>
    <row r="1161" spans="1:18">
      <c r="A1161" s="83">
        <v>83900171</v>
      </c>
      <c r="B1161" s="186" t="s">
        <v>393</v>
      </c>
      <c r="C1161" s="186" t="s">
        <v>151</v>
      </c>
      <c r="D1161" s="83" t="s">
        <v>395</v>
      </c>
      <c r="E1161" s="83" t="s">
        <v>168</v>
      </c>
      <c r="F1161" s="180">
        <v>46034</v>
      </c>
      <c r="G1161" s="83">
        <v>1521</v>
      </c>
      <c r="H1161" s="180">
        <v>46021</v>
      </c>
      <c r="I1161" s="180" t="s">
        <v>146</v>
      </c>
      <c r="J1161" s="83">
        <v>3518703915</v>
      </c>
      <c r="K1161" s="180"/>
      <c r="L1161" s="180">
        <v>46021</v>
      </c>
      <c r="M1161" s="180"/>
      <c r="N1161" s="181">
        <v>2.4812072999999999</v>
      </c>
      <c r="O1161" s="181" t="s">
        <v>170</v>
      </c>
      <c r="P1161" s="83" t="s">
        <v>323</v>
      </c>
      <c r="Q1161" s="177" t="s">
        <v>324</v>
      </c>
      <c r="R1161" s="83"/>
    </row>
    <row r="1162" spans="1:18">
      <c r="A1162" s="83">
        <v>83900171</v>
      </c>
      <c r="B1162" s="186" t="s">
        <v>393</v>
      </c>
      <c r="C1162" s="186" t="s">
        <v>155</v>
      </c>
      <c r="D1162" s="83" t="s">
        <v>395</v>
      </c>
      <c r="E1162" s="83" t="s">
        <v>168</v>
      </c>
      <c r="F1162" s="180">
        <v>46034</v>
      </c>
      <c r="G1162" s="83">
        <v>1141</v>
      </c>
      <c r="H1162" s="180">
        <v>46021</v>
      </c>
      <c r="I1162" s="180" t="s">
        <v>146</v>
      </c>
      <c r="J1162" s="83">
        <v>3518703916</v>
      </c>
      <c r="K1162" s="180"/>
      <c r="L1162" s="180">
        <v>46021</v>
      </c>
      <c r="M1162" s="180"/>
      <c r="N1162" s="181">
        <v>1.8613132999999999</v>
      </c>
      <c r="O1162" s="181" t="s">
        <v>170</v>
      </c>
      <c r="P1162" s="83" t="s">
        <v>323</v>
      </c>
      <c r="Q1162" s="177" t="s">
        <v>324</v>
      </c>
      <c r="R1162" s="83"/>
    </row>
    <row r="1163" spans="1:18">
      <c r="A1163" s="83">
        <v>83900171</v>
      </c>
      <c r="B1163" s="186" t="s">
        <v>393</v>
      </c>
      <c r="C1163" s="186" t="s">
        <v>150</v>
      </c>
      <c r="D1163" s="83" t="s">
        <v>395</v>
      </c>
      <c r="E1163" s="83" t="s">
        <v>168</v>
      </c>
      <c r="F1163" s="180">
        <v>46034</v>
      </c>
      <c r="G1163" s="83">
        <v>1141</v>
      </c>
      <c r="H1163" s="180">
        <v>46021</v>
      </c>
      <c r="I1163" s="180" t="s">
        <v>146</v>
      </c>
      <c r="J1163" s="83">
        <v>3518703917</v>
      </c>
      <c r="K1163" s="180"/>
      <c r="L1163" s="180">
        <v>46021</v>
      </c>
      <c r="M1163" s="180"/>
      <c r="N1163" s="181">
        <v>1.8613132999999999</v>
      </c>
      <c r="O1163" s="181" t="s">
        <v>170</v>
      </c>
      <c r="P1163" s="83" t="s">
        <v>323</v>
      </c>
      <c r="Q1163" s="177" t="s">
        <v>324</v>
      </c>
      <c r="R1163" s="83"/>
    </row>
    <row r="1164" spans="1:18">
      <c r="A1164" s="83">
        <v>80814077</v>
      </c>
      <c r="B1164" s="186" t="s">
        <v>427</v>
      </c>
      <c r="C1164" s="186" t="s">
        <v>143</v>
      </c>
      <c r="D1164" s="83" t="s">
        <v>428</v>
      </c>
      <c r="E1164" s="83" t="s">
        <v>168</v>
      </c>
      <c r="F1164" s="180">
        <v>46034</v>
      </c>
      <c r="G1164" s="83">
        <v>31</v>
      </c>
      <c r="H1164" s="180">
        <v>46021</v>
      </c>
      <c r="I1164" s="180" t="s">
        <v>202</v>
      </c>
      <c r="J1164" s="83">
        <v>3518709464</v>
      </c>
      <c r="K1164" s="180"/>
      <c r="L1164" s="180">
        <v>46021</v>
      </c>
      <c r="M1164" s="180"/>
      <c r="N1164" s="181">
        <v>5.6187500000000001E-2</v>
      </c>
      <c r="O1164" s="181" t="s">
        <v>170</v>
      </c>
      <c r="P1164" s="83" t="s">
        <v>323</v>
      </c>
      <c r="Q1164" s="177" t="s">
        <v>324</v>
      </c>
      <c r="R1164" s="83"/>
    </row>
    <row r="1165" spans="1:18">
      <c r="A1165" s="83">
        <v>80814077</v>
      </c>
      <c r="B1165" s="186" t="s">
        <v>427</v>
      </c>
      <c r="C1165" s="186" t="s">
        <v>150</v>
      </c>
      <c r="D1165" s="83" t="s">
        <v>428</v>
      </c>
      <c r="E1165" s="83" t="s">
        <v>168</v>
      </c>
      <c r="F1165" s="180">
        <v>46034</v>
      </c>
      <c r="G1165" s="83">
        <v>400</v>
      </c>
      <c r="H1165" s="180">
        <v>46021</v>
      </c>
      <c r="I1165" s="180" t="s">
        <v>202</v>
      </c>
      <c r="J1165" s="83">
        <v>3518709465</v>
      </c>
      <c r="K1165" s="180"/>
      <c r="L1165" s="180">
        <v>46021</v>
      </c>
      <c r="M1165" s="180"/>
      <c r="N1165" s="181">
        <v>0.72499999999999998</v>
      </c>
      <c r="O1165" s="181" t="s">
        <v>170</v>
      </c>
      <c r="P1165" s="83" t="s">
        <v>323</v>
      </c>
      <c r="Q1165" s="177" t="s">
        <v>324</v>
      </c>
      <c r="R1165" s="83"/>
    </row>
    <row r="1166" spans="1:18">
      <c r="A1166" s="83">
        <v>80814077</v>
      </c>
      <c r="B1166" s="186" t="s">
        <v>427</v>
      </c>
      <c r="C1166" s="186" t="s">
        <v>151</v>
      </c>
      <c r="D1166" s="83" t="s">
        <v>428</v>
      </c>
      <c r="E1166" s="83" t="s">
        <v>168</v>
      </c>
      <c r="F1166" s="180">
        <v>46034</v>
      </c>
      <c r="G1166" s="83">
        <v>328</v>
      </c>
      <c r="H1166" s="180">
        <v>46021</v>
      </c>
      <c r="I1166" s="180" t="s">
        <v>202</v>
      </c>
      <c r="J1166" s="83">
        <v>3518709466</v>
      </c>
      <c r="K1166" s="180"/>
      <c r="L1166" s="180">
        <v>46021</v>
      </c>
      <c r="M1166" s="180"/>
      <c r="N1166" s="181">
        <v>0.59450000000000003</v>
      </c>
      <c r="O1166" s="181" t="s">
        <v>170</v>
      </c>
      <c r="P1166" s="83" t="s">
        <v>323</v>
      </c>
      <c r="Q1166" s="177" t="s">
        <v>324</v>
      </c>
      <c r="R1166" s="83"/>
    </row>
    <row r="1167" spans="1:18">
      <c r="A1167" s="83">
        <v>80814077</v>
      </c>
      <c r="B1167" s="186" t="s">
        <v>427</v>
      </c>
      <c r="C1167" s="186" t="s">
        <v>152</v>
      </c>
      <c r="D1167" s="83" t="s">
        <v>428</v>
      </c>
      <c r="E1167" s="83" t="s">
        <v>168</v>
      </c>
      <c r="F1167" s="180">
        <v>46034</v>
      </c>
      <c r="G1167" s="83">
        <v>87</v>
      </c>
      <c r="H1167" s="180">
        <v>46021</v>
      </c>
      <c r="I1167" s="180" t="s">
        <v>202</v>
      </c>
      <c r="J1167" s="83">
        <v>3518709467</v>
      </c>
      <c r="K1167" s="180"/>
      <c r="L1167" s="180">
        <v>46021</v>
      </c>
      <c r="M1167" s="180"/>
      <c r="N1167" s="181">
        <v>0.15768750000000001</v>
      </c>
      <c r="O1167" s="181" t="s">
        <v>170</v>
      </c>
      <c r="P1167" s="83" t="s">
        <v>323</v>
      </c>
      <c r="Q1167" s="177" t="s">
        <v>324</v>
      </c>
      <c r="R1167" s="83"/>
    </row>
    <row r="1168" spans="1:18">
      <c r="A1168" s="83">
        <v>80814077</v>
      </c>
      <c r="B1168" s="186" t="s">
        <v>427</v>
      </c>
      <c r="C1168" s="186" t="s">
        <v>153</v>
      </c>
      <c r="D1168" s="83" t="s">
        <v>428</v>
      </c>
      <c r="E1168" s="83" t="s">
        <v>168</v>
      </c>
      <c r="F1168" s="180">
        <v>46034</v>
      </c>
      <c r="G1168" s="83">
        <v>52</v>
      </c>
      <c r="H1168" s="180">
        <v>46021</v>
      </c>
      <c r="I1168" s="180" t="s">
        <v>202</v>
      </c>
      <c r="J1168" s="83">
        <v>3518709468</v>
      </c>
      <c r="K1168" s="180"/>
      <c r="L1168" s="180">
        <v>46021</v>
      </c>
      <c r="M1168" s="180"/>
      <c r="N1168" s="181">
        <v>9.425E-2</v>
      </c>
      <c r="O1168" s="181" t="s">
        <v>170</v>
      </c>
      <c r="P1168" s="83" t="s">
        <v>323</v>
      </c>
      <c r="Q1168" s="177" t="s">
        <v>324</v>
      </c>
      <c r="R1168" s="83"/>
    </row>
    <row r="1169" spans="1:18">
      <c r="A1169" s="83">
        <v>80814077</v>
      </c>
      <c r="B1169" s="186" t="s">
        <v>427</v>
      </c>
      <c r="C1169" s="186" t="s">
        <v>154</v>
      </c>
      <c r="D1169" s="83" t="s">
        <v>428</v>
      </c>
      <c r="E1169" s="83" t="s">
        <v>168</v>
      </c>
      <c r="F1169" s="180">
        <v>46034</v>
      </c>
      <c r="G1169" s="83">
        <v>67</v>
      </c>
      <c r="H1169" s="180">
        <v>46021</v>
      </c>
      <c r="I1169" s="180" t="s">
        <v>202</v>
      </c>
      <c r="J1169" s="83">
        <v>3518709469</v>
      </c>
      <c r="K1169" s="180"/>
      <c r="L1169" s="180">
        <v>46021</v>
      </c>
      <c r="M1169" s="180"/>
      <c r="N1169" s="181">
        <v>0.1214375</v>
      </c>
      <c r="O1169" s="181" t="s">
        <v>170</v>
      </c>
      <c r="P1169" s="83" t="s">
        <v>323</v>
      </c>
      <c r="Q1169" s="177" t="s">
        <v>324</v>
      </c>
      <c r="R1169" s="83"/>
    </row>
    <row r="1170" spans="1:18">
      <c r="A1170" s="83">
        <v>80814077</v>
      </c>
      <c r="B1170" s="186" t="s">
        <v>427</v>
      </c>
      <c r="C1170" s="186" t="s">
        <v>155</v>
      </c>
      <c r="D1170" s="83" t="s">
        <v>428</v>
      </c>
      <c r="E1170" s="83" t="s">
        <v>168</v>
      </c>
      <c r="F1170" s="180">
        <v>46034</v>
      </c>
      <c r="G1170" s="83">
        <v>152</v>
      </c>
      <c r="H1170" s="180">
        <v>46021</v>
      </c>
      <c r="I1170" s="180" t="s">
        <v>202</v>
      </c>
      <c r="J1170" s="83">
        <v>3518709470</v>
      </c>
      <c r="K1170" s="180"/>
      <c r="L1170" s="180">
        <v>46021</v>
      </c>
      <c r="M1170" s="180"/>
      <c r="N1170" s="181">
        <v>0.27550000000000002</v>
      </c>
      <c r="O1170" s="181" t="s">
        <v>170</v>
      </c>
      <c r="P1170" s="83" t="s">
        <v>323</v>
      </c>
      <c r="Q1170" s="177" t="s">
        <v>324</v>
      </c>
      <c r="R1170" s="83"/>
    </row>
    <row r="1171" spans="1:18">
      <c r="A1171" s="83">
        <v>80814081</v>
      </c>
      <c r="B1171" s="186" t="s">
        <v>256</v>
      </c>
      <c r="C1171" s="186" t="s">
        <v>143</v>
      </c>
      <c r="D1171" s="83" t="s">
        <v>428</v>
      </c>
      <c r="E1171" s="83" t="s">
        <v>168</v>
      </c>
      <c r="F1171" s="180">
        <v>46034</v>
      </c>
      <c r="G1171" s="83">
        <v>114</v>
      </c>
      <c r="H1171" s="180">
        <v>46021</v>
      </c>
      <c r="I1171" s="180" t="s">
        <v>202</v>
      </c>
      <c r="J1171" s="83">
        <v>3518709471</v>
      </c>
      <c r="K1171" s="180"/>
      <c r="L1171" s="180">
        <v>46021</v>
      </c>
      <c r="M1171" s="180"/>
      <c r="N1171" s="181">
        <v>0.206625</v>
      </c>
      <c r="O1171" s="181" t="s">
        <v>170</v>
      </c>
      <c r="P1171" s="83" t="s">
        <v>323</v>
      </c>
      <c r="Q1171" s="177" t="s">
        <v>324</v>
      </c>
      <c r="R1171" s="83"/>
    </row>
    <row r="1172" spans="1:18">
      <c r="A1172" s="83">
        <v>80814081</v>
      </c>
      <c r="B1172" s="186" t="s">
        <v>256</v>
      </c>
      <c r="C1172" s="186" t="s">
        <v>150</v>
      </c>
      <c r="D1172" s="83" t="s">
        <v>428</v>
      </c>
      <c r="E1172" s="83" t="s">
        <v>168</v>
      </c>
      <c r="F1172" s="180">
        <v>46034</v>
      </c>
      <c r="G1172" s="83">
        <v>850</v>
      </c>
      <c r="H1172" s="180">
        <v>46021</v>
      </c>
      <c r="I1172" s="180" t="s">
        <v>202</v>
      </c>
      <c r="J1172" s="83">
        <v>3518709472</v>
      </c>
      <c r="K1172" s="180"/>
      <c r="L1172" s="180">
        <v>46021</v>
      </c>
      <c r="M1172" s="180"/>
      <c r="N1172" s="181">
        <v>1.5406249999999999</v>
      </c>
      <c r="O1172" s="181" t="s">
        <v>170</v>
      </c>
      <c r="P1172" s="83" t="s">
        <v>323</v>
      </c>
      <c r="Q1172" s="177" t="s">
        <v>324</v>
      </c>
      <c r="R1172" s="83"/>
    </row>
    <row r="1173" spans="1:18">
      <c r="A1173" s="83">
        <v>80814081</v>
      </c>
      <c r="B1173" s="186" t="s">
        <v>256</v>
      </c>
      <c r="C1173" s="186" t="s">
        <v>151</v>
      </c>
      <c r="D1173" s="83" t="s">
        <v>428</v>
      </c>
      <c r="E1173" s="83" t="s">
        <v>168</v>
      </c>
      <c r="F1173" s="180">
        <v>46034</v>
      </c>
      <c r="G1173" s="83">
        <v>848</v>
      </c>
      <c r="H1173" s="180">
        <v>46021</v>
      </c>
      <c r="I1173" s="180" t="s">
        <v>202</v>
      </c>
      <c r="J1173" s="83">
        <v>3518709473</v>
      </c>
      <c r="K1173" s="180"/>
      <c r="L1173" s="180">
        <v>46021</v>
      </c>
      <c r="M1173" s="180"/>
      <c r="N1173" s="181">
        <v>1.5369999999999999</v>
      </c>
      <c r="O1173" s="181" t="s">
        <v>170</v>
      </c>
      <c r="P1173" s="83" t="s">
        <v>323</v>
      </c>
      <c r="Q1173" s="177" t="s">
        <v>324</v>
      </c>
      <c r="R1173" s="83"/>
    </row>
    <row r="1174" spans="1:18">
      <c r="A1174" s="83">
        <v>80814081</v>
      </c>
      <c r="B1174" s="186" t="s">
        <v>256</v>
      </c>
      <c r="C1174" s="186" t="s">
        <v>152</v>
      </c>
      <c r="D1174" s="83" t="s">
        <v>428</v>
      </c>
      <c r="E1174" s="83" t="s">
        <v>168</v>
      </c>
      <c r="F1174" s="180">
        <v>46034</v>
      </c>
      <c r="G1174" s="83">
        <v>210</v>
      </c>
      <c r="H1174" s="180">
        <v>46021</v>
      </c>
      <c r="I1174" s="180" t="s">
        <v>202</v>
      </c>
      <c r="J1174" s="83">
        <v>3518709474</v>
      </c>
      <c r="K1174" s="180"/>
      <c r="L1174" s="180">
        <v>46021</v>
      </c>
      <c r="M1174" s="180"/>
      <c r="N1174" s="181">
        <v>0.38062499999999999</v>
      </c>
      <c r="O1174" s="181" t="s">
        <v>170</v>
      </c>
      <c r="P1174" s="83" t="s">
        <v>323</v>
      </c>
      <c r="Q1174" s="177" t="s">
        <v>324</v>
      </c>
      <c r="R1174" s="83"/>
    </row>
    <row r="1175" spans="1:18">
      <c r="A1175" s="83">
        <v>80814081</v>
      </c>
      <c r="B1175" s="186" t="s">
        <v>256</v>
      </c>
      <c r="C1175" s="186" t="s">
        <v>153</v>
      </c>
      <c r="D1175" s="83" t="s">
        <v>428</v>
      </c>
      <c r="E1175" s="83" t="s">
        <v>168</v>
      </c>
      <c r="F1175" s="180">
        <v>46034</v>
      </c>
      <c r="G1175" s="83">
        <v>95</v>
      </c>
      <c r="H1175" s="180">
        <v>46021</v>
      </c>
      <c r="I1175" s="180" t="s">
        <v>202</v>
      </c>
      <c r="J1175" s="83">
        <v>3518709475</v>
      </c>
      <c r="K1175" s="180"/>
      <c r="L1175" s="180">
        <v>46021</v>
      </c>
      <c r="M1175" s="180"/>
      <c r="N1175" s="181">
        <v>0.17218749999999999</v>
      </c>
      <c r="O1175" s="181" t="s">
        <v>170</v>
      </c>
      <c r="P1175" s="83" t="s">
        <v>323</v>
      </c>
      <c r="Q1175" s="177" t="s">
        <v>324</v>
      </c>
      <c r="R1175" s="83"/>
    </row>
    <row r="1176" spans="1:18">
      <c r="A1176" s="83">
        <v>80814081</v>
      </c>
      <c r="B1176" s="186" t="s">
        <v>256</v>
      </c>
      <c r="C1176" s="186" t="s">
        <v>154</v>
      </c>
      <c r="D1176" s="83" t="s">
        <v>428</v>
      </c>
      <c r="E1176" s="83" t="s">
        <v>168</v>
      </c>
      <c r="F1176" s="180">
        <v>46034</v>
      </c>
      <c r="G1176" s="83">
        <v>120</v>
      </c>
      <c r="H1176" s="180">
        <v>46021</v>
      </c>
      <c r="I1176" s="180" t="s">
        <v>202</v>
      </c>
      <c r="J1176" s="83">
        <v>3518709476</v>
      </c>
      <c r="K1176" s="180"/>
      <c r="L1176" s="180">
        <v>46021</v>
      </c>
      <c r="M1176" s="180"/>
      <c r="N1176" s="181">
        <v>0.2175</v>
      </c>
      <c r="O1176" s="181" t="s">
        <v>170</v>
      </c>
      <c r="P1176" s="83" t="s">
        <v>323</v>
      </c>
      <c r="Q1176" s="177" t="s">
        <v>324</v>
      </c>
      <c r="R1176" s="83"/>
    </row>
    <row r="1177" spans="1:18">
      <c r="A1177" s="83">
        <v>80814081</v>
      </c>
      <c r="B1177" s="186" t="s">
        <v>256</v>
      </c>
      <c r="C1177" s="186" t="s">
        <v>155</v>
      </c>
      <c r="D1177" s="83" t="s">
        <v>428</v>
      </c>
      <c r="E1177" s="83" t="s">
        <v>168</v>
      </c>
      <c r="F1177" s="180">
        <v>46034</v>
      </c>
      <c r="G1177" s="83">
        <v>281</v>
      </c>
      <c r="H1177" s="180">
        <v>46021</v>
      </c>
      <c r="I1177" s="180" t="s">
        <v>202</v>
      </c>
      <c r="J1177" s="83">
        <v>3518709477</v>
      </c>
      <c r="K1177" s="180"/>
      <c r="L1177" s="180">
        <v>46021</v>
      </c>
      <c r="M1177" s="180"/>
      <c r="N1177" s="181">
        <v>0.50931249999999995</v>
      </c>
      <c r="O1177" s="181" t="s">
        <v>170</v>
      </c>
      <c r="P1177" s="83" t="s">
        <v>323</v>
      </c>
      <c r="Q1177" s="177" t="s">
        <v>324</v>
      </c>
      <c r="R1177" s="83"/>
    </row>
    <row r="1178" spans="1:18">
      <c r="A1178" s="83">
        <v>80814085</v>
      </c>
      <c r="B1178" s="186" t="s">
        <v>443</v>
      </c>
      <c r="C1178" s="186" t="s">
        <v>143</v>
      </c>
      <c r="D1178" s="83" t="s">
        <v>428</v>
      </c>
      <c r="E1178" s="83" t="s">
        <v>168</v>
      </c>
      <c r="F1178" s="180">
        <v>46034</v>
      </c>
      <c r="G1178" s="83">
        <v>24</v>
      </c>
      <c r="H1178" s="180">
        <v>46021</v>
      </c>
      <c r="I1178" s="180" t="s">
        <v>202</v>
      </c>
      <c r="J1178" s="83">
        <v>3518709558</v>
      </c>
      <c r="K1178" s="180"/>
      <c r="L1178" s="180">
        <v>46021</v>
      </c>
      <c r="M1178" s="180"/>
      <c r="N1178" s="181">
        <v>4.3499999999999997E-2</v>
      </c>
      <c r="O1178" s="181" t="s">
        <v>170</v>
      </c>
      <c r="P1178" s="83" t="s">
        <v>323</v>
      </c>
      <c r="Q1178" s="177" t="s">
        <v>324</v>
      </c>
      <c r="R1178" s="83"/>
    </row>
    <row r="1179" spans="1:18">
      <c r="A1179" s="83">
        <v>80814085</v>
      </c>
      <c r="B1179" s="186" t="s">
        <v>443</v>
      </c>
      <c r="C1179" s="186" t="s">
        <v>150</v>
      </c>
      <c r="D1179" s="83" t="s">
        <v>428</v>
      </c>
      <c r="E1179" s="83" t="s">
        <v>168</v>
      </c>
      <c r="F1179" s="180">
        <v>46034</v>
      </c>
      <c r="G1179" s="83">
        <v>367</v>
      </c>
      <c r="H1179" s="180">
        <v>46021</v>
      </c>
      <c r="I1179" s="180" t="s">
        <v>202</v>
      </c>
      <c r="J1179" s="83">
        <v>3518709559</v>
      </c>
      <c r="K1179" s="180"/>
      <c r="L1179" s="180">
        <v>46021</v>
      </c>
      <c r="M1179" s="180"/>
      <c r="N1179" s="181">
        <v>0.66518750000000004</v>
      </c>
      <c r="O1179" s="181" t="s">
        <v>170</v>
      </c>
      <c r="P1179" s="83" t="s">
        <v>323</v>
      </c>
      <c r="Q1179" s="177" t="s">
        <v>324</v>
      </c>
      <c r="R1179" s="83"/>
    </row>
    <row r="1180" spans="1:18">
      <c r="A1180" s="83">
        <v>80814085</v>
      </c>
      <c r="B1180" s="186" t="s">
        <v>443</v>
      </c>
      <c r="C1180" s="186" t="s">
        <v>151</v>
      </c>
      <c r="D1180" s="83" t="s">
        <v>428</v>
      </c>
      <c r="E1180" s="83" t="s">
        <v>168</v>
      </c>
      <c r="F1180" s="180">
        <v>46034</v>
      </c>
      <c r="G1180" s="83">
        <v>270</v>
      </c>
      <c r="H1180" s="180">
        <v>46021</v>
      </c>
      <c r="I1180" s="180" t="s">
        <v>202</v>
      </c>
      <c r="J1180" s="83">
        <v>3518709560</v>
      </c>
      <c r="K1180" s="180"/>
      <c r="L1180" s="180">
        <v>46021</v>
      </c>
      <c r="M1180" s="180"/>
      <c r="N1180" s="181">
        <v>0.489375</v>
      </c>
      <c r="O1180" s="181" t="s">
        <v>170</v>
      </c>
      <c r="P1180" s="83" t="s">
        <v>323</v>
      </c>
      <c r="Q1180" s="177" t="s">
        <v>324</v>
      </c>
      <c r="R1180" s="83"/>
    </row>
    <row r="1181" spans="1:18">
      <c r="A1181" s="83">
        <v>80814085</v>
      </c>
      <c r="B1181" s="186" t="s">
        <v>443</v>
      </c>
      <c r="C1181" s="186" t="s">
        <v>152</v>
      </c>
      <c r="D1181" s="83" t="s">
        <v>428</v>
      </c>
      <c r="E1181" s="83" t="s">
        <v>168</v>
      </c>
      <c r="F1181" s="180">
        <v>46034</v>
      </c>
      <c r="G1181" s="83">
        <v>68</v>
      </c>
      <c r="H1181" s="180">
        <v>46021</v>
      </c>
      <c r="I1181" s="180" t="s">
        <v>202</v>
      </c>
      <c r="J1181" s="83">
        <v>3518709561</v>
      </c>
      <c r="K1181" s="180"/>
      <c r="L1181" s="180">
        <v>46021</v>
      </c>
      <c r="M1181" s="180"/>
      <c r="N1181" s="181">
        <v>0.12325</v>
      </c>
      <c r="O1181" s="181" t="s">
        <v>170</v>
      </c>
      <c r="P1181" s="83" t="s">
        <v>323</v>
      </c>
      <c r="Q1181" s="177" t="s">
        <v>324</v>
      </c>
      <c r="R1181" s="83"/>
    </row>
    <row r="1182" spans="1:18">
      <c r="A1182" s="83">
        <v>80814085</v>
      </c>
      <c r="B1182" s="186" t="s">
        <v>443</v>
      </c>
      <c r="C1182" s="186" t="s">
        <v>153</v>
      </c>
      <c r="D1182" s="83" t="s">
        <v>428</v>
      </c>
      <c r="E1182" s="83" t="s">
        <v>168</v>
      </c>
      <c r="F1182" s="180">
        <v>46034</v>
      </c>
      <c r="G1182" s="83">
        <v>72</v>
      </c>
      <c r="H1182" s="180">
        <v>46021</v>
      </c>
      <c r="I1182" s="180" t="s">
        <v>202</v>
      </c>
      <c r="J1182" s="83">
        <v>3518709562</v>
      </c>
      <c r="K1182" s="180"/>
      <c r="L1182" s="180">
        <v>46021</v>
      </c>
      <c r="M1182" s="180"/>
      <c r="N1182" s="181">
        <v>0.1305</v>
      </c>
      <c r="O1182" s="181" t="s">
        <v>170</v>
      </c>
      <c r="P1182" s="83" t="s">
        <v>323</v>
      </c>
      <c r="Q1182" s="177" t="s">
        <v>324</v>
      </c>
      <c r="R1182" s="83"/>
    </row>
    <row r="1183" spans="1:18">
      <c r="A1183" s="83">
        <v>80814085</v>
      </c>
      <c r="B1183" s="186" t="s">
        <v>443</v>
      </c>
      <c r="C1183" s="186" t="s">
        <v>154</v>
      </c>
      <c r="D1183" s="83" t="s">
        <v>428</v>
      </c>
      <c r="E1183" s="83" t="s">
        <v>168</v>
      </c>
      <c r="F1183" s="180">
        <v>46034</v>
      </c>
      <c r="G1183" s="83">
        <v>57</v>
      </c>
      <c r="H1183" s="180">
        <v>46021</v>
      </c>
      <c r="I1183" s="180" t="s">
        <v>202</v>
      </c>
      <c r="J1183" s="83">
        <v>3518709563</v>
      </c>
      <c r="K1183" s="180"/>
      <c r="L1183" s="180">
        <v>46021</v>
      </c>
      <c r="M1183" s="180"/>
      <c r="N1183" s="181">
        <v>0.1033125</v>
      </c>
      <c r="O1183" s="181" t="s">
        <v>170</v>
      </c>
      <c r="P1183" s="83" t="s">
        <v>323</v>
      </c>
      <c r="Q1183" s="177" t="s">
        <v>324</v>
      </c>
      <c r="R1183" s="83"/>
    </row>
    <row r="1184" spans="1:18">
      <c r="A1184" s="83">
        <v>80814085</v>
      </c>
      <c r="B1184" s="186" t="s">
        <v>443</v>
      </c>
      <c r="C1184" s="186" t="s">
        <v>155</v>
      </c>
      <c r="D1184" s="83" t="s">
        <v>428</v>
      </c>
      <c r="E1184" s="83" t="s">
        <v>168</v>
      </c>
      <c r="F1184" s="180">
        <v>46034</v>
      </c>
      <c r="G1184" s="83">
        <v>103</v>
      </c>
      <c r="H1184" s="180">
        <v>46021</v>
      </c>
      <c r="I1184" s="180" t="s">
        <v>202</v>
      </c>
      <c r="J1184" s="83">
        <v>3518709564</v>
      </c>
      <c r="K1184" s="180"/>
      <c r="L1184" s="180">
        <v>46021</v>
      </c>
      <c r="M1184" s="180"/>
      <c r="N1184" s="181">
        <v>0.18668750000000001</v>
      </c>
      <c r="O1184" s="181" t="s">
        <v>170</v>
      </c>
      <c r="P1184" s="83" t="s">
        <v>323</v>
      </c>
      <c r="Q1184" s="177" t="s">
        <v>324</v>
      </c>
      <c r="R1184" s="83"/>
    </row>
    <row r="1185" spans="1:18">
      <c r="A1185" s="83">
        <v>80814086</v>
      </c>
      <c r="B1185" s="186" t="s">
        <v>451</v>
      </c>
      <c r="C1185" s="186" t="s">
        <v>143</v>
      </c>
      <c r="D1185" s="83" t="s">
        <v>428</v>
      </c>
      <c r="E1185" s="83" t="s">
        <v>168</v>
      </c>
      <c r="F1185" s="180">
        <v>46034</v>
      </c>
      <c r="G1185" s="83">
        <v>37</v>
      </c>
      <c r="H1185" s="180">
        <v>46021</v>
      </c>
      <c r="I1185" s="180" t="s">
        <v>202</v>
      </c>
      <c r="J1185" s="83">
        <v>3518709565</v>
      </c>
      <c r="K1185" s="180"/>
      <c r="L1185" s="180">
        <v>46021</v>
      </c>
      <c r="M1185" s="180"/>
      <c r="N1185" s="181">
        <v>6.7062499999999997E-2</v>
      </c>
      <c r="O1185" s="181" t="s">
        <v>170</v>
      </c>
      <c r="P1185" s="83" t="s">
        <v>323</v>
      </c>
      <c r="Q1185" s="177" t="s">
        <v>324</v>
      </c>
      <c r="R1185" s="83"/>
    </row>
    <row r="1186" spans="1:18">
      <c r="A1186" s="83">
        <v>80814086</v>
      </c>
      <c r="B1186" s="186" t="s">
        <v>451</v>
      </c>
      <c r="C1186" s="186" t="s">
        <v>150</v>
      </c>
      <c r="D1186" s="83" t="s">
        <v>428</v>
      </c>
      <c r="E1186" s="83" t="s">
        <v>168</v>
      </c>
      <c r="F1186" s="180">
        <v>46034</v>
      </c>
      <c r="G1186" s="83">
        <v>623</v>
      </c>
      <c r="H1186" s="180">
        <v>46021</v>
      </c>
      <c r="I1186" s="180" t="s">
        <v>202</v>
      </c>
      <c r="J1186" s="83">
        <v>3518709566</v>
      </c>
      <c r="K1186" s="180"/>
      <c r="L1186" s="180">
        <v>46021</v>
      </c>
      <c r="M1186" s="180"/>
      <c r="N1186" s="181">
        <v>1.1291875</v>
      </c>
      <c r="O1186" s="181" t="s">
        <v>170</v>
      </c>
      <c r="P1186" s="83" t="s">
        <v>323</v>
      </c>
      <c r="Q1186" s="177" t="s">
        <v>324</v>
      </c>
      <c r="R1186" s="83"/>
    </row>
    <row r="1187" spans="1:18">
      <c r="A1187" s="83">
        <v>80814086</v>
      </c>
      <c r="B1187" s="186" t="s">
        <v>451</v>
      </c>
      <c r="C1187" s="186" t="s">
        <v>151</v>
      </c>
      <c r="D1187" s="83" t="s">
        <v>428</v>
      </c>
      <c r="E1187" s="83" t="s">
        <v>168</v>
      </c>
      <c r="F1187" s="180">
        <v>46034</v>
      </c>
      <c r="G1187" s="83">
        <v>557</v>
      </c>
      <c r="H1187" s="180">
        <v>46021</v>
      </c>
      <c r="I1187" s="180" t="s">
        <v>202</v>
      </c>
      <c r="J1187" s="83">
        <v>3518709567</v>
      </c>
      <c r="K1187" s="180"/>
      <c r="L1187" s="180">
        <v>46021</v>
      </c>
      <c r="M1187" s="180"/>
      <c r="N1187" s="181">
        <v>1.0095624999999999</v>
      </c>
      <c r="O1187" s="181" t="s">
        <v>170</v>
      </c>
      <c r="P1187" s="83" t="s">
        <v>323</v>
      </c>
      <c r="Q1187" s="177" t="s">
        <v>324</v>
      </c>
      <c r="R1187" s="83"/>
    </row>
    <row r="1188" spans="1:18">
      <c r="A1188" s="83">
        <v>80814086</v>
      </c>
      <c r="B1188" s="186" t="s">
        <v>451</v>
      </c>
      <c r="C1188" s="186" t="s">
        <v>152</v>
      </c>
      <c r="D1188" s="83" t="s">
        <v>428</v>
      </c>
      <c r="E1188" s="83" t="s">
        <v>168</v>
      </c>
      <c r="F1188" s="180">
        <v>46034</v>
      </c>
      <c r="G1188" s="83">
        <v>91</v>
      </c>
      <c r="H1188" s="180">
        <v>46021</v>
      </c>
      <c r="I1188" s="180" t="s">
        <v>202</v>
      </c>
      <c r="J1188" s="83">
        <v>3518709568</v>
      </c>
      <c r="K1188" s="180"/>
      <c r="L1188" s="180">
        <v>46021</v>
      </c>
      <c r="M1188" s="180"/>
      <c r="N1188" s="181">
        <v>0.16493749999999999</v>
      </c>
      <c r="O1188" s="181" t="s">
        <v>170</v>
      </c>
      <c r="P1188" s="83" t="s">
        <v>323</v>
      </c>
      <c r="Q1188" s="177" t="s">
        <v>324</v>
      </c>
      <c r="R1188" s="83"/>
    </row>
    <row r="1189" spans="1:18">
      <c r="A1189" s="83">
        <v>80814086</v>
      </c>
      <c r="B1189" s="186" t="s">
        <v>451</v>
      </c>
      <c r="C1189" s="186" t="s">
        <v>153</v>
      </c>
      <c r="D1189" s="83" t="s">
        <v>428</v>
      </c>
      <c r="E1189" s="83" t="s">
        <v>168</v>
      </c>
      <c r="F1189" s="180">
        <v>46034</v>
      </c>
      <c r="G1189" s="83">
        <v>84</v>
      </c>
      <c r="H1189" s="180">
        <v>46021</v>
      </c>
      <c r="I1189" s="180" t="s">
        <v>202</v>
      </c>
      <c r="J1189" s="83">
        <v>3518709569</v>
      </c>
      <c r="K1189" s="180"/>
      <c r="L1189" s="180">
        <v>46021</v>
      </c>
      <c r="M1189" s="180"/>
      <c r="N1189" s="181">
        <v>0.15225</v>
      </c>
      <c r="O1189" s="181" t="s">
        <v>170</v>
      </c>
      <c r="P1189" s="83" t="s">
        <v>323</v>
      </c>
      <c r="Q1189" s="177" t="s">
        <v>324</v>
      </c>
      <c r="R1189" s="83"/>
    </row>
    <row r="1190" spans="1:18">
      <c r="A1190" s="83">
        <v>80814086</v>
      </c>
      <c r="B1190" s="186" t="s">
        <v>451</v>
      </c>
      <c r="C1190" s="186" t="s">
        <v>154</v>
      </c>
      <c r="D1190" s="83" t="s">
        <v>428</v>
      </c>
      <c r="E1190" s="83" t="s">
        <v>168</v>
      </c>
      <c r="F1190" s="180">
        <v>46034</v>
      </c>
      <c r="G1190" s="83">
        <v>183</v>
      </c>
      <c r="H1190" s="180">
        <v>46021</v>
      </c>
      <c r="I1190" s="180" t="s">
        <v>202</v>
      </c>
      <c r="J1190" s="83">
        <v>3518709570</v>
      </c>
      <c r="K1190" s="180"/>
      <c r="L1190" s="180">
        <v>46021</v>
      </c>
      <c r="M1190" s="180"/>
      <c r="N1190" s="181">
        <v>0.33168750000000002</v>
      </c>
      <c r="O1190" s="181" t="s">
        <v>170</v>
      </c>
      <c r="P1190" s="83" t="s">
        <v>323</v>
      </c>
      <c r="Q1190" s="177" t="s">
        <v>324</v>
      </c>
      <c r="R1190" s="83"/>
    </row>
    <row r="1191" spans="1:18">
      <c r="A1191" s="83">
        <v>80814086</v>
      </c>
      <c r="B1191" s="186" t="s">
        <v>451</v>
      </c>
      <c r="C1191" s="186" t="s">
        <v>155</v>
      </c>
      <c r="D1191" s="83" t="s">
        <v>428</v>
      </c>
      <c r="E1191" s="83" t="s">
        <v>168</v>
      </c>
      <c r="F1191" s="180">
        <v>46034</v>
      </c>
      <c r="G1191" s="83">
        <v>201</v>
      </c>
      <c r="H1191" s="180">
        <v>46021</v>
      </c>
      <c r="I1191" s="180" t="s">
        <v>202</v>
      </c>
      <c r="J1191" s="83">
        <v>3518709571</v>
      </c>
      <c r="K1191" s="180"/>
      <c r="L1191" s="180">
        <v>46021</v>
      </c>
      <c r="M1191" s="180"/>
      <c r="N1191" s="181">
        <v>0.36431249999999998</v>
      </c>
      <c r="O1191" s="181" t="s">
        <v>170</v>
      </c>
      <c r="P1191" s="83" t="s">
        <v>323</v>
      </c>
      <c r="Q1191" s="177" t="s">
        <v>324</v>
      </c>
      <c r="R1191" s="83"/>
    </row>
    <row r="1192" spans="1:18">
      <c r="A1192" s="83">
        <v>80814088</v>
      </c>
      <c r="B1192" s="186" t="s">
        <v>459</v>
      </c>
      <c r="C1192" s="186" t="s">
        <v>143</v>
      </c>
      <c r="D1192" s="83" t="s">
        <v>428</v>
      </c>
      <c r="E1192" s="83" t="s">
        <v>168</v>
      </c>
      <c r="F1192" s="180">
        <v>46034</v>
      </c>
      <c r="G1192" s="83">
        <v>40</v>
      </c>
      <c r="H1192" s="180">
        <v>46021</v>
      </c>
      <c r="I1192" s="180" t="s">
        <v>202</v>
      </c>
      <c r="J1192" s="83">
        <v>3518709572</v>
      </c>
      <c r="K1192" s="180"/>
      <c r="L1192" s="180">
        <v>46021</v>
      </c>
      <c r="M1192" s="180"/>
      <c r="N1192" s="181">
        <v>7.2499999999999995E-2</v>
      </c>
      <c r="O1192" s="181" t="s">
        <v>170</v>
      </c>
      <c r="P1192" s="83" t="s">
        <v>323</v>
      </c>
      <c r="Q1192" s="177" t="s">
        <v>324</v>
      </c>
      <c r="R1192" s="83"/>
    </row>
    <row r="1193" spans="1:18">
      <c r="A1193" s="83">
        <v>80814088</v>
      </c>
      <c r="B1193" s="186" t="s">
        <v>459</v>
      </c>
      <c r="C1193" s="186" t="s">
        <v>150</v>
      </c>
      <c r="D1193" s="83" t="s">
        <v>428</v>
      </c>
      <c r="E1193" s="83" t="s">
        <v>168</v>
      </c>
      <c r="F1193" s="180">
        <v>46034</v>
      </c>
      <c r="G1193" s="83">
        <v>405</v>
      </c>
      <c r="H1193" s="180">
        <v>46021</v>
      </c>
      <c r="I1193" s="180" t="s">
        <v>202</v>
      </c>
      <c r="J1193" s="83">
        <v>3518709573</v>
      </c>
      <c r="K1193" s="180"/>
      <c r="L1193" s="180">
        <v>46021</v>
      </c>
      <c r="M1193" s="180"/>
      <c r="N1193" s="181">
        <v>0.73406249999999995</v>
      </c>
      <c r="O1193" s="181" t="s">
        <v>170</v>
      </c>
      <c r="P1193" s="83" t="s">
        <v>323</v>
      </c>
      <c r="Q1193" s="177" t="s">
        <v>324</v>
      </c>
      <c r="R1193" s="83"/>
    </row>
    <row r="1194" spans="1:18">
      <c r="A1194" s="83">
        <v>80814088</v>
      </c>
      <c r="B1194" s="186" t="s">
        <v>459</v>
      </c>
      <c r="C1194" s="186" t="s">
        <v>151</v>
      </c>
      <c r="D1194" s="83" t="s">
        <v>428</v>
      </c>
      <c r="E1194" s="83" t="s">
        <v>168</v>
      </c>
      <c r="F1194" s="180">
        <v>46034</v>
      </c>
      <c r="G1194" s="83">
        <v>417</v>
      </c>
      <c r="H1194" s="180">
        <v>46021</v>
      </c>
      <c r="I1194" s="180" t="s">
        <v>202</v>
      </c>
      <c r="J1194" s="83">
        <v>3518709574</v>
      </c>
      <c r="K1194" s="180"/>
      <c r="L1194" s="180">
        <v>46021</v>
      </c>
      <c r="M1194" s="180"/>
      <c r="N1194" s="181">
        <v>0.7558125</v>
      </c>
      <c r="O1194" s="181" t="s">
        <v>170</v>
      </c>
      <c r="P1194" s="83" t="s">
        <v>323</v>
      </c>
      <c r="Q1194" s="177" t="s">
        <v>324</v>
      </c>
      <c r="R1194" s="83"/>
    </row>
    <row r="1195" spans="1:18">
      <c r="A1195" s="83">
        <v>80814088</v>
      </c>
      <c r="B1195" s="186" t="s">
        <v>459</v>
      </c>
      <c r="C1195" s="186" t="s">
        <v>152</v>
      </c>
      <c r="D1195" s="83" t="s">
        <v>428</v>
      </c>
      <c r="E1195" s="83" t="s">
        <v>168</v>
      </c>
      <c r="F1195" s="180">
        <v>46034</v>
      </c>
      <c r="G1195" s="83">
        <v>76</v>
      </c>
      <c r="H1195" s="180">
        <v>46021</v>
      </c>
      <c r="I1195" s="180" t="s">
        <v>202</v>
      </c>
      <c r="J1195" s="83">
        <v>3518709575</v>
      </c>
      <c r="K1195" s="180"/>
      <c r="L1195" s="180">
        <v>46021</v>
      </c>
      <c r="M1195" s="180"/>
      <c r="N1195" s="181">
        <v>0.13775000000000001</v>
      </c>
      <c r="O1195" s="181" t="s">
        <v>170</v>
      </c>
      <c r="P1195" s="83" t="s">
        <v>323</v>
      </c>
      <c r="Q1195" s="177" t="s">
        <v>324</v>
      </c>
      <c r="R1195" s="83"/>
    </row>
    <row r="1196" spans="1:18">
      <c r="A1196" s="83">
        <v>80814088</v>
      </c>
      <c r="B1196" s="186" t="s">
        <v>459</v>
      </c>
      <c r="C1196" s="186" t="s">
        <v>153</v>
      </c>
      <c r="D1196" s="83" t="s">
        <v>428</v>
      </c>
      <c r="E1196" s="83" t="s">
        <v>168</v>
      </c>
      <c r="F1196" s="180">
        <v>46034</v>
      </c>
      <c r="G1196" s="83">
        <v>52</v>
      </c>
      <c r="H1196" s="180">
        <v>46021</v>
      </c>
      <c r="I1196" s="180" t="s">
        <v>202</v>
      </c>
      <c r="J1196" s="83">
        <v>3518709576</v>
      </c>
      <c r="K1196" s="180"/>
      <c r="L1196" s="180">
        <v>46021</v>
      </c>
      <c r="M1196" s="180"/>
      <c r="N1196" s="181">
        <v>9.425E-2</v>
      </c>
      <c r="O1196" s="181" t="s">
        <v>170</v>
      </c>
      <c r="P1196" s="83" t="s">
        <v>323</v>
      </c>
      <c r="Q1196" s="177" t="s">
        <v>324</v>
      </c>
      <c r="R1196" s="83"/>
    </row>
    <row r="1197" spans="1:18">
      <c r="A1197" s="83">
        <v>80814088</v>
      </c>
      <c r="B1197" s="186" t="s">
        <v>459</v>
      </c>
      <c r="C1197" s="186" t="s">
        <v>154</v>
      </c>
      <c r="D1197" s="83" t="s">
        <v>428</v>
      </c>
      <c r="E1197" s="83" t="s">
        <v>168</v>
      </c>
      <c r="F1197" s="180">
        <v>46034</v>
      </c>
      <c r="G1197" s="83">
        <v>72</v>
      </c>
      <c r="H1197" s="180">
        <v>46021</v>
      </c>
      <c r="I1197" s="180" t="s">
        <v>202</v>
      </c>
      <c r="J1197" s="83">
        <v>3518709577</v>
      </c>
      <c r="K1197" s="180"/>
      <c r="L1197" s="180">
        <v>46021</v>
      </c>
      <c r="M1197" s="180"/>
      <c r="N1197" s="181">
        <v>0.1305</v>
      </c>
      <c r="O1197" s="181" t="s">
        <v>170</v>
      </c>
      <c r="P1197" s="83" t="s">
        <v>323</v>
      </c>
      <c r="Q1197" s="177" t="s">
        <v>324</v>
      </c>
      <c r="R1197" s="83"/>
    </row>
    <row r="1198" spans="1:18">
      <c r="A1198" s="83">
        <v>80814088</v>
      </c>
      <c r="B1198" s="186" t="s">
        <v>459</v>
      </c>
      <c r="C1198" s="186" t="s">
        <v>155</v>
      </c>
      <c r="D1198" s="83" t="s">
        <v>428</v>
      </c>
      <c r="E1198" s="83" t="s">
        <v>168</v>
      </c>
      <c r="F1198" s="180">
        <v>46034</v>
      </c>
      <c r="G1198" s="83">
        <v>102</v>
      </c>
      <c r="H1198" s="180">
        <v>46021</v>
      </c>
      <c r="I1198" s="180" t="s">
        <v>202</v>
      </c>
      <c r="J1198" s="83">
        <v>3518711918</v>
      </c>
      <c r="K1198" s="180"/>
      <c r="L1198" s="180">
        <v>46021</v>
      </c>
      <c r="M1198" s="180"/>
      <c r="N1198" s="181">
        <v>0.18487500000000001</v>
      </c>
      <c r="O1198" s="181" t="s">
        <v>170</v>
      </c>
      <c r="P1198" s="83" t="s">
        <v>323</v>
      </c>
      <c r="Q1198" s="177" t="s">
        <v>324</v>
      </c>
      <c r="R1198" s="83"/>
    </row>
    <row r="1199" spans="1:18">
      <c r="A1199" s="83">
        <v>80814089</v>
      </c>
      <c r="B1199" s="186" t="s">
        <v>251</v>
      </c>
      <c r="C1199" s="186" t="s">
        <v>143</v>
      </c>
      <c r="D1199" s="83" t="s">
        <v>428</v>
      </c>
      <c r="E1199" s="83" t="s">
        <v>168</v>
      </c>
      <c r="F1199" s="180">
        <v>46034</v>
      </c>
      <c r="G1199" s="83">
        <v>178</v>
      </c>
      <c r="H1199" s="180">
        <v>46021</v>
      </c>
      <c r="I1199" s="180" t="s">
        <v>202</v>
      </c>
      <c r="J1199" s="83">
        <v>3518711919</v>
      </c>
      <c r="K1199" s="180"/>
      <c r="L1199" s="180">
        <v>46021</v>
      </c>
      <c r="M1199" s="180"/>
      <c r="N1199" s="181">
        <v>0.322625</v>
      </c>
      <c r="O1199" s="181" t="s">
        <v>170</v>
      </c>
      <c r="P1199" s="83" t="s">
        <v>323</v>
      </c>
      <c r="Q1199" s="177" t="s">
        <v>324</v>
      </c>
      <c r="R1199" s="83"/>
    </row>
    <row r="1200" spans="1:18">
      <c r="A1200" s="83">
        <v>80814089</v>
      </c>
      <c r="B1200" s="186" t="s">
        <v>251</v>
      </c>
      <c r="C1200" s="186" t="s">
        <v>150</v>
      </c>
      <c r="D1200" s="83" t="s">
        <v>428</v>
      </c>
      <c r="E1200" s="83" t="s">
        <v>168</v>
      </c>
      <c r="F1200" s="180">
        <v>46034</v>
      </c>
      <c r="G1200" s="83">
        <v>1470</v>
      </c>
      <c r="H1200" s="180">
        <v>46021</v>
      </c>
      <c r="I1200" s="180" t="s">
        <v>202</v>
      </c>
      <c r="J1200" s="83">
        <v>3518711920</v>
      </c>
      <c r="K1200" s="180"/>
      <c r="L1200" s="180">
        <v>46021</v>
      </c>
      <c r="M1200" s="180"/>
      <c r="N1200" s="181">
        <v>2.6643750000000002</v>
      </c>
      <c r="O1200" s="181" t="s">
        <v>170</v>
      </c>
      <c r="P1200" s="83" t="s">
        <v>323</v>
      </c>
      <c r="Q1200" s="177" t="s">
        <v>324</v>
      </c>
      <c r="R1200" s="83"/>
    </row>
    <row r="1201" spans="1:18">
      <c r="A1201" s="83">
        <v>80814089</v>
      </c>
      <c r="B1201" s="186" t="s">
        <v>251</v>
      </c>
      <c r="C1201" s="186" t="s">
        <v>151</v>
      </c>
      <c r="D1201" s="83" t="s">
        <v>428</v>
      </c>
      <c r="E1201" s="83" t="s">
        <v>168</v>
      </c>
      <c r="F1201" s="180">
        <v>46034</v>
      </c>
      <c r="G1201" s="83">
        <v>1473</v>
      </c>
      <c r="H1201" s="180">
        <v>46021</v>
      </c>
      <c r="I1201" s="180" t="s">
        <v>202</v>
      </c>
      <c r="J1201" s="83">
        <v>3518711921</v>
      </c>
      <c r="K1201" s="180"/>
      <c r="L1201" s="180">
        <v>46021</v>
      </c>
      <c r="M1201" s="180"/>
      <c r="N1201" s="181">
        <v>2.6698124999999999</v>
      </c>
      <c r="O1201" s="181" t="s">
        <v>170</v>
      </c>
      <c r="P1201" s="83" t="s">
        <v>323</v>
      </c>
      <c r="Q1201" s="177" t="s">
        <v>324</v>
      </c>
      <c r="R1201" s="83"/>
    </row>
    <row r="1202" spans="1:18">
      <c r="A1202" s="83">
        <v>80814089</v>
      </c>
      <c r="B1202" s="186" t="s">
        <v>251</v>
      </c>
      <c r="C1202" s="186" t="s">
        <v>152</v>
      </c>
      <c r="D1202" s="83" t="s">
        <v>428</v>
      </c>
      <c r="E1202" s="83" t="s">
        <v>168</v>
      </c>
      <c r="F1202" s="180">
        <v>46034</v>
      </c>
      <c r="G1202" s="83">
        <v>324</v>
      </c>
      <c r="H1202" s="180">
        <v>46021</v>
      </c>
      <c r="I1202" s="180" t="s">
        <v>202</v>
      </c>
      <c r="J1202" s="83">
        <v>3518711922</v>
      </c>
      <c r="K1202" s="180"/>
      <c r="L1202" s="180">
        <v>46021</v>
      </c>
      <c r="M1202" s="180"/>
      <c r="N1202" s="181">
        <v>0.58725000000000005</v>
      </c>
      <c r="O1202" s="181" t="s">
        <v>170</v>
      </c>
      <c r="P1202" s="83" t="s">
        <v>323</v>
      </c>
      <c r="Q1202" s="177" t="s">
        <v>324</v>
      </c>
      <c r="R1202" s="83"/>
    </row>
    <row r="1203" spans="1:18">
      <c r="A1203" s="83">
        <v>80814089</v>
      </c>
      <c r="B1203" s="186" t="s">
        <v>251</v>
      </c>
      <c r="C1203" s="186" t="s">
        <v>153</v>
      </c>
      <c r="D1203" s="83" t="s">
        <v>428</v>
      </c>
      <c r="E1203" s="83" t="s">
        <v>168</v>
      </c>
      <c r="F1203" s="180">
        <v>46034</v>
      </c>
      <c r="G1203" s="83">
        <v>138</v>
      </c>
      <c r="H1203" s="180">
        <v>46021</v>
      </c>
      <c r="I1203" s="180" t="s">
        <v>202</v>
      </c>
      <c r="J1203" s="83">
        <v>3518711923</v>
      </c>
      <c r="K1203" s="180"/>
      <c r="L1203" s="180">
        <v>46021</v>
      </c>
      <c r="M1203" s="180"/>
      <c r="N1203" s="181">
        <v>0.25012499999999999</v>
      </c>
      <c r="O1203" s="181" t="s">
        <v>170</v>
      </c>
      <c r="P1203" s="83" t="s">
        <v>323</v>
      </c>
      <c r="Q1203" s="177" t="s">
        <v>324</v>
      </c>
      <c r="R1203" s="83"/>
    </row>
    <row r="1204" spans="1:18">
      <c r="A1204" s="83">
        <v>80814089</v>
      </c>
      <c r="B1204" s="186" t="s">
        <v>251</v>
      </c>
      <c r="C1204" s="186" t="s">
        <v>154</v>
      </c>
      <c r="D1204" s="83" t="s">
        <v>428</v>
      </c>
      <c r="E1204" s="83" t="s">
        <v>168</v>
      </c>
      <c r="F1204" s="180">
        <v>46034</v>
      </c>
      <c r="G1204" s="83">
        <v>149</v>
      </c>
      <c r="H1204" s="180">
        <v>46021</v>
      </c>
      <c r="I1204" s="180" t="s">
        <v>202</v>
      </c>
      <c r="J1204" s="83">
        <v>3518711924</v>
      </c>
      <c r="K1204" s="180"/>
      <c r="L1204" s="180">
        <v>46021</v>
      </c>
      <c r="M1204" s="180"/>
      <c r="N1204" s="181">
        <v>0.27006249999999998</v>
      </c>
      <c r="O1204" s="181" t="s">
        <v>170</v>
      </c>
      <c r="P1204" s="83" t="s">
        <v>323</v>
      </c>
      <c r="Q1204" s="177" t="s">
        <v>324</v>
      </c>
      <c r="R1204" s="83"/>
    </row>
    <row r="1205" spans="1:18">
      <c r="A1205" s="83">
        <v>80814089</v>
      </c>
      <c r="B1205" s="186" t="s">
        <v>251</v>
      </c>
      <c r="C1205" s="186" t="s">
        <v>155</v>
      </c>
      <c r="D1205" s="83" t="s">
        <v>428</v>
      </c>
      <c r="E1205" s="83" t="s">
        <v>168</v>
      </c>
      <c r="F1205" s="180">
        <v>46034</v>
      </c>
      <c r="G1205" s="83">
        <v>512</v>
      </c>
      <c r="H1205" s="180">
        <v>46021</v>
      </c>
      <c r="I1205" s="180" t="s">
        <v>202</v>
      </c>
      <c r="J1205" s="83">
        <v>3518711925</v>
      </c>
      <c r="K1205" s="180"/>
      <c r="L1205" s="180">
        <v>46021</v>
      </c>
      <c r="M1205" s="180"/>
      <c r="N1205" s="181">
        <v>0.92800000000000005</v>
      </c>
      <c r="O1205" s="181" t="s">
        <v>170</v>
      </c>
      <c r="P1205" s="83" t="s">
        <v>323</v>
      </c>
      <c r="Q1205" s="177" t="s">
        <v>324</v>
      </c>
      <c r="R1205" s="83"/>
    </row>
    <row r="1206" spans="1:18">
      <c r="A1206" s="83">
        <v>80814097</v>
      </c>
      <c r="B1206" s="186" t="s">
        <v>255</v>
      </c>
      <c r="C1206" s="186" t="s">
        <v>143</v>
      </c>
      <c r="D1206" s="83" t="s">
        <v>428</v>
      </c>
      <c r="E1206" s="83" t="s">
        <v>168</v>
      </c>
      <c r="F1206" s="180">
        <v>46034</v>
      </c>
      <c r="G1206" s="83">
        <v>241</v>
      </c>
      <c r="H1206" s="180">
        <v>46021</v>
      </c>
      <c r="I1206" s="180" t="s">
        <v>202</v>
      </c>
      <c r="J1206" s="83">
        <v>3518711926</v>
      </c>
      <c r="K1206" s="180"/>
      <c r="L1206" s="180">
        <v>46021</v>
      </c>
      <c r="M1206" s="180"/>
      <c r="N1206" s="181">
        <v>0.43681249999999999</v>
      </c>
      <c r="O1206" s="181" t="s">
        <v>170</v>
      </c>
      <c r="P1206" s="83" t="s">
        <v>323</v>
      </c>
      <c r="Q1206" s="177" t="s">
        <v>324</v>
      </c>
      <c r="R1206" s="83"/>
    </row>
    <row r="1207" spans="1:18">
      <c r="A1207" s="83">
        <v>80814097</v>
      </c>
      <c r="B1207" s="186" t="s">
        <v>255</v>
      </c>
      <c r="C1207" s="186" t="s">
        <v>150</v>
      </c>
      <c r="D1207" s="83" t="s">
        <v>428</v>
      </c>
      <c r="E1207" s="83" t="s">
        <v>168</v>
      </c>
      <c r="F1207" s="180">
        <v>46034</v>
      </c>
      <c r="G1207" s="83">
        <v>1288</v>
      </c>
      <c r="H1207" s="180">
        <v>46021</v>
      </c>
      <c r="I1207" s="180" t="s">
        <v>202</v>
      </c>
      <c r="J1207" s="83">
        <v>3518711927</v>
      </c>
      <c r="K1207" s="180"/>
      <c r="L1207" s="180">
        <v>46021</v>
      </c>
      <c r="M1207" s="180"/>
      <c r="N1207" s="181">
        <v>2.3344999999999998</v>
      </c>
      <c r="O1207" s="181" t="s">
        <v>170</v>
      </c>
      <c r="P1207" s="83" t="s">
        <v>323</v>
      </c>
      <c r="Q1207" s="177" t="s">
        <v>324</v>
      </c>
      <c r="R1207" s="83"/>
    </row>
    <row r="1208" spans="1:18">
      <c r="A1208" s="83">
        <v>80814097</v>
      </c>
      <c r="B1208" s="186" t="s">
        <v>255</v>
      </c>
      <c r="C1208" s="186" t="s">
        <v>151</v>
      </c>
      <c r="D1208" s="83" t="s">
        <v>428</v>
      </c>
      <c r="E1208" s="83" t="s">
        <v>168</v>
      </c>
      <c r="F1208" s="180">
        <v>46034</v>
      </c>
      <c r="G1208" s="83">
        <v>1458</v>
      </c>
      <c r="H1208" s="180">
        <v>46021</v>
      </c>
      <c r="I1208" s="180" t="s">
        <v>202</v>
      </c>
      <c r="J1208" s="83">
        <v>3518711928</v>
      </c>
      <c r="K1208" s="180"/>
      <c r="L1208" s="180">
        <v>46021</v>
      </c>
      <c r="M1208" s="180"/>
      <c r="N1208" s="181">
        <v>2.6426249999999998</v>
      </c>
      <c r="O1208" s="181" t="s">
        <v>170</v>
      </c>
      <c r="P1208" s="83" t="s">
        <v>323</v>
      </c>
      <c r="Q1208" s="177" t="s">
        <v>324</v>
      </c>
      <c r="R1208" s="83"/>
    </row>
    <row r="1209" spans="1:18">
      <c r="A1209" s="83">
        <v>80814097</v>
      </c>
      <c r="B1209" s="186" t="s">
        <v>255</v>
      </c>
      <c r="C1209" s="186" t="s">
        <v>152</v>
      </c>
      <c r="D1209" s="83" t="s">
        <v>428</v>
      </c>
      <c r="E1209" s="83" t="s">
        <v>168</v>
      </c>
      <c r="F1209" s="180">
        <v>46034</v>
      </c>
      <c r="G1209" s="83">
        <v>409</v>
      </c>
      <c r="H1209" s="180">
        <v>46021</v>
      </c>
      <c r="I1209" s="180" t="s">
        <v>202</v>
      </c>
      <c r="J1209" s="83">
        <v>3518711929</v>
      </c>
      <c r="K1209" s="180"/>
      <c r="L1209" s="180">
        <v>46021</v>
      </c>
      <c r="M1209" s="180"/>
      <c r="N1209" s="181">
        <v>0.74131250000000004</v>
      </c>
      <c r="O1209" s="181" t="s">
        <v>170</v>
      </c>
      <c r="P1209" s="83" t="s">
        <v>323</v>
      </c>
      <c r="Q1209" s="177" t="s">
        <v>324</v>
      </c>
      <c r="R1209" s="83"/>
    </row>
    <row r="1210" spans="1:18">
      <c r="A1210" s="83">
        <v>80814097</v>
      </c>
      <c r="B1210" s="186" t="s">
        <v>255</v>
      </c>
      <c r="C1210" s="186" t="s">
        <v>153</v>
      </c>
      <c r="D1210" s="83" t="s">
        <v>428</v>
      </c>
      <c r="E1210" s="83" t="s">
        <v>168</v>
      </c>
      <c r="F1210" s="180">
        <v>46034</v>
      </c>
      <c r="G1210" s="83">
        <v>168</v>
      </c>
      <c r="H1210" s="180">
        <v>46021</v>
      </c>
      <c r="I1210" s="180" t="s">
        <v>202</v>
      </c>
      <c r="J1210" s="83">
        <v>3518711930</v>
      </c>
      <c r="K1210" s="180"/>
      <c r="L1210" s="180">
        <v>46021</v>
      </c>
      <c r="M1210" s="180"/>
      <c r="N1210" s="181">
        <v>0.30449999999999999</v>
      </c>
      <c r="O1210" s="181" t="s">
        <v>170</v>
      </c>
      <c r="P1210" s="83" t="s">
        <v>323</v>
      </c>
      <c r="Q1210" s="177" t="s">
        <v>324</v>
      </c>
      <c r="R1210" s="83"/>
    </row>
    <row r="1211" spans="1:18">
      <c r="A1211" s="83">
        <v>80814097</v>
      </c>
      <c r="B1211" s="186" t="s">
        <v>255</v>
      </c>
      <c r="C1211" s="186" t="s">
        <v>154</v>
      </c>
      <c r="D1211" s="83" t="s">
        <v>428</v>
      </c>
      <c r="E1211" s="83" t="s">
        <v>168</v>
      </c>
      <c r="F1211" s="180">
        <v>46034</v>
      </c>
      <c r="G1211" s="83">
        <v>190</v>
      </c>
      <c r="H1211" s="180">
        <v>46021</v>
      </c>
      <c r="I1211" s="180" t="s">
        <v>202</v>
      </c>
      <c r="J1211" s="83">
        <v>3518711931</v>
      </c>
      <c r="K1211" s="180"/>
      <c r="L1211" s="180">
        <v>46021</v>
      </c>
      <c r="M1211" s="180"/>
      <c r="N1211" s="181">
        <v>0.34437499999999999</v>
      </c>
      <c r="O1211" s="181" t="s">
        <v>170</v>
      </c>
      <c r="P1211" s="83" t="s">
        <v>323</v>
      </c>
      <c r="Q1211" s="177" t="s">
        <v>324</v>
      </c>
      <c r="R1211" s="83"/>
    </row>
    <row r="1212" spans="1:18">
      <c r="A1212" s="83">
        <v>80814097</v>
      </c>
      <c r="B1212" s="186" t="s">
        <v>255</v>
      </c>
      <c r="C1212" s="186" t="s">
        <v>155</v>
      </c>
      <c r="D1212" s="83" t="s">
        <v>428</v>
      </c>
      <c r="E1212" s="83" t="s">
        <v>168</v>
      </c>
      <c r="F1212" s="180">
        <v>46034</v>
      </c>
      <c r="G1212" s="83">
        <v>393</v>
      </c>
      <c r="H1212" s="180">
        <v>46021</v>
      </c>
      <c r="I1212" s="180" t="s">
        <v>202</v>
      </c>
      <c r="J1212" s="83">
        <v>3518711932</v>
      </c>
      <c r="K1212" s="180"/>
      <c r="L1212" s="180">
        <v>46021</v>
      </c>
      <c r="M1212" s="180"/>
      <c r="N1212" s="181">
        <v>0.71231250000000002</v>
      </c>
      <c r="O1212" s="181" t="s">
        <v>170</v>
      </c>
      <c r="P1212" s="83" t="s">
        <v>323</v>
      </c>
      <c r="Q1212" s="177" t="s">
        <v>324</v>
      </c>
      <c r="R1212" s="83"/>
    </row>
    <row r="1213" spans="1:18">
      <c r="A1213" s="83">
        <v>80814098</v>
      </c>
      <c r="B1213" s="186" t="s">
        <v>254</v>
      </c>
      <c r="C1213" s="186" t="s">
        <v>143</v>
      </c>
      <c r="D1213" s="83" t="s">
        <v>428</v>
      </c>
      <c r="E1213" s="83" t="s">
        <v>168</v>
      </c>
      <c r="F1213" s="180">
        <v>46034</v>
      </c>
      <c r="G1213" s="83">
        <v>115</v>
      </c>
      <c r="H1213" s="180">
        <v>46021</v>
      </c>
      <c r="I1213" s="180" t="s">
        <v>202</v>
      </c>
      <c r="J1213" s="83">
        <v>3518711933</v>
      </c>
      <c r="K1213" s="180"/>
      <c r="L1213" s="180">
        <v>46021</v>
      </c>
      <c r="M1213" s="180"/>
      <c r="N1213" s="181">
        <v>0.2084375</v>
      </c>
      <c r="O1213" s="181" t="s">
        <v>170</v>
      </c>
      <c r="P1213" s="83" t="s">
        <v>323</v>
      </c>
      <c r="Q1213" s="177" t="s">
        <v>324</v>
      </c>
      <c r="R1213" s="83"/>
    </row>
    <row r="1214" spans="1:18">
      <c r="A1214" s="83">
        <v>80814098</v>
      </c>
      <c r="B1214" s="186" t="s">
        <v>254</v>
      </c>
      <c r="C1214" s="186" t="s">
        <v>150</v>
      </c>
      <c r="D1214" s="83" t="s">
        <v>428</v>
      </c>
      <c r="E1214" s="83" t="s">
        <v>168</v>
      </c>
      <c r="F1214" s="180">
        <v>46034</v>
      </c>
      <c r="G1214" s="83">
        <v>872</v>
      </c>
      <c r="H1214" s="180">
        <v>46021</v>
      </c>
      <c r="I1214" s="180" t="s">
        <v>202</v>
      </c>
      <c r="J1214" s="83">
        <v>3518711934</v>
      </c>
      <c r="K1214" s="180"/>
      <c r="L1214" s="180">
        <v>46021</v>
      </c>
      <c r="M1214" s="180"/>
      <c r="N1214" s="181">
        <v>1.5805</v>
      </c>
      <c r="O1214" s="181" t="s">
        <v>170</v>
      </c>
      <c r="P1214" s="83" t="s">
        <v>323</v>
      </c>
      <c r="Q1214" s="177" t="s">
        <v>324</v>
      </c>
      <c r="R1214" s="83"/>
    </row>
    <row r="1215" spans="1:18">
      <c r="A1215" s="83">
        <v>80814098</v>
      </c>
      <c r="B1215" s="186" t="s">
        <v>254</v>
      </c>
      <c r="C1215" s="186" t="s">
        <v>151</v>
      </c>
      <c r="D1215" s="83" t="s">
        <v>428</v>
      </c>
      <c r="E1215" s="83" t="s">
        <v>168</v>
      </c>
      <c r="F1215" s="180">
        <v>46034</v>
      </c>
      <c r="G1215" s="83">
        <v>1041</v>
      </c>
      <c r="H1215" s="180">
        <v>46021</v>
      </c>
      <c r="I1215" s="180" t="s">
        <v>202</v>
      </c>
      <c r="J1215" s="83">
        <v>3518711935</v>
      </c>
      <c r="K1215" s="180"/>
      <c r="L1215" s="180">
        <v>46021</v>
      </c>
      <c r="M1215" s="180"/>
      <c r="N1215" s="181">
        <v>1.8868125</v>
      </c>
      <c r="O1215" s="181" t="s">
        <v>170</v>
      </c>
      <c r="P1215" s="83" t="s">
        <v>323</v>
      </c>
      <c r="Q1215" s="177" t="s">
        <v>324</v>
      </c>
      <c r="R1215" s="83"/>
    </row>
    <row r="1216" spans="1:18">
      <c r="A1216" s="83">
        <v>80814098</v>
      </c>
      <c r="B1216" s="186" t="s">
        <v>254</v>
      </c>
      <c r="C1216" s="186" t="s">
        <v>152</v>
      </c>
      <c r="D1216" s="83" t="s">
        <v>428</v>
      </c>
      <c r="E1216" s="83" t="s">
        <v>168</v>
      </c>
      <c r="F1216" s="180">
        <v>46034</v>
      </c>
      <c r="G1216" s="83">
        <v>252</v>
      </c>
      <c r="H1216" s="180">
        <v>46021</v>
      </c>
      <c r="I1216" s="180" t="s">
        <v>202</v>
      </c>
      <c r="J1216" s="83">
        <v>3518711936</v>
      </c>
      <c r="K1216" s="180"/>
      <c r="L1216" s="180">
        <v>46021</v>
      </c>
      <c r="M1216" s="180"/>
      <c r="N1216" s="181">
        <v>0.45674999999999999</v>
      </c>
      <c r="O1216" s="181" t="s">
        <v>170</v>
      </c>
      <c r="P1216" s="83" t="s">
        <v>323</v>
      </c>
      <c r="Q1216" s="177" t="s">
        <v>324</v>
      </c>
      <c r="R1216" s="83"/>
    </row>
    <row r="1217" spans="1:18">
      <c r="A1217" s="83">
        <v>80814098</v>
      </c>
      <c r="B1217" s="186" t="s">
        <v>254</v>
      </c>
      <c r="C1217" s="186" t="s">
        <v>153</v>
      </c>
      <c r="D1217" s="83" t="s">
        <v>428</v>
      </c>
      <c r="E1217" s="83" t="s">
        <v>168</v>
      </c>
      <c r="F1217" s="180">
        <v>46034</v>
      </c>
      <c r="G1217" s="83">
        <v>129</v>
      </c>
      <c r="H1217" s="180">
        <v>46021</v>
      </c>
      <c r="I1217" s="180" t="s">
        <v>202</v>
      </c>
      <c r="J1217" s="83">
        <v>3518711937</v>
      </c>
      <c r="K1217" s="180"/>
      <c r="L1217" s="180">
        <v>46021</v>
      </c>
      <c r="M1217" s="180"/>
      <c r="N1217" s="181">
        <v>0.23381250000000001</v>
      </c>
      <c r="O1217" s="181" t="s">
        <v>170</v>
      </c>
      <c r="P1217" s="83" t="s">
        <v>323</v>
      </c>
      <c r="Q1217" s="177" t="s">
        <v>324</v>
      </c>
      <c r="R1217" s="83"/>
    </row>
    <row r="1218" spans="1:18">
      <c r="A1218" s="83">
        <v>80814098</v>
      </c>
      <c r="B1218" s="186" t="s">
        <v>254</v>
      </c>
      <c r="C1218" s="186" t="s">
        <v>154</v>
      </c>
      <c r="D1218" s="83" t="s">
        <v>428</v>
      </c>
      <c r="E1218" s="83" t="s">
        <v>168</v>
      </c>
      <c r="F1218" s="180">
        <v>46034</v>
      </c>
      <c r="G1218" s="83">
        <v>131</v>
      </c>
      <c r="H1218" s="180">
        <v>46021</v>
      </c>
      <c r="I1218" s="180" t="s">
        <v>202</v>
      </c>
      <c r="J1218" s="83">
        <v>3518714438</v>
      </c>
      <c r="K1218" s="180"/>
      <c r="L1218" s="180">
        <v>46021</v>
      </c>
      <c r="M1218" s="180"/>
      <c r="N1218" s="181">
        <v>0.2374375</v>
      </c>
      <c r="O1218" s="181" t="s">
        <v>170</v>
      </c>
      <c r="P1218" s="83" t="s">
        <v>323</v>
      </c>
      <c r="Q1218" s="177" t="s">
        <v>324</v>
      </c>
      <c r="R1218" s="83"/>
    </row>
    <row r="1219" spans="1:18">
      <c r="A1219" s="83">
        <v>80814098</v>
      </c>
      <c r="B1219" s="186" t="s">
        <v>254</v>
      </c>
      <c r="C1219" s="186" t="s">
        <v>155</v>
      </c>
      <c r="D1219" s="83" t="s">
        <v>428</v>
      </c>
      <c r="E1219" s="83" t="s">
        <v>168</v>
      </c>
      <c r="F1219" s="180">
        <v>46034</v>
      </c>
      <c r="G1219" s="83">
        <v>489</v>
      </c>
      <c r="H1219" s="180">
        <v>46021</v>
      </c>
      <c r="I1219" s="180" t="s">
        <v>202</v>
      </c>
      <c r="J1219" s="83">
        <v>3518714439</v>
      </c>
      <c r="K1219" s="180"/>
      <c r="L1219" s="180">
        <v>46021</v>
      </c>
      <c r="M1219" s="180"/>
      <c r="N1219" s="181">
        <v>0.88631249999999995</v>
      </c>
      <c r="O1219" s="181" t="s">
        <v>170</v>
      </c>
      <c r="P1219" s="83" t="s">
        <v>323</v>
      </c>
      <c r="Q1219" s="177" t="s">
        <v>324</v>
      </c>
      <c r="R1219" s="83"/>
    </row>
    <row r="1220" spans="1:18">
      <c r="A1220" s="83">
        <v>80818365</v>
      </c>
      <c r="B1220" s="186" t="s">
        <v>488</v>
      </c>
      <c r="C1220" s="186" t="s">
        <v>143</v>
      </c>
      <c r="D1220" s="83" t="s">
        <v>428</v>
      </c>
      <c r="E1220" s="83" t="s">
        <v>168</v>
      </c>
      <c r="F1220" s="180">
        <v>46034</v>
      </c>
      <c r="G1220" s="83">
        <v>11</v>
      </c>
      <c r="H1220" s="180">
        <v>46021</v>
      </c>
      <c r="I1220" s="180" t="s">
        <v>202</v>
      </c>
      <c r="J1220" s="83">
        <v>3518714440</v>
      </c>
      <c r="K1220" s="180"/>
      <c r="L1220" s="180">
        <v>46021</v>
      </c>
      <c r="M1220" s="180"/>
      <c r="N1220" s="181">
        <v>4.9841E-3</v>
      </c>
      <c r="O1220" s="181" t="s">
        <v>170</v>
      </c>
      <c r="P1220" s="83" t="s">
        <v>323</v>
      </c>
      <c r="Q1220" s="177" t="s">
        <v>324</v>
      </c>
      <c r="R1220" s="83"/>
    </row>
    <row r="1221" spans="1:18">
      <c r="A1221" s="83">
        <v>80818365</v>
      </c>
      <c r="B1221" s="186" t="s">
        <v>488</v>
      </c>
      <c r="C1221" s="186" t="s">
        <v>150</v>
      </c>
      <c r="D1221" s="83" t="s">
        <v>428</v>
      </c>
      <c r="E1221" s="83" t="s">
        <v>168</v>
      </c>
      <c r="F1221" s="180">
        <v>46034</v>
      </c>
      <c r="G1221" s="83">
        <v>12</v>
      </c>
      <c r="H1221" s="180">
        <v>46021</v>
      </c>
      <c r="I1221" s="180" t="s">
        <v>202</v>
      </c>
      <c r="J1221" s="83">
        <v>3518714441</v>
      </c>
      <c r="K1221" s="180"/>
      <c r="L1221" s="180">
        <v>46021</v>
      </c>
      <c r="M1221" s="180"/>
      <c r="N1221" s="181">
        <v>5.4371999999999997E-3</v>
      </c>
      <c r="O1221" s="181" t="s">
        <v>170</v>
      </c>
      <c r="P1221" s="83" t="s">
        <v>323</v>
      </c>
      <c r="Q1221" s="177" t="s">
        <v>324</v>
      </c>
      <c r="R1221" s="83"/>
    </row>
    <row r="1222" spans="1:18">
      <c r="A1222" s="83">
        <v>80818365</v>
      </c>
      <c r="B1222" s="186" t="s">
        <v>488</v>
      </c>
      <c r="C1222" s="186" t="s">
        <v>151</v>
      </c>
      <c r="D1222" s="83" t="s">
        <v>428</v>
      </c>
      <c r="E1222" s="83" t="s">
        <v>168</v>
      </c>
      <c r="F1222" s="180">
        <v>46034</v>
      </c>
      <c r="G1222" s="83">
        <v>11</v>
      </c>
      <c r="H1222" s="180">
        <v>46021</v>
      </c>
      <c r="I1222" s="180" t="s">
        <v>202</v>
      </c>
      <c r="J1222" s="83">
        <v>3518714442</v>
      </c>
      <c r="K1222" s="180"/>
      <c r="L1222" s="180">
        <v>46021</v>
      </c>
      <c r="M1222" s="180"/>
      <c r="N1222" s="181">
        <v>4.9841E-3</v>
      </c>
      <c r="O1222" s="181" t="s">
        <v>170</v>
      </c>
      <c r="P1222" s="83" t="s">
        <v>323</v>
      </c>
      <c r="Q1222" s="177" t="s">
        <v>324</v>
      </c>
      <c r="R1222" s="83"/>
    </row>
    <row r="1223" spans="1:18">
      <c r="A1223" s="83">
        <v>80818365</v>
      </c>
      <c r="B1223" s="186" t="s">
        <v>488</v>
      </c>
      <c r="C1223" s="186" t="s">
        <v>152</v>
      </c>
      <c r="D1223" s="83" t="s">
        <v>428</v>
      </c>
      <c r="E1223" s="83" t="s">
        <v>168</v>
      </c>
      <c r="F1223" s="180">
        <v>46034</v>
      </c>
      <c r="G1223" s="83">
        <v>11</v>
      </c>
      <c r="H1223" s="180">
        <v>46021</v>
      </c>
      <c r="I1223" s="180" t="s">
        <v>202</v>
      </c>
      <c r="J1223" s="83">
        <v>3518714443</v>
      </c>
      <c r="K1223" s="180"/>
      <c r="L1223" s="180">
        <v>46021</v>
      </c>
      <c r="M1223" s="180"/>
      <c r="N1223" s="181">
        <v>4.9841E-3</v>
      </c>
      <c r="O1223" s="181" t="s">
        <v>170</v>
      </c>
      <c r="P1223" s="83" t="s">
        <v>323</v>
      </c>
      <c r="Q1223" s="177" t="s">
        <v>324</v>
      </c>
      <c r="R1223" s="83"/>
    </row>
    <row r="1224" spans="1:18">
      <c r="A1224" s="83">
        <v>80818365</v>
      </c>
      <c r="B1224" s="186" t="s">
        <v>488</v>
      </c>
      <c r="C1224" s="186" t="s">
        <v>153</v>
      </c>
      <c r="D1224" s="83" t="s">
        <v>428</v>
      </c>
      <c r="E1224" s="83" t="s">
        <v>168</v>
      </c>
      <c r="F1224" s="180">
        <v>46034</v>
      </c>
      <c r="G1224" s="83">
        <v>11</v>
      </c>
      <c r="H1224" s="180">
        <v>46021</v>
      </c>
      <c r="I1224" s="180" t="s">
        <v>202</v>
      </c>
      <c r="J1224" s="83">
        <v>3518714444</v>
      </c>
      <c r="K1224" s="180"/>
      <c r="L1224" s="180">
        <v>46021</v>
      </c>
      <c r="M1224" s="180"/>
      <c r="N1224" s="181">
        <v>4.9841E-3</v>
      </c>
      <c r="O1224" s="181" t="s">
        <v>170</v>
      </c>
      <c r="P1224" s="83" t="s">
        <v>323</v>
      </c>
      <c r="Q1224" s="177" t="s">
        <v>324</v>
      </c>
      <c r="R1224" s="83"/>
    </row>
    <row r="1225" spans="1:18">
      <c r="A1225" s="83">
        <v>80818365</v>
      </c>
      <c r="B1225" s="186" t="s">
        <v>488</v>
      </c>
      <c r="C1225" s="186" t="s">
        <v>154</v>
      </c>
      <c r="D1225" s="83" t="s">
        <v>428</v>
      </c>
      <c r="E1225" s="83" t="s">
        <v>168</v>
      </c>
      <c r="F1225" s="180">
        <v>46034</v>
      </c>
      <c r="G1225" s="83">
        <v>11</v>
      </c>
      <c r="H1225" s="180">
        <v>46021</v>
      </c>
      <c r="I1225" s="180" t="s">
        <v>202</v>
      </c>
      <c r="J1225" s="83">
        <v>3518714445</v>
      </c>
      <c r="K1225" s="180"/>
      <c r="L1225" s="180">
        <v>46021</v>
      </c>
      <c r="M1225" s="180"/>
      <c r="N1225" s="181">
        <v>4.9841E-3</v>
      </c>
      <c r="O1225" s="181" t="s">
        <v>170</v>
      </c>
      <c r="P1225" s="83" t="s">
        <v>323</v>
      </c>
      <c r="Q1225" s="177" t="s">
        <v>324</v>
      </c>
      <c r="R1225" s="83"/>
    </row>
    <row r="1226" spans="1:18">
      <c r="A1226" s="83">
        <v>80818365</v>
      </c>
      <c r="B1226" s="186" t="s">
        <v>488</v>
      </c>
      <c r="C1226" s="186" t="s">
        <v>155</v>
      </c>
      <c r="D1226" s="83" t="s">
        <v>428</v>
      </c>
      <c r="E1226" s="83" t="s">
        <v>168</v>
      </c>
      <c r="F1226" s="180">
        <v>46034</v>
      </c>
      <c r="G1226" s="83">
        <v>9</v>
      </c>
      <c r="H1226" s="180">
        <v>46021</v>
      </c>
      <c r="I1226" s="180" t="s">
        <v>202</v>
      </c>
      <c r="J1226" s="83">
        <v>3518714446</v>
      </c>
      <c r="K1226" s="180"/>
      <c r="L1226" s="180">
        <v>46021</v>
      </c>
      <c r="M1226" s="180"/>
      <c r="N1226" s="181">
        <v>4.0778999999999998E-3</v>
      </c>
      <c r="O1226" s="181" t="s">
        <v>170</v>
      </c>
      <c r="P1226" s="83" t="s">
        <v>323</v>
      </c>
      <c r="Q1226" s="177" t="s">
        <v>324</v>
      </c>
      <c r="R1226" s="83"/>
    </row>
    <row r="1227" spans="1:18">
      <c r="A1227" s="83">
        <v>80815642</v>
      </c>
      <c r="B1227" s="186" t="s">
        <v>259</v>
      </c>
      <c r="C1227" s="186" t="s">
        <v>143</v>
      </c>
      <c r="D1227" s="83" t="s">
        <v>428</v>
      </c>
      <c r="E1227" s="83" t="s">
        <v>168</v>
      </c>
      <c r="F1227" s="180">
        <v>46034</v>
      </c>
      <c r="G1227" s="83">
        <v>511</v>
      </c>
      <c r="H1227" s="180">
        <v>46021</v>
      </c>
      <c r="I1227" s="180" t="s">
        <v>202</v>
      </c>
      <c r="J1227" s="83">
        <v>3518714447</v>
      </c>
      <c r="K1227" s="180"/>
      <c r="L1227" s="180">
        <v>46021</v>
      </c>
      <c r="M1227" s="180"/>
      <c r="N1227" s="181">
        <v>0.99568350000000005</v>
      </c>
      <c r="O1227" s="181" t="s">
        <v>170</v>
      </c>
      <c r="P1227" s="83" t="s">
        <v>323</v>
      </c>
      <c r="Q1227" s="177" t="s">
        <v>324</v>
      </c>
      <c r="R1227" s="83"/>
    </row>
    <row r="1228" spans="1:18">
      <c r="A1228" s="83">
        <v>80815642</v>
      </c>
      <c r="B1228" s="186" t="s">
        <v>259</v>
      </c>
      <c r="C1228" s="186" t="s">
        <v>150</v>
      </c>
      <c r="D1228" s="83" t="s">
        <v>428</v>
      </c>
      <c r="E1228" s="83" t="s">
        <v>168</v>
      </c>
      <c r="F1228" s="180">
        <v>46034</v>
      </c>
      <c r="G1228" s="83">
        <v>1535</v>
      </c>
      <c r="H1228" s="180">
        <v>46021</v>
      </c>
      <c r="I1228" s="180" t="s">
        <v>202</v>
      </c>
      <c r="J1228" s="83">
        <v>3518714448</v>
      </c>
      <c r="K1228" s="180"/>
      <c r="L1228" s="180">
        <v>46021</v>
      </c>
      <c r="M1228" s="180"/>
      <c r="N1228" s="181">
        <v>2.9909474999999999</v>
      </c>
      <c r="O1228" s="181" t="s">
        <v>170</v>
      </c>
      <c r="P1228" s="83" t="s">
        <v>323</v>
      </c>
      <c r="Q1228" s="177" t="s">
        <v>324</v>
      </c>
      <c r="R1228" s="83"/>
    </row>
    <row r="1229" spans="1:18">
      <c r="A1229" s="83">
        <v>80815642</v>
      </c>
      <c r="B1229" s="186" t="s">
        <v>259</v>
      </c>
      <c r="C1229" s="186" t="s">
        <v>151</v>
      </c>
      <c r="D1229" s="83" t="s">
        <v>428</v>
      </c>
      <c r="E1229" s="83" t="s">
        <v>168</v>
      </c>
      <c r="F1229" s="180">
        <v>46034</v>
      </c>
      <c r="G1229" s="83">
        <v>2163</v>
      </c>
      <c r="H1229" s="180">
        <v>46021</v>
      </c>
      <c r="I1229" s="180" t="s">
        <v>202</v>
      </c>
      <c r="J1229" s="83">
        <v>3518714449</v>
      </c>
      <c r="K1229" s="180"/>
      <c r="L1229" s="180">
        <v>46021</v>
      </c>
      <c r="M1229" s="180"/>
      <c r="N1229" s="181">
        <v>4.2146055000000002</v>
      </c>
      <c r="O1229" s="181" t="s">
        <v>170</v>
      </c>
      <c r="P1229" s="83" t="s">
        <v>323</v>
      </c>
      <c r="Q1229" s="177" t="s">
        <v>324</v>
      </c>
      <c r="R1229" s="83"/>
    </row>
    <row r="1230" spans="1:18">
      <c r="A1230" s="83">
        <v>80815642</v>
      </c>
      <c r="B1230" s="186" t="s">
        <v>259</v>
      </c>
      <c r="C1230" s="186" t="s">
        <v>152</v>
      </c>
      <c r="D1230" s="83" t="s">
        <v>428</v>
      </c>
      <c r="E1230" s="83" t="s">
        <v>168</v>
      </c>
      <c r="F1230" s="180">
        <v>46034</v>
      </c>
      <c r="G1230" s="83">
        <v>593</v>
      </c>
      <c r="H1230" s="180">
        <v>46021</v>
      </c>
      <c r="I1230" s="180" t="s">
        <v>202</v>
      </c>
      <c r="J1230" s="83">
        <v>3518714450</v>
      </c>
      <c r="K1230" s="180"/>
      <c r="L1230" s="180">
        <v>46021</v>
      </c>
      <c r="M1230" s="180"/>
      <c r="N1230" s="181">
        <v>1.1554605</v>
      </c>
      <c r="O1230" s="181" t="s">
        <v>170</v>
      </c>
      <c r="P1230" s="83" t="s">
        <v>323</v>
      </c>
      <c r="Q1230" s="177" t="s">
        <v>324</v>
      </c>
      <c r="R1230" s="83"/>
    </row>
    <row r="1231" spans="1:18">
      <c r="A1231" s="83">
        <v>80815642</v>
      </c>
      <c r="B1231" s="186" t="s">
        <v>259</v>
      </c>
      <c r="C1231" s="186" t="s">
        <v>153</v>
      </c>
      <c r="D1231" s="83" t="s">
        <v>428</v>
      </c>
      <c r="E1231" s="83" t="s">
        <v>168</v>
      </c>
      <c r="F1231" s="180">
        <v>46034</v>
      </c>
      <c r="G1231" s="83">
        <v>144</v>
      </c>
      <c r="H1231" s="180">
        <v>46021</v>
      </c>
      <c r="I1231" s="180" t="s">
        <v>202</v>
      </c>
      <c r="J1231" s="83">
        <v>3518714451</v>
      </c>
      <c r="K1231" s="180"/>
      <c r="L1231" s="180">
        <v>46021</v>
      </c>
      <c r="M1231" s="180"/>
      <c r="N1231" s="181">
        <v>0.280584</v>
      </c>
      <c r="O1231" s="181" t="s">
        <v>170</v>
      </c>
      <c r="P1231" s="83" t="s">
        <v>323</v>
      </c>
      <c r="Q1231" s="177" t="s">
        <v>324</v>
      </c>
      <c r="R1231" s="83"/>
    </row>
    <row r="1232" spans="1:18">
      <c r="A1232" s="83">
        <v>80815642</v>
      </c>
      <c r="B1232" s="186" t="s">
        <v>259</v>
      </c>
      <c r="C1232" s="186" t="s">
        <v>154</v>
      </c>
      <c r="D1232" s="83" t="s">
        <v>428</v>
      </c>
      <c r="E1232" s="83" t="s">
        <v>168</v>
      </c>
      <c r="F1232" s="180">
        <v>46034</v>
      </c>
      <c r="G1232" s="83">
        <v>227</v>
      </c>
      <c r="H1232" s="180">
        <v>46021</v>
      </c>
      <c r="I1232" s="180" t="s">
        <v>202</v>
      </c>
      <c r="J1232" s="83">
        <v>3518714452</v>
      </c>
      <c r="K1232" s="180"/>
      <c r="L1232" s="180">
        <v>46021</v>
      </c>
      <c r="M1232" s="180"/>
      <c r="N1232" s="181">
        <v>0.44230950000000002</v>
      </c>
      <c r="O1232" s="181" t="s">
        <v>170</v>
      </c>
      <c r="P1232" s="83" t="s">
        <v>323</v>
      </c>
      <c r="Q1232" s="177" t="s">
        <v>324</v>
      </c>
      <c r="R1232" s="83"/>
    </row>
    <row r="1233" spans="1:18">
      <c r="A1233" s="83">
        <v>80815642</v>
      </c>
      <c r="B1233" s="186" t="s">
        <v>259</v>
      </c>
      <c r="C1233" s="186" t="s">
        <v>155</v>
      </c>
      <c r="D1233" s="83" t="s">
        <v>428</v>
      </c>
      <c r="E1233" s="83" t="s">
        <v>168</v>
      </c>
      <c r="F1233" s="180">
        <v>46034</v>
      </c>
      <c r="G1233" s="83">
        <v>592</v>
      </c>
      <c r="H1233" s="180">
        <v>46021</v>
      </c>
      <c r="I1233" s="180" t="s">
        <v>202</v>
      </c>
      <c r="J1233" s="83">
        <v>3518714453</v>
      </c>
      <c r="K1233" s="180"/>
      <c r="L1233" s="180">
        <v>46021</v>
      </c>
      <c r="M1233" s="180"/>
      <c r="N1233" s="181">
        <v>1.1535120000000001</v>
      </c>
      <c r="O1233" s="181" t="s">
        <v>170</v>
      </c>
      <c r="P1233" s="83" t="s">
        <v>323</v>
      </c>
      <c r="Q1233" s="177" t="s">
        <v>324</v>
      </c>
      <c r="R1233" s="83"/>
    </row>
    <row r="1234" spans="1:18">
      <c r="A1234" s="83">
        <v>80815643</v>
      </c>
      <c r="B1234" s="186" t="s">
        <v>258</v>
      </c>
      <c r="C1234" s="186" t="s">
        <v>143</v>
      </c>
      <c r="D1234" s="83" t="s">
        <v>428</v>
      </c>
      <c r="E1234" s="83" t="s">
        <v>168</v>
      </c>
      <c r="F1234" s="180">
        <v>46034</v>
      </c>
      <c r="G1234" s="83">
        <v>140</v>
      </c>
      <c r="H1234" s="180">
        <v>46021</v>
      </c>
      <c r="I1234" s="180" t="s">
        <v>202</v>
      </c>
      <c r="J1234" s="83">
        <v>3518714454</v>
      </c>
      <c r="K1234" s="180"/>
      <c r="L1234" s="180">
        <v>46021</v>
      </c>
      <c r="M1234" s="180"/>
      <c r="N1234" s="181">
        <v>0.27278999999999998</v>
      </c>
      <c r="O1234" s="181" t="s">
        <v>170</v>
      </c>
      <c r="P1234" s="83" t="s">
        <v>323</v>
      </c>
      <c r="Q1234" s="177" t="s">
        <v>324</v>
      </c>
      <c r="R1234" s="83"/>
    </row>
    <row r="1235" spans="1:18">
      <c r="A1235" s="83">
        <v>80815643</v>
      </c>
      <c r="B1235" s="186" t="s">
        <v>258</v>
      </c>
      <c r="C1235" s="186" t="s">
        <v>150</v>
      </c>
      <c r="D1235" s="83" t="s">
        <v>428</v>
      </c>
      <c r="E1235" s="83" t="s">
        <v>168</v>
      </c>
      <c r="F1235" s="180">
        <v>46034</v>
      </c>
      <c r="G1235" s="83">
        <v>802</v>
      </c>
      <c r="H1235" s="180">
        <v>46021</v>
      </c>
      <c r="I1235" s="180" t="s">
        <v>202</v>
      </c>
      <c r="J1235" s="83">
        <v>3518714455</v>
      </c>
      <c r="K1235" s="180"/>
      <c r="L1235" s="180">
        <v>46021</v>
      </c>
      <c r="M1235" s="180"/>
      <c r="N1235" s="181">
        <v>1.562697</v>
      </c>
      <c r="O1235" s="181" t="s">
        <v>170</v>
      </c>
      <c r="P1235" s="83" t="s">
        <v>323</v>
      </c>
      <c r="Q1235" s="177" t="s">
        <v>324</v>
      </c>
      <c r="R1235" s="83"/>
    </row>
    <row r="1236" spans="1:18">
      <c r="A1236" s="83">
        <v>80815643</v>
      </c>
      <c r="B1236" s="186" t="s">
        <v>258</v>
      </c>
      <c r="C1236" s="186" t="s">
        <v>151</v>
      </c>
      <c r="D1236" s="83" t="s">
        <v>428</v>
      </c>
      <c r="E1236" s="83" t="s">
        <v>168</v>
      </c>
      <c r="F1236" s="180">
        <v>46034</v>
      </c>
      <c r="G1236" s="83">
        <v>1164</v>
      </c>
      <c r="H1236" s="180">
        <v>46021</v>
      </c>
      <c r="I1236" s="180" t="s">
        <v>202</v>
      </c>
      <c r="J1236" s="83">
        <v>3518714456</v>
      </c>
      <c r="K1236" s="180"/>
      <c r="L1236" s="180">
        <v>46021</v>
      </c>
      <c r="M1236" s="180"/>
      <c r="N1236" s="181">
        <v>2.2680539999999998</v>
      </c>
      <c r="O1236" s="181" t="s">
        <v>170</v>
      </c>
      <c r="P1236" s="83" t="s">
        <v>323</v>
      </c>
      <c r="Q1236" s="177" t="s">
        <v>324</v>
      </c>
      <c r="R1236" s="83"/>
    </row>
    <row r="1237" spans="1:18">
      <c r="A1237" s="83">
        <v>80815643</v>
      </c>
      <c r="B1237" s="186" t="s">
        <v>258</v>
      </c>
      <c r="C1237" s="186" t="s">
        <v>152</v>
      </c>
      <c r="D1237" s="83" t="s">
        <v>428</v>
      </c>
      <c r="E1237" s="83" t="s">
        <v>168</v>
      </c>
      <c r="F1237" s="180">
        <v>46034</v>
      </c>
      <c r="G1237" s="83">
        <v>345</v>
      </c>
      <c r="H1237" s="180">
        <v>46021</v>
      </c>
      <c r="I1237" s="180" t="s">
        <v>202</v>
      </c>
      <c r="J1237" s="83">
        <v>3518714457</v>
      </c>
      <c r="K1237" s="180"/>
      <c r="L1237" s="180">
        <v>46021</v>
      </c>
      <c r="M1237" s="180"/>
      <c r="N1237" s="181">
        <v>0.67223250000000001</v>
      </c>
      <c r="O1237" s="181" t="s">
        <v>170</v>
      </c>
      <c r="P1237" s="83" t="s">
        <v>323</v>
      </c>
      <c r="Q1237" s="177" t="s">
        <v>324</v>
      </c>
      <c r="R1237" s="83"/>
    </row>
    <row r="1238" spans="1:18">
      <c r="A1238" s="83">
        <v>80815643</v>
      </c>
      <c r="B1238" s="186" t="s">
        <v>258</v>
      </c>
      <c r="C1238" s="186" t="s">
        <v>153</v>
      </c>
      <c r="D1238" s="83" t="s">
        <v>428</v>
      </c>
      <c r="E1238" s="83" t="s">
        <v>168</v>
      </c>
      <c r="F1238" s="180">
        <v>46034</v>
      </c>
      <c r="G1238" s="83">
        <v>105</v>
      </c>
      <c r="H1238" s="180">
        <v>46021</v>
      </c>
      <c r="I1238" s="180" t="s">
        <v>202</v>
      </c>
      <c r="J1238" s="83">
        <v>3518717078</v>
      </c>
      <c r="K1238" s="180"/>
      <c r="L1238" s="180">
        <v>46021</v>
      </c>
      <c r="M1238" s="180"/>
      <c r="N1238" s="181">
        <v>0.20459250000000001</v>
      </c>
      <c r="O1238" s="181" t="s">
        <v>170</v>
      </c>
      <c r="P1238" s="83" t="s">
        <v>323</v>
      </c>
      <c r="Q1238" s="177" t="s">
        <v>324</v>
      </c>
      <c r="R1238" s="83"/>
    </row>
    <row r="1239" spans="1:18">
      <c r="A1239" s="83">
        <v>80815643</v>
      </c>
      <c r="B1239" s="186" t="s">
        <v>258</v>
      </c>
      <c r="C1239" s="186" t="s">
        <v>154</v>
      </c>
      <c r="D1239" s="83" t="s">
        <v>428</v>
      </c>
      <c r="E1239" s="83" t="s">
        <v>168</v>
      </c>
      <c r="F1239" s="180">
        <v>46034</v>
      </c>
      <c r="G1239" s="83">
        <v>277</v>
      </c>
      <c r="H1239" s="180">
        <v>46021</v>
      </c>
      <c r="I1239" s="180" t="s">
        <v>202</v>
      </c>
      <c r="J1239" s="83">
        <v>3518717079</v>
      </c>
      <c r="K1239" s="180"/>
      <c r="L1239" s="180">
        <v>46021</v>
      </c>
      <c r="M1239" s="180"/>
      <c r="N1239" s="181">
        <v>0.53973450000000001</v>
      </c>
      <c r="O1239" s="181" t="s">
        <v>170</v>
      </c>
      <c r="P1239" s="83" t="s">
        <v>323</v>
      </c>
      <c r="Q1239" s="177" t="s">
        <v>324</v>
      </c>
      <c r="R1239" s="83"/>
    </row>
    <row r="1240" spans="1:18">
      <c r="A1240" s="83">
        <v>80815643</v>
      </c>
      <c r="B1240" s="186" t="s">
        <v>258</v>
      </c>
      <c r="C1240" s="186" t="s">
        <v>155</v>
      </c>
      <c r="D1240" s="83" t="s">
        <v>428</v>
      </c>
      <c r="E1240" s="83" t="s">
        <v>168</v>
      </c>
      <c r="F1240" s="180">
        <v>46034</v>
      </c>
      <c r="G1240" s="83">
        <v>399</v>
      </c>
      <c r="H1240" s="180">
        <v>46021</v>
      </c>
      <c r="I1240" s="180" t="s">
        <v>202</v>
      </c>
      <c r="J1240" s="83">
        <v>3518717080</v>
      </c>
      <c r="K1240" s="180"/>
      <c r="L1240" s="180">
        <v>46021</v>
      </c>
      <c r="M1240" s="180"/>
      <c r="N1240" s="181">
        <v>0.77745149999999996</v>
      </c>
      <c r="O1240" s="181" t="s">
        <v>170</v>
      </c>
      <c r="P1240" s="83" t="s">
        <v>323</v>
      </c>
      <c r="Q1240" s="177" t="s">
        <v>324</v>
      </c>
      <c r="R1240" s="83"/>
    </row>
    <row r="1241" spans="1:18">
      <c r="A1241" s="83">
        <v>80815644</v>
      </c>
      <c r="B1241" s="186" t="s">
        <v>260</v>
      </c>
      <c r="C1241" s="186" t="s">
        <v>143</v>
      </c>
      <c r="D1241" s="83" t="s">
        <v>428</v>
      </c>
      <c r="E1241" s="83" t="s">
        <v>168</v>
      </c>
      <c r="F1241" s="180">
        <v>46034</v>
      </c>
      <c r="G1241" s="83">
        <v>98</v>
      </c>
      <c r="H1241" s="180">
        <v>46021</v>
      </c>
      <c r="I1241" s="180" t="s">
        <v>202</v>
      </c>
      <c r="J1241" s="83">
        <v>3518717081</v>
      </c>
      <c r="K1241" s="180"/>
      <c r="L1241" s="180">
        <v>46021</v>
      </c>
      <c r="M1241" s="180"/>
      <c r="N1241" s="181">
        <v>0.19095300000000001</v>
      </c>
      <c r="O1241" s="181" t="s">
        <v>170</v>
      </c>
      <c r="P1241" s="83" t="s">
        <v>323</v>
      </c>
      <c r="Q1241" s="177" t="s">
        <v>324</v>
      </c>
      <c r="R1241" s="83"/>
    </row>
    <row r="1242" spans="1:18">
      <c r="A1242" s="83">
        <v>80815644</v>
      </c>
      <c r="B1242" s="186" t="s">
        <v>260</v>
      </c>
      <c r="C1242" s="186" t="s">
        <v>150</v>
      </c>
      <c r="D1242" s="83" t="s">
        <v>428</v>
      </c>
      <c r="E1242" s="83" t="s">
        <v>168</v>
      </c>
      <c r="F1242" s="180">
        <v>46034</v>
      </c>
      <c r="G1242" s="83">
        <v>840</v>
      </c>
      <c r="H1242" s="180">
        <v>46021</v>
      </c>
      <c r="I1242" s="180" t="s">
        <v>202</v>
      </c>
      <c r="J1242" s="83">
        <v>3518717082</v>
      </c>
      <c r="K1242" s="180"/>
      <c r="L1242" s="180">
        <v>46021</v>
      </c>
      <c r="M1242" s="180"/>
      <c r="N1242" s="181">
        <v>1.6367400000000001</v>
      </c>
      <c r="O1242" s="181" t="s">
        <v>170</v>
      </c>
      <c r="P1242" s="83" t="s">
        <v>323</v>
      </c>
      <c r="Q1242" s="177" t="s">
        <v>324</v>
      </c>
      <c r="R1242" s="83"/>
    </row>
    <row r="1243" spans="1:18">
      <c r="A1243" s="83">
        <v>80815644</v>
      </c>
      <c r="B1243" s="186" t="s">
        <v>260</v>
      </c>
      <c r="C1243" s="186" t="s">
        <v>151</v>
      </c>
      <c r="D1243" s="83" t="s">
        <v>428</v>
      </c>
      <c r="E1243" s="83" t="s">
        <v>168</v>
      </c>
      <c r="F1243" s="180">
        <v>46034</v>
      </c>
      <c r="G1243" s="83">
        <v>882</v>
      </c>
      <c r="H1243" s="180">
        <v>46021</v>
      </c>
      <c r="I1243" s="180" t="s">
        <v>202</v>
      </c>
      <c r="J1243" s="83">
        <v>3518717083</v>
      </c>
      <c r="K1243" s="180"/>
      <c r="L1243" s="180">
        <v>46021</v>
      </c>
      <c r="M1243" s="180"/>
      <c r="N1243" s="181">
        <v>1.718577</v>
      </c>
      <c r="O1243" s="181" t="s">
        <v>170</v>
      </c>
      <c r="P1243" s="83" t="s">
        <v>323</v>
      </c>
      <c r="Q1243" s="177" t="s">
        <v>324</v>
      </c>
      <c r="R1243" s="83"/>
    </row>
    <row r="1244" spans="1:18">
      <c r="A1244" s="83">
        <v>80815644</v>
      </c>
      <c r="B1244" s="186" t="s">
        <v>260</v>
      </c>
      <c r="C1244" s="186" t="s">
        <v>152</v>
      </c>
      <c r="D1244" s="83" t="s">
        <v>428</v>
      </c>
      <c r="E1244" s="83" t="s">
        <v>168</v>
      </c>
      <c r="F1244" s="180">
        <v>46034</v>
      </c>
      <c r="G1244" s="83">
        <v>187</v>
      </c>
      <c r="H1244" s="180">
        <v>46021</v>
      </c>
      <c r="I1244" s="180" t="s">
        <v>202</v>
      </c>
      <c r="J1244" s="83">
        <v>3518717084</v>
      </c>
      <c r="K1244" s="180"/>
      <c r="L1244" s="180">
        <v>46021</v>
      </c>
      <c r="M1244" s="180"/>
      <c r="N1244" s="181">
        <v>0.36436950000000001</v>
      </c>
      <c r="O1244" s="181" t="s">
        <v>170</v>
      </c>
      <c r="P1244" s="83" t="s">
        <v>323</v>
      </c>
      <c r="Q1244" s="177" t="s">
        <v>324</v>
      </c>
      <c r="R1244" s="83"/>
    </row>
    <row r="1245" spans="1:18">
      <c r="A1245" s="83">
        <v>80815644</v>
      </c>
      <c r="B1245" s="186" t="s">
        <v>260</v>
      </c>
      <c r="C1245" s="186" t="s">
        <v>153</v>
      </c>
      <c r="D1245" s="83" t="s">
        <v>428</v>
      </c>
      <c r="E1245" s="83" t="s">
        <v>168</v>
      </c>
      <c r="F1245" s="180">
        <v>46034</v>
      </c>
      <c r="G1245" s="83">
        <v>114</v>
      </c>
      <c r="H1245" s="180">
        <v>46021</v>
      </c>
      <c r="I1245" s="180" t="s">
        <v>202</v>
      </c>
      <c r="J1245" s="83">
        <v>3518717085</v>
      </c>
      <c r="K1245" s="180"/>
      <c r="L1245" s="180">
        <v>46021</v>
      </c>
      <c r="M1245" s="180"/>
      <c r="N1245" s="181">
        <v>0.22212899999999999</v>
      </c>
      <c r="O1245" s="181" t="s">
        <v>170</v>
      </c>
      <c r="P1245" s="83" t="s">
        <v>323</v>
      </c>
      <c r="Q1245" s="177" t="s">
        <v>324</v>
      </c>
      <c r="R1245" s="83"/>
    </row>
    <row r="1246" spans="1:18">
      <c r="A1246" s="83">
        <v>80815644</v>
      </c>
      <c r="B1246" s="186" t="s">
        <v>260</v>
      </c>
      <c r="C1246" s="186" t="s">
        <v>154</v>
      </c>
      <c r="D1246" s="83" t="s">
        <v>428</v>
      </c>
      <c r="E1246" s="83" t="s">
        <v>168</v>
      </c>
      <c r="F1246" s="180">
        <v>46034</v>
      </c>
      <c r="G1246" s="83">
        <v>130</v>
      </c>
      <c r="H1246" s="180">
        <v>46021</v>
      </c>
      <c r="I1246" s="180" t="s">
        <v>202</v>
      </c>
      <c r="J1246" s="83">
        <v>3518717086</v>
      </c>
      <c r="K1246" s="180"/>
      <c r="L1246" s="180">
        <v>46021</v>
      </c>
      <c r="M1246" s="180"/>
      <c r="N1246" s="181">
        <v>0.253305</v>
      </c>
      <c r="O1246" s="181" t="s">
        <v>170</v>
      </c>
      <c r="P1246" s="83" t="s">
        <v>323</v>
      </c>
      <c r="Q1246" s="177" t="s">
        <v>324</v>
      </c>
      <c r="R1246" s="83"/>
    </row>
    <row r="1247" spans="1:18">
      <c r="A1247" s="83">
        <v>80815644</v>
      </c>
      <c r="B1247" s="186" t="s">
        <v>260</v>
      </c>
      <c r="C1247" s="186" t="s">
        <v>155</v>
      </c>
      <c r="D1247" s="83" t="s">
        <v>428</v>
      </c>
      <c r="E1247" s="83" t="s">
        <v>168</v>
      </c>
      <c r="F1247" s="180">
        <v>46034</v>
      </c>
      <c r="G1247" s="83">
        <v>337</v>
      </c>
      <c r="H1247" s="180">
        <v>46021</v>
      </c>
      <c r="I1247" s="180" t="s">
        <v>202</v>
      </c>
      <c r="J1247" s="83">
        <v>3518717087</v>
      </c>
      <c r="K1247" s="180"/>
      <c r="L1247" s="180">
        <v>46021</v>
      </c>
      <c r="M1247" s="180"/>
      <c r="N1247" s="181">
        <v>0.65664449999999996</v>
      </c>
      <c r="O1247" s="181" t="s">
        <v>170</v>
      </c>
      <c r="P1247" s="83" t="s">
        <v>323</v>
      </c>
      <c r="Q1247" s="177" t="s">
        <v>324</v>
      </c>
      <c r="R1247" s="83"/>
    </row>
    <row r="1248" spans="1:18">
      <c r="A1248" s="83">
        <v>80815645</v>
      </c>
      <c r="B1248" s="186" t="s">
        <v>261</v>
      </c>
      <c r="C1248" s="186" t="s">
        <v>143</v>
      </c>
      <c r="D1248" s="83" t="s">
        <v>428</v>
      </c>
      <c r="E1248" s="83" t="s">
        <v>168</v>
      </c>
      <c r="F1248" s="180">
        <v>46034</v>
      </c>
      <c r="G1248" s="83">
        <v>250</v>
      </c>
      <c r="H1248" s="180">
        <v>46021</v>
      </c>
      <c r="I1248" s="180" t="s">
        <v>202</v>
      </c>
      <c r="J1248" s="83">
        <v>3518717088</v>
      </c>
      <c r="K1248" s="180"/>
      <c r="L1248" s="180">
        <v>46021</v>
      </c>
      <c r="M1248" s="180"/>
      <c r="N1248" s="181">
        <v>0.48712499999999997</v>
      </c>
      <c r="O1248" s="181" t="s">
        <v>170</v>
      </c>
      <c r="P1248" s="83" t="s">
        <v>323</v>
      </c>
      <c r="Q1248" s="177" t="s">
        <v>324</v>
      </c>
      <c r="R1248" s="83"/>
    </row>
    <row r="1249" spans="1:18">
      <c r="A1249" s="83">
        <v>80815645</v>
      </c>
      <c r="B1249" s="186" t="s">
        <v>261</v>
      </c>
      <c r="C1249" s="186" t="s">
        <v>150</v>
      </c>
      <c r="D1249" s="83" t="s">
        <v>428</v>
      </c>
      <c r="E1249" s="83" t="s">
        <v>168</v>
      </c>
      <c r="F1249" s="180">
        <v>46034</v>
      </c>
      <c r="G1249" s="83">
        <v>997</v>
      </c>
      <c r="H1249" s="180">
        <v>46021</v>
      </c>
      <c r="I1249" s="180" t="s">
        <v>202</v>
      </c>
      <c r="J1249" s="83">
        <v>3518717089</v>
      </c>
      <c r="K1249" s="180"/>
      <c r="L1249" s="180">
        <v>46021</v>
      </c>
      <c r="M1249" s="180"/>
      <c r="N1249" s="181">
        <v>1.9426545</v>
      </c>
      <c r="O1249" s="181" t="s">
        <v>170</v>
      </c>
      <c r="P1249" s="83" t="s">
        <v>323</v>
      </c>
      <c r="Q1249" s="177" t="s">
        <v>324</v>
      </c>
      <c r="R1249" s="83"/>
    </row>
    <row r="1250" spans="1:18">
      <c r="A1250" s="83">
        <v>80815645</v>
      </c>
      <c r="B1250" s="186" t="s">
        <v>261</v>
      </c>
      <c r="C1250" s="186" t="s">
        <v>151</v>
      </c>
      <c r="D1250" s="83" t="s">
        <v>428</v>
      </c>
      <c r="E1250" s="83" t="s">
        <v>168</v>
      </c>
      <c r="F1250" s="180">
        <v>46034</v>
      </c>
      <c r="G1250" s="83">
        <v>1517</v>
      </c>
      <c r="H1250" s="180">
        <v>46021</v>
      </c>
      <c r="I1250" s="180" t="s">
        <v>202</v>
      </c>
      <c r="J1250" s="83">
        <v>3518717090</v>
      </c>
      <c r="K1250" s="180"/>
      <c r="L1250" s="180">
        <v>46021</v>
      </c>
      <c r="M1250" s="180"/>
      <c r="N1250" s="181">
        <v>2.9558745000000002</v>
      </c>
      <c r="O1250" s="181" t="s">
        <v>170</v>
      </c>
      <c r="P1250" s="83" t="s">
        <v>323</v>
      </c>
      <c r="Q1250" s="177" t="s">
        <v>324</v>
      </c>
      <c r="R1250" s="83"/>
    </row>
    <row r="1251" spans="1:18">
      <c r="A1251" s="83">
        <v>80815645</v>
      </c>
      <c r="B1251" s="186" t="s">
        <v>261</v>
      </c>
      <c r="C1251" s="186" t="s">
        <v>152</v>
      </c>
      <c r="D1251" s="83" t="s">
        <v>428</v>
      </c>
      <c r="E1251" s="83" t="s">
        <v>168</v>
      </c>
      <c r="F1251" s="180">
        <v>46034</v>
      </c>
      <c r="G1251" s="83">
        <v>530</v>
      </c>
      <c r="H1251" s="180">
        <v>46021</v>
      </c>
      <c r="I1251" s="180" t="s">
        <v>202</v>
      </c>
      <c r="J1251" s="83">
        <v>3518717091</v>
      </c>
      <c r="K1251" s="180"/>
      <c r="L1251" s="180">
        <v>46021</v>
      </c>
      <c r="M1251" s="180"/>
      <c r="N1251" s="181">
        <v>1.032705</v>
      </c>
      <c r="O1251" s="181" t="s">
        <v>170</v>
      </c>
      <c r="P1251" s="83" t="s">
        <v>323</v>
      </c>
      <c r="Q1251" s="177" t="s">
        <v>324</v>
      </c>
      <c r="R1251" s="83"/>
    </row>
    <row r="1252" spans="1:18">
      <c r="A1252" s="83">
        <v>80815645</v>
      </c>
      <c r="B1252" s="186" t="s">
        <v>261</v>
      </c>
      <c r="C1252" s="186" t="s">
        <v>153</v>
      </c>
      <c r="D1252" s="83" t="s">
        <v>428</v>
      </c>
      <c r="E1252" s="83" t="s">
        <v>168</v>
      </c>
      <c r="F1252" s="180">
        <v>46034</v>
      </c>
      <c r="G1252" s="83">
        <v>98</v>
      </c>
      <c r="H1252" s="180">
        <v>46021</v>
      </c>
      <c r="I1252" s="180" t="s">
        <v>202</v>
      </c>
      <c r="J1252" s="83">
        <v>3518717092</v>
      </c>
      <c r="K1252" s="180"/>
      <c r="L1252" s="180">
        <v>46021</v>
      </c>
      <c r="M1252" s="180"/>
      <c r="N1252" s="181">
        <v>0.19095300000000001</v>
      </c>
      <c r="O1252" s="181" t="s">
        <v>170</v>
      </c>
      <c r="P1252" s="83" t="s">
        <v>323</v>
      </c>
      <c r="Q1252" s="177" t="s">
        <v>324</v>
      </c>
      <c r="R1252" s="83"/>
    </row>
    <row r="1253" spans="1:18">
      <c r="A1253" s="83">
        <v>80815645</v>
      </c>
      <c r="B1253" s="186" t="s">
        <v>261</v>
      </c>
      <c r="C1253" s="186" t="s">
        <v>154</v>
      </c>
      <c r="D1253" s="83" t="s">
        <v>428</v>
      </c>
      <c r="E1253" s="83" t="s">
        <v>168</v>
      </c>
      <c r="F1253" s="180">
        <v>46034</v>
      </c>
      <c r="G1253" s="83">
        <v>220</v>
      </c>
      <c r="H1253" s="180">
        <v>46021</v>
      </c>
      <c r="I1253" s="180" t="s">
        <v>202</v>
      </c>
      <c r="J1253" s="83">
        <v>3518717093</v>
      </c>
      <c r="K1253" s="180"/>
      <c r="L1253" s="180">
        <v>46021</v>
      </c>
      <c r="M1253" s="180"/>
      <c r="N1253" s="181">
        <v>0.42867</v>
      </c>
      <c r="O1253" s="181" t="s">
        <v>170</v>
      </c>
      <c r="P1253" s="83" t="s">
        <v>323</v>
      </c>
      <c r="Q1253" s="177" t="s">
        <v>324</v>
      </c>
      <c r="R1253" s="83"/>
    </row>
    <row r="1254" spans="1:18">
      <c r="A1254" s="83">
        <v>80815645</v>
      </c>
      <c r="B1254" s="186" t="s">
        <v>261</v>
      </c>
      <c r="C1254" s="186" t="s">
        <v>155</v>
      </c>
      <c r="D1254" s="83" t="s">
        <v>428</v>
      </c>
      <c r="E1254" s="83" t="s">
        <v>168</v>
      </c>
      <c r="F1254" s="180">
        <v>46034</v>
      </c>
      <c r="G1254" s="83">
        <v>388</v>
      </c>
      <c r="H1254" s="180">
        <v>46021</v>
      </c>
      <c r="I1254" s="180" t="s">
        <v>202</v>
      </c>
      <c r="J1254" s="83">
        <v>3518717094</v>
      </c>
      <c r="K1254" s="180"/>
      <c r="L1254" s="180">
        <v>46021</v>
      </c>
      <c r="M1254" s="180"/>
      <c r="N1254" s="181">
        <v>0.75601799999999997</v>
      </c>
      <c r="O1254" s="181" t="s">
        <v>170</v>
      </c>
      <c r="P1254" s="83" t="s">
        <v>323</v>
      </c>
      <c r="Q1254" s="177" t="s">
        <v>324</v>
      </c>
      <c r="R1254" s="83"/>
    </row>
    <row r="1255" spans="1:18">
      <c r="A1255" s="83">
        <v>80815646</v>
      </c>
      <c r="B1255" s="186" t="s">
        <v>524</v>
      </c>
      <c r="C1255" s="186" t="s">
        <v>143</v>
      </c>
      <c r="D1255" s="83" t="s">
        <v>428</v>
      </c>
      <c r="E1255" s="83" t="s">
        <v>168</v>
      </c>
      <c r="F1255" s="180">
        <v>46034</v>
      </c>
      <c r="G1255" s="83">
        <v>59</v>
      </c>
      <c r="H1255" s="180">
        <v>46021</v>
      </c>
      <c r="I1255" s="180" t="s">
        <v>202</v>
      </c>
      <c r="J1255" s="83">
        <v>3518717095</v>
      </c>
      <c r="K1255" s="180"/>
      <c r="L1255" s="180">
        <v>46021</v>
      </c>
      <c r="M1255" s="180"/>
      <c r="N1255" s="181">
        <v>0.11496149999999999</v>
      </c>
      <c r="O1255" s="181" t="s">
        <v>170</v>
      </c>
      <c r="P1255" s="83" t="s">
        <v>323</v>
      </c>
      <c r="Q1255" s="177" t="s">
        <v>324</v>
      </c>
      <c r="R1255" s="83"/>
    </row>
    <row r="1256" spans="1:18">
      <c r="A1256" s="83">
        <v>80815646</v>
      </c>
      <c r="B1256" s="186" t="s">
        <v>524</v>
      </c>
      <c r="C1256" s="186" t="s">
        <v>150</v>
      </c>
      <c r="D1256" s="83" t="s">
        <v>428</v>
      </c>
      <c r="E1256" s="83" t="s">
        <v>168</v>
      </c>
      <c r="F1256" s="180">
        <v>46034</v>
      </c>
      <c r="G1256" s="83">
        <v>476</v>
      </c>
      <c r="H1256" s="180">
        <v>46021</v>
      </c>
      <c r="I1256" s="180" t="s">
        <v>202</v>
      </c>
      <c r="J1256" s="83">
        <v>3518717096</v>
      </c>
      <c r="K1256" s="180"/>
      <c r="L1256" s="180">
        <v>46021</v>
      </c>
      <c r="M1256" s="180"/>
      <c r="N1256" s="181">
        <v>0.92748600000000003</v>
      </c>
      <c r="O1256" s="181" t="s">
        <v>170</v>
      </c>
      <c r="P1256" s="83" t="s">
        <v>323</v>
      </c>
      <c r="Q1256" s="177" t="s">
        <v>324</v>
      </c>
      <c r="R1256" s="83"/>
    </row>
    <row r="1257" spans="1:18">
      <c r="A1257" s="83">
        <v>80815646</v>
      </c>
      <c r="B1257" s="186" t="s">
        <v>524</v>
      </c>
      <c r="C1257" s="186" t="s">
        <v>151</v>
      </c>
      <c r="D1257" s="83" t="s">
        <v>428</v>
      </c>
      <c r="E1257" s="83" t="s">
        <v>168</v>
      </c>
      <c r="F1257" s="180">
        <v>46034</v>
      </c>
      <c r="G1257" s="83">
        <v>486</v>
      </c>
      <c r="H1257" s="180">
        <v>46021</v>
      </c>
      <c r="I1257" s="180" t="s">
        <v>202</v>
      </c>
      <c r="J1257" s="83">
        <v>3518717097</v>
      </c>
      <c r="K1257" s="180"/>
      <c r="L1257" s="180">
        <v>46021</v>
      </c>
      <c r="M1257" s="180"/>
      <c r="N1257" s="181">
        <v>0.94697100000000001</v>
      </c>
      <c r="O1257" s="181" t="s">
        <v>170</v>
      </c>
      <c r="P1257" s="83" t="s">
        <v>323</v>
      </c>
      <c r="Q1257" s="177" t="s">
        <v>324</v>
      </c>
      <c r="R1257" s="83"/>
    </row>
    <row r="1258" spans="1:18">
      <c r="A1258" s="83">
        <v>80815646</v>
      </c>
      <c r="B1258" s="186" t="s">
        <v>524</v>
      </c>
      <c r="C1258" s="186" t="s">
        <v>152</v>
      </c>
      <c r="D1258" s="83" t="s">
        <v>428</v>
      </c>
      <c r="E1258" s="83" t="s">
        <v>168</v>
      </c>
      <c r="F1258" s="180">
        <v>46034</v>
      </c>
      <c r="G1258" s="83">
        <v>135</v>
      </c>
      <c r="H1258" s="180">
        <v>46021</v>
      </c>
      <c r="I1258" s="180" t="s">
        <v>202</v>
      </c>
      <c r="J1258" s="83">
        <v>3518718798</v>
      </c>
      <c r="K1258" s="180"/>
      <c r="L1258" s="180">
        <v>46021</v>
      </c>
      <c r="M1258" s="180"/>
      <c r="N1258" s="181">
        <v>0.26304749999999999</v>
      </c>
      <c r="O1258" s="181" t="s">
        <v>170</v>
      </c>
      <c r="P1258" s="83" t="s">
        <v>323</v>
      </c>
      <c r="Q1258" s="177" t="s">
        <v>324</v>
      </c>
      <c r="R1258" s="83"/>
    </row>
    <row r="1259" spans="1:18">
      <c r="A1259" s="83">
        <v>80815646</v>
      </c>
      <c r="B1259" s="186" t="s">
        <v>524</v>
      </c>
      <c r="C1259" s="186" t="s">
        <v>153</v>
      </c>
      <c r="D1259" s="83" t="s">
        <v>428</v>
      </c>
      <c r="E1259" s="83" t="s">
        <v>168</v>
      </c>
      <c r="F1259" s="180">
        <v>46034</v>
      </c>
      <c r="G1259" s="83">
        <v>62</v>
      </c>
      <c r="H1259" s="180">
        <v>46021</v>
      </c>
      <c r="I1259" s="180" t="s">
        <v>202</v>
      </c>
      <c r="J1259" s="83">
        <v>3518718799</v>
      </c>
      <c r="K1259" s="180"/>
      <c r="L1259" s="180">
        <v>46021</v>
      </c>
      <c r="M1259" s="180"/>
      <c r="N1259" s="181">
        <v>0.120807</v>
      </c>
      <c r="O1259" s="181" t="s">
        <v>170</v>
      </c>
      <c r="P1259" s="83" t="s">
        <v>323</v>
      </c>
      <c r="Q1259" s="177" t="s">
        <v>324</v>
      </c>
      <c r="R1259" s="83"/>
    </row>
    <row r="1260" spans="1:18">
      <c r="A1260" s="83">
        <v>80815646</v>
      </c>
      <c r="B1260" s="186" t="s">
        <v>524</v>
      </c>
      <c r="C1260" s="186" t="s">
        <v>154</v>
      </c>
      <c r="D1260" s="83" t="s">
        <v>428</v>
      </c>
      <c r="E1260" s="83" t="s">
        <v>168</v>
      </c>
      <c r="F1260" s="180">
        <v>46034</v>
      </c>
      <c r="G1260" s="83">
        <v>65</v>
      </c>
      <c r="H1260" s="180">
        <v>46021</v>
      </c>
      <c r="I1260" s="180" t="s">
        <v>202</v>
      </c>
      <c r="J1260" s="83">
        <v>3518718800</v>
      </c>
      <c r="K1260" s="180"/>
      <c r="L1260" s="180">
        <v>46021</v>
      </c>
      <c r="M1260" s="180"/>
      <c r="N1260" s="181">
        <v>0.1266525</v>
      </c>
      <c r="O1260" s="181" t="s">
        <v>170</v>
      </c>
      <c r="P1260" s="83" t="s">
        <v>323</v>
      </c>
      <c r="Q1260" s="177" t="s">
        <v>324</v>
      </c>
      <c r="R1260" s="83"/>
    </row>
    <row r="1261" spans="1:18">
      <c r="A1261" s="83">
        <v>80815646</v>
      </c>
      <c r="B1261" s="186" t="s">
        <v>524</v>
      </c>
      <c r="C1261" s="186" t="s">
        <v>155</v>
      </c>
      <c r="D1261" s="83" t="s">
        <v>428</v>
      </c>
      <c r="E1261" s="83" t="s">
        <v>168</v>
      </c>
      <c r="F1261" s="180">
        <v>46034</v>
      </c>
      <c r="G1261" s="83">
        <v>174</v>
      </c>
      <c r="H1261" s="180">
        <v>46021</v>
      </c>
      <c r="I1261" s="180" t="s">
        <v>202</v>
      </c>
      <c r="J1261" s="83">
        <v>3518718801</v>
      </c>
      <c r="K1261" s="180"/>
      <c r="L1261" s="180">
        <v>46021</v>
      </c>
      <c r="M1261" s="180"/>
      <c r="N1261" s="181">
        <v>0.33903899999999998</v>
      </c>
      <c r="O1261" s="181" t="s">
        <v>170</v>
      </c>
      <c r="P1261" s="83" t="s">
        <v>323</v>
      </c>
      <c r="Q1261" s="177" t="s">
        <v>324</v>
      </c>
      <c r="R1261" s="83"/>
    </row>
    <row r="1262" spans="1:18">
      <c r="A1262" s="83">
        <v>80815647</v>
      </c>
      <c r="B1262" s="186" t="s">
        <v>262</v>
      </c>
      <c r="C1262" s="186" t="s">
        <v>143</v>
      </c>
      <c r="D1262" s="83" t="s">
        <v>428</v>
      </c>
      <c r="E1262" s="83" t="s">
        <v>168</v>
      </c>
      <c r="F1262" s="180">
        <v>46034</v>
      </c>
      <c r="G1262" s="83">
        <v>118</v>
      </c>
      <c r="H1262" s="180">
        <v>46021</v>
      </c>
      <c r="I1262" s="180" t="s">
        <v>202</v>
      </c>
      <c r="J1262" s="83">
        <v>3518718802</v>
      </c>
      <c r="K1262" s="180"/>
      <c r="L1262" s="180">
        <v>46021</v>
      </c>
      <c r="M1262" s="180"/>
      <c r="N1262" s="181">
        <v>0.22992299999999999</v>
      </c>
      <c r="O1262" s="181" t="s">
        <v>170</v>
      </c>
      <c r="P1262" s="83" t="s">
        <v>323</v>
      </c>
      <c r="Q1262" s="177" t="s">
        <v>324</v>
      </c>
      <c r="R1262" s="83"/>
    </row>
    <row r="1263" spans="1:18">
      <c r="A1263" s="83">
        <v>80815647</v>
      </c>
      <c r="B1263" s="186" t="s">
        <v>262</v>
      </c>
      <c r="C1263" s="186" t="s">
        <v>150</v>
      </c>
      <c r="D1263" s="83" t="s">
        <v>428</v>
      </c>
      <c r="E1263" s="83" t="s">
        <v>168</v>
      </c>
      <c r="F1263" s="180">
        <v>46034</v>
      </c>
      <c r="G1263" s="83">
        <v>579</v>
      </c>
      <c r="H1263" s="180">
        <v>46021</v>
      </c>
      <c r="I1263" s="180" t="s">
        <v>202</v>
      </c>
      <c r="J1263" s="83">
        <v>3518718803</v>
      </c>
      <c r="K1263" s="180"/>
      <c r="L1263" s="180">
        <v>46021</v>
      </c>
      <c r="M1263" s="180"/>
      <c r="N1263" s="181">
        <v>1.1281814999999999</v>
      </c>
      <c r="O1263" s="181" t="s">
        <v>170</v>
      </c>
      <c r="P1263" s="83" t="s">
        <v>323</v>
      </c>
      <c r="Q1263" s="177" t="s">
        <v>324</v>
      </c>
      <c r="R1263" s="83"/>
    </row>
    <row r="1264" spans="1:18">
      <c r="A1264" s="83">
        <v>80815647</v>
      </c>
      <c r="B1264" s="186" t="s">
        <v>262</v>
      </c>
      <c r="C1264" s="186" t="s">
        <v>151</v>
      </c>
      <c r="D1264" s="83" t="s">
        <v>428</v>
      </c>
      <c r="E1264" s="83" t="s">
        <v>168</v>
      </c>
      <c r="F1264" s="180">
        <v>46034</v>
      </c>
      <c r="G1264" s="83">
        <v>635</v>
      </c>
      <c r="H1264" s="180">
        <v>46021</v>
      </c>
      <c r="I1264" s="180" t="s">
        <v>202</v>
      </c>
      <c r="J1264" s="83">
        <v>3518718804</v>
      </c>
      <c r="K1264" s="180"/>
      <c r="L1264" s="180">
        <v>46021</v>
      </c>
      <c r="M1264" s="180"/>
      <c r="N1264" s="181">
        <v>1.2372974999999999</v>
      </c>
      <c r="O1264" s="181" t="s">
        <v>170</v>
      </c>
      <c r="P1264" s="83" t="s">
        <v>323</v>
      </c>
      <c r="Q1264" s="177" t="s">
        <v>324</v>
      </c>
      <c r="R1264" s="83"/>
    </row>
    <row r="1265" spans="1:18">
      <c r="A1265" s="83">
        <v>80815647</v>
      </c>
      <c r="B1265" s="186" t="s">
        <v>262</v>
      </c>
      <c r="C1265" s="186" t="s">
        <v>152</v>
      </c>
      <c r="D1265" s="83" t="s">
        <v>428</v>
      </c>
      <c r="E1265" s="83" t="s">
        <v>168</v>
      </c>
      <c r="F1265" s="180">
        <v>46034</v>
      </c>
      <c r="G1265" s="83">
        <v>190</v>
      </c>
      <c r="H1265" s="180">
        <v>46021</v>
      </c>
      <c r="I1265" s="180" t="s">
        <v>202</v>
      </c>
      <c r="J1265" s="83">
        <v>3518718805</v>
      </c>
      <c r="K1265" s="180"/>
      <c r="L1265" s="180">
        <v>46021</v>
      </c>
      <c r="M1265" s="180"/>
      <c r="N1265" s="181">
        <v>0.37021500000000002</v>
      </c>
      <c r="O1265" s="181" t="s">
        <v>170</v>
      </c>
      <c r="P1265" s="83" t="s">
        <v>323</v>
      </c>
      <c r="Q1265" s="177" t="s">
        <v>324</v>
      </c>
      <c r="R1265" s="83"/>
    </row>
    <row r="1266" spans="1:18">
      <c r="A1266" s="83">
        <v>80815647</v>
      </c>
      <c r="B1266" s="186" t="s">
        <v>262</v>
      </c>
      <c r="C1266" s="186" t="s">
        <v>153</v>
      </c>
      <c r="D1266" s="83" t="s">
        <v>428</v>
      </c>
      <c r="E1266" s="83" t="s">
        <v>168</v>
      </c>
      <c r="F1266" s="180">
        <v>46034</v>
      </c>
      <c r="G1266" s="83">
        <v>66</v>
      </c>
      <c r="H1266" s="180">
        <v>46021</v>
      </c>
      <c r="I1266" s="180" t="s">
        <v>202</v>
      </c>
      <c r="J1266" s="83">
        <v>3518718806</v>
      </c>
      <c r="K1266" s="180"/>
      <c r="L1266" s="180">
        <v>46021</v>
      </c>
      <c r="M1266" s="180"/>
      <c r="N1266" s="181">
        <v>0.12860099999999999</v>
      </c>
      <c r="O1266" s="181" t="s">
        <v>170</v>
      </c>
      <c r="P1266" s="83" t="s">
        <v>323</v>
      </c>
      <c r="Q1266" s="177" t="s">
        <v>324</v>
      </c>
      <c r="R1266" s="83"/>
    </row>
    <row r="1267" spans="1:18">
      <c r="A1267" s="83">
        <v>80815647</v>
      </c>
      <c r="B1267" s="186" t="s">
        <v>262</v>
      </c>
      <c r="C1267" s="186" t="s">
        <v>154</v>
      </c>
      <c r="D1267" s="83" t="s">
        <v>428</v>
      </c>
      <c r="E1267" s="83" t="s">
        <v>168</v>
      </c>
      <c r="F1267" s="180">
        <v>46034</v>
      </c>
      <c r="G1267" s="83">
        <v>104</v>
      </c>
      <c r="H1267" s="180">
        <v>46021</v>
      </c>
      <c r="I1267" s="180" t="s">
        <v>202</v>
      </c>
      <c r="J1267" s="83">
        <v>3518718807</v>
      </c>
      <c r="K1267" s="180"/>
      <c r="L1267" s="180">
        <v>46021</v>
      </c>
      <c r="M1267" s="180"/>
      <c r="N1267" s="181">
        <v>0.20264399999999999</v>
      </c>
      <c r="O1267" s="181" t="s">
        <v>170</v>
      </c>
      <c r="P1267" s="83" t="s">
        <v>323</v>
      </c>
      <c r="Q1267" s="177" t="s">
        <v>324</v>
      </c>
      <c r="R1267" s="83"/>
    </row>
    <row r="1268" spans="1:18">
      <c r="A1268" s="83">
        <v>80815647</v>
      </c>
      <c r="B1268" s="186" t="s">
        <v>262</v>
      </c>
      <c r="C1268" s="186" t="s">
        <v>155</v>
      </c>
      <c r="D1268" s="83" t="s">
        <v>428</v>
      </c>
      <c r="E1268" s="83" t="s">
        <v>168</v>
      </c>
      <c r="F1268" s="180">
        <v>46034</v>
      </c>
      <c r="G1268" s="83">
        <v>294</v>
      </c>
      <c r="H1268" s="180">
        <v>46021</v>
      </c>
      <c r="I1268" s="180" t="s">
        <v>202</v>
      </c>
      <c r="J1268" s="83">
        <v>3518718808</v>
      </c>
      <c r="K1268" s="180"/>
      <c r="L1268" s="180">
        <v>46021</v>
      </c>
      <c r="M1268" s="180"/>
      <c r="N1268" s="181">
        <v>0.57285900000000001</v>
      </c>
      <c r="O1268" s="181" t="s">
        <v>170</v>
      </c>
      <c r="P1268" s="83" t="s">
        <v>323</v>
      </c>
      <c r="Q1268" s="177" t="s">
        <v>324</v>
      </c>
      <c r="R1268" s="83"/>
    </row>
    <row r="1269" spans="1:18">
      <c r="A1269" s="83">
        <v>80815648</v>
      </c>
      <c r="B1269" s="186" t="s">
        <v>257</v>
      </c>
      <c r="C1269" s="186" t="s">
        <v>143</v>
      </c>
      <c r="D1269" s="83" t="s">
        <v>428</v>
      </c>
      <c r="E1269" s="83" t="s">
        <v>168</v>
      </c>
      <c r="F1269" s="180">
        <v>46034</v>
      </c>
      <c r="G1269" s="83">
        <v>481</v>
      </c>
      <c r="H1269" s="180">
        <v>46021</v>
      </c>
      <c r="I1269" s="180" t="s">
        <v>202</v>
      </c>
      <c r="J1269" s="83">
        <v>3518718809</v>
      </c>
      <c r="K1269" s="180"/>
      <c r="L1269" s="180">
        <v>46021</v>
      </c>
      <c r="M1269" s="180"/>
      <c r="N1269" s="181">
        <v>0.93722850000000002</v>
      </c>
      <c r="O1269" s="181" t="s">
        <v>170</v>
      </c>
      <c r="P1269" s="83" t="s">
        <v>323</v>
      </c>
      <c r="Q1269" s="177" t="s">
        <v>324</v>
      </c>
      <c r="R1269" s="83"/>
    </row>
    <row r="1270" spans="1:18">
      <c r="A1270" s="83">
        <v>80815648</v>
      </c>
      <c r="B1270" s="186" t="s">
        <v>257</v>
      </c>
      <c r="C1270" s="186" t="s">
        <v>150</v>
      </c>
      <c r="D1270" s="83" t="s">
        <v>428</v>
      </c>
      <c r="E1270" s="83" t="s">
        <v>168</v>
      </c>
      <c r="F1270" s="180">
        <v>46034</v>
      </c>
      <c r="G1270" s="83">
        <v>1662</v>
      </c>
      <c r="H1270" s="180">
        <v>46021</v>
      </c>
      <c r="I1270" s="180" t="s">
        <v>202</v>
      </c>
      <c r="J1270" s="83">
        <v>3518718810</v>
      </c>
      <c r="K1270" s="180"/>
      <c r="L1270" s="180">
        <v>46021</v>
      </c>
      <c r="M1270" s="180"/>
      <c r="N1270" s="181">
        <v>3.238407</v>
      </c>
      <c r="O1270" s="181" t="s">
        <v>170</v>
      </c>
      <c r="P1270" s="83" t="s">
        <v>323</v>
      </c>
      <c r="Q1270" s="177" t="s">
        <v>324</v>
      </c>
      <c r="R1270" s="83"/>
    </row>
    <row r="1271" spans="1:18">
      <c r="A1271" s="83">
        <v>80815648</v>
      </c>
      <c r="B1271" s="186" t="s">
        <v>257</v>
      </c>
      <c r="C1271" s="186" t="s">
        <v>151</v>
      </c>
      <c r="D1271" s="83" t="s">
        <v>428</v>
      </c>
      <c r="E1271" s="83" t="s">
        <v>168</v>
      </c>
      <c r="F1271" s="180">
        <v>46034</v>
      </c>
      <c r="G1271" s="83">
        <v>2341</v>
      </c>
      <c r="H1271" s="180">
        <v>46021</v>
      </c>
      <c r="I1271" s="180" t="s">
        <v>202</v>
      </c>
      <c r="J1271" s="83">
        <v>3518718811</v>
      </c>
      <c r="K1271" s="180"/>
      <c r="L1271" s="180">
        <v>46021</v>
      </c>
      <c r="M1271" s="180"/>
      <c r="N1271" s="181">
        <v>4.5614385000000004</v>
      </c>
      <c r="O1271" s="181" t="s">
        <v>170</v>
      </c>
      <c r="P1271" s="83" t="s">
        <v>323</v>
      </c>
      <c r="Q1271" s="177" t="s">
        <v>324</v>
      </c>
      <c r="R1271" s="83"/>
    </row>
    <row r="1272" spans="1:18">
      <c r="A1272" s="83">
        <v>80815648</v>
      </c>
      <c r="B1272" s="186" t="s">
        <v>257</v>
      </c>
      <c r="C1272" s="186" t="s">
        <v>152</v>
      </c>
      <c r="D1272" s="83" t="s">
        <v>428</v>
      </c>
      <c r="E1272" s="83" t="s">
        <v>168</v>
      </c>
      <c r="F1272" s="180">
        <v>46034</v>
      </c>
      <c r="G1272" s="83">
        <v>583</v>
      </c>
      <c r="H1272" s="180">
        <v>46021</v>
      </c>
      <c r="I1272" s="180" t="s">
        <v>202</v>
      </c>
      <c r="J1272" s="83">
        <v>3518718812</v>
      </c>
      <c r="K1272" s="180"/>
      <c r="L1272" s="180">
        <v>46021</v>
      </c>
      <c r="M1272" s="180"/>
      <c r="N1272" s="181">
        <v>1.1359755</v>
      </c>
      <c r="O1272" s="181" t="s">
        <v>170</v>
      </c>
      <c r="P1272" s="83" t="s">
        <v>323</v>
      </c>
      <c r="Q1272" s="177" t="s">
        <v>324</v>
      </c>
      <c r="R1272" s="83"/>
    </row>
    <row r="1273" spans="1:18">
      <c r="A1273" s="83">
        <v>80815648</v>
      </c>
      <c r="B1273" s="186" t="s">
        <v>257</v>
      </c>
      <c r="C1273" s="186" t="s">
        <v>153</v>
      </c>
      <c r="D1273" s="83" t="s">
        <v>428</v>
      </c>
      <c r="E1273" s="83" t="s">
        <v>168</v>
      </c>
      <c r="F1273" s="180">
        <v>46034</v>
      </c>
      <c r="G1273" s="83">
        <v>142</v>
      </c>
      <c r="H1273" s="180">
        <v>46021</v>
      </c>
      <c r="I1273" s="180" t="s">
        <v>202</v>
      </c>
      <c r="J1273" s="83">
        <v>3518718813</v>
      </c>
      <c r="K1273" s="180"/>
      <c r="L1273" s="180">
        <v>46021</v>
      </c>
      <c r="M1273" s="180"/>
      <c r="N1273" s="181">
        <v>0.27668700000000002</v>
      </c>
      <c r="O1273" s="181" t="s">
        <v>170</v>
      </c>
      <c r="P1273" s="83" t="s">
        <v>323</v>
      </c>
      <c r="Q1273" s="177" t="s">
        <v>324</v>
      </c>
      <c r="R1273" s="83"/>
    </row>
    <row r="1274" spans="1:18">
      <c r="A1274" s="83">
        <v>80815648</v>
      </c>
      <c r="B1274" s="186" t="s">
        <v>257</v>
      </c>
      <c r="C1274" s="186" t="s">
        <v>154</v>
      </c>
      <c r="D1274" s="83" t="s">
        <v>428</v>
      </c>
      <c r="E1274" s="83" t="s">
        <v>168</v>
      </c>
      <c r="F1274" s="180">
        <v>46034</v>
      </c>
      <c r="G1274" s="83">
        <v>217</v>
      </c>
      <c r="H1274" s="180">
        <v>46021</v>
      </c>
      <c r="I1274" s="180" t="s">
        <v>202</v>
      </c>
      <c r="J1274" s="83">
        <v>3518718814</v>
      </c>
      <c r="K1274" s="180"/>
      <c r="L1274" s="180">
        <v>46021</v>
      </c>
      <c r="M1274" s="180"/>
      <c r="N1274" s="181">
        <v>0.42282449999999999</v>
      </c>
      <c r="O1274" s="181" t="s">
        <v>170</v>
      </c>
      <c r="P1274" s="83" t="s">
        <v>323</v>
      </c>
      <c r="Q1274" s="177" t="s">
        <v>324</v>
      </c>
      <c r="R1274" s="83"/>
    </row>
    <row r="1275" spans="1:18">
      <c r="A1275" s="83">
        <v>80815648</v>
      </c>
      <c r="B1275" s="186" t="s">
        <v>257</v>
      </c>
      <c r="C1275" s="186" t="s">
        <v>155</v>
      </c>
      <c r="D1275" s="83" t="s">
        <v>428</v>
      </c>
      <c r="E1275" s="83" t="s">
        <v>168</v>
      </c>
      <c r="F1275" s="180">
        <v>46034</v>
      </c>
      <c r="G1275" s="83">
        <v>861</v>
      </c>
      <c r="H1275" s="180">
        <v>46021</v>
      </c>
      <c r="I1275" s="180" t="s">
        <v>202</v>
      </c>
      <c r="J1275" s="83">
        <v>3518718815</v>
      </c>
      <c r="K1275" s="180"/>
      <c r="L1275" s="180">
        <v>46021</v>
      </c>
      <c r="M1275" s="180"/>
      <c r="N1275" s="181">
        <v>1.6776584999999999</v>
      </c>
      <c r="O1275" s="181" t="s">
        <v>170</v>
      </c>
      <c r="P1275" s="83" t="s">
        <v>323</v>
      </c>
      <c r="Q1275" s="177" t="s">
        <v>324</v>
      </c>
      <c r="R1275" s="83"/>
    </row>
    <row r="1276" spans="1:18">
      <c r="A1276" s="83">
        <v>80815649</v>
      </c>
      <c r="B1276" s="186" t="s">
        <v>546</v>
      </c>
      <c r="C1276" s="186" t="s">
        <v>143</v>
      </c>
      <c r="D1276" s="83" t="s">
        <v>428</v>
      </c>
      <c r="E1276" s="83" t="s">
        <v>168</v>
      </c>
      <c r="F1276" s="180">
        <v>46034</v>
      </c>
      <c r="G1276" s="83">
        <v>86</v>
      </c>
      <c r="H1276" s="180">
        <v>46021</v>
      </c>
      <c r="I1276" s="180" t="s">
        <v>202</v>
      </c>
      <c r="J1276" s="83">
        <v>3518718816</v>
      </c>
      <c r="K1276" s="180"/>
      <c r="L1276" s="180">
        <v>46021</v>
      </c>
      <c r="M1276" s="180"/>
      <c r="N1276" s="181">
        <v>0.167571</v>
      </c>
      <c r="O1276" s="181" t="s">
        <v>170</v>
      </c>
      <c r="P1276" s="83" t="s">
        <v>323</v>
      </c>
      <c r="Q1276" s="177" t="s">
        <v>324</v>
      </c>
      <c r="R1276" s="83"/>
    </row>
    <row r="1277" spans="1:18">
      <c r="A1277" s="83">
        <v>80815649</v>
      </c>
      <c r="B1277" s="186" t="s">
        <v>546</v>
      </c>
      <c r="C1277" s="186" t="s">
        <v>150</v>
      </c>
      <c r="D1277" s="83" t="s">
        <v>428</v>
      </c>
      <c r="E1277" s="83" t="s">
        <v>168</v>
      </c>
      <c r="F1277" s="180">
        <v>46034</v>
      </c>
      <c r="G1277" s="83">
        <v>433</v>
      </c>
      <c r="H1277" s="180">
        <v>46021</v>
      </c>
      <c r="I1277" s="180" t="s">
        <v>202</v>
      </c>
      <c r="J1277" s="83">
        <v>3518718817</v>
      </c>
      <c r="K1277" s="180"/>
      <c r="L1277" s="180">
        <v>46021</v>
      </c>
      <c r="M1277" s="180"/>
      <c r="N1277" s="181">
        <v>0.84370049999999996</v>
      </c>
      <c r="O1277" s="181" t="s">
        <v>170</v>
      </c>
      <c r="P1277" s="83" t="s">
        <v>323</v>
      </c>
      <c r="Q1277" s="177" t="s">
        <v>324</v>
      </c>
      <c r="R1277" s="83"/>
    </row>
    <row r="1278" spans="1:18">
      <c r="A1278" s="83">
        <v>80815649</v>
      </c>
      <c r="B1278" s="186" t="s">
        <v>546</v>
      </c>
      <c r="C1278" s="186" t="s">
        <v>151</v>
      </c>
      <c r="D1278" s="83" t="s">
        <v>428</v>
      </c>
      <c r="E1278" s="83" t="s">
        <v>168</v>
      </c>
      <c r="F1278" s="180">
        <v>46034</v>
      </c>
      <c r="G1278" s="83">
        <v>682</v>
      </c>
      <c r="H1278" s="180">
        <v>46021</v>
      </c>
      <c r="I1278" s="180" t="s">
        <v>202</v>
      </c>
      <c r="J1278" s="83">
        <v>3518718818</v>
      </c>
      <c r="K1278" s="180"/>
      <c r="L1278" s="180">
        <v>46021</v>
      </c>
      <c r="M1278" s="180"/>
      <c r="N1278" s="181">
        <v>1.3288770000000001</v>
      </c>
      <c r="O1278" s="181" t="s">
        <v>170</v>
      </c>
      <c r="P1278" s="83" t="s">
        <v>323</v>
      </c>
      <c r="Q1278" s="177" t="s">
        <v>324</v>
      </c>
      <c r="R1278" s="83"/>
    </row>
    <row r="1279" spans="1:18">
      <c r="A1279" s="83">
        <v>80815649</v>
      </c>
      <c r="B1279" s="186" t="s">
        <v>546</v>
      </c>
      <c r="C1279" s="186" t="s">
        <v>152</v>
      </c>
      <c r="D1279" s="83" t="s">
        <v>428</v>
      </c>
      <c r="E1279" s="83" t="s">
        <v>168</v>
      </c>
      <c r="F1279" s="180">
        <v>46034</v>
      </c>
      <c r="G1279" s="83">
        <v>149</v>
      </c>
      <c r="H1279" s="180">
        <v>46021</v>
      </c>
      <c r="I1279" s="180" t="s">
        <v>202</v>
      </c>
      <c r="J1279" s="83">
        <v>3518718819</v>
      </c>
      <c r="K1279" s="180"/>
      <c r="L1279" s="180">
        <v>46021</v>
      </c>
      <c r="M1279" s="180"/>
      <c r="N1279" s="181">
        <v>0.29032649999999999</v>
      </c>
      <c r="O1279" s="181" t="s">
        <v>170</v>
      </c>
      <c r="P1279" s="83" t="s">
        <v>323</v>
      </c>
      <c r="Q1279" s="177" t="s">
        <v>324</v>
      </c>
      <c r="R1279" s="83"/>
    </row>
    <row r="1280" spans="1:18">
      <c r="A1280" s="83">
        <v>80815649</v>
      </c>
      <c r="B1280" s="186" t="s">
        <v>546</v>
      </c>
      <c r="C1280" s="186" t="s">
        <v>153</v>
      </c>
      <c r="D1280" s="83" t="s">
        <v>428</v>
      </c>
      <c r="E1280" s="83" t="s">
        <v>168</v>
      </c>
      <c r="F1280" s="180">
        <v>46034</v>
      </c>
      <c r="G1280" s="83">
        <v>49</v>
      </c>
      <c r="H1280" s="180">
        <v>46021</v>
      </c>
      <c r="I1280" s="180" t="s">
        <v>202</v>
      </c>
      <c r="J1280" s="83">
        <v>3518718820</v>
      </c>
      <c r="K1280" s="180"/>
      <c r="L1280" s="180">
        <v>46021</v>
      </c>
      <c r="M1280" s="180"/>
      <c r="N1280" s="181">
        <v>9.5476500000000006E-2</v>
      </c>
      <c r="O1280" s="181" t="s">
        <v>170</v>
      </c>
      <c r="P1280" s="83" t="s">
        <v>323</v>
      </c>
      <c r="Q1280" s="177" t="s">
        <v>324</v>
      </c>
      <c r="R1280" s="83"/>
    </row>
    <row r="1281" spans="1:18">
      <c r="A1281" s="83">
        <v>80815649</v>
      </c>
      <c r="B1281" s="186" t="s">
        <v>546</v>
      </c>
      <c r="C1281" s="186" t="s">
        <v>154</v>
      </c>
      <c r="D1281" s="83" t="s">
        <v>428</v>
      </c>
      <c r="E1281" s="83" t="s">
        <v>168</v>
      </c>
      <c r="F1281" s="180">
        <v>46034</v>
      </c>
      <c r="G1281" s="83">
        <v>75</v>
      </c>
      <c r="H1281" s="180">
        <v>46021</v>
      </c>
      <c r="I1281" s="180" t="s">
        <v>202</v>
      </c>
      <c r="J1281" s="83">
        <v>3518718821</v>
      </c>
      <c r="K1281" s="180"/>
      <c r="L1281" s="180">
        <v>46021</v>
      </c>
      <c r="M1281" s="180"/>
      <c r="N1281" s="181">
        <v>0.1461375</v>
      </c>
      <c r="O1281" s="181" t="s">
        <v>170</v>
      </c>
      <c r="P1281" s="83" t="s">
        <v>323</v>
      </c>
      <c r="Q1281" s="177" t="s">
        <v>324</v>
      </c>
      <c r="R1281" s="83"/>
    </row>
    <row r="1282" spans="1:18">
      <c r="A1282" s="83">
        <v>80815649</v>
      </c>
      <c r="B1282" s="186" t="s">
        <v>546</v>
      </c>
      <c r="C1282" s="186" t="s">
        <v>155</v>
      </c>
      <c r="D1282" s="83" t="s">
        <v>428</v>
      </c>
      <c r="E1282" s="83" t="s">
        <v>168</v>
      </c>
      <c r="F1282" s="180">
        <v>46034</v>
      </c>
      <c r="G1282" s="83">
        <v>206</v>
      </c>
      <c r="H1282" s="180">
        <v>46021</v>
      </c>
      <c r="I1282" s="180" t="s">
        <v>202</v>
      </c>
      <c r="J1282" s="83">
        <v>3518718822</v>
      </c>
      <c r="K1282" s="180"/>
      <c r="L1282" s="180">
        <v>46021</v>
      </c>
      <c r="M1282" s="180"/>
      <c r="N1282" s="181">
        <v>0.401391</v>
      </c>
      <c r="O1282" s="181" t="s">
        <v>170</v>
      </c>
      <c r="P1282" s="83" t="s">
        <v>323</v>
      </c>
      <c r="Q1282" s="177" t="s">
        <v>324</v>
      </c>
      <c r="R1282" s="83"/>
    </row>
    <row r="1283" spans="1:18">
      <c r="A1283" s="83">
        <v>80823918</v>
      </c>
      <c r="B1283" s="186" t="s">
        <v>554</v>
      </c>
      <c r="C1283" s="186" t="s">
        <v>143</v>
      </c>
      <c r="D1283" s="83" t="s">
        <v>428</v>
      </c>
      <c r="E1283" s="83" t="s">
        <v>168</v>
      </c>
      <c r="F1283" s="180">
        <v>46034</v>
      </c>
      <c r="G1283" s="83">
        <v>4</v>
      </c>
      <c r="H1283" s="180">
        <v>46021</v>
      </c>
      <c r="I1283" s="180" t="s">
        <v>202</v>
      </c>
      <c r="J1283" s="83">
        <v>3518718823</v>
      </c>
      <c r="K1283" s="180"/>
      <c r="L1283" s="180">
        <v>46021</v>
      </c>
      <c r="M1283" s="180"/>
      <c r="N1283" s="181">
        <v>3.8968000000000002E-3</v>
      </c>
      <c r="O1283" s="181" t="s">
        <v>170</v>
      </c>
      <c r="P1283" s="83" t="s">
        <v>323</v>
      </c>
      <c r="Q1283" s="177" t="s">
        <v>324</v>
      </c>
      <c r="R1283" s="83"/>
    </row>
    <row r="1284" spans="1:18">
      <c r="A1284" s="83">
        <v>80823918</v>
      </c>
      <c r="B1284" s="186" t="s">
        <v>554</v>
      </c>
      <c r="C1284" s="186" t="s">
        <v>150</v>
      </c>
      <c r="D1284" s="83" t="s">
        <v>428</v>
      </c>
      <c r="E1284" s="83" t="s">
        <v>168</v>
      </c>
      <c r="F1284" s="180">
        <v>46034</v>
      </c>
      <c r="G1284" s="83">
        <v>12</v>
      </c>
      <c r="H1284" s="180">
        <v>46021</v>
      </c>
      <c r="I1284" s="180" t="s">
        <v>202</v>
      </c>
      <c r="J1284" s="83">
        <v>3518718824</v>
      </c>
      <c r="K1284" s="180"/>
      <c r="L1284" s="180">
        <v>46021</v>
      </c>
      <c r="M1284" s="180"/>
      <c r="N1284" s="181">
        <v>1.16904E-2</v>
      </c>
      <c r="O1284" s="181" t="s">
        <v>170</v>
      </c>
      <c r="P1284" s="83" t="s">
        <v>323</v>
      </c>
      <c r="Q1284" s="177" t="s">
        <v>324</v>
      </c>
      <c r="R1284" s="83"/>
    </row>
    <row r="1285" spans="1:18">
      <c r="A1285" s="83">
        <v>80823918</v>
      </c>
      <c r="B1285" s="186" t="s">
        <v>554</v>
      </c>
      <c r="C1285" s="186" t="s">
        <v>151</v>
      </c>
      <c r="D1285" s="83" t="s">
        <v>428</v>
      </c>
      <c r="E1285" s="83" t="s">
        <v>168</v>
      </c>
      <c r="F1285" s="180">
        <v>46034</v>
      </c>
      <c r="G1285" s="83">
        <v>3</v>
      </c>
      <c r="H1285" s="180">
        <v>46021</v>
      </c>
      <c r="I1285" s="180" t="s">
        <v>202</v>
      </c>
      <c r="J1285" s="83">
        <v>3518718825</v>
      </c>
      <c r="K1285" s="180"/>
      <c r="L1285" s="180">
        <v>46021</v>
      </c>
      <c r="M1285" s="180"/>
      <c r="N1285" s="181">
        <v>2.9226E-3</v>
      </c>
      <c r="O1285" s="181" t="s">
        <v>170</v>
      </c>
      <c r="P1285" s="83" t="s">
        <v>323</v>
      </c>
      <c r="Q1285" s="177" t="s">
        <v>324</v>
      </c>
      <c r="R1285" s="83"/>
    </row>
    <row r="1286" spans="1:18">
      <c r="A1286" s="83">
        <v>80823918</v>
      </c>
      <c r="B1286" s="186" t="s">
        <v>554</v>
      </c>
      <c r="C1286" s="186" t="s">
        <v>152</v>
      </c>
      <c r="D1286" s="83" t="s">
        <v>428</v>
      </c>
      <c r="E1286" s="83" t="s">
        <v>168</v>
      </c>
      <c r="F1286" s="180">
        <v>46034</v>
      </c>
      <c r="G1286" s="83">
        <v>4</v>
      </c>
      <c r="H1286" s="180">
        <v>46021</v>
      </c>
      <c r="I1286" s="180" t="s">
        <v>202</v>
      </c>
      <c r="J1286" s="83">
        <v>3518718826</v>
      </c>
      <c r="K1286" s="180"/>
      <c r="L1286" s="180">
        <v>46021</v>
      </c>
      <c r="M1286" s="180"/>
      <c r="N1286" s="181">
        <v>3.8968000000000002E-3</v>
      </c>
      <c r="O1286" s="181" t="s">
        <v>170</v>
      </c>
      <c r="P1286" s="83" t="s">
        <v>323</v>
      </c>
      <c r="Q1286" s="177" t="s">
        <v>324</v>
      </c>
      <c r="R1286" s="83"/>
    </row>
    <row r="1287" spans="1:18">
      <c r="A1287" s="83">
        <v>80823918</v>
      </c>
      <c r="B1287" s="186" t="s">
        <v>554</v>
      </c>
      <c r="C1287" s="186" t="s">
        <v>153</v>
      </c>
      <c r="D1287" s="83" t="s">
        <v>428</v>
      </c>
      <c r="E1287" s="83" t="s">
        <v>168</v>
      </c>
      <c r="F1287" s="180">
        <v>46034</v>
      </c>
      <c r="G1287" s="83">
        <v>5</v>
      </c>
      <c r="H1287" s="180">
        <v>46021</v>
      </c>
      <c r="I1287" s="180" t="s">
        <v>202</v>
      </c>
      <c r="J1287" s="83">
        <v>3518718827</v>
      </c>
      <c r="K1287" s="180"/>
      <c r="L1287" s="180">
        <v>46021</v>
      </c>
      <c r="M1287" s="180"/>
      <c r="N1287" s="181">
        <v>4.8710000000000003E-3</v>
      </c>
      <c r="O1287" s="181" t="s">
        <v>170</v>
      </c>
      <c r="P1287" s="83" t="s">
        <v>323</v>
      </c>
      <c r="Q1287" s="177" t="s">
        <v>324</v>
      </c>
      <c r="R1287" s="83"/>
    </row>
    <row r="1288" spans="1:18">
      <c r="A1288" s="83">
        <v>80823918</v>
      </c>
      <c r="B1288" s="186" t="s">
        <v>554</v>
      </c>
      <c r="C1288" s="186" t="s">
        <v>154</v>
      </c>
      <c r="D1288" s="83" t="s">
        <v>428</v>
      </c>
      <c r="E1288" s="83" t="s">
        <v>168</v>
      </c>
      <c r="F1288" s="180">
        <v>46034</v>
      </c>
      <c r="G1288" s="83">
        <v>5</v>
      </c>
      <c r="H1288" s="180">
        <v>46021</v>
      </c>
      <c r="I1288" s="180" t="s">
        <v>202</v>
      </c>
      <c r="J1288" s="83">
        <v>3518718828</v>
      </c>
      <c r="K1288" s="180"/>
      <c r="L1288" s="180">
        <v>46021</v>
      </c>
      <c r="M1288" s="180"/>
      <c r="N1288" s="181">
        <v>4.8710000000000003E-3</v>
      </c>
      <c r="O1288" s="181" t="s">
        <v>170</v>
      </c>
      <c r="P1288" s="83" t="s">
        <v>323</v>
      </c>
      <c r="Q1288" s="177" t="s">
        <v>324</v>
      </c>
      <c r="R1288" s="83"/>
    </row>
    <row r="1289" spans="1:18">
      <c r="A1289" s="83">
        <v>80823918</v>
      </c>
      <c r="B1289" s="186" t="s">
        <v>554</v>
      </c>
      <c r="C1289" s="186" t="s">
        <v>155</v>
      </c>
      <c r="D1289" s="83" t="s">
        <v>428</v>
      </c>
      <c r="E1289" s="83" t="s">
        <v>168</v>
      </c>
      <c r="F1289" s="180">
        <v>46034</v>
      </c>
      <c r="G1289" s="83">
        <v>3</v>
      </c>
      <c r="H1289" s="180">
        <v>46021</v>
      </c>
      <c r="I1289" s="180" t="s">
        <v>202</v>
      </c>
      <c r="J1289" s="83">
        <v>3518718829</v>
      </c>
      <c r="K1289" s="180"/>
      <c r="L1289" s="180">
        <v>46021</v>
      </c>
      <c r="M1289" s="180"/>
      <c r="N1289" s="181">
        <v>2.9226E-3</v>
      </c>
      <c r="O1289" s="181" t="s">
        <v>170</v>
      </c>
      <c r="P1289" s="83" t="s">
        <v>323</v>
      </c>
      <c r="Q1289" s="177" t="s">
        <v>324</v>
      </c>
      <c r="R1289" s="83"/>
    </row>
    <row r="1290" spans="1:18">
      <c r="A1290" s="83">
        <v>80841215</v>
      </c>
      <c r="B1290" s="186" t="s">
        <v>562</v>
      </c>
      <c r="C1290" s="186" t="s">
        <v>143</v>
      </c>
      <c r="D1290" s="83" t="s">
        <v>428</v>
      </c>
      <c r="E1290" s="83" t="s">
        <v>168</v>
      </c>
      <c r="F1290" s="180">
        <v>46034</v>
      </c>
      <c r="G1290" s="83">
        <v>51</v>
      </c>
      <c r="H1290" s="180">
        <v>46021</v>
      </c>
      <c r="I1290" s="180" t="s">
        <v>202</v>
      </c>
      <c r="J1290" s="83">
        <v>3518718830</v>
      </c>
      <c r="K1290" s="180"/>
      <c r="L1290" s="180">
        <v>46021</v>
      </c>
      <c r="M1290" s="180"/>
      <c r="N1290" s="181">
        <v>0.1733286</v>
      </c>
      <c r="O1290" s="181" t="s">
        <v>170</v>
      </c>
      <c r="P1290" s="83" t="s">
        <v>323</v>
      </c>
      <c r="Q1290" s="177" t="s">
        <v>324</v>
      </c>
      <c r="R1290" s="83"/>
    </row>
    <row r="1291" spans="1:18">
      <c r="A1291" s="83">
        <v>80841215</v>
      </c>
      <c r="B1291" s="186" t="s">
        <v>562</v>
      </c>
      <c r="C1291" s="186" t="s">
        <v>150</v>
      </c>
      <c r="D1291" s="83" t="s">
        <v>428</v>
      </c>
      <c r="E1291" s="83" t="s">
        <v>168</v>
      </c>
      <c r="F1291" s="180">
        <v>46034</v>
      </c>
      <c r="G1291" s="83">
        <v>108</v>
      </c>
      <c r="H1291" s="180">
        <v>46021</v>
      </c>
      <c r="I1291" s="180" t="s">
        <v>202</v>
      </c>
      <c r="J1291" s="83">
        <v>3518718831</v>
      </c>
      <c r="K1291" s="180"/>
      <c r="L1291" s="180">
        <v>46021</v>
      </c>
      <c r="M1291" s="180"/>
      <c r="N1291" s="181">
        <v>0.36704880000000001</v>
      </c>
      <c r="O1291" s="181" t="s">
        <v>170</v>
      </c>
      <c r="P1291" s="83" t="s">
        <v>323</v>
      </c>
      <c r="Q1291" s="177" t="s">
        <v>324</v>
      </c>
      <c r="R1291" s="83"/>
    </row>
    <row r="1292" spans="1:18">
      <c r="A1292" s="83">
        <v>80841215</v>
      </c>
      <c r="B1292" s="186" t="s">
        <v>562</v>
      </c>
      <c r="C1292" s="186" t="s">
        <v>151</v>
      </c>
      <c r="D1292" s="83" t="s">
        <v>428</v>
      </c>
      <c r="E1292" s="83" t="s">
        <v>168</v>
      </c>
      <c r="F1292" s="180">
        <v>46034</v>
      </c>
      <c r="G1292" s="83">
        <v>315</v>
      </c>
      <c r="H1292" s="180">
        <v>46021</v>
      </c>
      <c r="I1292" s="180" t="s">
        <v>202</v>
      </c>
      <c r="J1292" s="83">
        <v>3518718832</v>
      </c>
      <c r="K1292" s="180"/>
      <c r="L1292" s="180">
        <v>46021</v>
      </c>
      <c r="M1292" s="180"/>
      <c r="N1292" s="181">
        <v>1.070559</v>
      </c>
      <c r="O1292" s="181" t="s">
        <v>170</v>
      </c>
      <c r="P1292" s="83" t="s">
        <v>323</v>
      </c>
      <c r="Q1292" s="177" t="s">
        <v>324</v>
      </c>
      <c r="R1292" s="83"/>
    </row>
    <row r="1293" spans="1:18">
      <c r="A1293" s="83">
        <v>80841215</v>
      </c>
      <c r="B1293" s="186" t="s">
        <v>562</v>
      </c>
      <c r="C1293" s="186" t="s">
        <v>152</v>
      </c>
      <c r="D1293" s="83" t="s">
        <v>428</v>
      </c>
      <c r="E1293" s="83" t="s">
        <v>168</v>
      </c>
      <c r="F1293" s="180">
        <v>46034</v>
      </c>
      <c r="G1293" s="83">
        <v>54</v>
      </c>
      <c r="H1293" s="180">
        <v>46021</v>
      </c>
      <c r="I1293" s="180" t="s">
        <v>202</v>
      </c>
      <c r="J1293" s="83">
        <v>3518718833</v>
      </c>
      <c r="K1293" s="180"/>
      <c r="L1293" s="180">
        <v>46021</v>
      </c>
      <c r="M1293" s="180"/>
      <c r="N1293" s="181">
        <v>0.1835244</v>
      </c>
      <c r="O1293" s="181" t="s">
        <v>170</v>
      </c>
      <c r="P1293" s="83" t="s">
        <v>323</v>
      </c>
      <c r="Q1293" s="177" t="s">
        <v>324</v>
      </c>
      <c r="R1293" s="83"/>
    </row>
    <row r="1294" spans="1:18">
      <c r="A1294" s="83">
        <v>80841215</v>
      </c>
      <c r="B1294" s="186" t="s">
        <v>562</v>
      </c>
      <c r="C1294" s="186" t="s">
        <v>153</v>
      </c>
      <c r="D1294" s="83" t="s">
        <v>428</v>
      </c>
      <c r="E1294" s="83" t="s">
        <v>168</v>
      </c>
      <c r="F1294" s="180">
        <v>46034</v>
      </c>
      <c r="G1294" s="83">
        <v>10</v>
      </c>
      <c r="H1294" s="180">
        <v>46021</v>
      </c>
      <c r="I1294" s="180" t="s">
        <v>202</v>
      </c>
      <c r="J1294" s="83">
        <v>3518718834</v>
      </c>
      <c r="K1294" s="180"/>
      <c r="L1294" s="180">
        <v>46021</v>
      </c>
      <c r="M1294" s="180"/>
      <c r="N1294" s="181">
        <v>3.3986000000000002E-2</v>
      </c>
      <c r="O1294" s="181" t="s">
        <v>170</v>
      </c>
      <c r="P1294" s="83" t="s">
        <v>323</v>
      </c>
      <c r="Q1294" s="177" t="s">
        <v>324</v>
      </c>
      <c r="R1294" s="83"/>
    </row>
    <row r="1295" spans="1:18">
      <c r="A1295" s="83">
        <v>80841215</v>
      </c>
      <c r="B1295" s="186" t="s">
        <v>562</v>
      </c>
      <c r="C1295" s="186" t="s">
        <v>154</v>
      </c>
      <c r="D1295" s="83" t="s">
        <v>428</v>
      </c>
      <c r="E1295" s="83" t="s">
        <v>168</v>
      </c>
      <c r="F1295" s="180">
        <v>46034</v>
      </c>
      <c r="G1295" s="83">
        <v>17</v>
      </c>
      <c r="H1295" s="180">
        <v>46021</v>
      </c>
      <c r="I1295" s="180" t="s">
        <v>202</v>
      </c>
      <c r="J1295" s="83">
        <v>3518718835</v>
      </c>
      <c r="K1295" s="180"/>
      <c r="L1295" s="180">
        <v>46021</v>
      </c>
      <c r="M1295" s="180"/>
      <c r="N1295" s="181">
        <v>5.77762E-2</v>
      </c>
      <c r="O1295" s="181" t="s">
        <v>170</v>
      </c>
      <c r="P1295" s="83" t="s">
        <v>323</v>
      </c>
      <c r="Q1295" s="177" t="s">
        <v>324</v>
      </c>
      <c r="R1295" s="83"/>
    </row>
    <row r="1296" spans="1:18">
      <c r="A1296" s="83">
        <v>80841215</v>
      </c>
      <c r="B1296" s="186" t="s">
        <v>562</v>
      </c>
      <c r="C1296" s="186" t="s">
        <v>155</v>
      </c>
      <c r="D1296" s="83" t="s">
        <v>428</v>
      </c>
      <c r="E1296" s="83" t="s">
        <v>168</v>
      </c>
      <c r="F1296" s="180">
        <v>46034</v>
      </c>
      <c r="G1296" s="83">
        <v>186</v>
      </c>
      <c r="H1296" s="180">
        <v>46021</v>
      </c>
      <c r="I1296" s="180" t="s">
        <v>202</v>
      </c>
      <c r="J1296" s="83">
        <v>3518718836</v>
      </c>
      <c r="K1296" s="180"/>
      <c r="L1296" s="180">
        <v>46021</v>
      </c>
      <c r="M1296" s="180"/>
      <c r="N1296" s="181">
        <v>0.63213960000000002</v>
      </c>
      <c r="O1296" s="181" t="s">
        <v>170</v>
      </c>
      <c r="P1296" s="83" t="s">
        <v>323</v>
      </c>
      <c r="Q1296" s="177" t="s">
        <v>324</v>
      </c>
      <c r="R1296" s="83"/>
    </row>
    <row r="1297" spans="1:18">
      <c r="A1297" s="83">
        <v>80841216</v>
      </c>
      <c r="B1297" s="186" t="s">
        <v>570</v>
      </c>
      <c r="C1297" s="186" t="s">
        <v>143</v>
      </c>
      <c r="D1297" s="83" t="s">
        <v>428</v>
      </c>
      <c r="E1297" s="83" t="s">
        <v>168</v>
      </c>
      <c r="F1297" s="180">
        <v>46034</v>
      </c>
      <c r="G1297" s="83">
        <v>49</v>
      </c>
      <c r="H1297" s="180">
        <v>46021</v>
      </c>
      <c r="I1297" s="180" t="s">
        <v>202</v>
      </c>
      <c r="J1297" s="83">
        <v>3518718837</v>
      </c>
      <c r="K1297" s="180"/>
      <c r="L1297" s="180">
        <v>46021</v>
      </c>
      <c r="M1297" s="180"/>
      <c r="N1297" s="181">
        <v>0.1665314</v>
      </c>
      <c r="O1297" s="181" t="s">
        <v>170</v>
      </c>
      <c r="P1297" s="83" t="s">
        <v>323</v>
      </c>
      <c r="Q1297" s="177" t="s">
        <v>324</v>
      </c>
      <c r="R1297" s="83"/>
    </row>
    <row r="1298" spans="1:18">
      <c r="A1298" s="83">
        <v>80841216</v>
      </c>
      <c r="B1298" s="186" t="s">
        <v>570</v>
      </c>
      <c r="C1298" s="186" t="s">
        <v>150</v>
      </c>
      <c r="D1298" s="83" t="s">
        <v>428</v>
      </c>
      <c r="E1298" s="83" t="s">
        <v>168</v>
      </c>
      <c r="F1298" s="180">
        <v>46034</v>
      </c>
      <c r="G1298" s="83">
        <v>92</v>
      </c>
      <c r="H1298" s="180">
        <v>46021</v>
      </c>
      <c r="I1298" s="180" t="s">
        <v>202</v>
      </c>
      <c r="J1298" s="83">
        <v>3518720658</v>
      </c>
      <c r="K1298" s="180"/>
      <c r="L1298" s="180">
        <v>46021</v>
      </c>
      <c r="M1298" s="180"/>
      <c r="N1298" s="181">
        <v>0.31267119999999998</v>
      </c>
      <c r="O1298" s="181" t="s">
        <v>170</v>
      </c>
      <c r="P1298" s="83" t="s">
        <v>323</v>
      </c>
      <c r="Q1298" s="177" t="s">
        <v>324</v>
      </c>
      <c r="R1298" s="83"/>
    </row>
    <row r="1299" spans="1:18">
      <c r="A1299" s="83">
        <v>80841216</v>
      </c>
      <c r="B1299" s="186" t="s">
        <v>570</v>
      </c>
      <c r="C1299" s="186" t="s">
        <v>151</v>
      </c>
      <c r="D1299" s="83" t="s">
        <v>428</v>
      </c>
      <c r="E1299" s="83" t="s">
        <v>168</v>
      </c>
      <c r="F1299" s="180">
        <v>46034</v>
      </c>
      <c r="G1299" s="83">
        <v>403</v>
      </c>
      <c r="H1299" s="180">
        <v>46021</v>
      </c>
      <c r="I1299" s="180" t="s">
        <v>202</v>
      </c>
      <c r="J1299" s="83">
        <v>3518720659</v>
      </c>
      <c r="K1299" s="180"/>
      <c r="L1299" s="180">
        <v>46021</v>
      </c>
      <c r="M1299" s="180"/>
      <c r="N1299" s="181">
        <v>1.3696358</v>
      </c>
      <c r="O1299" s="181" t="s">
        <v>170</v>
      </c>
      <c r="P1299" s="83" t="s">
        <v>323</v>
      </c>
      <c r="Q1299" s="177" t="s">
        <v>324</v>
      </c>
      <c r="R1299" s="83"/>
    </row>
    <row r="1300" spans="1:18">
      <c r="A1300" s="83">
        <v>80841216</v>
      </c>
      <c r="B1300" s="186" t="s">
        <v>570</v>
      </c>
      <c r="C1300" s="186" t="s">
        <v>152</v>
      </c>
      <c r="D1300" s="83" t="s">
        <v>428</v>
      </c>
      <c r="E1300" s="83" t="s">
        <v>168</v>
      </c>
      <c r="F1300" s="180">
        <v>46034</v>
      </c>
      <c r="G1300" s="83">
        <v>127</v>
      </c>
      <c r="H1300" s="180">
        <v>46021</v>
      </c>
      <c r="I1300" s="180" t="s">
        <v>202</v>
      </c>
      <c r="J1300" s="83">
        <v>3518720660</v>
      </c>
      <c r="K1300" s="180"/>
      <c r="L1300" s="180">
        <v>46021</v>
      </c>
      <c r="M1300" s="180"/>
      <c r="N1300" s="181">
        <v>0.43162220000000001</v>
      </c>
      <c r="O1300" s="181" t="s">
        <v>170</v>
      </c>
      <c r="P1300" s="83" t="s">
        <v>323</v>
      </c>
      <c r="Q1300" s="177" t="s">
        <v>324</v>
      </c>
      <c r="R1300" s="83"/>
    </row>
    <row r="1301" spans="1:18">
      <c r="A1301" s="83">
        <v>80841216</v>
      </c>
      <c r="B1301" s="186" t="s">
        <v>570</v>
      </c>
      <c r="C1301" s="186" t="s">
        <v>153</v>
      </c>
      <c r="D1301" s="83" t="s">
        <v>428</v>
      </c>
      <c r="E1301" s="83" t="s">
        <v>168</v>
      </c>
      <c r="F1301" s="180">
        <v>46034</v>
      </c>
      <c r="G1301" s="83">
        <v>9</v>
      </c>
      <c r="H1301" s="180">
        <v>46021</v>
      </c>
      <c r="I1301" s="180" t="s">
        <v>202</v>
      </c>
      <c r="J1301" s="83">
        <v>3518720661</v>
      </c>
      <c r="K1301" s="180"/>
      <c r="L1301" s="180">
        <v>46021</v>
      </c>
      <c r="M1301" s="180"/>
      <c r="N1301" s="181">
        <v>3.0587400000000001E-2</v>
      </c>
      <c r="O1301" s="181" t="s">
        <v>170</v>
      </c>
      <c r="P1301" s="83" t="s">
        <v>323</v>
      </c>
      <c r="Q1301" s="177" t="s">
        <v>324</v>
      </c>
      <c r="R1301" s="83"/>
    </row>
    <row r="1302" spans="1:18">
      <c r="A1302" s="83">
        <v>80841216</v>
      </c>
      <c r="B1302" s="186" t="s">
        <v>570</v>
      </c>
      <c r="C1302" s="186" t="s">
        <v>154</v>
      </c>
      <c r="D1302" s="83" t="s">
        <v>428</v>
      </c>
      <c r="E1302" s="83" t="s">
        <v>168</v>
      </c>
      <c r="F1302" s="180">
        <v>46034</v>
      </c>
      <c r="G1302" s="83">
        <v>22</v>
      </c>
      <c r="H1302" s="180">
        <v>46021</v>
      </c>
      <c r="I1302" s="180" t="s">
        <v>202</v>
      </c>
      <c r="J1302" s="83">
        <v>3518720662</v>
      </c>
      <c r="K1302" s="180"/>
      <c r="L1302" s="180">
        <v>46021</v>
      </c>
      <c r="M1302" s="180"/>
      <c r="N1302" s="181">
        <v>7.4769199999999994E-2</v>
      </c>
      <c r="O1302" s="181" t="s">
        <v>170</v>
      </c>
      <c r="P1302" s="83" t="s">
        <v>323</v>
      </c>
      <c r="Q1302" s="177" t="s">
        <v>324</v>
      </c>
      <c r="R1302" s="83"/>
    </row>
    <row r="1303" spans="1:18">
      <c r="A1303" s="83">
        <v>80841216</v>
      </c>
      <c r="B1303" s="186" t="s">
        <v>570</v>
      </c>
      <c r="C1303" s="186" t="s">
        <v>155</v>
      </c>
      <c r="D1303" s="83" t="s">
        <v>428</v>
      </c>
      <c r="E1303" s="83" t="s">
        <v>168</v>
      </c>
      <c r="F1303" s="180">
        <v>46034</v>
      </c>
      <c r="G1303" s="83">
        <v>209</v>
      </c>
      <c r="H1303" s="180">
        <v>46021</v>
      </c>
      <c r="I1303" s="180" t="s">
        <v>202</v>
      </c>
      <c r="J1303" s="83">
        <v>3518720663</v>
      </c>
      <c r="K1303" s="180"/>
      <c r="L1303" s="180">
        <v>46021</v>
      </c>
      <c r="M1303" s="180"/>
      <c r="N1303" s="181">
        <v>0.71030740000000003</v>
      </c>
      <c r="O1303" s="181" t="s">
        <v>170</v>
      </c>
      <c r="P1303" s="83" t="s">
        <v>323</v>
      </c>
      <c r="Q1303" s="177" t="s">
        <v>324</v>
      </c>
      <c r="R1303" s="83"/>
    </row>
    <row r="1304" spans="1:18">
      <c r="A1304" s="83">
        <v>80841217</v>
      </c>
      <c r="B1304" s="186" t="s">
        <v>578</v>
      </c>
      <c r="C1304" s="186" t="s">
        <v>143</v>
      </c>
      <c r="D1304" s="83" t="s">
        <v>428</v>
      </c>
      <c r="E1304" s="83" t="s">
        <v>168</v>
      </c>
      <c r="F1304" s="180">
        <v>46034</v>
      </c>
      <c r="G1304" s="83">
        <v>53</v>
      </c>
      <c r="H1304" s="180">
        <v>46021</v>
      </c>
      <c r="I1304" s="180" t="s">
        <v>202</v>
      </c>
      <c r="J1304" s="83">
        <v>3518720664</v>
      </c>
      <c r="K1304" s="180"/>
      <c r="L1304" s="180">
        <v>46021</v>
      </c>
      <c r="M1304" s="180"/>
      <c r="N1304" s="181">
        <v>0.1801258</v>
      </c>
      <c r="O1304" s="181" t="s">
        <v>170</v>
      </c>
      <c r="P1304" s="83" t="s">
        <v>323</v>
      </c>
      <c r="Q1304" s="177" t="s">
        <v>324</v>
      </c>
      <c r="R1304" s="83"/>
    </row>
    <row r="1305" spans="1:18">
      <c r="A1305" s="83">
        <v>80841217</v>
      </c>
      <c r="B1305" s="186" t="s">
        <v>578</v>
      </c>
      <c r="C1305" s="186" t="s">
        <v>150</v>
      </c>
      <c r="D1305" s="83" t="s">
        <v>428</v>
      </c>
      <c r="E1305" s="83" t="s">
        <v>168</v>
      </c>
      <c r="F1305" s="180">
        <v>46034</v>
      </c>
      <c r="G1305" s="83">
        <v>122</v>
      </c>
      <c r="H1305" s="180">
        <v>46021</v>
      </c>
      <c r="I1305" s="180" t="s">
        <v>202</v>
      </c>
      <c r="J1305" s="83">
        <v>3518720665</v>
      </c>
      <c r="K1305" s="180"/>
      <c r="L1305" s="180">
        <v>46021</v>
      </c>
      <c r="M1305" s="180"/>
      <c r="N1305" s="181">
        <v>0.41462919999999998</v>
      </c>
      <c r="O1305" s="181" t="s">
        <v>170</v>
      </c>
      <c r="P1305" s="83" t="s">
        <v>323</v>
      </c>
      <c r="Q1305" s="177" t="s">
        <v>324</v>
      </c>
      <c r="R1305" s="83"/>
    </row>
    <row r="1306" spans="1:18">
      <c r="A1306" s="83">
        <v>80841217</v>
      </c>
      <c r="B1306" s="186" t="s">
        <v>578</v>
      </c>
      <c r="C1306" s="186" t="s">
        <v>151</v>
      </c>
      <c r="D1306" s="83" t="s">
        <v>428</v>
      </c>
      <c r="E1306" s="83" t="s">
        <v>168</v>
      </c>
      <c r="F1306" s="180">
        <v>46034</v>
      </c>
      <c r="G1306" s="83">
        <v>286</v>
      </c>
      <c r="H1306" s="180">
        <v>46021</v>
      </c>
      <c r="I1306" s="180" t="s">
        <v>202</v>
      </c>
      <c r="J1306" s="83">
        <v>3518720666</v>
      </c>
      <c r="K1306" s="180"/>
      <c r="L1306" s="180">
        <v>46021</v>
      </c>
      <c r="M1306" s="180"/>
      <c r="N1306" s="181">
        <v>0.97199959999999996</v>
      </c>
      <c r="O1306" s="181" t="s">
        <v>170</v>
      </c>
      <c r="P1306" s="83" t="s">
        <v>323</v>
      </c>
      <c r="Q1306" s="177" t="s">
        <v>324</v>
      </c>
      <c r="R1306" s="83"/>
    </row>
    <row r="1307" spans="1:18">
      <c r="A1307" s="83">
        <v>80841217</v>
      </c>
      <c r="B1307" s="186" t="s">
        <v>578</v>
      </c>
      <c r="C1307" s="186" t="s">
        <v>152</v>
      </c>
      <c r="D1307" s="83" t="s">
        <v>428</v>
      </c>
      <c r="E1307" s="83" t="s">
        <v>168</v>
      </c>
      <c r="F1307" s="180">
        <v>46034</v>
      </c>
      <c r="G1307" s="83">
        <v>64</v>
      </c>
      <c r="H1307" s="180">
        <v>46021</v>
      </c>
      <c r="I1307" s="180" t="s">
        <v>202</v>
      </c>
      <c r="J1307" s="83">
        <v>3518720667</v>
      </c>
      <c r="K1307" s="180"/>
      <c r="L1307" s="180">
        <v>46021</v>
      </c>
      <c r="M1307" s="180"/>
      <c r="N1307" s="181">
        <v>0.21751039999999999</v>
      </c>
      <c r="O1307" s="181" t="s">
        <v>170</v>
      </c>
      <c r="P1307" s="83" t="s">
        <v>323</v>
      </c>
      <c r="Q1307" s="177" t="s">
        <v>324</v>
      </c>
      <c r="R1307" s="83"/>
    </row>
    <row r="1308" spans="1:18">
      <c r="A1308" s="83">
        <v>80841217</v>
      </c>
      <c r="B1308" s="186" t="s">
        <v>578</v>
      </c>
      <c r="C1308" s="186" t="s">
        <v>153</v>
      </c>
      <c r="D1308" s="83" t="s">
        <v>428</v>
      </c>
      <c r="E1308" s="83" t="s">
        <v>168</v>
      </c>
      <c r="F1308" s="180">
        <v>46034</v>
      </c>
      <c r="G1308" s="83">
        <v>17</v>
      </c>
      <c r="H1308" s="180">
        <v>46021</v>
      </c>
      <c r="I1308" s="180" t="s">
        <v>202</v>
      </c>
      <c r="J1308" s="83">
        <v>3518720668</v>
      </c>
      <c r="K1308" s="180"/>
      <c r="L1308" s="180">
        <v>46021</v>
      </c>
      <c r="M1308" s="180"/>
      <c r="N1308" s="181">
        <v>5.77762E-2</v>
      </c>
      <c r="O1308" s="181" t="s">
        <v>170</v>
      </c>
      <c r="P1308" s="83" t="s">
        <v>323</v>
      </c>
      <c r="Q1308" s="177" t="s">
        <v>324</v>
      </c>
      <c r="R1308" s="83"/>
    </row>
    <row r="1309" spans="1:18">
      <c r="A1309" s="83">
        <v>80841217</v>
      </c>
      <c r="B1309" s="186" t="s">
        <v>578</v>
      </c>
      <c r="C1309" s="186" t="s">
        <v>154</v>
      </c>
      <c r="D1309" s="83" t="s">
        <v>428</v>
      </c>
      <c r="E1309" s="83" t="s">
        <v>168</v>
      </c>
      <c r="F1309" s="180">
        <v>46034</v>
      </c>
      <c r="G1309" s="83">
        <v>13</v>
      </c>
      <c r="H1309" s="180">
        <v>46021</v>
      </c>
      <c r="I1309" s="180" t="s">
        <v>202</v>
      </c>
      <c r="J1309" s="83">
        <v>3518720669</v>
      </c>
      <c r="K1309" s="180"/>
      <c r="L1309" s="180">
        <v>46021</v>
      </c>
      <c r="M1309" s="180"/>
      <c r="N1309" s="181">
        <v>4.41818E-2</v>
      </c>
      <c r="O1309" s="181" t="s">
        <v>170</v>
      </c>
      <c r="P1309" s="83" t="s">
        <v>323</v>
      </c>
      <c r="Q1309" s="177" t="s">
        <v>324</v>
      </c>
      <c r="R1309" s="83"/>
    </row>
    <row r="1310" spans="1:18">
      <c r="A1310" s="83">
        <v>80841217</v>
      </c>
      <c r="B1310" s="186" t="s">
        <v>578</v>
      </c>
      <c r="C1310" s="186" t="s">
        <v>155</v>
      </c>
      <c r="D1310" s="83" t="s">
        <v>428</v>
      </c>
      <c r="E1310" s="83" t="s">
        <v>168</v>
      </c>
      <c r="F1310" s="180">
        <v>46034</v>
      </c>
      <c r="G1310" s="83">
        <v>212</v>
      </c>
      <c r="H1310" s="180">
        <v>46021</v>
      </c>
      <c r="I1310" s="180" t="s">
        <v>202</v>
      </c>
      <c r="J1310" s="83">
        <v>3518720670</v>
      </c>
      <c r="K1310" s="180"/>
      <c r="L1310" s="180">
        <v>46021</v>
      </c>
      <c r="M1310" s="180"/>
      <c r="N1310" s="181">
        <v>0.72050320000000001</v>
      </c>
      <c r="O1310" s="181" t="s">
        <v>170</v>
      </c>
      <c r="P1310" s="83" t="s">
        <v>323</v>
      </c>
      <c r="Q1310" s="177" t="s">
        <v>324</v>
      </c>
      <c r="R1310" s="83"/>
    </row>
    <row r="1311" spans="1:18">
      <c r="A1311" s="83">
        <v>80841218</v>
      </c>
      <c r="B1311" s="186" t="s">
        <v>586</v>
      </c>
      <c r="C1311" s="186" t="s">
        <v>143</v>
      </c>
      <c r="D1311" s="83" t="s">
        <v>428</v>
      </c>
      <c r="E1311" s="83" t="s">
        <v>168</v>
      </c>
      <c r="F1311" s="180">
        <v>46034</v>
      </c>
      <c r="G1311" s="83">
        <v>31</v>
      </c>
      <c r="H1311" s="180">
        <v>46021</v>
      </c>
      <c r="I1311" s="180" t="s">
        <v>202</v>
      </c>
      <c r="J1311" s="83">
        <v>3518720671</v>
      </c>
      <c r="K1311" s="180"/>
      <c r="L1311" s="180">
        <v>46021</v>
      </c>
      <c r="M1311" s="180"/>
      <c r="N1311" s="181">
        <v>0.10535659999999999</v>
      </c>
      <c r="O1311" s="181" t="s">
        <v>170</v>
      </c>
      <c r="P1311" s="83" t="s">
        <v>323</v>
      </c>
      <c r="Q1311" s="177" t="s">
        <v>324</v>
      </c>
      <c r="R1311" s="83"/>
    </row>
    <row r="1312" spans="1:18">
      <c r="A1312" s="83">
        <v>80841218</v>
      </c>
      <c r="B1312" s="186" t="s">
        <v>586</v>
      </c>
      <c r="C1312" s="186" t="s">
        <v>150</v>
      </c>
      <c r="D1312" s="83" t="s">
        <v>428</v>
      </c>
      <c r="E1312" s="83" t="s">
        <v>168</v>
      </c>
      <c r="F1312" s="180">
        <v>46034</v>
      </c>
      <c r="G1312" s="83">
        <v>76</v>
      </c>
      <c r="H1312" s="180">
        <v>46021</v>
      </c>
      <c r="I1312" s="180" t="s">
        <v>202</v>
      </c>
      <c r="J1312" s="83">
        <v>3518720672</v>
      </c>
      <c r="K1312" s="180"/>
      <c r="L1312" s="180">
        <v>46021</v>
      </c>
      <c r="M1312" s="180"/>
      <c r="N1312" s="181">
        <v>0.25829360000000001</v>
      </c>
      <c r="O1312" s="181" t="s">
        <v>170</v>
      </c>
      <c r="P1312" s="83" t="s">
        <v>323</v>
      </c>
      <c r="Q1312" s="177" t="s">
        <v>324</v>
      </c>
      <c r="R1312" s="83"/>
    </row>
    <row r="1313" spans="1:18">
      <c r="A1313" s="83">
        <v>80841218</v>
      </c>
      <c r="B1313" s="186" t="s">
        <v>586</v>
      </c>
      <c r="C1313" s="186" t="s">
        <v>151</v>
      </c>
      <c r="D1313" s="83" t="s">
        <v>428</v>
      </c>
      <c r="E1313" s="83" t="s">
        <v>168</v>
      </c>
      <c r="F1313" s="180">
        <v>46034</v>
      </c>
      <c r="G1313" s="83">
        <v>123</v>
      </c>
      <c r="H1313" s="180">
        <v>46021</v>
      </c>
      <c r="I1313" s="180" t="s">
        <v>202</v>
      </c>
      <c r="J1313" s="83">
        <v>3518720673</v>
      </c>
      <c r="K1313" s="180"/>
      <c r="L1313" s="180">
        <v>46021</v>
      </c>
      <c r="M1313" s="180"/>
      <c r="N1313" s="181">
        <v>0.4180278</v>
      </c>
      <c r="O1313" s="181" t="s">
        <v>170</v>
      </c>
      <c r="P1313" s="83" t="s">
        <v>323</v>
      </c>
      <c r="Q1313" s="177" t="s">
        <v>324</v>
      </c>
      <c r="R1313" s="83"/>
    </row>
    <row r="1314" spans="1:18">
      <c r="A1314" s="83">
        <v>80841218</v>
      </c>
      <c r="B1314" s="186" t="s">
        <v>586</v>
      </c>
      <c r="C1314" s="186" t="s">
        <v>152</v>
      </c>
      <c r="D1314" s="83" t="s">
        <v>428</v>
      </c>
      <c r="E1314" s="83" t="s">
        <v>168</v>
      </c>
      <c r="F1314" s="180">
        <v>46034</v>
      </c>
      <c r="G1314" s="83">
        <v>19</v>
      </c>
      <c r="H1314" s="180">
        <v>46021</v>
      </c>
      <c r="I1314" s="180" t="s">
        <v>202</v>
      </c>
      <c r="J1314" s="83">
        <v>3518720674</v>
      </c>
      <c r="K1314" s="180"/>
      <c r="L1314" s="180">
        <v>46021</v>
      </c>
      <c r="M1314" s="180"/>
      <c r="N1314" s="181">
        <v>6.4573400000000003E-2</v>
      </c>
      <c r="O1314" s="181" t="s">
        <v>170</v>
      </c>
      <c r="P1314" s="83" t="s">
        <v>323</v>
      </c>
      <c r="Q1314" s="177" t="s">
        <v>324</v>
      </c>
      <c r="R1314" s="83"/>
    </row>
    <row r="1315" spans="1:18">
      <c r="A1315" s="83">
        <v>80841218</v>
      </c>
      <c r="B1315" s="186" t="s">
        <v>586</v>
      </c>
      <c r="C1315" s="186" t="s">
        <v>153</v>
      </c>
      <c r="D1315" s="83" t="s">
        <v>428</v>
      </c>
      <c r="E1315" s="83" t="s">
        <v>168</v>
      </c>
      <c r="F1315" s="180">
        <v>46034</v>
      </c>
      <c r="G1315" s="83">
        <v>15</v>
      </c>
      <c r="H1315" s="180">
        <v>46021</v>
      </c>
      <c r="I1315" s="180" t="s">
        <v>202</v>
      </c>
      <c r="J1315" s="83">
        <v>3518720675</v>
      </c>
      <c r="K1315" s="180"/>
      <c r="L1315" s="180">
        <v>46021</v>
      </c>
      <c r="M1315" s="180"/>
      <c r="N1315" s="181">
        <v>5.0978999999999997E-2</v>
      </c>
      <c r="O1315" s="181" t="s">
        <v>170</v>
      </c>
      <c r="P1315" s="83" t="s">
        <v>323</v>
      </c>
      <c r="Q1315" s="177" t="s">
        <v>324</v>
      </c>
      <c r="R1315" s="83"/>
    </row>
    <row r="1316" spans="1:18">
      <c r="A1316" s="83">
        <v>80841218</v>
      </c>
      <c r="B1316" s="186" t="s">
        <v>586</v>
      </c>
      <c r="C1316" s="186" t="s">
        <v>154</v>
      </c>
      <c r="D1316" s="83" t="s">
        <v>428</v>
      </c>
      <c r="E1316" s="83" t="s">
        <v>168</v>
      </c>
      <c r="F1316" s="180">
        <v>46034</v>
      </c>
      <c r="G1316" s="83">
        <v>13</v>
      </c>
      <c r="H1316" s="180">
        <v>46021</v>
      </c>
      <c r="I1316" s="180" t="s">
        <v>202</v>
      </c>
      <c r="J1316" s="83">
        <v>3518720676</v>
      </c>
      <c r="K1316" s="180"/>
      <c r="L1316" s="180">
        <v>46021</v>
      </c>
      <c r="M1316" s="180"/>
      <c r="N1316" s="181">
        <v>4.41818E-2</v>
      </c>
      <c r="O1316" s="181" t="s">
        <v>170</v>
      </c>
      <c r="P1316" s="83" t="s">
        <v>323</v>
      </c>
      <c r="Q1316" s="177" t="s">
        <v>324</v>
      </c>
      <c r="R1316" s="83"/>
    </row>
    <row r="1317" spans="1:18">
      <c r="A1317" s="83">
        <v>80841218</v>
      </c>
      <c r="B1317" s="186" t="s">
        <v>586</v>
      </c>
      <c r="C1317" s="186" t="s">
        <v>155</v>
      </c>
      <c r="D1317" s="83" t="s">
        <v>428</v>
      </c>
      <c r="E1317" s="83" t="s">
        <v>168</v>
      </c>
      <c r="F1317" s="180">
        <v>46034</v>
      </c>
      <c r="G1317" s="83">
        <v>50</v>
      </c>
      <c r="H1317" s="180">
        <v>46021</v>
      </c>
      <c r="I1317" s="180" t="s">
        <v>202</v>
      </c>
      <c r="J1317" s="83">
        <v>3518720677</v>
      </c>
      <c r="K1317" s="180"/>
      <c r="L1317" s="180">
        <v>46021</v>
      </c>
      <c r="M1317" s="180"/>
      <c r="N1317" s="181">
        <v>0.16993</v>
      </c>
      <c r="O1317" s="181" t="s">
        <v>170</v>
      </c>
      <c r="P1317" s="83" t="s">
        <v>323</v>
      </c>
      <c r="Q1317" s="177" t="s">
        <v>324</v>
      </c>
      <c r="R1317" s="83"/>
    </row>
    <row r="1318" spans="1:18">
      <c r="A1318" s="83">
        <v>80841219</v>
      </c>
      <c r="B1318" s="186" t="s">
        <v>594</v>
      </c>
      <c r="C1318" s="186" t="s">
        <v>143</v>
      </c>
      <c r="D1318" s="83" t="s">
        <v>428</v>
      </c>
      <c r="E1318" s="83" t="s">
        <v>168</v>
      </c>
      <c r="F1318" s="180">
        <v>46034</v>
      </c>
      <c r="G1318" s="83">
        <v>63</v>
      </c>
      <c r="H1318" s="180">
        <v>46021</v>
      </c>
      <c r="I1318" s="180" t="s">
        <v>202</v>
      </c>
      <c r="J1318" s="83">
        <v>3518729178</v>
      </c>
      <c r="K1318" s="180"/>
      <c r="L1318" s="180">
        <v>46021</v>
      </c>
      <c r="M1318" s="180"/>
      <c r="N1318" s="181">
        <v>0.21411179999999999</v>
      </c>
      <c r="O1318" s="181" t="s">
        <v>170</v>
      </c>
      <c r="P1318" s="83" t="s">
        <v>323</v>
      </c>
      <c r="Q1318" s="177" t="s">
        <v>324</v>
      </c>
      <c r="R1318" s="83"/>
    </row>
    <row r="1319" spans="1:18">
      <c r="A1319" s="83">
        <v>80841219</v>
      </c>
      <c r="B1319" s="186" t="s">
        <v>594</v>
      </c>
      <c r="C1319" s="186" t="s">
        <v>150</v>
      </c>
      <c r="D1319" s="83" t="s">
        <v>428</v>
      </c>
      <c r="E1319" s="83" t="s">
        <v>168</v>
      </c>
      <c r="F1319" s="180">
        <v>46034</v>
      </c>
      <c r="G1319" s="83">
        <v>227</v>
      </c>
      <c r="H1319" s="180">
        <v>46021</v>
      </c>
      <c r="I1319" s="180" t="s">
        <v>202</v>
      </c>
      <c r="J1319" s="83">
        <v>3518729179</v>
      </c>
      <c r="K1319" s="180"/>
      <c r="L1319" s="180">
        <v>46021</v>
      </c>
      <c r="M1319" s="180"/>
      <c r="N1319" s="181">
        <v>0.77148220000000001</v>
      </c>
      <c r="O1319" s="181" t="s">
        <v>170</v>
      </c>
      <c r="P1319" s="83" t="s">
        <v>323</v>
      </c>
      <c r="Q1319" s="177" t="s">
        <v>324</v>
      </c>
      <c r="R1319" s="83"/>
    </row>
    <row r="1320" spans="1:18">
      <c r="A1320" s="83">
        <v>80841219</v>
      </c>
      <c r="B1320" s="186" t="s">
        <v>594</v>
      </c>
      <c r="C1320" s="186" t="s">
        <v>151</v>
      </c>
      <c r="D1320" s="83" t="s">
        <v>428</v>
      </c>
      <c r="E1320" s="83" t="s">
        <v>168</v>
      </c>
      <c r="F1320" s="180">
        <v>46034</v>
      </c>
      <c r="G1320" s="83">
        <v>747</v>
      </c>
      <c r="H1320" s="180">
        <v>46021</v>
      </c>
      <c r="I1320" s="180" t="s">
        <v>202</v>
      </c>
      <c r="J1320" s="83">
        <v>3518729180</v>
      </c>
      <c r="K1320" s="180"/>
      <c r="L1320" s="180">
        <v>46021</v>
      </c>
      <c r="M1320" s="180"/>
      <c r="N1320" s="181">
        <v>2.5387542000000001</v>
      </c>
      <c r="O1320" s="181" t="s">
        <v>170</v>
      </c>
      <c r="P1320" s="83" t="s">
        <v>323</v>
      </c>
      <c r="Q1320" s="177" t="s">
        <v>324</v>
      </c>
      <c r="R1320" s="83"/>
    </row>
    <row r="1321" spans="1:18">
      <c r="A1321" s="83">
        <v>80841219</v>
      </c>
      <c r="B1321" s="186" t="s">
        <v>594</v>
      </c>
      <c r="C1321" s="186" t="s">
        <v>152</v>
      </c>
      <c r="D1321" s="83" t="s">
        <v>428</v>
      </c>
      <c r="E1321" s="83" t="s">
        <v>168</v>
      </c>
      <c r="F1321" s="180">
        <v>46034</v>
      </c>
      <c r="G1321" s="83">
        <v>119</v>
      </c>
      <c r="H1321" s="180">
        <v>46021</v>
      </c>
      <c r="I1321" s="180" t="s">
        <v>202</v>
      </c>
      <c r="J1321" s="83">
        <v>3518729181</v>
      </c>
      <c r="K1321" s="180"/>
      <c r="L1321" s="180">
        <v>46021</v>
      </c>
      <c r="M1321" s="180"/>
      <c r="N1321" s="181">
        <v>0.4044334</v>
      </c>
      <c r="O1321" s="181" t="s">
        <v>170</v>
      </c>
      <c r="P1321" s="83" t="s">
        <v>323</v>
      </c>
      <c r="Q1321" s="177" t="s">
        <v>324</v>
      </c>
      <c r="R1321" s="83"/>
    </row>
    <row r="1322" spans="1:18">
      <c r="A1322" s="83">
        <v>80841219</v>
      </c>
      <c r="B1322" s="186" t="s">
        <v>594</v>
      </c>
      <c r="C1322" s="186" t="s">
        <v>153</v>
      </c>
      <c r="D1322" s="83" t="s">
        <v>428</v>
      </c>
      <c r="E1322" s="83" t="s">
        <v>168</v>
      </c>
      <c r="F1322" s="180">
        <v>46034</v>
      </c>
      <c r="G1322" s="83">
        <v>22</v>
      </c>
      <c r="H1322" s="180">
        <v>46021</v>
      </c>
      <c r="I1322" s="180" t="s">
        <v>202</v>
      </c>
      <c r="J1322" s="83">
        <v>3518729182</v>
      </c>
      <c r="K1322" s="180"/>
      <c r="L1322" s="180">
        <v>46021</v>
      </c>
      <c r="M1322" s="180"/>
      <c r="N1322" s="181">
        <v>7.4769199999999994E-2</v>
      </c>
      <c r="O1322" s="181" t="s">
        <v>170</v>
      </c>
      <c r="P1322" s="83" t="s">
        <v>323</v>
      </c>
      <c r="Q1322" s="177" t="s">
        <v>324</v>
      </c>
      <c r="R1322" s="83"/>
    </row>
    <row r="1323" spans="1:18">
      <c r="A1323" s="83">
        <v>80841219</v>
      </c>
      <c r="B1323" s="186" t="s">
        <v>594</v>
      </c>
      <c r="C1323" s="186" t="s">
        <v>154</v>
      </c>
      <c r="D1323" s="83" t="s">
        <v>428</v>
      </c>
      <c r="E1323" s="83" t="s">
        <v>168</v>
      </c>
      <c r="F1323" s="180">
        <v>46034</v>
      </c>
      <c r="G1323" s="83">
        <v>32</v>
      </c>
      <c r="H1323" s="180">
        <v>46021</v>
      </c>
      <c r="I1323" s="180" t="s">
        <v>202</v>
      </c>
      <c r="J1323" s="83">
        <v>3518729183</v>
      </c>
      <c r="K1323" s="180"/>
      <c r="L1323" s="180">
        <v>46021</v>
      </c>
      <c r="M1323" s="180"/>
      <c r="N1323" s="181">
        <v>0.1087552</v>
      </c>
      <c r="O1323" s="181" t="s">
        <v>170</v>
      </c>
      <c r="P1323" s="83" t="s">
        <v>323</v>
      </c>
      <c r="Q1323" s="177" t="s">
        <v>324</v>
      </c>
      <c r="R1323" s="83"/>
    </row>
    <row r="1324" spans="1:18">
      <c r="A1324" s="83">
        <v>80841219</v>
      </c>
      <c r="B1324" s="186" t="s">
        <v>594</v>
      </c>
      <c r="C1324" s="186" t="s">
        <v>155</v>
      </c>
      <c r="D1324" s="83" t="s">
        <v>428</v>
      </c>
      <c r="E1324" s="83" t="s">
        <v>168</v>
      </c>
      <c r="F1324" s="180">
        <v>46034</v>
      </c>
      <c r="G1324" s="83">
        <v>814</v>
      </c>
      <c r="H1324" s="180">
        <v>46021</v>
      </c>
      <c r="I1324" s="180" t="s">
        <v>202</v>
      </c>
      <c r="J1324" s="83">
        <v>3518729184</v>
      </c>
      <c r="K1324" s="180"/>
      <c r="L1324" s="180">
        <v>46021</v>
      </c>
      <c r="M1324" s="180"/>
      <c r="N1324" s="181">
        <v>2.7664604000000002</v>
      </c>
      <c r="O1324" s="181" t="s">
        <v>170</v>
      </c>
      <c r="P1324" s="83" t="s">
        <v>323</v>
      </c>
      <c r="Q1324" s="177" t="s">
        <v>324</v>
      </c>
      <c r="R1324" s="83"/>
    </row>
    <row r="1325" spans="1:18">
      <c r="A1325" s="83">
        <v>80841220</v>
      </c>
      <c r="B1325" s="186" t="s">
        <v>602</v>
      </c>
      <c r="C1325" s="186" t="s">
        <v>143</v>
      </c>
      <c r="D1325" s="83" t="s">
        <v>428</v>
      </c>
      <c r="E1325" s="83" t="s">
        <v>168</v>
      </c>
      <c r="F1325" s="180">
        <v>46034</v>
      </c>
      <c r="G1325" s="83">
        <v>174</v>
      </c>
      <c r="H1325" s="180">
        <v>46021</v>
      </c>
      <c r="I1325" s="180" t="s">
        <v>202</v>
      </c>
      <c r="J1325" s="83">
        <v>3518729185</v>
      </c>
      <c r="K1325" s="180"/>
      <c r="L1325" s="180">
        <v>46021</v>
      </c>
      <c r="M1325" s="180"/>
      <c r="N1325" s="181">
        <v>0.5913564</v>
      </c>
      <c r="O1325" s="181" t="s">
        <v>170</v>
      </c>
      <c r="P1325" s="83" t="s">
        <v>323</v>
      </c>
      <c r="Q1325" s="177" t="s">
        <v>324</v>
      </c>
      <c r="R1325" s="83"/>
    </row>
    <row r="1326" spans="1:18">
      <c r="A1326" s="83">
        <v>80841220</v>
      </c>
      <c r="B1326" s="186" t="s">
        <v>602</v>
      </c>
      <c r="C1326" s="186" t="s">
        <v>150</v>
      </c>
      <c r="D1326" s="83" t="s">
        <v>428</v>
      </c>
      <c r="E1326" s="83" t="s">
        <v>168</v>
      </c>
      <c r="F1326" s="180">
        <v>46034</v>
      </c>
      <c r="G1326" s="83">
        <v>342</v>
      </c>
      <c r="H1326" s="180">
        <v>46021</v>
      </c>
      <c r="I1326" s="180" t="s">
        <v>202</v>
      </c>
      <c r="J1326" s="83">
        <v>3518729187</v>
      </c>
      <c r="K1326" s="180"/>
      <c r="L1326" s="180">
        <v>46021</v>
      </c>
      <c r="M1326" s="180"/>
      <c r="N1326" s="181">
        <v>1.1623212000000001</v>
      </c>
      <c r="O1326" s="181" t="s">
        <v>170</v>
      </c>
      <c r="P1326" s="83" t="s">
        <v>323</v>
      </c>
      <c r="Q1326" s="177" t="s">
        <v>324</v>
      </c>
      <c r="R1326" s="83"/>
    </row>
    <row r="1327" spans="1:18">
      <c r="A1327" s="83">
        <v>80841220</v>
      </c>
      <c r="B1327" s="186" t="s">
        <v>602</v>
      </c>
      <c r="C1327" s="186" t="s">
        <v>151</v>
      </c>
      <c r="D1327" s="83" t="s">
        <v>428</v>
      </c>
      <c r="E1327" s="83" t="s">
        <v>168</v>
      </c>
      <c r="F1327" s="180">
        <v>46034</v>
      </c>
      <c r="G1327" s="83">
        <v>996</v>
      </c>
      <c r="H1327" s="180">
        <v>46021</v>
      </c>
      <c r="I1327" s="180" t="s">
        <v>202</v>
      </c>
      <c r="J1327" s="83">
        <v>3518729188</v>
      </c>
      <c r="K1327" s="180"/>
      <c r="L1327" s="180">
        <v>46021</v>
      </c>
      <c r="M1327" s="180"/>
      <c r="N1327" s="181">
        <v>3.3850055999999999</v>
      </c>
      <c r="O1327" s="181" t="s">
        <v>170</v>
      </c>
      <c r="P1327" s="83" t="s">
        <v>323</v>
      </c>
      <c r="Q1327" s="177" t="s">
        <v>324</v>
      </c>
      <c r="R1327" s="83"/>
    </row>
    <row r="1328" spans="1:18">
      <c r="A1328" s="83">
        <v>80841220</v>
      </c>
      <c r="B1328" s="186" t="s">
        <v>602</v>
      </c>
      <c r="C1328" s="186" t="s">
        <v>152</v>
      </c>
      <c r="D1328" s="83" t="s">
        <v>428</v>
      </c>
      <c r="E1328" s="83" t="s">
        <v>168</v>
      </c>
      <c r="F1328" s="180">
        <v>46034</v>
      </c>
      <c r="G1328" s="83">
        <v>174</v>
      </c>
      <c r="H1328" s="180">
        <v>46021</v>
      </c>
      <c r="I1328" s="180" t="s">
        <v>202</v>
      </c>
      <c r="J1328" s="83">
        <v>3518729189</v>
      </c>
      <c r="K1328" s="180"/>
      <c r="L1328" s="180">
        <v>46021</v>
      </c>
      <c r="M1328" s="180"/>
      <c r="N1328" s="181">
        <v>0.5913564</v>
      </c>
      <c r="O1328" s="181" t="s">
        <v>170</v>
      </c>
      <c r="P1328" s="83" t="s">
        <v>323</v>
      </c>
      <c r="Q1328" s="177" t="s">
        <v>324</v>
      </c>
      <c r="R1328" s="83"/>
    </row>
    <row r="1329" spans="1:18">
      <c r="A1329" s="83">
        <v>80841220</v>
      </c>
      <c r="B1329" s="186" t="s">
        <v>602</v>
      </c>
      <c r="C1329" s="186" t="s">
        <v>153</v>
      </c>
      <c r="D1329" s="83" t="s">
        <v>428</v>
      </c>
      <c r="E1329" s="83" t="s">
        <v>168</v>
      </c>
      <c r="F1329" s="180">
        <v>46034</v>
      </c>
      <c r="G1329" s="83">
        <v>36</v>
      </c>
      <c r="H1329" s="180">
        <v>46021</v>
      </c>
      <c r="I1329" s="180" t="s">
        <v>202</v>
      </c>
      <c r="J1329" s="83">
        <v>3518729190</v>
      </c>
      <c r="K1329" s="180"/>
      <c r="L1329" s="180">
        <v>46021</v>
      </c>
      <c r="M1329" s="180"/>
      <c r="N1329" s="181">
        <v>0.1223496</v>
      </c>
      <c r="O1329" s="181" t="s">
        <v>170</v>
      </c>
      <c r="P1329" s="83" t="s">
        <v>323</v>
      </c>
      <c r="Q1329" s="177" t="s">
        <v>324</v>
      </c>
      <c r="R1329" s="83"/>
    </row>
    <row r="1330" spans="1:18">
      <c r="A1330" s="83">
        <v>80841220</v>
      </c>
      <c r="B1330" s="186" t="s">
        <v>602</v>
      </c>
      <c r="C1330" s="186" t="s">
        <v>154</v>
      </c>
      <c r="D1330" s="83" t="s">
        <v>428</v>
      </c>
      <c r="E1330" s="83" t="s">
        <v>168</v>
      </c>
      <c r="F1330" s="180">
        <v>46034</v>
      </c>
      <c r="G1330" s="83">
        <v>42</v>
      </c>
      <c r="H1330" s="180">
        <v>46021</v>
      </c>
      <c r="I1330" s="180" t="s">
        <v>202</v>
      </c>
      <c r="J1330" s="83">
        <v>3518729191</v>
      </c>
      <c r="K1330" s="180"/>
      <c r="L1330" s="180">
        <v>46021</v>
      </c>
      <c r="M1330" s="180"/>
      <c r="N1330" s="181">
        <v>0.14274120000000001</v>
      </c>
      <c r="O1330" s="181" t="s">
        <v>170</v>
      </c>
      <c r="P1330" s="83" t="s">
        <v>323</v>
      </c>
      <c r="Q1330" s="177" t="s">
        <v>324</v>
      </c>
      <c r="R1330" s="83"/>
    </row>
    <row r="1331" spans="1:18">
      <c r="A1331" s="83">
        <v>80841220</v>
      </c>
      <c r="B1331" s="186" t="s">
        <v>602</v>
      </c>
      <c r="C1331" s="186" t="s">
        <v>155</v>
      </c>
      <c r="D1331" s="83" t="s">
        <v>428</v>
      </c>
      <c r="E1331" s="83" t="s">
        <v>168</v>
      </c>
      <c r="F1331" s="180">
        <v>46034</v>
      </c>
      <c r="G1331" s="83">
        <v>568</v>
      </c>
      <c r="H1331" s="180">
        <v>46021</v>
      </c>
      <c r="I1331" s="180" t="s">
        <v>202</v>
      </c>
      <c r="J1331" s="83">
        <v>3518729192</v>
      </c>
      <c r="K1331" s="180"/>
      <c r="L1331" s="180">
        <v>46021</v>
      </c>
      <c r="M1331" s="180"/>
      <c r="N1331" s="181">
        <v>1.9304048</v>
      </c>
      <c r="O1331" s="181" t="s">
        <v>170</v>
      </c>
      <c r="P1331" s="83" t="s">
        <v>323</v>
      </c>
      <c r="Q1331" s="177" t="s">
        <v>324</v>
      </c>
      <c r="R1331" s="83"/>
    </row>
    <row r="1332" spans="1:18">
      <c r="A1332" s="83">
        <v>80841221</v>
      </c>
      <c r="B1332" s="186" t="s">
        <v>610</v>
      </c>
      <c r="C1332" s="186" t="s">
        <v>143</v>
      </c>
      <c r="D1332" s="83" t="s">
        <v>428</v>
      </c>
      <c r="E1332" s="83" t="s">
        <v>168</v>
      </c>
      <c r="F1332" s="180">
        <v>46034</v>
      </c>
      <c r="G1332" s="83">
        <v>383</v>
      </c>
      <c r="H1332" s="180">
        <v>46021</v>
      </c>
      <c r="I1332" s="180" t="s">
        <v>202</v>
      </c>
      <c r="J1332" s="83">
        <v>3518729193</v>
      </c>
      <c r="K1332" s="180"/>
      <c r="L1332" s="180">
        <v>46021</v>
      </c>
      <c r="M1332" s="180"/>
      <c r="N1332" s="181">
        <v>1.3016638</v>
      </c>
      <c r="O1332" s="181" t="s">
        <v>170</v>
      </c>
      <c r="P1332" s="83" t="s">
        <v>323</v>
      </c>
      <c r="Q1332" s="177" t="s">
        <v>324</v>
      </c>
      <c r="R1332" s="83"/>
    </row>
    <row r="1333" spans="1:18">
      <c r="A1333" s="83">
        <v>80841221</v>
      </c>
      <c r="B1333" s="186" t="s">
        <v>610</v>
      </c>
      <c r="C1333" s="186" t="s">
        <v>150</v>
      </c>
      <c r="D1333" s="83" t="s">
        <v>428</v>
      </c>
      <c r="E1333" s="83" t="s">
        <v>168</v>
      </c>
      <c r="F1333" s="180">
        <v>46034</v>
      </c>
      <c r="G1333" s="83">
        <v>689</v>
      </c>
      <c r="H1333" s="180">
        <v>46021</v>
      </c>
      <c r="I1333" s="180" t="s">
        <v>202</v>
      </c>
      <c r="J1333" s="83">
        <v>3518729194</v>
      </c>
      <c r="K1333" s="180"/>
      <c r="L1333" s="180">
        <v>46021</v>
      </c>
      <c r="M1333" s="180"/>
      <c r="N1333" s="181">
        <v>2.3416353999999999</v>
      </c>
      <c r="O1333" s="181" t="s">
        <v>170</v>
      </c>
      <c r="P1333" s="83" t="s">
        <v>323</v>
      </c>
      <c r="Q1333" s="177" t="s">
        <v>324</v>
      </c>
      <c r="R1333" s="83"/>
    </row>
    <row r="1334" spans="1:18">
      <c r="A1334" s="83">
        <v>80841221</v>
      </c>
      <c r="B1334" s="186" t="s">
        <v>610</v>
      </c>
      <c r="C1334" s="186" t="s">
        <v>151</v>
      </c>
      <c r="D1334" s="83" t="s">
        <v>428</v>
      </c>
      <c r="E1334" s="83" t="s">
        <v>168</v>
      </c>
      <c r="F1334" s="180">
        <v>46034</v>
      </c>
      <c r="G1334" s="83">
        <v>2153</v>
      </c>
      <c r="H1334" s="180">
        <v>46021</v>
      </c>
      <c r="I1334" s="180" t="s">
        <v>202</v>
      </c>
      <c r="J1334" s="83">
        <v>3518729195</v>
      </c>
      <c r="K1334" s="180"/>
      <c r="L1334" s="180">
        <v>46021</v>
      </c>
      <c r="M1334" s="180"/>
      <c r="N1334" s="181">
        <v>7.3171857999999999</v>
      </c>
      <c r="O1334" s="181" t="s">
        <v>170</v>
      </c>
      <c r="P1334" s="83" t="s">
        <v>323</v>
      </c>
      <c r="Q1334" s="177" t="s">
        <v>324</v>
      </c>
      <c r="R1334" s="83"/>
    </row>
    <row r="1335" spans="1:18">
      <c r="A1335" s="83">
        <v>80841221</v>
      </c>
      <c r="B1335" s="186" t="s">
        <v>610</v>
      </c>
      <c r="C1335" s="186" t="s">
        <v>152</v>
      </c>
      <c r="D1335" s="83" t="s">
        <v>428</v>
      </c>
      <c r="E1335" s="83" t="s">
        <v>168</v>
      </c>
      <c r="F1335" s="180">
        <v>46034</v>
      </c>
      <c r="G1335" s="83">
        <v>357</v>
      </c>
      <c r="H1335" s="180">
        <v>46021</v>
      </c>
      <c r="I1335" s="180" t="s">
        <v>202</v>
      </c>
      <c r="J1335" s="83">
        <v>3518729196</v>
      </c>
      <c r="K1335" s="180"/>
      <c r="L1335" s="180">
        <v>46021</v>
      </c>
      <c r="M1335" s="180"/>
      <c r="N1335" s="181">
        <v>1.2133001999999999</v>
      </c>
      <c r="O1335" s="181" t="s">
        <v>170</v>
      </c>
      <c r="P1335" s="83" t="s">
        <v>323</v>
      </c>
      <c r="Q1335" s="177" t="s">
        <v>324</v>
      </c>
      <c r="R1335" s="83"/>
    </row>
    <row r="1336" spans="1:18">
      <c r="A1336" s="83">
        <v>80841221</v>
      </c>
      <c r="B1336" s="186" t="s">
        <v>610</v>
      </c>
      <c r="C1336" s="186" t="s">
        <v>153</v>
      </c>
      <c r="D1336" s="83" t="s">
        <v>428</v>
      </c>
      <c r="E1336" s="83" t="s">
        <v>168</v>
      </c>
      <c r="F1336" s="180">
        <v>46034</v>
      </c>
      <c r="G1336" s="83">
        <v>84</v>
      </c>
      <c r="H1336" s="180">
        <v>46021</v>
      </c>
      <c r="I1336" s="180" t="s">
        <v>202</v>
      </c>
      <c r="J1336" s="83">
        <v>3518729197</v>
      </c>
      <c r="K1336" s="180"/>
      <c r="L1336" s="180">
        <v>46021</v>
      </c>
      <c r="M1336" s="180"/>
      <c r="N1336" s="181">
        <v>0.28548240000000003</v>
      </c>
      <c r="O1336" s="181" t="s">
        <v>170</v>
      </c>
      <c r="P1336" s="83" t="s">
        <v>323</v>
      </c>
      <c r="Q1336" s="177" t="s">
        <v>324</v>
      </c>
      <c r="R1336" s="83"/>
    </row>
    <row r="1337" spans="1:18">
      <c r="A1337" s="83">
        <v>80841221</v>
      </c>
      <c r="B1337" s="186" t="s">
        <v>610</v>
      </c>
      <c r="C1337" s="186" t="s">
        <v>154</v>
      </c>
      <c r="D1337" s="83" t="s">
        <v>428</v>
      </c>
      <c r="E1337" s="83" t="s">
        <v>168</v>
      </c>
      <c r="F1337" s="180">
        <v>46034</v>
      </c>
      <c r="G1337" s="83">
        <v>83</v>
      </c>
      <c r="H1337" s="180">
        <v>46021</v>
      </c>
      <c r="I1337" s="180" t="s">
        <v>202</v>
      </c>
      <c r="J1337" s="83">
        <v>3518737518</v>
      </c>
      <c r="K1337" s="180"/>
      <c r="L1337" s="180">
        <v>46021</v>
      </c>
      <c r="M1337" s="180"/>
      <c r="N1337" s="181">
        <v>0.2820838</v>
      </c>
      <c r="O1337" s="181" t="s">
        <v>170</v>
      </c>
      <c r="P1337" s="83" t="s">
        <v>323</v>
      </c>
      <c r="Q1337" s="177" t="s">
        <v>324</v>
      </c>
      <c r="R1337" s="83"/>
    </row>
    <row r="1338" spans="1:18">
      <c r="A1338" s="83">
        <v>80841221</v>
      </c>
      <c r="B1338" s="186" t="s">
        <v>610</v>
      </c>
      <c r="C1338" s="186" t="s">
        <v>155</v>
      </c>
      <c r="D1338" s="83" t="s">
        <v>428</v>
      </c>
      <c r="E1338" s="83" t="s">
        <v>168</v>
      </c>
      <c r="F1338" s="180">
        <v>46034</v>
      </c>
      <c r="G1338" s="83">
        <v>1101</v>
      </c>
      <c r="H1338" s="180">
        <v>46021</v>
      </c>
      <c r="I1338" s="180" t="s">
        <v>202</v>
      </c>
      <c r="J1338" s="83">
        <v>3518737519</v>
      </c>
      <c r="K1338" s="180"/>
      <c r="L1338" s="180">
        <v>46021</v>
      </c>
      <c r="M1338" s="180"/>
      <c r="N1338" s="181">
        <v>3.7418586</v>
      </c>
      <c r="O1338" s="181" t="s">
        <v>170</v>
      </c>
      <c r="P1338" s="83" t="s">
        <v>323</v>
      </c>
      <c r="Q1338" s="177" t="s">
        <v>324</v>
      </c>
      <c r="R1338" s="83"/>
    </row>
    <row r="1339" spans="1:18">
      <c r="A1339" s="83">
        <v>80841222</v>
      </c>
      <c r="B1339" s="186" t="s">
        <v>618</v>
      </c>
      <c r="C1339" s="186" t="s">
        <v>143</v>
      </c>
      <c r="D1339" s="83" t="s">
        <v>428</v>
      </c>
      <c r="E1339" s="83" t="s">
        <v>168</v>
      </c>
      <c r="F1339" s="180">
        <v>46034</v>
      </c>
      <c r="G1339" s="83">
        <v>317</v>
      </c>
      <c r="H1339" s="180">
        <v>46021</v>
      </c>
      <c r="I1339" s="180" t="s">
        <v>202</v>
      </c>
      <c r="J1339" s="83">
        <v>3518737520</v>
      </c>
      <c r="K1339" s="180"/>
      <c r="L1339" s="180">
        <v>46021</v>
      </c>
      <c r="M1339" s="180"/>
      <c r="N1339" s="181">
        <v>1.0773562000000001</v>
      </c>
      <c r="O1339" s="181" t="s">
        <v>170</v>
      </c>
      <c r="P1339" s="83" t="s">
        <v>323</v>
      </c>
      <c r="Q1339" s="177" t="s">
        <v>324</v>
      </c>
      <c r="R1339" s="83"/>
    </row>
    <row r="1340" spans="1:18">
      <c r="A1340" s="83">
        <v>80841222</v>
      </c>
      <c r="B1340" s="186" t="s">
        <v>618</v>
      </c>
      <c r="C1340" s="186" t="s">
        <v>150</v>
      </c>
      <c r="D1340" s="83" t="s">
        <v>428</v>
      </c>
      <c r="E1340" s="83" t="s">
        <v>168</v>
      </c>
      <c r="F1340" s="180">
        <v>46034</v>
      </c>
      <c r="G1340" s="83">
        <v>790</v>
      </c>
      <c r="H1340" s="180">
        <v>46021</v>
      </c>
      <c r="I1340" s="180" t="s">
        <v>202</v>
      </c>
      <c r="J1340" s="83">
        <v>3518737521</v>
      </c>
      <c r="K1340" s="180"/>
      <c r="L1340" s="180">
        <v>46021</v>
      </c>
      <c r="M1340" s="180"/>
      <c r="N1340" s="181">
        <v>2.6848939999999999</v>
      </c>
      <c r="O1340" s="181" t="s">
        <v>170</v>
      </c>
      <c r="P1340" s="83" t="s">
        <v>323</v>
      </c>
      <c r="Q1340" s="177" t="s">
        <v>324</v>
      </c>
      <c r="R1340" s="83"/>
    </row>
    <row r="1341" spans="1:18">
      <c r="A1341" s="83">
        <v>80841222</v>
      </c>
      <c r="B1341" s="186" t="s">
        <v>618</v>
      </c>
      <c r="C1341" s="186" t="s">
        <v>151</v>
      </c>
      <c r="D1341" s="83" t="s">
        <v>428</v>
      </c>
      <c r="E1341" s="83" t="s">
        <v>168</v>
      </c>
      <c r="F1341" s="180">
        <v>46034</v>
      </c>
      <c r="G1341" s="83">
        <v>2547</v>
      </c>
      <c r="H1341" s="180">
        <v>46021</v>
      </c>
      <c r="I1341" s="180" t="s">
        <v>202</v>
      </c>
      <c r="J1341" s="83">
        <v>3518737522</v>
      </c>
      <c r="K1341" s="180"/>
      <c r="L1341" s="180">
        <v>46021</v>
      </c>
      <c r="M1341" s="180"/>
      <c r="N1341" s="181">
        <v>8.6562342000000001</v>
      </c>
      <c r="O1341" s="181" t="s">
        <v>170</v>
      </c>
      <c r="P1341" s="83" t="s">
        <v>323</v>
      </c>
      <c r="Q1341" s="177" t="s">
        <v>324</v>
      </c>
      <c r="R1341" s="83"/>
    </row>
    <row r="1342" spans="1:18">
      <c r="A1342" s="83">
        <v>80841222</v>
      </c>
      <c r="B1342" s="186" t="s">
        <v>618</v>
      </c>
      <c r="C1342" s="186" t="s">
        <v>152</v>
      </c>
      <c r="D1342" s="83" t="s">
        <v>428</v>
      </c>
      <c r="E1342" s="83" t="s">
        <v>168</v>
      </c>
      <c r="F1342" s="180">
        <v>46034</v>
      </c>
      <c r="G1342" s="83">
        <v>434</v>
      </c>
      <c r="H1342" s="180">
        <v>46021</v>
      </c>
      <c r="I1342" s="180" t="s">
        <v>202</v>
      </c>
      <c r="J1342" s="83">
        <v>3518737523</v>
      </c>
      <c r="K1342" s="180"/>
      <c r="L1342" s="180">
        <v>46021</v>
      </c>
      <c r="M1342" s="180"/>
      <c r="N1342" s="181">
        <v>1.4749924000000001</v>
      </c>
      <c r="O1342" s="181" t="s">
        <v>170</v>
      </c>
      <c r="P1342" s="83" t="s">
        <v>323</v>
      </c>
      <c r="Q1342" s="177" t="s">
        <v>324</v>
      </c>
      <c r="R1342" s="83"/>
    </row>
    <row r="1343" spans="1:18">
      <c r="A1343" s="83">
        <v>80841222</v>
      </c>
      <c r="B1343" s="186" t="s">
        <v>618</v>
      </c>
      <c r="C1343" s="186" t="s">
        <v>153</v>
      </c>
      <c r="D1343" s="83" t="s">
        <v>428</v>
      </c>
      <c r="E1343" s="83" t="s">
        <v>168</v>
      </c>
      <c r="F1343" s="180">
        <v>46034</v>
      </c>
      <c r="G1343" s="83">
        <v>97</v>
      </c>
      <c r="H1343" s="180">
        <v>46021</v>
      </c>
      <c r="I1343" s="180" t="s">
        <v>202</v>
      </c>
      <c r="J1343" s="83">
        <v>3518737524</v>
      </c>
      <c r="K1343" s="180"/>
      <c r="L1343" s="180">
        <v>46021</v>
      </c>
      <c r="M1343" s="180"/>
      <c r="N1343" s="181">
        <v>0.32966420000000002</v>
      </c>
      <c r="O1343" s="181" t="s">
        <v>170</v>
      </c>
      <c r="P1343" s="83" t="s">
        <v>323</v>
      </c>
      <c r="Q1343" s="177" t="s">
        <v>324</v>
      </c>
      <c r="R1343" s="83"/>
    </row>
    <row r="1344" spans="1:18">
      <c r="A1344" s="83">
        <v>80841222</v>
      </c>
      <c r="B1344" s="186" t="s">
        <v>618</v>
      </c>
      <c r="C1344" s="186" t="s">
        <v>154</v>
      </c>
      <c r="D1344" s="83" t="s">
        <v>428</v>
      </c>
      <c r="E1344" s="83" t="s">
        <v>168</v>
      </c>
      <c r="F1344" s="180">
        <v>46034</v>
      </c>
      <c r="G1344" s="83">
        <v>187</v>
      </c>
      <c r="H1344" s="180">
        <v>46021</v>
      </c>
      <c r="I1344" s="180" t="s">
        <v>202</v>
      </c>
      <c r="J1344" s="83">
        <v>3518737525</v>
      </c>
      <c r="K1344" s="180"/>
      <c r="L1344" s="180">
        <v>46021</v>
      </c>
      <c r="M1344" s="180"/>
      <c r="N1344" s="181">
        <v>0.63553820000000005</v>
      </c>
      <c r="O1344" s="181" t="s">
        <v>170</v>
      </c>
      <c r="P1344" s="83" t="s">
        <v>323</v>
      </c>
      <c r="Q1344" s="177" t="s">
        <v>324</v>
      </c>
      <c r="R1344" s="83"/>
    </row>
    <row r="1345" spans="1:18">
      <c r="A1345" s="83">
        <v>80841222</v>
      </c>
      <c r="B1345" s="186" t="s">
        <v>618</v>
      </c>
      <c r="C1345" s="186" t="s">
        <v>155</v>
      </c>
      <c r="D1345" s="83" t="s">
        <v>428</v>
      </c>
      <c r="E1345" s="83" t="s">
        <v>168</v>
      </c>
      <c r="F1345" s="180">
        <v>46034</v>
      </c>
      <c r="G1345" s="83">
        <v>1705</v>
      </c>
      <c r="H1345" s="180">
        <v>46021</v>
      </c>
      <c r="I1345" s="180" t="s">
        <v>202</v>
      </c>
      <c r="J1345" s="83">
        <v>3518737526</v>
      </c>
      <c r="K1345" s="180"/>
      <c r="L1345" s="180">
        <v>46021</v>
      </c>
      <c r="M1345" s="180"/>
      <c r="N1345" s="181">
        <v>5.794613</v>
      </c>
      <c r="O1345" s="181" t="s">
        <v>170</v>
      </c>
      <c r="P1345" s="83" t="s">
        <v>323</v>
      </c>
      <c r="Q1345" s="177" t="s">
        <v>324</v>
      </c>
      <c r="R1345" s="83"/>
    </row>
    <row r="1346" spans="1:18">
      <c r="A1346" s="83">
        <v>80812166</v>
      </c>
      <c r="B1346" s="186" t="s">
        <v>626</v>
      </c>
      <c r="C1346" s="186" t="s">
        <v>143</v>
      </c>
      <c r="D1346" s="83" t="s">
        <v>428</v>
      </c>
      <c r="E1346" s="83" t="s">
        <v>168</v>
      </c>
      <c r="F1346" s="180">
        <v>46034</v>
      </c>
      <c r="G1346" s="83">
        <v>59</v>
      </c>
      <c r="H1346" s="180">
        <v>46021</v>
      </c>
      <c r="I1346" s="180" t="s">
        <v>202</v>
      </c>
      <c r="J1346" s="83">
        <v>3518737527</v>
      </c>
      <c r="K1346" s="180"/>
      <c r="L1346" s="180">
        <v>46021</v>
      </c>
      <c r="M1346" s="180"/>
      <c r="N1346" s="181">
        <v>0.20051740000000001</v>
      </c>
      <c r="O1346" s="181" t="s">
        <v>170</v>
      </c>
      <c r="P1346" s="83" t="s">
        <v>323</v>
      </c>
      <c r="Q1346" s="177" t="s">
        <v>324</v>
      </c>
      <c r="R1346" s="83"/>
    </row>
    <row r="1347" spans="1:18">
      <c r="A1347" s="83">
        <v>80812166</v>
      </c>
      <c r="B1347" s="186" t="s">
        <v>626</v>
      </c>
      <c r="C1347" s="186" t="s">
        <v>150</v>
      </c>
      <c r="D1347" s="83" t="s">
        <v>428</v>
      </c>
      <c r="E1347" s="83" t="s">
        <v>168</v>
      </c>
      <c r="F1347" s="180">
        <v>46034</v>
      </c>
      <c r="G1347" s="83">
        <v>224</v>
      </c>
      <c r="H1347" s="180">
        <v>46021</v>
      </c>
      <c r="I1347" s="180" t="s">
        <v>202</v>
      </c>
      <c r="J1347" s="83">
        <v>3518737528</v>
      </c>
      <c r="K1347" s="180"/>
      <c r="L1347" s="180">
        <v>46021</v>
      </c>
      <c r="M1347" s="180"/>
      <c r="N1347" s="181">
        <v>0.76128640000000003</v>
      </c>
      <c r="O1347" s="181" t="s">
        <v>170</v>
      </c>
      <c r="P1347" s="83" t="s">
        <v>323</v>
      </c>
      <c r="Q1347" s="177" t="s">
        <v>324</v>
      </c>
      <c r="R1347" s="83"/>
    </row>
    <row r="1348" spans="1:18">
      <c r="A1348" s="83">
        <v>80812166</v>
      </c>
      <c r="B1348" s="186" t="s">
        <v>626</v>
      </c>
      <c r="C1348" s="186" t="s">
        <v>151</v>
      </c>
      <c r="D1348" s="83" t="s">
        <v>428</v>
      </c>
      <c r="E1348" s="83" t="s">
        <v>168</v>
      </c>
      <c r="F1348" s="180">
        <v>46034</v>
      </c>
      <c r="G1348" s="83">
        <v>512</v>
      </c>
      <c r="H1348" s="180">
        <v>46021</v>
      </c>
      <c r="I1348" s="180" t="s">
        <v>202</v>
      </c>
      <c r="J1348" s="83">
        <v>3518737529</v>
      </c>
      <c r="K1348" s="180"/>
      <c r="L1348" s="180">
        <v>46021</v>
      </c>
      <c r="M1348" s="180"/>
      <c r="N1348" s="181">
        <v>1.7400831999999999</v>
      </c>
      <c r="O1348" s="181" t="s">
        <v>170</v>
      </c>
      <c r="P1348" s="83" t="s">
        <v>323</v>
      </c>
      <c r="Q1348" s="177" t="s">
        <v>324</v>
      </c>
      <c r="R1348" s="83"/>
    </row>
    <row r="1349" spans="1:18">
      <c r="A1349" s="83">
        <v>80812166</v>
      </c>
      <c r="B1349" s="186" t="s">
        <v>626</v>
      </c>
      <c r="C1349" s="186" t="s">
        <v>152</v>
      </c>
      <c r="D1349" s="83" t="s">
        <v>428</v>
      </c>
      <c r="E1349" s="83" t="s">
        <v>168</v>
      </c>
      <c r="F1349" s="180">
        <v>46034</v>
      </c>
      <c r="G1349" s="83">
        <v>76</v>
      </c>
      <c r="H1349" s="180">
        <v>46021</v>
      </c>
      <c r="I1349" s="180" t="s">
        <v>202</v>
      </c>
      <c r="J1349" s="83">
        <v>3518737530</v>
      </c>
      <c r="K1349" s="180"/>
      <c r="L1349" s="180">
        <v>46021</v>
      </c>
      <c r="M1349" s="180"/>
      <c r="N1349" s="181">
        <v>0.25829360000000001</v>
      </c>
      <c r="O1349" s="181" t="s">
        <v>170</v>
      </c>
      <c r="P1349" s="83" t="s">
        <v>323</v>
      </c>
      <c r="Q1349" s="177" t="s">
        <v>324</v>
      </c>
      <c r="R1349" s="83"/>
    </row>
    <row r="1350" spans="1:18">
      <c r="A1350" s="83">
        <v>80812166</v>
      </c>
      <c r="B1350" s="186" t="s">
        <v>626</v>
      </c>
      <c r="C1350" s="186" t="s">
        <v>153</v>
      </c>
      <c r="D1350" s="83" t="s">
        <v>428</v>
      </c>
      <c r="E1350" s="83" t="s">
        <v>168</v>
      </c>
      <c r="F1350" s="180">
        <v>46034</v>
      </c>
      <c r="G1350" s="83">
        <v>41</v>
      </c>
      <c r="H1350" s="180">
        <v>46021</v>
      </c>
      <c r="I1350" s="180" t="s">
        <v>202</v>
      </c>
      <c r="J1350" s="83">
        <v>3518737531</v>
      </c>
      <c r="K1350" s="180"/>
      <c r="L1350" s="180">
        <v>46021</v>
      </c>
      <c r="M1350" s="180"/>
      <c r="N1350" s="181">
        <v>0.13934260000000001</v>
      </c>
      <c r="O1350" s="181" t="s">
        <v>170</v>
      </c>
      <c r="P1350" s="83" t="s">
        <v>323</v>
      </c>
      <c r="Q1350" s="177" t="s">
        <v>324</v>
      </c>
      <c r="R1350" s="83"/>
    </row>
    <row r="1351" spans="1:18">
      <c r="A1351" s="83">
        <v>80812166</v>
      </c>
      <c r="B1351" s="186" t="s">
        <v>626</v>
      </c>
      <c r="C1351" s="186" t="s">
        <v>154</v>
      </c>
      <c r="D1351" s="83" t="s">
        <v>428</v>
      </c>
      <c r="E1351" s="83" t="s">
        <v>168</v>
      </c>
      <c r="F1351" s="180">
        <v>46034</v>
      </c>
      <c r="G1351" s="83">
        <v>49</v>
      </c>
      <c r="H1351" s="180">
        <v>46021</v>
      </c>
      <c r="I1351" s="180" t="s">
        <v>202</v>
      </c>
      <c r="J1351" s="83">
        <v>3518737532</v>
      </c>
      <c r="K1351" s="180"/>
      <c r="L1351" s="180">
        <v>46021</v>
      </c>
      <c r="M1351" s="180"/>
      <c r="N1351" s="181">
        <v>0.1665314</v>
      </c>
      <c r="O1351" s="181" t="s">
        <v>170</v>
      </c>
      <c r="P1351" s="83" t="s">
        <v>323</v>
      </c>
      <c r="Q1351" s="177" t="s">
        <v>324</v>
      </c>
      <c r="R1351" s="83"/>
    </row>
    <row r="1352" spans="1:18">
      <c r="A1352" s="83">
        <v>80812166</v>
      </c>
      <c r="B1352" s="186" t="s">
        <v>626</v>
      </c>
      <c r="C1352" s="186" t="s">
        <v>155</v>
      </c>
      <c r="D1352" s="83" t="s">
        <v>428</v>
      </c>
      <c r="E1352" s="83" t="s">
        <v>168</v>
      </c>
      <c r="F1352" s="180">
        <v>46034</v>
      </c>
      <c r="G1352" s="83">
        <v>188</v>
      </c>
      <c r="H1352" s="180">
        <v>46021</v>
      </c>
      <c r="I1352" s="180" t="s">
        <v>202</v>
      </c>
      <c r="J1352" s="83">
        <v>3518737533</v>
      </c>
      <c r="K1352" s="180"/>
      <c r="L1352" s="180">
        <v>46021</v>
      </c>
      <c r="M1352" s="180"/>
      <c r="N1352" s="181">
        <v>0.63893679999999997</v>
      </c>
      <c r="O1352" s="181" t="s">
        <v>170</v>
      </c>
      <c r="P1352" s="83" t="s">
        <v>323</v>
      </c>
      <c r="Q1352" s="177" t="s">
        <v>324</v>
      </c>
      <c r="R1352" s="83"/>
    </row>
    <row r="1353" spans="1:18">
      <c r="A1353" s="83">
        <v>80812167</v>
      </c>
      <c r="B1353" s="186" t="s">
        <v>634</v>
      </c>
      <c r="C1353" s="186" t="s">
        <v>143</v>
      </c>
      <c r="D1353" s="83" t="s">
        <v>428</v>
      </c>
      <c r="E1353" s="83" t="s">
        <v>168</v>
      </c>
      <c r="F1353" s="180">
        <v>46034</v>
      </c>
      <c r="G1353" s="83">
        <v>30</v>
      </c>
      <c r="H1353" s="180">
        <v>46021</v>
      </c>
      <c r="I1353" s="180" t="s">
        <v>202</v>
      </c>
      <c r="J1353" s="83">
        <v>3518737534</v>
      </c>
      <c r="K1353" s="180"/>
      <c r="L1353" s="180">
        <v>46021</v>
      </c>
      <c r="M1353" s="180"/>
      <c r="N1353" s="181">
        <v>0.10195799999999999</v>
      </c>
      <c r="O1353" s="181" t="s">
        <v>170</v>
      </c>
      <c r="P1353" s="83" t="s">
        <v>323</v>
      </c>
      <c r="Q1353" s="177" t="s">
        <v>324</v>
      </c>
      <c r="R1353" s="83"/>
    </row>
    <row r="1354" spans="1:18">
      <c r="A1354" s="83">
        <v>80812167</v>
      </c>
      <c r="B1354" s="186" t="s">
        <v>634</v>
      </c>
      <c r="C1354" s="186" t="s">
        <v>150</v>
      </c>
      <c r="D1354" s="83" t="s">
        <v>428</v>
      </c>
      <c r="E1354" s="83" t="s">
        <v>168</v>
      </c>
      <c r="F1354" s="180">
        <v>46034</v>
      </c>
      <c r="G1354" s="83">
        <v>174</v>
      </c>
      <c r="H1354" s="180">
        <v>46021</v>
      </c>
      <c r="I1354" s="180" t="s">
        <v>202</v>
      </c>
      <c r="J1354" s="83">
        <v>3518737535</v>
      </c>
      <c r="K1354" s="180"/>
      <c r="L1354" s="180">
        <v>46021</v>
      </c>
      <c r="M1354" s="180"/>
      <c r="N1354" s="181">
        <v>0.5913564</v>
      </c>
      <c r="O1354" s="181" t="s">
        <v>170</v>
      </c>
      <c r="P1354" s="83" t="s">
        <v>323</v>
      </c>
      <c r="Q1354" s="177" t="s">
        <v>324</v>
      </c>
      <c r="R1354" s="83"/>
    </row>
    <row r="1355" spans="1:18">
      <c r="A1355" s="83">
        <v>80812167</v>
      </c>
      <c r="B1355" s="186" t="s">
        <v>634</v>
      </c>
      <c r="C1355" s="186" t="s">
        <v>151</v>
      </c>
      <c r="D1355" s="83" t="s">
        <v>428</v>
      </c>
      <c r="E1355" s="83" t="s">
        <v>168</v>
      </c>
      <c r="F1355" s="180">
        <v>46034</v>
      </c>
      <c r="G1355" s="83">
        <v>235</v>
      </c>
      <c r="H1355" s="180">
        <v>46021</v>
      </c>
      <c r="I1355" s="180" t="s">
        <v>202</v>
      </c>
      <c r="J1355" s="83">
        <v>3518737536</v>
      </c>
      <c r="K1355" s="180"/>
      <c r="L1355" s="180">
        <v>46021</v>
      </c>
      <c r="M1355" s="180"/>
      <c r="N1355" s="181">
        <v>0.79867100000000002</v>
      </c>
      <c r="O1355" s="181" t="s">
        <v>170</v>
      </c>
      <c r="P1355" s="83" t="s">
        <v>323</v>
      </c>
      <c r="Q1355" s="177" t="s">
        <v>324</v>
      </c>
      <c r="R1355" s="83"/>
    </row>
    <row r="1356" spans="1:18">
      <c r="A1356" s="83">
        <v>80812167</v>
      </c>
      <c r="B1356" s="186" t="s">
        <v>634</v>
      </c>
      <c r="C1356" s="186" t="s">
        <v>152</v>
      </c>
      <c r="D1356" s="83" t="s">
        <v>428</v>
      </c>
      <c r="E1356" s="83" t="s">
        <v>168</v>
      </c>
      <c r="F1356" s="180">
        <v>46034</v>
      </c>
      <c r="G1356" s="83">
        <v>48</v>
      </c>
      <c r="H1356" s="180">
        <v>46021</v>
      </c>
      <c r="I1356" s="180" t="s">
        <v>202</v>
      </c>
      <c r="J1356" s="83">
        <v>3518737537</v>
      </c>
      <c r="K1356" s="180"/>
      <c r="L1356" s="180">
        <v>46021</v>
      </c>
      <c r="M1356" s="180"/>
      <c r="N1356" s="181">
        <v>0.16313279999999999</v>
      </c>
      <c r="O1356" s="181" t="s">
        <v>170</v>
      </c>
      <c r="P1356" s="83" t="s">
        <v>323</v>
      </c>
      <c r="Q1356" s="177" t="s">
        <v>324</v>
      </c>
      <c r="R1356" s="83"/>
    </row>
    <row r="1357" spans="1:18">
      <c r="A1357" s="83">
        <v>80812167</v>
      </c>
      <c r="B1357" s="186" t="s">
        <v>634</v>
      </c>
      <c r="C1357" s="186" t="s">
        <v>153</v>
      </c>
      <c r="D1357" s="83" t="s">
        <v>428</v>
      </c>
      <c r="E1357" s="83" t="s">
        <v>168</v>
      </c>
      <c r="F1357" s="180">
        <v>46034</v>
      </c>
      <c r="G1357" s="83">
        <v>26</v>
      </c>
      <c r="H1357" s="180">
        <v>46021</v>
      </c>
      <c r="I1357" s="180" t="s">
        <v>202</v>
      </c>
      <c r="J1357" s="83">
        <v>3518741078</v>
      </c>
      <c r="K1357" s="180"/>
      <c r="L1357" s="180">
        <v>46021</v>
      </c>
      <c r="M1357" s="180"/>
      <c r="N1357" s="181">
        <v>8.83636E-2</v>
      </c>
      <c r="O1357" s="181" t="s">
        <v>170</v>
      </c>
      <c r="P1357" s="83" t="s">
        <v>323</v>
      </c>
      <c r="Q1357" s="177" t="s">
        <v>324</v>
      </c>
      <c r="R1357" s="83"/>
    </row>
    <row r="1358" spans="1:18">
      <c r="A1358" s="83">
        <v>80812167</v>
      </c>
      <c r="B1358" s="186" t="s">
        <v>634</v>
      </c>
      <c r="C1358" s="186" t="s">
        <v>154</v>
      </c>
      <c r="D1358" s="83" t="s">
        <v>428</v>
      </c>
      <c r="E1358" s="83" t="s">
        <v>168</v>
      </c>
      <c r="F1358" s="180">
        <v>46034</v>
      </c>
      <c r="G1358" s="83">
        <v>20</v>
      </c>
      <c r="H1358" s="180">
        <v>46021</v>
      </c>
      <c r="I1358" s="180" t="s">
        <v>202</v>
      </c>
      <c r="J1358" s="83">
        <v>3518741079</v>
      </c>
      <c r="K1358" s="180"/>
      <c r="L1358" s="180">
        <v>46021</v>
      </c>
      <c r="M1358" s="180"/>
      <c r="N1358" s="181">
        <v>6.7972000000000005E-2</v>
      </c>
      <c r="O1358" s="181" t="s">
        <v>170</v>
      </c>
      <c r="P1358" s="83" t="s">
        <v>323</v>
      </c>
      <c r="Q1358" s="177" t="s">
        <v>324</v>
      </c>
      <c r="R1358" s="83"/>
    </row>
    <row r="1359" spans="1:18">
      <c r="A1359" s="83">
        <v>80812167</v>
      </c>
      <c r="B1359" s="186" t="s">
        <v>634</v>
      </c>
      <c r="C1359" s="186" t="s">
        <v>155</v>
      </c>
      <c r="D1359" s="83" t="s">
        <v>428</v>
      </c>
      <c r="E1359" s="83" t="s">
        <v>168</v>
      </c>
      <c r="F1359" s="180">
        <v>46034</v>
      </c>
      <c r="G1359" s="83">
        <v>135</v>
      </c>
      <c r="H1359" s="180">
        <v>46021</v>
      </c>
      <c r="I1359" s="180" t="s">
        <v>202</v>
      </c>
      <c r="J1359" s="83">
        <v>3518741080</v>
      </c>
      <c r="K1359" s="180"/>
      <c r="L1359" s="180">
        <v>46021</v>
      </c>
      <c r="M1359" s="180"/>
      <c r="N1359" s="181">
        <v>0.45881100000000002</v>
      </c>
      <c r="O1359" s="181" t="s">
        <v>170</v>
      </c>
      <c r="P1359" s="83" t="s">
        <v>323</v>
      </c>
      <c r="Q1359" s="177" t="s">
        <v>324</v>
      </c>
      <c r="R1359" s="83"/>
    </row>
    <row r="1360" spans="1:18">
      <c r="A1360" s="83">
        <v>80813608</v>
      </c>
      <c r="B1360" s="186" t="s">
        <v>642</v>
      </c>
      <c r="C1360" s="186" t="s">
        <v>143</v>
      </c>
      <c r="D1360" s="83" t="s">
        <v>428</v>
      </c>
      <c r="E1360" s="83" t="s">
        <v>168</v>
      </c>
      <c r="F1360" s="180">
        <v>46034</v>
      </c>
      <c r="G1360" s="83">
        <v>267</v>
      </c>
      <c r="H1360" s="180">
        <v>46021</v>
      </c>
      <c r="I1360" s="180" t="s">
        <v>202</v>
      </c>
      <c r="J1360" s="83">
        <v>3518741081</v>
      </c>
      <c r="K1360" s="180"/>
      <c r="L1360" s="180">
        <v>46021</v>
      </c>
      <c r="M1360" s="180"/>
      <c r="N1360" s="181">
        <v>0.90742619999999996</v>
      </c>
      <c r="O1360" s="181" t="s">
        <v>170</v>
      </c>
      <c r="P1360" s="83" t="s">
        <v>323</v>
      </c>
      <c r="Q1360" s="177" t="s">
        <v>324</v>
      </c>
      <c r="R1360" s="83"/>
    </row>
    <row r="1361" spans="1:18">
      <c r="A1361" s="83">
        <v>80813608</v>
      </c>
      <c r="B1361" s="186" t="s">
        <v>642</v>
      </c>
      <c r="C1361" s="186" t="s">
        <v>150</v>
      </c>
      <c r="D1361" s="83" t="s">
        <v>428</v>
      </c>
      <c r="E1361" s="83" t="s">
        <v>168</v>
      </c>
      <c r="F1361" s="180">
        <v>46034</v>
      </c>
      <c r="G1361" s="83">
        <v>2039</v>
      </c>
      <c r="H1361" s="180">
        <v>46021</v>
      </c>
      <c r="I1361" s="180" t="s">
        <v>202</v>
      </c>
      <c r="J1361" s="83">
        <v>3518741082</v>
      </c>
      <c r="K1361" s="180"/>
      <c r="L1361" s="180">
        <v>46021</v>
      </c>
      <c r="M1361" s="180"/>
      <c r="N1361" s="181">
        <v>6.9297453999999998</v>
      </c>
      <c r="O1361" s="181" t="s">
        <v>170</v>
      </c>
      <c r="P1361" s="83" t="s">
        <v>323</v>
      </c>
      <c r="Q1361" s="177" t="s">
        <v>324</v>
      </c>
      <c r="R1361" s="83"/>
    </row>
    <row r="1362" spans="1:18">
      <c r="A1362" s="83">
        <v>80813608</v>
      </c>
      <c r="B1362" s="186" t="s">
        <v>642</v>
      </c>
      <c r="C1362" s="186" t="s">
        <v>151</v>
      </c>
      <c r="D1362" s="83" t="s">
        <v>428</v>
      </c>
      <c r="E1362" s="83" t="s">
        <v>168</v>
      </c>
      <c r="F1362" s="180">
        <v>46034</v>
      </c>
      <c r="G1362" s="83">
        <v>2943</v>
      </c>
      <c r="H1362" s="180">
        <v>46021</v>
      </c>
      <c r="I1362" s="180" t="s">
        <v>202</v>
      </c>
      <c r="J1362" s="83">
        <v>3518741083</v>
      </c>
      <c r="K1362" s="180"/>
      <c r="L1362" s="180">
        <v>46021</v>
      </c>
      <c r="M1362" s="180"/>
      <c r="N1362" s="181">
        <v>10.002079800000001</v>
      </c>
      <c r="O1362" s="181" t="s">
        <v>170</v>
      </c>
      <c r="P1362" s="83" t="s">
        <v>323</v>
      </c>
      <c r="Q1362" s="177" t="s">
        <v>324</v>
      </c>
      <c r="R1362" s="83"/>
    </row>
    <row r="1363" spans="1:18">
      <c r="A1363" s="83">
        <v>80813608</v>
      </c>
      <c r="B1363" s="186" t="s">
        <v>642</v>
      </c>
      <c r="C1363" s="186" t="s">
        <v>152</v>
      </c>
      <c r="D1363" s="83" t="s">
        <v>428</v>
      </c>
      <c r="E1363" s="83" t="s">
        <v>168</v>
      </c>
      <c r="F1363" s="180">
        <v>46034</v>
      </c>
      <c r="G1363" s="83">
        <v>376</v>
      </c>
      <c r="H1363" s="180">
        <v>46021</v>
      </c>
      <c r="I1363" s="180" t="s">
        <v>202</v>
      </c>
      <c r="J1363" s="83">
        <v>3518741084</v>
      </c>
      <c r="K1363" s="180"/>
      <c r="L1363" s="180">
        <v>46021</v>
      </c>
      <c r="M1363" s="180"/>
      <c r="N1363" s="181">
        <v>1.2778735999999999</v>
      </c>
      <c r="O1363" s="181" t="s">
        <v>170</v>
      </c>
      <c r="P1363" s="83" t="s">
        <v>323</v>
      </c>
      <c r="Q1363" s="177" t="s">
        <v>324</v>
      </c>
      <c r="R1363" s="83"/>
    </row>
    <row r="1364" spans="1:18">
      <c r="A1364" s="83">
        <v>80813608</v>
      </c>
      <c r="B1364" s="186" t="s">
        <v>642</v>
      </c>
      <c r="C1364" s="186" t="s">
        <v>153</v>
      </c>
      <c r="D1364" s="83" t="s">
        <v>428</v>
      </c>
      <c r="E1364" s="83" t="s">
        <v>168</v>
      </c>
      <c r="F1364" s="180">
        <v>46034</v>
      </c>
      <c r="G1364" s="83">
        <v>210</v>
      </c>
      <c r="H1364" s="180">
        <v>46021</v>
      </c>
      <c r="I1364" s="180" t="s">
        <v>202</v>
      </c>
      <c r="J1364" s="83">
        <v>3518741085</v>
      </c>
      <c r="K1364" s="180"/>
      <c r="L1364" s="180">
        <v>46021</v>
      </c>
      <c r="M1364" s="180"/>
      <c r="N1364" s="181">
        <v>0.71370599999999995</v>
      </c>
      <c r="O1364" s="181" t="s">
        <v>170</v>
      </c>
      <c r="P1364" s="83" t="s">
        <v>323</v>
      </c>
      <c r="Q1364" s="177" t="s">
        <v>324</v>
      </c>
      <c r="R1364" s="83"/>
    </row>
    <row r="1365" spans="1:18">
      <c r="A1365" s="83">
        <v>80813608</v>
      </c>
      <c r="B1365" s="186" t="s">
        <v>642</v>
      </c>
      <c r="C1365" s="186" t="s">
        <v>154</v>
      </c>
      <c r="D1365" s="83" t="s">
        <v>428</v>
      </c>
      <c r="E1365" s="83" t="s">
        <v>168</v>
      </c>
      <c r="F1365" s="180">
        <v>46034</v>
      </c>
      <c r="G1365" s="83">
        <v>239</v>
      </c>
      <c r="H1365" s="180">
        <v>46021</v>
      </c>
      <c r="I1365" s="180" t="s">
        <v>202</v>
      </c>
      <c r="J1365" s="83">
        <v>3518741086</v>
      </c>
      <c r="K1365" s="180"/>
      <c r="L1365" s="180">
        <v>46021</v>
      </c>
      <c r="M1365" s="180"/>
      <c r="N1365" s="181">
        <v>0.81226540000000003</v>
      </c>
      <c r="O1365" s="181" t="s">
        <v>170</v>
      </c>
      <c r="P1365" s="83" t="s">
        <v>323</v>
      </c>
      <c r="Q1365" s="177" t="s">
        <v>324</v>
      </c>
      <c r="R1365" s="83"/>
    </row>
    <row r="1366" spans="1:18">
      <c r="A1366" s="83">
        <v>80813608</v>
      </c>
      <c r="B1366" s="186" t="s">
        <v>642</v>
      </c>
      <c r="C1366" s="186" t="s">
        <v>155</v>
      </c>
      <c r="D1366" s="83" t="s">
        <v>428</v>
      </c>
      <c r="E1366" s="83" t="s">
        <v>168</v>
      </c>
      <c r="F1366" s="180">
        <v>46034</v>
      </c>
      <c r="G1366" s="83">
        <v>876</v>
      </c>
      <c r="H1366" s="180">
        <v>46021</v>
      </c>
      <c r="I1366" s="180" t="s">
        <v>202</v>
      </c>
      <c r="J1366" s="83">
        <v>3518741087</v>
      </c>
      <c r="K1366" s="180"/>
      <c r="L1366" s="180">
        <v>46021</v>
      </c>
      <c r="M1366" s="180"/>
      <c r="N1366" s="181">
        <v>2.9771736</v>
      </c>
      <c r="O1366" s="181" t="s">
        <v>170</v>
      </c>
      <c r="P1366" s="83" t="s">
        <v>323</v>
      </c>
      <c r="Q1366" s="177" t="s">
        <v>324</v>
      </c>
      <c r="R1366" s="83"/>
    </row>
    <row r="1367" spans="1:18">
      <c r="A1367" s="83">
        <v>80813618</v>
      </c>
      <c r="B1367" s="186" t="s">
        <v>650</v>
      </c>
      <c r="C1367" s="186" t="s">
        <v>143</v>
      </c>
      <c r="D1367" s="83" t="s">
        <v>428</v>
      </c>
      <c r="E1367" s="83" t="s">
        <v>168</v>
      </c>
      <c r="F1367" s="180">
        <v>46034</v>
      </c>
      <c r="G1367" s="83">
        <v>167</v>
      </c>
      <c r="H1367" s="180">
        <v>46021</v>
      </c>
      <c r="I1367" s="180" t="s">
        <v>202</v>
      </c>
      <c r="J1367" s="83">
        <v>3518741088</v>
      </c>
      <c r="K1367" s="180"/>
      <c r="L1367" s="180">
        <v>46021</v>
      </c>
      <c r="M1367" s="180"/>
      <c r="N1367" s="181">
        <v>0.56756620000000002</v>
      </c>
      <c r="O1367" s="181" t="s">
        <v>170</v>
      </c>
      <c r="P1367" s="83" t="s">
        <v>323</v>
      </c>
      <c r="Q1367" s="177" t="s">
        <v>324</v>
      </c>
      <c r="R1367" s="83"/>
    </row>
    <row r="1368" spans="1:18">
      <c r="A1368" s="83">
        <v>80813618</v>
      </c>
      <c r="B1368" s="186" t="s">
        <v>650</v>
      </c>
      <c r="C1368" s="186" t="s">
        <v>150</v>
      </c>
      <c r="D1368" s="83" t="s">
        <v>428</v>
      </c>
      <c r="E1368" s="83" t="s">
        <v>168</v>
      </c>
      <c r="F1368" s="180">
        <v>46034</v>
      </c>
      <c r="G1368" s="83">
        <v>643</v>
      </c>
      <c r="H1368" s="180">
        <v>46021</v>
      </c>
      <c r="I1368" s="180" t="s">
        <v>202</v>
      </c>
      <c r="J1368" s="83">
        <v>3518741089</v>
      </c>
      <c r="K1368" s="180"/>
      <c r="L1368" s="180">
        <v>46021</v>
      </c>
      <c r="M1368" s="180"/>
      <c r="N1368" s="181">
        <v>2.1852998000000001</v>
      </c>
      <c r="O1368" s="181" t="s">
        <v>170</v>
      </c>
      <c r="P1368" s="83" t="s">
        <v>323</v>
      </c>
      <c r="Q1368" s="177" t="s">
        <v>324</v>
      </c>
      <c r="R1368" s="83"/>
    </row>
    <row r="1369" spans="1:18">
      <c r="A1369" s="83">
        <v>80813618</v>
      </c>
      <c r="B1369" s="186" t="s">
        <v>650</v>
      </c>
      <c r="C1369" s="186" t="s">
        <v>151</v>
      </c>
      <c r="D1369" s="83" t="s">
        <v>428</v>
      </c>
      <c r="E1369" s="83" t="s">
        <v>168</v>
      </c>
      <c r="F1369" s="180">
        <v>46034</v>
      </c>
      <c r="G1369" s="83">
        <v>1377</v>
      </c>
      <c r="H1369" s="180">
        <v>46021</v>
      </c>
      <c r="I1369" s="180" t="s">
        <v>202</v>
      </c>
      <c r="J1369" s="83">
        <v>3518741090</v>
      </c>
      <c r="K1369" s="180"/>
      <c r="L1369" s="180">
        <v>46021</v>
      </c>
      <c r="M1369" s="180"/>
      <c r="N1369" s="181">
        <v>4.6798722000000001</v>
      </c>
      <c r="O1369" s="181" t="s">
        <v>170</v>
      </c>
      <c r="P1369" s="83" t="s">
        <v>323</v>
      </c>
      <c r="Q1369" s="177" t="s">
        <v>324</v>
      </c>
      <c r="R1369" s="83"/>
    </row>
    <row r="1370" spans="1:18">
      <c r="A1370" s="83">
        <v>80813618</v>
      </c>
      <c r="B1370" s="186" t="s">
        <v>650</v>
      </c>
      <c r="C1370" s="186" t="s">
        <v>152</v>
      </c>
      <c r="D1370" s="83" t="s">
        <v>428</v>
      </c>
      <c r="E1370" s="83" t="s">
        <v>168</v>
      </c>
      <c r="F1370" s="180">
        <v>46034</v>
      </c>
      <c r="G1370" s="83">
        <v>241</v>
      </c>
      <c r="H1370" s="180">
        <v>46021</v>
      </c>
      <c r="I1370" s="180" t="s">
        <v>202</v>
      </c>
      <c r="J1370" s="83">
        <v>3518741091</v>
      </c>
      <c r="K1370" s="180"/>
      <c r="L1370" s="180">
        <v>46021</v>
      </c>
      <c r="M1370" s="180"/>
      <c r="N1370" s="181">
        <v>0.81906259999999997</v>
      </c>
      <c r="O1370" s="181" t="s">
        <v>170</v>
      </c>
      <c r="P1370" s="83" t="s">
        <v>323</v>
      </c>
      <c r="Q1370" s="177" t="s">
        <v>324</v>
      </c>
      <c r="R1370" s="83"/>
    </row>
    <row r="1371" spans="1:18">
      <c r="A1371" s="83">
        <v>80813618</v>
      </c>
      <c r="B1371" s="186" t="s">
        <v>650</v>
      </c>
      <c r="C1371" s="186" t="s">
        <v>153</v>
      </c>
      <c r="D1371" s="83" t="s">
        <v>428</v>
      </c>
      <c r="E1371" s="83" t="s">
        <v>168</v>
      </c>
      <c r="F1371" s="180">
        <v>46034</v>
      </c>
      <c r="G1371" s="83">
        <v>90</v>
      </c>
      <c r="H1371" s="180">
        <v>46021</v>
      </c>
      <c r="I1371" s="180" t="s">
        <v>202</v>
      </c>
      <c r="J1371" s="83">
        <v>3518741092</v>
      </c>
      <c r="K1371" s="180"/>
      <c r="L1371" s="180">
        <v>46021</v>
      </c>
      <c r="M1371" s="180"/>
      <c r="N1371" s="181">
        <v>0.30587399999999998</v>
      </c>
      <c r="O1371" s="181" t="s">
        <v>170</v>
      </c>
      <c r="P1371" s="83" t="s">
        <v>323</v>
      </c>
      <c r="Q1371" s="177" t="s">
        <v>324</v>
      </c>
      <c r="R1371" s="83"/>
    </row>
    <row r="1372" spans="1:18">
      <c r="A1372" s="83">
        <v>80813618</v>
      </c>
      <c r="B1372" s="186" t="s">
        <v>650</v>
      </c>
      <c r="C1372" s="186" t="s">
        <v>154</v>
      </c>
      <c r="D1372" s="83" t="s">
        <v>428</v>
      </c>
      <c r="E1372" s="83" t="s">
        <v>168</v>
      </c>
      <c r="F1372" s="180">
        <v>46034</v>
      </c>
      <c r="G1372" s="83">
        <v>91</v>
      </c>
      <c r="H1372" s="180">
        <v>46021</v>
      </c>
      <c r="I1372" s="180" t="s">
        <v>202</v>
      </c>
      <c r="J1372" s="83">
        <v>3518741093</v>
      </c>
      <c r="K1372" s="180"/>
      <c r="L1372" s="180">
        <v>46021</v>
      </c>
      <c r="M1372" s="180"/>
      <c r="N1372" s="181">
        <v>0.30927260000000001</v>
      </c>
      <c r="O1372" s="181" t="s">
        <v>170</v>
      </c>
      <c r="P1372" s="83" t="s">
        <v>323</v>
      </c>
      <c r="Q1372" s="177" t="s">
        <v>324</v>
      </c>
      <c r="R1372" s="83"/>
    </row>
    <row r="1373" spans="1:18">
      <c r="A1373" s="83">
        <v>80813618</v>
      </c>
      <c r="B1373" s="186" t="s">
        <v>650</v>
      </c>
      <c r="C1373" s="186" t="s">
        <v>155</v>
      </c>
      <c r="D1373" s="83" t="s">
        <v>428</v>
      </c>
      <c r="E1373" s="83" t="s">
        <v>168</v>
      </c>
      <c r="F1373" s="180">
        <v>46034</v>
      </c>
      <c r="G1373" s="83">
        <v>438</v>
      </c>
      <c r="H1373" s="180">
        <v>46021</v>
      </c>
      <c r="I1373" s="180" t="s">
        <v>202</v>
      </c>
      <c r="J1373" s="83">
        <v>3518741094</v>
      </c>
      <c r="K1373" s="180"/>
      <c r="L1373" s="180">
        <v>46021</v>
      </c>
      <c r="M1373" s="180"/>
      <c r="N1373" s="181">
        <v>1.4885868</v>
      </c>
      <c r="O1373" s="181" t="s">
        <v>170</v>
      </c>
      <c r="P1373" s="83" t="s">
        <v>323</v>
      </c>
      <c r="Q1373" s="177" t="s">
        <v>324</v>
      </c>
      <c r="R1373" s="83"/>
    </row>
    <row r="1374" spans="1:18">
      <c r="A1374" s="83">
        <v>80813623</v>
      </c>
      <c r="B1374" s="186" t="s">
        <v>658</v>
      </c>
      <c r="C1374" s="186" t="s">
        <v>143</v>
      </c>
      <c r="D1374" s="83" t="s">
        <v>428</v>
      </c>
      <c r="E1374" s="83" t="s">
        <v>168</v>
      </c>
      <c r="F1374" s="180">
        <v>46034</v>
      </c>
      <c r="G1374" s="83">
        <v>275</v>
      </c>
      <c r="H1374" s="180">
        <v>46021</v>
      </c>
      <c r="I1374" s="180" t="s">
        <v>202</v>
      </c>
      <c r="J1374" s="83">
        <v>3518741095</v>
      </c>
      <c r="K1374" s="180"/>
      <c r="L1374" s="180">
        <v>46021</v>
      </c>
      <c r="M1374" s="180"/>
      <c r="N1374" s="181">
        <v>0.4813325</v>
      </c>
      <c r="O1374" s="181" t="s">
        <v>170</v>
      </c>
      <c r="P1374" s="83" t="s">
        <v>323</v>
      </c>
      <c r="Q1374" s="177" t="s">
        <v>324</v>
      </c>
      <c r="R1374" s="83"/>
    </row>
    <row r="1375" spans="1:18">
      <c r="A1375" s="83">
        <v>80813623</v>
      </c>
      <c r="B1375" s="186" t="s">
        <v>658</v>
      </c>
      <c r="C1375" s="186" t="s">
        <v>150</v>
      </c>
      <c r="D1375" s="83" t="s">
        <v>428</v>
      </c>
      <c r="E1375" s="83" t="s">
        <v>168</v>
      </c>
      <c r="F1375" s="180">
        <v>46034</v>
      </c>
      <c r="G1375" s="83">
        <v>657</v>
      </c>
      <c r="H1375" s="180">
        <v>46021</v>
      </c>
      <c r="I1375" s="180" t="s">
        <v>202</v>
      </c>
      <c r="J1375" s="83">
        <v>3518741096</v>
      </c>
      <c r="K1375" s="180"/>
      <c r="L1375" s="180">
        <v>46021</v>
      </c>
      <c r="M1375" s="180"/>
      <c r="N1375" s="181">
        <v>1.1499471000000001</v>
      </c>
      <c r="O1375" s="181" t="s">
        <v>170</v>
      </c>
      <c r="P1375" s="83" t="s">
        <v>323</v>
      </c>
      <c r="Q1375" s="177" t="s">
        <v>324</v>
      </c>
      <c r="R1375" s="83"/>
    </row>
    <row r="1376" spans="1:18">
      <c r="A1376" s="83">
        <v>80813623</v>
      </c>
      <c r="B1376" s="186" t="s">
        <v>658</v>
      </c>
      <c r="C1376" s="186" t="s">
        <v>151</v>
      </c>
      <c r="D1376" s="83" t="s">
        <v>428</v>
      </c>
      <c r="E1376" s="83" t="s">
        <v>168</v>
      </c>
      <c r="F1376" s="180">
        <v>46034</v>
      </c>
      <c r="G1376" s="83">
        <v>865</v>
      </c>
      <c r="H1376" s="180">
        <v>46021</v>
      </c>
      <c r="I1376" s="180" t="s">
        <v>202</v>
      </c>
      <c r="J1376" s="83">
        <v>3518741097</v>
      </c>
      <c r="K1376" s="180"/>
      <c r="L1376" s="180">
        <v>46021</v>
      </c>
      <c r="M1376" s="180"/>
      <c r="N1376" s="181">
        <v>1.5140095</v>
      </c>
      <c r="O1376" s="181" t="s">
        <v>170</v>
      </c>
      <c r="P1376" s="83" t="s">
        <v>323</v>
      </c>
      <c r="Q1376" s="177" t="s">
        <v>324</v>
      </c>
      <c r="R1376" s="83"/>
    </row>
    <row r="1377" spans="1:18">
      <c r="A1377" s="83">
        <v>80813623</v>
      </c>
      <c r="B1377" s="186" t="s">
        <v>658</v>
      </c>
      <c r="C1377" s="186" t="s">
        <v>152</v>
      </c>
      <c r="D1377" s="83" t="s">
        <v>428</v>
      </c>
      <c r="E1377" s="83" t="s">
        <v>168</v>
      </c>
      <c r="F1377" s="180">
        <v>46034</v>
      </c>
      <c r="G1377" s="83">
        <v>208</v>
      </c>
      <c r="H1377" s="180">
        <v>46021</v>
      </c>
      <c r="I1377" s="180" t="s">
        <v>202</v>
      </c>
      <c r="J1377" s="83">
        <v>3518741098</v>
      </c>
      <c r="K1377" s="180"/>
      <c r="L1377" s="180">
        <v>46021</v>
      </c>
      <c r="M1377" s="180"/>
      <c r="N1377" s="181">
        <v>0.36406240000000001</v>
      </c>
      <c r="O1377" s="181" t="s">
        <v>170</v>
      </c>
      <c r="P1377" s="83" t="s">
        <v>323</v>
      </c>
      <c r="Q1377" s="177" t="s">
        <v>324</v>
      </c>
      <c r="R1377" s="83"/>
    </row>
    <row r="1378" spans="1:18">
      <c r="A1378" s="83">
        <v>80813623</v>
      </c>
      <c r="B1378" s="186" t="s">
        <v>658</v>
      </c>
      <c r="C1378" s="186" t="s">
        <v>153</v>
      </c>
      <c r="D1378" s="83" t="s">
        <v>428</v>
      </c>
      <c r="E1378" s="83" t="s">
        <v>168</v>
      </c>
      <c r="F1378" s="180">
        <v>46034</v>
      </c>
      <c r="G1378" s="83">
        <v>111</v>
      </c>
      <c r="H1378" s="180">
        <v>46021</v>
      </c>
      <c r="I1378" s="180" t="s">
        <v>202</v>
      </c>
      <c r="J1378" s="83">
        <v>3518741099</v>
      </c>
      <c r="K1378" s="180"/>
      <c r="L1378" s="180">
        <v>46021</v>
      </c>
      <c r="M1378" s="180"/>
      <c r="N1378" s="181">
        <v>0.19428329999999999</v>
      </c>
      <c r="O1378" s="181" t="s">
        <v>170</v>
      </c>
      <c r="P1378" s="83" t="s">
        <v>323</v>
      </c>
      <c r="Q1378" s="177" t="s">
        <v>324</v>
      </c>
      <c r="R1378" s="83"/>
    </row>
    <row r="1379" spans="1:18">
      <c r="A1379" s="83">
        <v>80813623</v>
      </c>
      <c r="B1379" s="186" t="s">
        <v>658</v>
      </c>
      <c r="C1379" s="186" t="s">
        <v>154</v>
      </c>
      <c r="D1379" s="83" t="s">
        <v>428</v>
      </c>
      <c r="E1379" s="83" t="s">
        <v>168</v>
      </c>
      <c r="F1379" s="180">
        <v>46034</v>
      </c>
      <c r="G1379" s="83">
        <v>92</v>
      </c>
      <c r="H1379" s="180">
        <v>46021</v>
      </c>
      <c r="I1379" s="180" t="s">
        <v>202</v>
      </c>
      <c r="J1379" s="83">
        <v>3518741100</v>
      </c>
      <c r="K1379" s="180"/>
      <c r="L1379" s="180">
        <v>46021</v>
      </c>
      <c r="M1379" s="180"/>
      <c r="N1379" s="181">
        <v>0.16102759999999999</v>
      </c>
      <c r="O1379" s="181" t="s">
        <v>170</v>
      </c>
      <c r="P1379" s="83" t="s">
        <v>323</v>
      </c>
      <c r="Q1379" s="177" t="s">
        <v>324</v>
      </c>
      <c r="R1379" s="83"/>
    </row>
    <row r="1380" spans="1:18">
      <c r="A1380" s="83">
        <v>80813623</v>
      </c>
      <c r="B1380" s="186" t="s">
        <v>658</v>
      </c>
      <c r="C1380" s="186" t="s">
        <v>155</v>
      </c>
      <c r="D1380" s="83" t="s">
        <v>428</v>
      </c>
      <c r="E1380" s="83" t="s">
        <v>168</v>
      </c>
      <c r="F1380" s="180">
        <v>46034</v>
      </c>
      <c r="G1380" s="83">
        <v>182</v>
      </c>
      <c r="H1380" s="180">
        <v>46021</v>
      </c>
      <c r="I1380" s="180" t="s">
        <v>202</v>
      </c>
      <c r="J1380" s="83">
        <v>3518741101</v>
      </c>
      <c r="K1380" s="180"/>
      <c r="L1380" s="180">
        <v>46021</v>
      </c>
      <c r="M1380" s="180"/>
      <c r="N1380" s="181">
        <v>0.31855460000000002</v>
      </c>
      <c r="O1380" s="181" t="s">
        <v>170</v>
      </c>
      <c r="P1380" s="83" t="s">
        <v>323</v>
      </c>
      <c r="Q1380" s="177" t="s">
        <v>324</v>
      </c>
      <c r="R1380" s="83"/>
    </row>
    <row r="1381" spans="1:18">
      <c r="A1381" s="83">
        <v>80813626</v>
      </c>
      <c r="B1381" s="186" t="s">
        <v>666</v>
      </c>
      <c r="C1381" s="186" t="s">
        <v>143</v>
      </c>
      <c r="D1381" s="83" t="s">
        <v>428</v>
      </c>
      <c r="E1381" s="83" t="s">
        <v>168</v>
      </c>
      <c r="F1381" s="180">
        <v>46034</v>
      </c>
      <c r="G1381" s="83">
        <v>309</v>
      </c>
      <c r="H1381" s="180">
        <v>46021</v>
      </c>
      <c r="I1381" s="180" t="s">
        <v>202</v>
      </c>
      <c r="J1381" s="83">
        <v>3518741102</v>
      </c>
      <c r="K1381" s="180"/>
      <c r="L1381" s="180">
        <v>46021</v>
      </c>
      <c r="M1381" s="180"/>
      <c r="N1381" s="181">
        <v>1.0501674000000001</v>
      </c>
      <c r="O1381" s="181" t="s">
        <v>170</v>
      </c>
      <c r="P1381" s="83" t="s">
        <v>323</v>
      </c>
      <c r="Q1381" s="177" t="s">
        <v>324</v>
      </c>
      <c r="R1381" s="83"/>
    </row>
    <row r="1382" spans="1:18">
      <c r="A1382" s="83">
        <v>80813626</v>
      </c>
      <c r="B1382" s="186" t="s">
        <v>666</v>
      </c>
      <c r="C1382" s="186" t="s">
        <v>150</v>
      </c>
      <c r="D1382" s="83" t="s">
        <v>428</v>
      </c>
      <c r="E1382" s="83" t="s">
        <v>168</v>
      </c>
      <c r="F1382" s="180">
        <v>46034</v>
      </c>
      <c r="G1382" s="83">
        <v>860</v>
      </c>
      <c r="H1382" s="180">
        <v>46021</v>
      </c>
      <c r="I1382" s="180" t="s">
        <v>202</v>
      </c>
      <c r="J1382" s="83">
        <v>3518741103</v>
      </c>
      <c r="K1382" s="180"/>
      <c r="L1382" s="180">
        <v>46021</v>
      </c>
      <c r="M1382" s="180"/>
      <c r="N1382" s="181">
        <v>2.9227959999999999</v>
      </c>
      <c r="O1382" s="181" t="s">
        <v>170</v>
      </c>
      <c r="P1382" s="83" t="s">
        <v>323</v>
      </c>
      <c r="Q1382" s="177" t="s">
        <v>324</v>
      </c>
      <c r="R1382" s="83"/>
    </row>
    <row r="1383" spans="1:18">
      <c r="A1383" s="83">
        <v>80813626</v>
      </c>
      <c r="B1383" s="186" t="s">
        <v>666</v>
      </c>
      <c r="C1383" s="186" t="s">
        <v>151</v>
      </c>
      <c r="D1383" s="83" t="s">
        <v>428</v>
      </c>
      <c r="E1383" s="83" t="s">
        <v>168</v>
      </c>
      <c r="F1383" s="180">
        <v>46034</v>
      </c>
      <c r="G1383" s="83">
        <v>1606</v>
      </c>
      <c r="H1383" s="180">
        <v>46021</v>
      </c>
      <c r="I1383" s="180" t="s">
        <v>202</v>
      </c>
      <c r="J1383" s="83">
        <v>3518741104</v>
      </c>
      <c r="K1383" s="180"/>
      <c r="L1383" s="180">
        <v>46021</v>
      </c>
      <c r="M1383" s="180"/>
      <c r="N1383" s="181">
        <v>5.4581515999999999</v>
      </c>
      <c r="O1383" s="181" t="s">
        <v>170</v>
      </c>
      <c r="P1383" s="83" t="s">
        <v>323</v>
      </c>
      <c r="Q1383" s="177" t="s">
        <v>324</v>
      </c>
      <c r="R1383" s="83"/>
    </row>
    <row r="1384" spans="1:18">
      <c r="A1384" s="83">
        <v>80813626</v>
      </c>
      <c r="B1384" s="186" t="s">
        <v>666</v>
      </c>
      <c r="C1384" s="186" t="s">
        <v>152</v>
      </c>
      <c r="D1384" s="83" t="s">
        <v>428</v>
      </c>
      <c r="E1384" s="83" t="s">
        <v>168</v>
      </c>
      <c r="F1384" s="180">
        <v>46034</v>
      </c>
      <c r="G1384" s="83">
        <v>353</v>
      </c>
      <c r="H1384" s="180">
        <v>46021</v>
      </c>
      <c r="I1384" s="180" t="s">
        <v>202</v>
      </c>
      <c r="J1384" s="83">
        <v>3518741105</v>
      </c>
      <c r="K1384" s="180"/>
      <c r="L1384" s="180">
        <v>46021</v>
      </c>
      <c r="M1384" s="180"/>
      <c r="N1384" s="181">
        <v>1.1997058</v>
      </c>
      <c r="O1384" s="181" t="s">
        <v>170</v>
      </c>
      <c r="P1384" s="83" t="s">
        <v>323</v>
      </c>
      <c r="Q1384" s="177" t="s">
        <v>324</v>
      </c>
      <c r="R1384" s="83"/>
    </row>
    <row r="1385" spans="1:18">
      <c r="A1385" s="83">
        <v>80813626</v>
      </c>
      <c r="B1385" s="186" t="s">
        <v>666</v>
      </c>
      <c r="C1385" s="186" t="s">
        <v>153</v>
      </c>
      <c r="D1385" s="83" t="s">
        <v>428</v>
      </c>
      <c r="E1385" s="83" t="s">
        <v>168</v>
      </c>
      <c r="F1385" s="180">
        <v>46034</v>
      </c>
      <c r="G1385" s="83">
        <v>136</v>
      </c>
      <c r="H1385" s="180">
        <v>46021</v>
      </c>
      <c r="I1385" s="180" t="s">
        <v>202</v>
      </c>
      <c r="J1385" s="83">
        <v>3518741106</v>
      </c>
      <c r="K1385" s="180"/>
      <c r="L1385" s="180">
        <v>46021</v>
      </c>
      <c r="M1385" s="180"/>
      <c r="N1385" s="181">
        <v>0.4622096</v>
      </c>
      <c r="O1385" s="181" t="s">
        <v>170</v>
      </c>
      <c r="P1385" s="83" t="s">
        <v>323</v>
      </c>
      <c r="Q1385" s="177" t="s">
        <v>324</v>
      </c>
      <c r="R1385" s="83"/>
    </row>
    <row r="1386" spans="1:18">
      <c r="A1386" s="83">
        <v>80813626</v>
      </c>
      <c r="B1386" s="186" t="s">
        <v>666</v>
      </c>
      <c r="C1386" s="186" t="s">
        <v>154</v>
      </c>
      <c r="D1386" s="83" t="s">
        <v>428</v>
      </c>
      <c r="E1386" s="83" t="s">
        <v>168</v>
      </c>
      <c r="F1386" s="180">
        <v>46034</v>
      </c>
      <c r="G1386" s="83">
        <v>99</v>
      </c>
      <c r="H1386" s="180">
        <v>46021</v>
      </c>
      <c r="I1386" s="180" t="s">
        <v>202</v>
      </c>
      <c r="J1386" s="83">
        <v>3518741107</v>
      </c>
      <c r="K1386" s="180"/>
      <c r="L1386" s="180">
        <v>46021</v>
      </c>
      <c r="M1386" s="180"/>
      <c r="N1386" s="181">
        <v>0.33646140000000002</v>
      </c>
      <c r="O1386" s="181" t="s">
        <v>170</v>
      </c>
      <c r="P1386" s="83" t="s">
        <v>323</v>
      </c>
      <c r="Q1386" s="177" t="s">
        <v>324</v>
      </c>
      <c r="R1386" s="83"/>
    </row>
    <row r="1387" spans="1:18">
      <c r="A1387" s="83">
        <v>80813626</v>
      </c>
      <c r="B1387" s="186" t="s">
        <v>666</v>
      </c>
      <c r="C1387" s="186" t="s">
        <v>155</v>
      </c>
      <c r="D1387" s="83" t="s">
        <v>428</v>
      </c>
      <c r="E1387" s="83" t="s">
        <v>168</v>
      </c>
      <c r="F1387" s="180">
        <v>46034</v>
      </c>
      <c r="G1387" s="83">
        <v>737</v>
      </c>
      <c r="H1387" s="180">
        <v>46021</v>
      </c>
      <c r="I1387" s="180" t="s">
        <v>202</v>
      </c>
      <c r="J1387" s="83">
        <v>3518741108</v>
      </c>
      <c r="K1387" s="180"/>
      <c r="L1387" s="180">
        <v>46021</v>
      </c>
      <c r="M1387" s="180"/>
      <c r="N1387" s="181">
        <v>2.5047682</v>
      </c>
      <c r="O1387" s="181" t="s">
        <v>170</v>
      </c>
      <c r="P1387" s="83" t="s">
        <v>323</v>
      </c>
      <c r="Q1387" s="177" t="s">
        <v>324</v>
      </c>
      <c r="R1387" s="83"/>
    </row>
    <row r="1388" spans="1:18">
      <c r="A1388" s="83">
        <v>80813628</v>
      </c>
      <c r="B1388" s="186" t="s">
        <v>674</v>
      </c>
      <c r="C1388" s="186" t="s">
        <v>143</v>
      </c>
      <c r="D1388" s="83" t="s">
        <v>428</v>
      </c>
      <c r="E1388" s="83" t="s">
        <v>168</v>
      </c>
      <c r="F1388" s="180">
        <v>46034</v>
      </c>
      <c r="G1388" s="83">
        <v>18</v>
      </c>
      <c r="H1388" s="180">
        <v>46021</v>
      </c>
      <c r="I1388" s="180" t="s">
        <v>202</v>
      </c>
      <c r="J1388" s="83">
        <v>3518741109</v>
      </c>
      <c r="K1388" s="180"/>
      <c r="L1388" s="180">
        <v>46021</v>
      </c>
      <c r="M1388" s="180"/>
      <c r="N1388" s="181">
        <v>3.1505400000000003E-2</v>
      </c>
      <c r="O1388" s="181" t="s">
        <v>170</v>
      </c>
      <c r="P1388" s="83" t="s">
        <v>323</v>
      </c>
      <c r="Q1388" s="177" t="s">
        <v>324</v>
      </c>
      <c r="R1388" s="83"/>
    </row>
    <row r="1389" spans="1:18">
      <c r="A1389" s="83">
        <v>80813628</v>
      </c>
      <c r="B1389" s="186" t="s">
        <v>674</v>
      </c>
      <c r="C1389" s="186" t="s">
        <v>150</v>
      </c>
      <c r="D1389" s="83" t="s">
        <v>428</v>
      </c>
      <c r="E1389" s="83" t="s">
        <v>168</v>
      </c>
      <c r="F1389" s="180">
        <v>46034</v>
      </c>
      <c r="G1389" s="83">
        <v>53</v>
      </c>
      <c r="H1389" s="180">
        <v>46021</v>
      </c>
      <c r="I1389" s="180" t="s">
        <v>202</v>
      </c>
      <c r="J1389" s="83">
        <v>3518741110</v>
      </c>
      <c r="K1389" s="180"/>
      <c r="L1389" s="180">
        <v>46021</v>
      </c>
      <c r="M1389" s="180"/>
      <c r="N1389" s="181">
        <v>9.2765899999999998E-2</v>
      </c>
      <c r="O1389" s="181" t="s">
        <v>170</v>
      </c>
      <c r="P1389" s="83" t="s">
        <v>323</v>
      </c>
      <c r="Q1389" s="177" t="s">
        <v>324</v>
      </c>
      <c r="R1389" s="83"/>
    </row>
    <row r="1390" spans="1:18">
      <c r="A1390" s="83">
        <v>80813628</v>
      </c>
      <c r="B1390" s="186" t="s">
        <v>674</v>
      </c>
      <c r="C1390" s="186" t="s">
        <v>151</v>
      </c>
      <c r="D1390" s="83" t="s">
        <v>428</v>
      </c>
      <c r="E1390" s="83" t="s">
        <v>168</v>
      </c>
      <c r="F1390" s="180">
        <v>46034</v>
      </c>
      <c r="G1390" s="83">
        <v>90</v>
      </c>
      <c r="H1390" s="180">
        <v>46021</v>
      </c>
      <c r="I1390" s="180" t="s">
        <v>202</v>
      </c>
      <c r="J1390" s="83">
        <v>3518741111</v>
      </c>
      <c r="K1390" s="180"/>
      <c r="L1390" s="180">
        <v>46021</v>
      </c>
      <c r="M1390" s="180"/>
      <c r="N1390" s="181">
        <v>0.157527</v>
      </c>
      <c r="O1390" s="181" t="s">
        <v>170</v>
      </c>
      <c r="P1390" s="83" t="s">
        <v>323</v>
      </c>
      <c r="Q1390" s="177" t="s">
        <v>324</v>
      </c>
      <c r="R1390" s="83"/>
    </row>
    <row r="1391" spans="1:18">
      <c r="A1391" s="83">
        <v>80813628</v>
      </c>
      <c r="B1391" s="186" t="s">
        <v>674</v>
      </c>
      <c r="C1391" s="186" t="s">
        <v>152</v>
      </c>
      <c r="D1391" s="83" t="s">
        <v>428</v>
      </c>
      <c r="E1391" s="83" t="s">
        <v>168</v>
      </c>
      <c r="F1391" s="180">
        <v>46034</v>
      </c>
      <c r="G1391" s="83">
        <v>20</v>
      </c>
      <c r="H1391" s="180">
        <v>46021</v>
      </c>
      <c r="I1391" s="180" t="s">
        <v>202</v>
      </c>
      <c r="J1391" s="83">
        <v>3518741112</v>
      </c>
      <c r="K1391" s="180"/>
      <c r="L1391" s="180">
        <v>46021</v>
      </c>
      <c r="M1391" s="180"/>
      <c r="N1391" s="181">
        <v>3.5006000000000002E-2</v>
      </c>
      <c r="O1391" s="181" t="s">
        <v>170</v>
      </c>
      <c r="P1391" s="83" t="s">
        <v>323</v>
      </c>
      <c r="Q1391" s="177" t="s">
        <v>324</v>
      </c>
      <c r="R1391" s="83"/>
    </row>
    <row r="1392" spans="1:18">
      <c r="A1392" s="83">
        <v>80813628</v>
      </c>
      <c r="B1392" s="186" t="s">
        <v>674</v>
      </c>
      <c r="C1392" s="186" t="s">
        <v>153</v>
      </c>
      <c r="D1392" s="83" t="s">
        <v>428</v>
      </c>
      <c r="E1392" s="83" t="s">
        <v>168</v>
      </c>
      <c r="F1392" s="180">
        <v>46034</v>
      </c>
      <c r="G1392" s="83">
        <v>13</v>
      </c>
      <c r="H1392" s="180">
        <v>46021</v>
      </c>
      <c r="I1392" s="180" t="s">
        <v>202</v>
      </c>
      <c r="J1392" s="83">
        <v>3518741113</v>
      </c>
      <c r="K1392" s="180"/>
      <c r="L1392" s="180">
        <v>46021</v>
      </c>
      <c r="M1392" s="180"/>
      <c r="N1392" s="181">
        <v>2.2753900000000001E-2</v>
      </c>
      <c r="O1392" s="181" t="s">
        <v>170</v>
      </c>
      <c r="P1392" s="83" t="s">
        <v>323</v>
      </c>
      <c r="Q1392" s="177" t="s">
        <v>324</v>
      </c>
      <c r="R1392" s="83"/>
    </row>
    <row r="1393" spans="1:18">
      <c r="A1393" s="83">
        <v>80813628</v>
      </c>
      <c r="B1393" s="186" t="s">
        <v>674</v>
      </c>
      <c r="C1393" s="186" t="s">
        <v>154</v>
      </c>
      <c r="D1393" s="83" t="s">
        <v>428</v>
      </c>
      <c r="E1393" s="83" t="s">
        <v>168</v>
      </c>
      <c r="F1393" s="180">
        <v>46034</v>
      </c>
      <c r="G1393" s="83">
        <v>14</v>
      </c>
      <c r="H1393" s="180">
        <v>46021</v>
      </c>
      <c r="I1393" s="180" t="s">
        <v>202</v>
      </c>
      <c r="J1393" s="83">
        <v>3518741114</v>
      </c>
      <c r="K1393" s="180"/>
      <c r="L1393" s="180">
        <v>46021</v>
      </c>
      <c r="M1393" s="180"/>
      <c r="N1393" s="181">
        <v>2.45042E-2</v>
      </c>
      <c r="O1393" s="181" t="s">
        <v>170</v>
      </c>
      <c r="P1393" s="83" t="s">
        <v>323</v>
      </c>
      <c r="Q1393" s="177" t="s">
        <v>324</v>
      </c>
      <c r="R1393" s="83"/>
    </row>
    <row r="1394" spans="1:18">
      <c r="A1394" s="83">
        <v>80813628</v>
      </c>
      <c r="B1394" s="186" t="s">
        <v>674</v>
      </c>
      <c r="C1394" s="186" t="s">
        <v>155</v>
      </c>
      <c r="D1394" s="83" t="s">
        <v>428</v>
      </c>
      <c r="E1394" s="83" t="s">
        <v>168</v>
      </c>
      <c r="F1394" s="180">
        <v>46034</v>
      </c>
      <c r="G1394" s="83">
        <v>18</v>
      </c>
      <c r="H1394" s="180">
        <v>46021</v>
      </c>
      <c r="I1394" s="180" t="s">
        <v>202</v>
      </c>
      <c r="J1394" s="83">
        <v>3518741115</v>
      </c>
      <c r="K1394" s="180"/>
      <c r="L1394" s="180">
        <v>46021</v>
      </c>
      <c r="M1394" s="180"/>
      <c r="N1394" s="181">
        <v>3.1505400000000003E-2</v>
      </c>
      <c r="O1394" s="181" t="s">
        <v>170</v>
      </c>
      <c r="P1394" s="83" t="s">
        <v>323</v>
      </c>
      <c r="Q1394" s="177" t="s">
        <v>324</v>
      </c>
      <c r="R1394" s="83"/>
    </row>
    <row r="1395" spans="1:18">
      <c r="A1395" s="83">
        <v>80813635</v>
      </c>
      <c r="B1395" s="186" t="s">
        <v>682</v>
      </c>
      <c r="C1395" s="186" t="s">
        <v>143</v>
      </c>
      <c r="D1395" s="83" t="s">
        <v>428</v>
      </c>
      <c r="E1395" s="83" t="s">
        <v>168</v>
      </c>
      <c r="F1395" s="180">
        <v>46034</v>
      </c>
      <c r="G1395" s="83">
        <v>244</v>
      </c>
      <c r="H1395" s="180">
        <v>46021</v>
      </c>
      <c r="I1395" s="180" t="s">
        <v>202</v>
      </c>
      <c r="J1395" s="83">
        <v>3518741116</v>
      </c>
      <c r="K1395" s="180"/>
      <c r="L1395" s="180">
        <v>46021</v>
      </c>
      <c r="M1395" s="180"/>
      <c r="N1395" s="181">
        <v>0.82925839999999995</v>
      </c>
      <c r="O1395" s="181" t="s">
        <v>170</v>
      </c>
      <c r="P1395" s="83" t="s">
        <v>323</v>
      </c>
      <c r="Q1395" s="177" t="s">
        <v>324</v>
      </c>
      <c r="R1395" s="83"/>
    </row>
    <row r="1396" spans="1:18">
      <c r="A1396" s="83">
        <v>80813635</v>
      </c>
      <c r="B1396" s="186" t="s">
        <v>682</v>
      </c>
      <c r="C1396" s="186" t="s">
        <v>150</v>
      </c>
      <c r="D1396" s="83" t="s">
        <v>428</v>
      </c>
      <c r="E1396" s="83" t="s">
        <v>168</v>
      </c>
      <c r="F1396" s="180">
        <v>46034</v>
      </c>
      <c r="G1396" s="83">
        <v>1364</v>
      </c>
      <c r="H1396" s="180">
        <v>46021</v>
      </c>
      <c r="I1396" s="180" t="s">
        <v>202</v>
      </c>
      <c r="J1396" s="83">
        <v>3518741117</v>
      </c>
      <c r="K1396" s="180"/>
      <c r="L1396" s="180">
        <v>46021</v>
      </c>
      <c r="M1396" s="180"/>
      <c r="N1396" s="181">
        <v>4.6356903999999997</v>
      </c>
      <c r="O1396" s="181" t="s">
        <v>170</v>
      </c>
      <c r="P1396" s="83" t="s">
        <v>323</v>
      </c>
      <c r="Q1396" s="177" t="s">
        <v>324</v>
      </c>
      <c r="R1396" s="83"/>
    </row>
    <row r="1397" spans="1:18">
      <c r="A1397" s="83">
        <v>80813635</v>
      </c>
      <c r="B1397" s="186" t="s">
        <v>682</v>
      </c>
      <c r="C1397" s="186" t="s">
        <v>151</v>
      </c>
      <c r="D1397" s="83" t="s">
        <v>428</v>
      </c>
      <c r="E1397" s="83" t="s">
        <v>168</v>
      </c>
      <c r="F1397" s="180">
        <v>46034</v>
      </c>
      <c r="G1397" s="83">
        <v>2925</v>
      </c>
      <c r="H1397" s="180">
        <v>46021</v>
      </c>
      <c r="I1397" s="180" t="s">
        <v>202</v>
      </c>
      <c r="J1397" s="83">
        <v>3518741118</v>
      </c>
      <c r="K1397" s="180"/>
      <c r="L1397" s="180">
        <v>46021</v>
      </c>
      <c r="M1397" s="180"/>
      <c r="N1397" s="181">
        <v>9.9409050000000008</v>
      </c>
      <c r="O1397" s="181" t="s">
        <v>170</v>
      </c>
      <c r="P1397" s="83" t="s">
        <v>323</v>
      </c>
      <c r="Q1397" s="177" t="s">
        <v>324</v>
      </c>
      <c r="R1397" s="83"/>
    </row>
    <row r="1398" spans="1:18">
      <c r="A1398" s="83">
        <v>80813635</v>
      </c>
      <c r="B1398" s="186" t="s">
        <v>682</v>
      </c>
      <c r="C1398" s="186" t="s">
        <v>152</v>
      </c>
      <c r="D1398" s="83" t="s">
        <v>428</v>
      </c>
      <c r="E1398" s="83" t="s">
        <v>168</v>
      </c>
      <c r="F1398" s="180">
        <v>46034</v>
      </c>
      <c r="G1398" s="83">
        <v>311</v>
      </c>
      <c r="H1398" s="180">
        <v>46021</v>
      </c>
      <c r="I1398" s="180" t="s">
        <v>202</v>
      </c>
      <c r="J1398" s="83">
        <v>3518741119</v>
      </c>
      <c r="K1398" s="180"/>
      <c r="L1398" s="180">
        <v>46021</v>
      </c>
      <c r="M1398" s="180"/>
      <c r="N1398" s="181">
        <v>1.0569645999999999</v>
      </c>
      <c r="O1398" s="181" t="s">
        <v>170</v>
      </c>
      <c r="P1398" s="83" t="s">
        <v>323</v>
      </c>
      <c r="Q1398" s="177" t="s">
        <v>324</v>
      </c>
      <c r="R1398" s="83"/>
    </row>
    <row r="1399" spans="1:18">
      <c r="A1399" s="83">
        <v>80813635</v>
      </c>
      <c r="B1399" s="186" t="s">
        <v>682</v>
      </c>
      <c r="C1399" s="186" t="s">
        <v>153</v>
      </c>
      <c r="D1399" s="83" t="s">
        <v>428</v>
      </c>
      <c r="E1399" s="83" t="s">
        <v>168</v>
      </c>
      <c r="F1399" s="180">
        <v>46034</v>
      </c>
      <c r="G1399" s="83">
        <v>137</v>
      </c>
      <c r="H1399" s="180">
        <v>46021</v>
      </c>
      <c r="I1399" s="180" t="s">
        <v>202</v>
      </c>
      <c r="J1399" s="83">
        <v>3518741120</v>
      </c>
      <c r="K1399" s="180"/>
      <c r="L1399" s="180">
        <v>46021</v>
      </c>
      <c r="M1399" s="180"/>
      <c r="N1399" s="181">
        <v>0.46560820000000003</v>
      </c>
      <c r="O1399" s="181" t="s">
        <v>170</v>
      </c>
      <c r="P1399" s="83" t="s">
        <v>323</v>
      </c>
      <c r="Q1399" s="177" t="s">
        <v>324</v>
      </c>
      <c r="R1399" s="83"/>
    </row>
    <row r="1400" spans="1:18">
      <c r="A1400" s="83">
        <v>80813635</v>
      </c>
      <c r="B1400" s="186" t="s">
        <v>682</v>
      </c>
      <c r="C1400" s="186" t="s">
        <v>154</v>
      </c>
      <c r="D1400" s="83" t="s">
        <v>428</v>
      </c>
      <c r="E1400" s="83" t="s">
        <v>168</v>
      </c>
      <c r="F1400" s="180">
        <v>46034</v>
      </c>
      <c r="G1400" s="83">
        <v>213</v>
      </c>
      <c r="H1400" s="180">
        <v>46021</v>
      </c>
      <c r="I1400" s="180" t="s">
        <v>202</v>
      </c>
      <c r="J1400" s="83">
        <v>3518741121</v>
      </c>
      <c r="K1400" s="180"/>
      <c r="L1400" s="180">
        <v>46021</v>
      </c>
      <c r="M1400" s="180"/>
      <c r="N1400" s="181">
        <v>0.72390180000000004</v>
      </c>
      <c r="O1400" s="181" t="s">
        <v>170</v>
      </c>
      <c r="P1400" s="83" t="s">
        <v>323</v>
      </c>
      <c r="Q1400" s="177" t="s">
        <v>324</v>
      </c>
      <c r="R1400" s="83"/>
    </row>
    <row r="1401" spans="1:18">
      <c r="A1401" s="83">
        <v>80813635</v>
      </c>
      <c r="B1401" s="186" t="s">
        <v>682</v>
      </c>
      <c r="C1401" s="186" t="s">
        <v>155</v>
      </c>
      <c r="D1401" s="83" t="s">
        <v>428</v>
      </c>
      <c r="E1401" s="83" t="s">
        <v>168</v>
      </c>
      <c r="F1401" s="180">
        <v>46034</v>
      </c>
      <c r="G1401" s="83">
        <v>917</v>
      </c>
      <c r="H1401" s="180">
        <v>46021</v>
      </c>
      <c r="I1401" s="180" t="s">
        <v>202</v>
      </c>
      <c r="J1401" s="83">
        <v>3518741122</v>
      </c>
      <c r="K1401" s="180"/>
      <c r="L1401" s="180">
        <v>46021</v>
      </c>
      <c r="M1401" s="180"/>
      <c r="N1401" s="181">
        <v>3.1165162</v>
      </c>
      <c r="O1401" s="181" t="s">
        <v>170</v>
      </c>
      <c r="P1401" s="83" t="s">
        <v>323</v>
      </c>
      <c r="Q1401" s="177" t="s">
        <v>324</v>
      </c>
      <c r="R1401" s="83"/>
    </row>
    <row r="1402" spans="1:18">
      <c r="A1402" s="83">
        <v>80813640</v>
      </c>
      <c r="B1402" s="186" t="s">
        <v>690</v>
      </c>
      <c r="C1402" s="186" t="s">
        <v>143</v>
      </c>
      <c r="D1402" s="83" t="s">
        <v>428</v>
      </c>
      <c r="E1402" s="83" t="s">
        <v>168</v>
      </c>
      <c r="F1402" s="180">
        <v>46034</v>
      </c>
      <c r="G1402" s="83">
        <v>234</v>
      </c>
      <c r="H1402" s="180">
        <v>46021</v>
      </c>
      <c r="I1402" s="180" t="s">
        <v>202</v>
      </c>
      <c r="J1402" s="83">
        <v>3518741123</v>
      </c>
      <c r="K1402" s="180"/>
      <c r="L1402" s="180">
        <v>46021</v>
      </c>
      <c r="M1402" s="180"/>
      <c r="N1402" s="181">
        <v>0.4095702</v>
      </c>
      <c r="O1402" s="181" t="s">
        <v>170</v>
      </c>
      <c r="P1402" s="83" t="s">
        <v>323</v>
      </c>
      <c r="Q1402" s="177" t="s">
        <v>324</v>
      </c>
      <c r="R1402" s="83"/>
    </row>
    <row r="1403" spans="1:18">
      <c r="A1403" s="83">
        <v>80813640</v>
      </c>
      <c r="B1403" s="186" t="s">
        <v>690</v>
      </c>
      <c r="C1403" s="186" t="s">
        <v>150</v>
      </c>
      <c r="D1403" s="83" t="s">
        <v>428</v>
      </c>
      <c r="E1403" s="83" t="s">
        <v>168</v>
      </c>
      <c r="F1403" s="180">
        <v>46034</v>
      </c>
      <c r="G1403" s="83">
        <v>541</v>
      </c>
      <c r="H1403" s="180">
        <v>46021</v>
      </c>
      <c r="I1403" s="180" t="s">
        <v>202</v>
      </c>
      <c r="J1403" s="83">
        <v>3518741124</v>
      </c>
      <c r="K1403" s="180"/>
      <c r="L1403" s="180">
        <v>46021</v>
      </c>
      <c r="M1403" s="180"/>
      <c r="N1403" s="181">
        <v>0.94691230000000004</v>
      </c>
      <c r="O1403" s="181" t="s">
        <v>170</v>
      </c>
      <c r="P1403" s="83" t="s">
        <v>323</v>
      </c>
      <c r="Q1403" s="177" t="s">
        <v>324</v>
      </c>
      <c r="R1403" s="83"/>
    </row>
    <row r="1404" spans="1:18">
      <c r="A1404" s="83">
        <v>80813640</v>
      </c>
      <c r="B1404" s="186" t="s">
        <v>690</v>
      </c>
      <c r="C1404" s="186" t="s">
        <v>151</v>
      </c>
      <c r="D1404" s="83" t="s">
        <v>428</v>
      </c>
      <c r="E1404" s="83" t="s">
        <v>168</v>
      </c>
      <c r="F1404" s="180">
        <v>46034</v>
      </c>
      <c r="G1404" s="83">
        <v>733</v>
      </c>
      <c r="H1404" s="180">
        <v>46021</v>
      </c>
      <c r="I1404" s="180" t="s">
        <v>202</v>
      </c>
      <c r="J1404" s="83">
        <v>3518741125</v>
      </c>
      <c r="K1404" s="180"/>
      <c r="L1404" s="180">
        <v>46021</v>
      </c>
      <c r="M1404" s="180"/>
      <c r="N1404" s="181">
        <v>1.2829699000000001</v>
      </c>
      <c r="O1404" s="181" t="s">
        <v>170</v>
      </c>
      <c r="P1404" s="83" t="s">
        <v>323</v>
      </c>
      <c r="Q1404" s="177" t="s">
        <v>324</v>
      </c>
      <c r="R1404" s="83"/>
    </row>
    <row r="1405" spans="1:18">
      <c r="A1405" s="83">
        <v>80813640</v>
      </c>
      <c r="B1405" s="186" t="s">
        <v>690</v>
      </c>
      <c r="C1405" s="186" t="s">
        <v>152</v>
      </c>
      <c r="D1405" s="83" t="s">
        <v>428</v>
      </c>
      <c r="E1405" s="83" t="s">
        <v>168</v>
      </c>
      <c r="F1405" s="180">
        <v>46034</v>
      </c>
      <c r="G1405" s="83">
        <v>170</v>
      </c>
      <c r="H1405" s="180">
        <v>46021</v>
      </c>
      <c r="I1405" s="180" t="s">
        <v>202</v>
      </c>
      <c r="J1405" s="83">
        <v>3518741126</v>
      </c>
      <c r="K1405" s="180"/>
      <c r="L1405" s="180">
        <v>46021</v>
      </c>
      <c r="M1405" s="180"/>
      <c r="N1405" s="181">
        <v>0.29755100000000001</v>
      </c>
      <c r="O1405" s="181" t="s">
        <v>170</v>
      </c>
      <c r="P1405" s="83" t="s">
        <v>323</v>
      </c>
      <c r="Q1405" s="177" t="s">
        <v>324</v>
      </c>
      <c r="R1405" s="83"/>
    </row>
    <row r="1406" spans="1:18">
      <c r="A1406" s="83">
        <v>80813640</v>
      </c>
      <c r="B1406" s="186" t="s">
        <v>690</v>
      </c>
      <c r="C1406" s="186" t="s">
        <v>153</v>
      </c>
      <c r="D1406" s="83" t="s">
        <v>428</v>
      </c>
      <c r="E1406" s="83" t="s">
        <v>168</v>
      </c>
      <c r="F1406" s="180">
        <v>46034</v>
      </c>
      <c r="G1406" s="83">
        <v>79</v>
      </c>
      <c r="H1406" s="180">
        <v>46021</v>
      </c>
      <c r="I1406" s="180" t="s">
        <v>202</v>
      </c>
      <c r="J1406" s="83">
        <v>3518741127</v>
      </c>
      <c r="K1406" s="180"/>
      <c r="L1406" s="180">
        <v>46021</v>
      </c>
      <c r="M1406" s="180"/>
      <c r="N1406" s="181">
        <v>0.1382737</v>
      </c>
      <c r="O1406" s="181" t="s">
        <v>170</v>
      </c>
      <c r="P1406" s="83" t="s">
        <v>323</v>
      </c>
      <c r="Q1406" s="177" t="s">
        <v>324</v>
      </c>
      <c r="R1406" s="83"/>
    </row>
    <row r="1407" spans="1:18">
      <c r="A1407" s="83">
        <v>80813640</v>
      </c>
      <c r="B1407" s="186" t="s">
        <v>690</v>
      </c>
      <c r="C1407" s="186" t="s">
        <v>154</v>
      </c>
      <c r="D1407" s="83" t="s">
        <v>428</v>
      </c>
      <c r="E1407" s="83" t="s">
        <v>168</v>
      </c>
      <c r="F1407" s="180">
        <v>46034</v>
      </c>
      <c r="G1407" s="83">
        <v>75</v>
      </c>
      <c r="H1407" s="180">
        <v>46021</v>
      </c>
      <c r="I1407" s="180" t="s">
        <v>202</v>
      </c>
      <c r="J1407" s="83">
        <v>3518741128</v>
      </c>
      <c r="K1407" s="180"/>
      <c r="L1407" s="180">
        <v>46021</v>
      </c>
      <c r="M1407" s="180"/>
      <c r="N1407" s="181">
        <v>0.13127249999999999</v>
      </c>
      <c r="O1407" s="181" t="s">
        <v>170</v>
      </c>
      <c r="P1407" s="83" t="s">
        <v>323</v>
      </c>
      <c r="Q1407" s="177" t="s">
        <v>324</v>
      </c>
      <c r="R1407" s="83"/>
    </row>
    <row r="1408" spans="1:18">
      <c r="A1408" s="83">
        <v>80813640</v>
      </c>
      <c r="B1408" s="186" t="s">
        <v>690</v>
      </c>
      <c r="C1408" s="186" t="s">
        <v>155</v>
      </c>
      <c r="D1408" s="83" t="s">
        <v>428</v>
      </c>
      <c r="E1408" s="83" t="s">
        <v>168</v>
      </c>
      <c r="F1408" s="180">
        <v>46034</v>
      </c>
      <c r="G1408" s="83">
        <v>149</v>
      </c>
      <c r="H1408" s="180">
        <v>46021</v>
      </c>
      <c r="I1408" s="180" t="s">
        <v>202</v>
      </c>
      <c r="J1408" s="83">
        <v>3518741129</v>
      </c>
      <c r="K1408" s="180"/>
      <c r="L1408" s="180">
        <v>46021</v>
      </c>
      <c r="M1408" s="180"/>
      <c r="N1408" s="181">
        <v>0.26079469999999999</v>
      </c>
      <c r="O1408" s="181" t="s">
        <v>170</v>
      </c>
      <c r="P1408" s="83" t="s">
        <v>323</v>
      </c>
      <c r="Q1408" s="177" t="s">
        <v>324</v>
      </c>
      <c r="R1408" s="83"/>
    </row>
    <row r="1409" spans="1:18">
      <c r="A1409" s="83">
        <v>80813644</v>
      </c>
      <c r="B1409" s="186" t="s">
        <v>698</v>
      </c>
      <c r="C1409" s="186" t="s">
        <v>143</v>
      </c>
      <c r="D1409" s="83" t="s">
        <v>428</v>
      </c>
      <c r="E1409" s="83" t="s">
        <v>168</v>
      </c>
      <c r="F1409" s="180">
        <v>46034</v>
      </c>
      <c r="G1409" s="83">
        <v>10</v>
      </c>
      <c r="H1409" s="180">
        <v>46021</v>
      </c>
      <c r="I1409" s="180" t="s">
        <v>202</v>
      </c>
      <c r="J1409" s="83">
        <v>3518741130</v>
      </c>
      <c r="K1409" s="180"/>
      <c r="L1409" s="180">
        <v>46021</v>
      </c>
      <c r="M1409" s="180"/>
      <c r="N1409" s="181">
        <v>3.3986000000000002E-2</v>
      </c>
      <c r="O1409" s="181" t="s">
        <v>170</v>
      </c>
      <c r="P1409" s="83" t="s">
        <v>323</v>
      </c>
      <c r="Q1409" s="177" t="s">
        <v>324</v>
      </c>
      <c r="R1409" s="83"/>
    </row>
    <row r="1410" spans="1:18">
      <c r="A1410" s="83">
        <v>80813644</v>
      </c>
      <c r="B1410" s="186" t="s">
        <v>698</v>
      </c>
      <c r="C1410" s="186" t="s">
        <v>150</v>
      </c>
      <c r="D1410" s="83" t="s">
        <v>428</v>
      </c>
      <c r="E1410" s="83" t="s">
        <v>168</v>
      </c>
      <c r="F1410" s="180">
        <v>46034</v>
      </c>
      <c r="G1410" s="83">
        <v>106</v>
      </c>
      <c r="H1410" s="180">
        <v>46021</v>
      </c>
      <c r="I1410" s="180" t="s">
        <v>202</v>
      </c>
      <c r="J1410" s="83">
        <v>3518741131</v>
      </c>
      <c r="K1410" s="180"/>
      <c r="L1410" s="180">
        <v>46021</v>
      </c>
      <c r="M1410" s="180"/>
      <c r="N1410" s="181">
        <v>0.36025160000000001</v>
      </c>
      <c r="O1410" s="181" t="s">
        <v>170</v>
      </c>
      <c r="P1410" s="83" t="s">
        <v>323</v>
      </c>
      <c r="Q1410" s="177" t="s">
        <v>324</v>
      </c>
      <c r="R1410" s="83"/>
    </row>
    <row r="1411" spans="1:18">
      <c r="A1411" s="83">
        <v>80813644</v>
      </c>
      <c r="B1411" s="186" t="s">
        <v>698</v>
      </c>
      <c r="C1411" s="186" t="s">
        <v>151</v>
      </c>
      <c r="D1411" s="83" t="s">
        <v>428</v>
      </c>
      <c r="E1411" s="83" t="s">
        <v>168</v>
      </c>
      <c r="F1411" s="180">
        <v>46034</v>
      </c>
      <c r="G1411" s="83">
        <v>177</v>
      </c>
      <c r="H1411" s="180">
        <v>46021</v>
      </c>
      <c r="I1411" s="180" t="s">
        <v>202</v>
      </c>
      <c r="J1411" s="83">
        <v>3518741132</v>
      </c>
      <c r="K1411" s="180"/>
      <c r="L1411" s="180">
        <v>46021</v>
      </c>
      <c r="M1411" s="180"/>
      <c r="N1411" s="181">
        <v>0.60155219999999998</v>
      </c>
      <c r="O1411" s="181" t="s">
        <v>170</v>
      </c>
      <c r="P1411" s="83" t="s">
        <v>323</v>
      </c>
      <c r="Q1411" s="177" t="s">
        <v>324</v>
      </c>
      <c r="R1411" s="83"/>
    </row>
    <row r="1412" spans="1:18">
      <c r="A1412" s="83">
        <v>80813644</v>
      </c>
      <c r="B1412" s="186" t="s">
        <v>698</v>
      </c>
      <c r="C1412" s="186" t="s">
        <v>152</v>
      </c>
      <c r="D1412" s="83" t="s">
        <v>428</v>
      </c>
      <c r="E1412" s="83" t="s">
        <v>168</v>
      </c>
      <c r="F1412" s="180">
        <v>46034</v>
      </c>
      <c r="G1412" s="83">
        <v>26</v>
      </c>
      <c r="H1412" s="180">
        <v>46021</v>
      </c>
      <c r="I1412" s="180" t="s">
        <v>202</v>
      </c>
      <c r="J1412" s="83">
        <v>3518741133</v>
      </c>
      <c r="K1412" s="180"/>
      <c r="L1412" s="180">
        <v>46021</v>
      </c>
      <c r="M1412" s="180"/>
      <c r="N1412" s="181">
        <v>8.83636E-2</v>
      </c>
      <c r="O1412" s="181" t="s">
        <v>170</v>
      </c>
      <c r="P1412" s="83" t="s">
        <v>323</v>
      </c>
      <c r="Q1412" s="177" t="s">
        <v>324</v>
      </c>
      <c r="R1412" s="83"/>
    </row>
    <row r="1413" spans="1:18">
      <c r="A1413" s="83">
        <v>80813644</v>
      </c>
      <c r="B1413" s="186" t="s">
        <v>698</v>
      </c>
      <c r="C1413" s="186" t="s">
        <v>153</v>
      </c>
      <c r="D1413" s="83" t="s">
        <v>428</v>
      </c>
      <c r="E1413" s="83" t="s">
        <v>168</v>
      </c>
      <c r="F1413" s="180">
        <v>46034</v>
      </c>
      <c r="G1413" s="83">
        <v>10</v>
      </c>
      <c r="H1413" s="180">
        <v>46021</v>
      </c>
      <c r="I1413" s="180" t="s">
        <v>202</v>
      </c>
      <c r="J1413" s="83">
        <v>3518741134</v>
      </c>
      <c r="K1413" s="180"/>
      <c r="L1413" s="180">
        <v>46021</v>
      </c>
      <c r="M1413" s="180"/>
      <c r="N1413" s="181">
        <v>3.3986000000000002E-2</v>
      </c>
      <c r="O1413" s="181" t="s">
        <v>170</v>
      </c>
      <c r="P1413" s="83" t="s">
        <v>323</v>
      </c>
      <c r="Q1413" s="177" t="s">
        <v>324</v>
      </c>
      <c r="R1413" s="83"/>
    </row>
    <row r="1414" spans="1:18">
      <c r="A1414" s="83">
        <v>80813644</v>
      </c>
      <c r="B1414" s="186" t="s">
        <v>698</v>
      </c>
      <c r="C1414" s="186" t="s">
        <v>154</v>
      </c>
      <c r="D1414" s="83" t="s">
        <v>428</v>
      </c>
      <c r="E1414" s="83" t="s">
        <v>168</v>
      </c>
      <c r="F1414" s="180">
        <v>46034</v>
      </c>
      <c r="G1414" s="83">
        <v>15</v>
      </c>
      <c r="H1414" s="180">
        <v>46021</v>
      </c>
      <c r="I1414" s="180" t="s">
        <v>202</v>
      </c>
      <c r="J1414" s="83">
        <v>3518741135</v>
      </c>
      <c r="K1414" s="180"/>
      <c r="L1414" s="180">
        <v>46021</v>
      </c>
      <c r="M1414" s="180"/>
      <c r="N1414" s="181">
        <v>5.0978999999999997E-2</v>
      </c>
      <c r="O1414" s="181" t="s">
        <v>170</v>
      </c>
      <c r="P1414" s="83" t="s">
        <v>323</v>
      </c>
      <c r="Q1414" s="177" t="s">
        <v>324</v>
      </c>
      <c r="R1414" s="83"/>
    </row>
    <row r="1415" spans="1:18">
      <c r="A1415" s="83">
        <v>80813644</v>
      </c>
      <c r="B1415" s="186" t="s">
        <v>698</v>
      </c>
      <c r="C1415" s="186" t="s">
        <v>155</v>
      </c>
      <c r="D1415" s="83" t="s">
        <v>428</v>
      </c>
      <c r="E1415" s="83" t="s">
        <v>168</v>
      </c>
      <c r="F1415" s="180">
        <v>46034</v>
      </c>
      <c r="G1415" s="83">
        <v>69</v>
      </c>
      <c r="H1415" s="180">
        <v>46021</v>
      </c>
      <c r="I1415" s="180" t="s">
        <v>202</v>
      </c>
      <c r="J1415" s="83">
        <v>3518741136</v>
      </c>
      <c r="K1415" s="180"/>
      <c r="L1415" s="180">
        <v>46021</v>
      </c>
      <c r="M1415" s="180"/>
      <c r="N1415" s="181">
        <v>0.2345034</v>
      </c>
      <c r="O1415" s="181" t="s">
        <v>170</v>
      </c>
      <c r="P1415" s="83" t="s">
        <v>323</v>
      </c>
      <c r="Q1415" s="177" t="s">
        <v>324</v>
      </c>
      <c r="R1415" s="83"/>
    </row>
    <row r="1416" spans="1:18">
      <c r="A1416" s="83">
        <v>80812159</v>
      </c>
      <c r="B1416" s="186" t="s">
        <v>706</v>
      </c>
      <c r="C1416" s="186" t="s">
        <v>143</v>
      </c>
      <c r="D1416" s="83" t="s">
        <v>428</v>
      </c>
      <c r="E1416" s="83" t="s">
        <v>168</v>
      </c>
      <c r="F1416" s="180">
        <v>46034</v>
      </c>
      <c r="G1416" s="83">
        <v>11</v>
      </c>
      <c r="H1416" s="180">
        <v>46021</v>
      </c>
      <c r="I1416" s="180" t="s">
        <v>202</v>
      </c>
      <c r="J1416" s="83">
        <v>3518741137</v>
      </c>
      <c r="K1416" s="180"/>
      <c r="L1416" s="180">
        <v>46021</v>
      </c>
      <c r="M1416" s="180"/>
      <c r="N1416" s="181">
        <v>1.3691699999999999E-2</v>
      </c>
      <c r="O1416" s="181" t="s">
        <v>170</v>
      </c>
      <c r="P1416" s="83" t="s">
        <v>323</v>
      </c>
      <c r="Q1416" s="177" t="s">
        <v>324</v>
      </c>
      <c r="R1416" s="83"/>
    </row>
    <row r="1417" spans="1:18">
      <c r="A1417" s="83">
        <v>80812159</v>
      </c>
      <c r="B1417" s="186" t="s">
        <v>706</v>
      </c>
      <c r="C1417" s="186" t="s">
        <v>150</v>
      </c>
      <c r="D1417" s="83" t="s">
        <v>428</v>
      </c>
      <c r="E1417" s="83" t="s">
        <v>168</v>
      </c>
      <c r="F1417" s="180">
        <v>46034</v>
      </c>
      <c r="G1417" s="83">
        <v>187</v>
      </c>
      <c r="H1417" s="180">
        <v>46021</v>
      </c>
      <c r="I1417" s="180" t="s">
        <v>202</v>
      </c>
      <c r="J1417" s="83">
        <v>3518741138</v>
      </c>
      <c r="K1417" s="180"/>
      <c r="L1417" s="180">
        <v>46021</v>
      </c>
      <c r="M1417" s="180"/>
      <c r="N1417" s="181">
        <v>0.23275889999999999</v>
      </c>
      <c r="O1417" s="181" t="s">
        <v>170</v>
      </c>
      <c r="P1417" s="83" t="s">
        <v>323</v>
      </c>
      <c r="Q1417" s="177" t="s">
        <v>324</v>
      </c>
      <c r="R1417" s="83"/>
    </row>
    <row r="1418" spans="1:18">
      <c r="A1418" s="83">
        <v>80812159</v>
      </c>
      <c r="B1418" s="186" t="s">
        <v>706</v>
      </c>
      <c r="C1418" s="186" t="s">
        <v>151</v>
      </c>
      <c r="D1418" s="83" t="s">
        <v>428</v>
      </c>
      <c r="E1418" s="83" t="s">
        <v>168</v>
      </c>
      <c r="F1418" s="180">
        <v>46034</v>
      </c>
      <c r="G1418" s="83">
        <v>171</v>
      </c>
      <c r="H1418" s="180">
        <v>46021</v>
      </c>
      <c r="I1418" s="180" t="s">
        <v>202</v>
      </c>
      <c r="J1418" s="83">
        <v>3518741139</v>
      </c>
      <c r="K1418" s="180"/>
      <c r="L1418" s="180">
        <v>46021</v>
      </c>
      <c r="M1418" s="180"/>
      <c r="N1418" s="181">
        <v>0.2128437</v>
      </c>
      <c r="O1418" s="181" t="s">
        <v>170</v>
      </c>
      <c r="P1418" s="83" t="s">
        <v>323</v>
      </c>
      <c r="Q1418" s="177" t="s">
        <v>324</v>
      </c>
      <c r="R1418" s="83"/>
    </row>
    <row r="1419" spans="1:18">
      <c r="A1419" s="83">
        <v>80812159</v>
      </c>
      <c r="B1419" s="186" t="s">
        <v>706</v>
      </c>
      <c r="C1419" s="186" t="s">
        <v>152</v>
      </c>
      <c r="D1419" s="83" t="s">
        <v>428</v>
      </c>
      <c r="E1419" s="83" t="s">
        <v>168</v>
      </c>
      <c r="F1419" s="180">
        <v>46034</v>
      </c>
      <c r="G1419" s="83">
        <v>49</v>
      </c>
      <c r="H1419" s="180">
        <v>46021</v>
      </c>
      <c r="I1419" s="180" t="s">
        <v>202</v>
      </c>
      <c r="J1419" s="83">
        <v>3518741140</v>
      </c>
      <c r="K1419" s="180"/>
      <c r="L1419" s="180">
        <v>46021</v>
      </c>
      <c r="M1419" s="180"/>
      <c r="N1419" s="181">
        <v>6.0990299999999997E-2</v>
      </c>
      <c r="O1419" s="181" t="s">
        <v>170</v>
      </c>
      <c r="P1419" s="83" t="s">
        <v>323</v>
      </c>
      <c r="Q1419" s="177" t="s">
        <v>324</v>
      </c>
      <c r="R1419" s="83"/>
    </row>
    <row r="1420" spans="1:18">
      <c r="A1420" s="83">
        <v>80812159</v>
      </c>
      <c r="B1420" s="186" t="s">
        <v>706</v>
      </c>
      <c r="C1420" s="186" t="s">
        <v>153</v>
      </c>
      <c r="D1420" s="83" t="s">
        <v>428</v>
      </c>
      <c r="E1420" s="83" t="s">
        <v>168</v>
      </c>
      <c r="F1420" s="180">
        <v>46034</v>
      </c>
      <c r="G1420" s="83">
        <v>17</v>
      </c>
      <c r="H1420" s="180">
        <v>46021</v>
      </c>
      <c r="I1420" s="180" t="s">
        <v>202</v>
      </c>
      <c r="J1420" s="83">
        <v>3518741141</v>
      </c>
      <c r="K1420" s="180"/>
      <c r="L1420" s="180">
        <v>46021</v>
      </c>
      <c r="M1420" s="180"/>
      <c r="N1420" s="181">
        <v>2.1159899999999999E-2</v>
      </c>
      <c r="O1420" s="181" t="s">
        <v>170</v>
      </c>
      <c r="P1420" s="83" t="s">
        <v>323</v>
      </c>
      <c r="Q1420" s="177" t="s">
        <v>324</v>
      </c>
      <c r="R1420" s="83"/>
    </row>
    <row r="1421" spans="1:18">
      <c r="A1421" s="83">
        <v>80812159</v>
      </c>
      <c r="B1421" s="186" t="s">
        <v>706</v>
      </c>
      <c r="C1421" s="186" t="s">
        <v>154</v>
      </c>
      <c r="D1421" s="83" t="s">
        <v>428</v>
      </c>
      <c r="E1421" s="83" t="s">
        <v>168</v>
      </c>
      <c r="F1421" s="180">
        <v>46034</v>
      </c>
      <c r="G1421" s="83">
        <v>22</v>
      </c>
      <c r="H1421" s="180">
        <v>46021</v>
      </c>
      <c r="I1421" s="180" t="s">
        <v>202</v>
      </c>
      <c r="J1421" s="83">
        <v>3518741142</v>
      </c>
      <c r="K1421" s="180"/>
      <c r="L1421" s="180">
        <v>46021</v>
      </c>
      <c r="M1421" s="180"/>
      <c r="N1421" s="181">
        <v>2.7383399999999999E-2</v>
      </c>
      <c r="O1421" s="181" t="s">
        <v>170</v>
      </c>
      <c r="P1421" s="83" t="s">
        <v>323</v>
      </c>
      <c r="Q1421" s="177" t="s">
        <v>324</v>
      </c>
      <c r="R1421" s="83"/>
    </row>
    <row r="1422" spans="1:18">
      <c r="A1422" s="83">
        <v>80812159</v>
      </c>
      <c r="B1422" s="186" t="s">
        <v>706</v>
      </c>
      <c r="C1422" s="186" t="s">
        <v>155</v>
      </c>
      <c r="D1422" s="83" t="s">
        <v>428</v>
      </c>
      <c r="E1422" s="83" t="s">
        <v>168</v>
      </c>
      <c r="F1422" s="180">
        <v>46034</v>
      </c>
      <c r="G1422" s="83">
        <v>53</v>
      </c>
      <c r="H1422" s="180">
        <v>46021</v>
      </c>
      <c r="I1422" s="180" t="s">
        <v>202</v>
      </c>
      <c r="J1422" s="83">
        <v>3518741143</v>
      </c>
      <c r="K1422" s="180"/>
      <c r="L1422" s="180">
        <v>46021</v>
      </c>
      <c r="M1422" s="180"/>
      <c r="N1422" s="181">
        <v>6.5969100000000003E-2</v>
      </c>
      <c r="O1422" s="181" t="s">
        <v>170</v>
      </c>
      <c r="P1422" s="83" t="s">
        <v>323</v>
      </c>
      <c r="Q1422" s="177" t="s">
        <v>324</v>
      </c>
      <c r="R1422" s="83"/>
    </row>
    <row r="1423" spans="1:18">
      <c r="A1423" s="83">
        <v>80812162</v>
      </c>
      <c r="B1423" s="186" t="s">
        <v>714</v>
      </c>
      <c r="C1423" s="186" t="s">
        <v>143</v>
      </c>
      <c r="D1423" s="83" t="s">
        <v>428</v>
      </c>
      <c r="E1423" s="83" t="s">
        <v>168</v>
      </c>
      <c r="F1423" s="180">
        <v>46034</v>
      </c>
      <c r="G1423" s="83">
        <v>55</v>
      </c>
      <c r="H1423" s="180">
        <v>46021</v>
      </c>
      <c r="I1423" s="180" t="s">
        <v>202</v>
      </c>
      <c r="J1423" s="83">
        <v>3518741144</v>
      </c>
      <c r="K1423" s="180"/>
      <c r="L1423" s="180">
        <v>46021</v>
      </c>
      <c r="M1423" s="180"/>
      <c r="N1423" s="181">
        <v>9.9693000000000004E-2</v>
      </c>
      <c r="O1423" s="181" t="s">
        <v>170</v>
      </c>
      <c r="P1423" s="83" t="s">
        <v>323</v>
      </c>
      <c r="Q1423" s="177" t="s">
        <v>324</v>
      </c>
      <c r="R1423" s="83"/>
    </row>
    <row r="1424" spans="1:18">
      <c r="A1424" s="83">
        <v>80812162</v>
      </c>
      <c r="B1424" s="186" t="s">
        <v>714</v>
      </c>
      <c r="C1424" s="186" t="s">
        <v>150</v>
      </c>
      <c r="D1424" s="83" t="s">
        <v>428</v>
      </c>
      <c r="E1424" s="83" t="s">
        <v>168</v>
      </c>
      <c r="F1424" s="180">
        <v>46034</v>
      </c>
      <c r="G1424" s="83">
        <v>561</v>
      </c>
      <c r="H1424" s="180">
        <v>46021</v>
      </c>
      <c r="I1424" s="180" t="s">
        <v>202</v>
      </c>
      <c r="J1424" s="83">
        <v>3518741145</v>
      </c>
      <c r="K1424" s="180"/>
      <c r="L1424" s="180">
        <v>46021</v>
      </c>
      <c r="M1424" s="180"/>
      <c r="N1424" s="181">
        <v>1.0168686</v>
      </c>
      <c r="O1424" s="181" t="s">
        <v>170</v>
      </c>
      <c r="P1424" s="83" t="s">
        <v>323</v>
      </c>
      <c r="Q1424" s="177" t="s">
        <v>324</v>
      </c>
      <c r="R1424" s="83"/>
    </row>
    <row r="1425" spans="1:18">
      <c r="A1425" s="83">
        <v>80812162</v>
      </c>
      <c r="B1425" s="186" t="s">
        <v>714</v>
      </c>
      <c r="C1425" s="186" t="s">
        <v>151</v>
      </c>
      <c r="D1425" s="83" t="s">
        <v>428</v>
      </c>
      <c r="E1425" s="83" t="s">
        <v>168</v>
      </c>
      <c r="F1425" s="180">
        <v>46034</v>
      </c>
      <c r="G1425" s="83">
        <v>555</v>
      </c>
      <c r="H1425" s="180">
        <v>46021</v>
      </c>
      <c r="I1425" s="180" t="s">
        <v>202</v>
      </c>
      <c r="J1425" s="83">
        <v>3518741146</v>
      </c>
      <c r="K1425" s="180"/>
      <c r="L1425" s="180">
        <v>46021</v>
      </c>
      <c r="M1425" s="180"/>
      <c r="N1425" s="181">
        <v>1.0059929999999999</v>
      </c>
      <c r="O1425" s="181" t="s">
        <v>170</v>
      </c>
      <c r="P1425" s="83" t="s">
        <v>323</v>
      </c>
      <c r="Q1425" s="177" t="s">
        <v>324</v>
      </c>
      <c r="R1425" s="83"/>
    </row>
    <row r="1426" spans="1:18">
      <c r="A1426" s="83">
        <v>80812162</v>
      </c>
      <c r="B1426" s="186" t="s">
        <v>714</v>
      </c>
      <c r="C1426" s="186" t="s">
        <v>152</v>
      </c>
      <c r="D1426" s="83" t="s">
        <v>428</v>
      </c>
      <c r="E1426" s="83" t="s">
        <v>168</v>
      </c>
      <c r="F1426" s="180">
        <v>46034</v>
      </c>
      <c r="G1426" s="83">
        <v>110</v>
      </c>
      <c r="H1426" s="180">
        <v>46021</v>
      </c>
      <c r="I1426" s="180" t="s">
        <v>202</v>
      </c>
      <c r="J1426" s="83">
        <v>3518741147</v>
      </c>
      <c r="K1426" s="180"/>
      <c r="L1426" s="180">
        <v>46021</v>
      </c>
      <c r="M1426" s="180"/>
      <c r="N1426" s="181">
        <v>0.19938600000000001</v>
      </c>
      <c r="O1426" s="181" t="s">
        <v>170</v>
      </c>
      <c r="P1426" s="83" t="s">
        <v>323</v>
      </c>
      <c r="Q1426" s="177" t="s">
        <v>324</v>
      </c>
      <c r="R1426" s="83"/>
    </row>
    <row r="1427" spans="1:18">
      <c r="A1427" s="83">
        <v>80812162</v>
      </c>
      <c r="B1427" s="186" t="s">
        <v>714</v>
      </c>
      <c r="C1427" s="186" t="s">
        <v>153</v>
      </c>
      <c r="D1427" s="83" t="s">
        <v>428</v>
      </c>
      <c r="E1427" s="83" t="s">
        <v>168</v>
      </c>
      <c r="F1427" s="180">
        <v>46034</v>
      </c>
      <c r="G1427" s="83">
        <v>19</v>
      </c>
      <c r="H1427" s="180">
        <v>46021</v>
      </c>
      <c r="I1427" s="180" t="s">
        <v>202</v>
      </c>
      <c r="J1427" s="83">
        <v>3518741148</v>
      </c>
      <c r="K1427" s="180"/>
      <c r="L1427" s="180">
        <v>46021</v>
      </c>
      <c r="M1427" s="180"/>
      <c r="N1427" s="181">
        <v>3.4439400000000002E-2</v>
      </c>
      <c r="O1427" s="181" t="s">
        <v>170</v>
      </c>
      <c r="P1427" s="83" t="s">
        <v>323</v>
      </c>
      <c r="Q1427" s="177" t="s">
        <v>324</v>
      </c>
      <c r="R1427" s="83"/>
    </row>
    <row r="1428" spans="1:18">
      <c r="A1428" s="83">
        <v>80812162</v>
      </c>
      <c r="B1428" s="186" t="s">
        <v>714</v>
      </c>
      <c r="C1428" s="186" t="s">
        <v>154</v>
      </c>
      <c r="D1428" s="83" t="s">
        <v>428</v>
      </c>
      <c r="E1428" s="83" t="s">
        <v>168</v>
      </c>
      <c r="F1428" s="180">
        <v>46034</v>
      </c>
      <c r="G1428" s="83">
        <v>113</v>
      </c>
      <c r="H1428" s="180">
        <v>46021</v>
      </c>
      <c r="I1428" s="180" t="s">
        <v>202</v>
      </c>
      <c r="J1428" s="83">
        <v>3518741149</v>
      </c>
      <c r="K1428" s="180"/>
      <c r="L1428" s="180">
        <v>46021</v>
      </c>
      <c r="M1428" s="180"/>
      <c r="N1428" s="181">
        <v>0.2048238</v>
      </c>
      <c r="O1428" s="181" t="s">
        <v>170</v>
      </c>
      <c r="P1428" s="83" t="s">
        <v>323</v>
      </c>
      <c r="Q1428" s="177" t="s">
        <v>324</v>
      </c>
      <c r="R1428" s="83"/>
    </row>
    <row r="1429" spans="1:18">
      <c r="A1429" s="83">
        <v>80812162</v>
      </c>
      <c r="B1429" s="186" t="s">
        <v>714</v>
      </c>
      <c r="C1429" s="186" t="s">
        <v>155</v>
      </c>
      <c r="D1429" s="83" t="s">
        <v>428</v>
      </c>
      <c r="E1429" s="83" t="s">
        <v>168</v>
      </c>
      <c r="F1429" s="180">
        <v>46034</v>
      </c>
      <c r="G1429" s="83">
        <v>115</v>
      </c>
      <c r="H1429" s="180">
        <v>46021</v>
      </c>
      <c r="I1429" s="180" t="s">
        <v>202</v>
      </c>
      <c r="J1429" s="83">
        <v>3518741150</v>
      </c>
      <c r="K1429" s="180"/>
      <c r="L1429" s="180">
        <v>46021</v>
      </c>
      <c r="M1429" s="180"/>
      <c r="N1429" s="181">
        <v>0.208449</v>
      </c>
      <c r="O1429" s="181" t="s">
        <v>170</v>
      </c>
      <c r="P1429" s="83" t="s">
        <v>323</v>
      </c>
      <c r="Q1429" s="177" t="s">
        <v>324</v>
      </c>
      <c r="R1429" s="83"/>
    </row>
    <row r="1430" spans="1:18">
      <c r="A1430" s="83">
        <v>80812165</v>
      </c>
      <c r="B1430" s="186" t="s">
        <v>722</v>
      </c>
      <c r="C1430" s="186" t="s">
        <v>143</v>
      </c>
      <c r="D1430" s="83" t="s">
        <v>428</v>
      </c>
      <c r="E1430" s="83" t="s">
        <v>168</v>
      </c>
      <c r="F1430" s="180">
        <v>46034</v>
      </c>
      <c r="G1430" s="83">
        <v>31</v>
      </c>
      <c r="H1430" s="180">
        <v>46021</v>
      </c>
      <c r="I1430" s="180" t="s">
        <v>202</v>
      </c>
      <c r="J1430" s="83">
        <v>3518741151</v>
      </c>
      <c r="K1430" s="180"/>
      <c r="L1430" s="180">
        <v>46021</v>
      </c>
      <c r="M1430" s="180"/>
      <c r="N1430" s="181">
        <v>5.61906E-2</v>
      </c>
      <c r="O1430" s="181" t="s">
        <v>170</v>
      </c>
      <c r="P1430" s="83" t="s">
        <v>323</v>
      </c>
      <c r="Q1430" s="177" t="s">
        <v>324</v>
      </c>
      <c r="R1430" s="83"/>
    </row>
    <row r="1431" spans="1:18">
      <c r="A1431" s="83">
        <v>80812165</v>
      </c>
      <c r="B1431" s="186" t="s">
        <v>722</v>
      </c>
      <c r="C1431" s="186" t="s">
        <v>150</v>
      </c>
      <c r="D1431" s="83" t="s">
        <v>428</v>
      </c>
      <c r="E1431" s="83" t="s">
        <v>168</v>
      </c>
      <c r="F1431" s="180">
        <v>46034</v>
      </c>
      <c r="G1431" s="83">
        <v>401</v>
      </c>
      <c r="H1431" s="180">
        <v>46021</v>
      </c>
      <c r="I1431" s="180" t="s">
        <v>202</v>
      </c>
      <c r="J1431" s="83">
        <v>3518741152</v>
      </c>
      <c r="K1431" s="180"/>
      <c r="L1431" s="180">
        <v>46021</v>
      </c>
      <c r="M1431" s="180"/>
      <c r="N1431" s="181">
        <v>0.72685259999999996</v>
      </c>
      <c r="O1431" s="181" t="s">
        <v>170</v>
      </c>
      <c r="P1431" s="83" t="s">
        <v>323</v>
      </c>
      <c r="Q1431" s="177" t="s">
        <v>324</v>
      </c>
      <c r="R1431" s="83"/>
    </row>
    <row r="1432" spans="1:18">
      <c r="A1432" s="83">
        <v>80812165</v>
      </c>
      <c r="B1432" s="186" t="s">
        <v>722</v>
      </c>
      <c r="C1432" s="186" t="s">
        <v>151</v>
      </c>
      <c r="D1432" s="83" t="s">
        <v>428</v>
      </c>
      <c r="E1432" s="83" t="s">
        <v>168</v>
      </c>
      <c r="F1432" s="180">
        <v>46034</v>
      </c>
      <c r="G1432" s="83">
        <v>343</v>
      </c>
      <c r="H1432" s="180">
        <v>46021</v>
      </c>
      <c r="I1432" s="180" t="s">
        <v>202</v>
      </c>
      <c r="J1432" s="83">
        <v>3518741153</v>
      </c>
      <c r="K1432" s="180"/>
      <c r="L1432" s="180">
        <v>46021</v>
      </c>
      <c r="M1432" s="180"/>
      <c r="N1432" s="181">
        <v>0.62172179999999999</v>
      </c>
      <c r="O1432" s="181" t="s">
        <v>170</v>
      </c>
      <c r="P1432" s="83" t="s">
        <v>323</v>
      </c>
      <c r="Q1432" s="177" t="s">
        <v>324</v>
      </c>
      <c r="R1432" s="83"/>
    </row>
    <row r="1433" spans="1:18">
      <c r="A1433" s="83">
        <v>80812165</v>
      </c>
      <c r="B1433" s="186" t="s">
        <v>722</v>
      </c>
      <c r="C1433" s="186" t="s">
        <v>152</v>
      </c>
      <c r="D1433" s="83" t="s">
        <v>428</v>
      </c>
      <c r="E1433" s="83" t="s">
        <v>168</v>
      </c>
      <c r="F1433" s="180">
        <v>46034</v>
      </c>
      <c r="G1433" s="83">
        <v>86</v>
      </c>
      <c r="H1433" s="180">
        <v>46021</v>
      </c>
      <c r="I1433" s="180" t="s">
        <v>202</v>
      </c>
      <c r="J1433" s="83">
        <v>3518741154</v>
      </c>
      <c r="K1433" s="180"/>
      <c r="L1433" s="180">
        <v>46021</v>
      </c>
      <c r="M1433" s="180"/>
      <c r="N1433" s="181">
        <v>0.15588360000000001</v>
      </c>
      <c r="O1433" s="181" t="s">
        <v>170</v>
      </c>
      <c r="P1433" s="83" t="s">
        <v>323</v>
      </c>
      <c r="Q1433" s="177" t="s">
        <v>324</v>
      </c>
      <c r="R1433" s="83"/>
    </row>
    <row r="1434" spans="1:18">
      <c r="A1434" s="83">
        <v>80812165</v>
      </c>
      <c r="B1434" s="186" t="s">
        <v>722</v>
      </c>
      <c r="C1434" s="186" t="s">
        <v>153</v>
      </c>
      <c r="D1434" s="83" t="s">
        <v>428</v>
      </c>
      <c r="E1434" s="83" t="s">
        <v>168</v>
      </c>
      <c r="F1434" s="180">
        <v>46034</v>
      </c>
      <c r="G1434" s="83">
        <v>30</v>
      </c>
      <c r="H1434" s="180">
        <v>46021</v>
      </c>
      <c r="I1434" s="180" t="s">
        <v>202</v>
      </c>
      <c r="J1434" s="83">
        <v>3518741155</v>
      </c>
      <c r="K1434" s="180"/>
      <c r="L1434" s="180">
        <v>46021</v>
      </c>
      <c r="M1434" s="180"/>
      <c r="N1434" s="181">
        <v>5.4378000000000003E-2</v>
      </c>
      <c r="O1434" s="181" t="s">
        <v>170</v>
      </c>
      <c r="P1434" s="83" t="s">
        <v>323</v>
      </c>
      <c r="Q1434" s="177" t="s">
        <v>324</v>
      </c>
      <c r="R1434" s="83"/>
    </row>
    <row r="1435" spans="1:18">
      <c r="A1435" s="83">
        <v>80812165</v>
      </c>
      <c r="B1435" s="186" t="s">
        <v>722</v>
      </c>
      <c r="C1435" s="186" t="s">
        <v>154</v>
      </c>
      <c r="D1435" s="83" t="s">
        <v>428</v>
      </c>
      <c r="E1435" s="83" t="s">
        <v>168</v>
      </c>
      <c r="F1435" s="180">
        <v>46034</v>
      </c>
      <c r="G1435" s="83">
        <v>73</v>
      </c>
      <c r="H1435" s="180">
        <v>46021</v>
      </c>
      <c r="I1435" s="180" t="s">
        <v>202</v>
      </c>
      <c r="J1435" s="83">
        <v>3518741156</v>
      </c>
      <c r="K1435" s="180"/>
      <c r="L1435" s="180">
        <v>46021</v>
      </c>
      <c r="M1435" s="180"/>
      <c r="N1435" s="181">
        <v>0.13231979999999999</v>
      </c>
      <c r="O1435" s="181" t="s">
        <v>170</v>
      </c>
      <c r="P1435" s="83" t="s">
        <v>323</v>
      </c>
      <c r="Q1435" s="177" t="s">
        <v>324</v>
      </c>
      <c r="R1435" s="83"/>
    </row>
    <row r="1436" spans="1:18">
      <c r="A1436" s="83">
        <v>80812165</v>
      </c>
      <c r="B1436" s="186" t="s">
        <v>722</v>
      </c>
      <c r="C1436" s="186" t="s">
        <v>155</v>
      </c>
      <c r="D1436" s="83" t="s">
        <v>428</v>
      </c>
      <c r="E1436" s="83" t="s">
        <v>168</v>
      </c>
      <c r="F1436" s="180">
        <v>46034</v>
      </c>
      <c r="G1436" s="83">
        <v>138</v>
      </c>
      <c r="H1436" s="180">
        <v>46021</v>
      </c>
      <c r="I1436" s="180" t="s">
        <v>202</v>
      </c>
      <c r="J1436" s="83">
        <v>3518741157</v>
      </c>
      <c r="K1436" s="180"/>
      <c r="L1436" s="180">
        <v>46021</v>
      </c>
      <c r="M1436" s="180"/>
      <c r="N1436" s="181">
        <v>0.25013879999999999</v>
      </c>
      <c r="O1436" s="181" t="s">
        <v>170</v>
      </c>
      <c r="P1436" s="83" t="s">
        <v>323</v>
      </c>
      <c r="Q1436" s="177" t="s">
        <v>324</v>
      </c>
      <c r="R1436" s="83"/>
    </row>
    <row r="1437" spans="1:18">
      <c r="A1437" s="83">
        <v>80813615</v>
      </c>
      <c r="B1437" s="186" t="s">
        <v>265</v>
      </c>
      <c r="C1437" s="186" t="s">
        <v>143</v>
      </c>
      <c r="D1437" s="83" t="s">
        <v>428</v>
      </c>
      <c r="E1437" s="83" t="s">
        <v>168</v>
      </c>
      <c r="F1437" s="180">
        <v>46034</v>
      </c>
      <c r="G1437" s="83">
        <v>209</v>
      </c>
      <c r="H1437" s="180">
        <v>46021</v>
      </c>
      <c r="I1437" s="180" t="s">
        <v>202</v>
      </c>
      <c r="J1437" s="83">
        <v>3518741158</v>
      </c>
      <c r="K1437" s="180"/>
      <c r="L1437" s="180">
        <v>46021</v>
      </c>
      <c r="M1437" s="180"/>
      <c r="N1437" s="181">
        <v>0.37883339999999999</v>
      </c>
      <c r="O1437" s="181" t="s">
        <v>170</v>
      </c>
      <c r="P1437" s="83" t="s">
        <v>323</v>
      </c>
      <c r="Q1437" s="177" t="s">
        <v>324</v>
      </c>
      <c r="R1437" s="83"/>
    </row>
    <row r="1438" spans="1:18">
      <c r="A1438" s="83">
        <v>80813615</v>
      </c>
      <c r="B1438" s="186" t="s">
        <v>265</v>
      </c>
      <c r="C1438" s="186" t="s">
        <v>150</v>
      </c>
      <c r="D1438" s="83" t="s">
        <v>428</v>
      </c>
      <c r="E1438" s="83" t="s">
        <v>168</v>
      </c>
      <c r="F1438" s="180">
        <v>46034</v>
      </c>
      <c r="G1438" s="83">
        <v>1195</v>
      </c>
      <c r="H1438" s="180">
        <v>46021</v>
      </c>
      <c r="I1438" s="180" t="s">
        <v>202</v>
      </c>
      <c r="J1438" s="83">
        <v>3518741159</v>
      </c>
      <c r="K1438" s="180"/>
      <c r="L1438" s="180">
        <v>46021</v>
      </c>
      <c r="M1438" s="180"/>
      <c r="N1438" s="181">
        <v>2.1660569999999999</v>
      </c>
      <c r="O1438" s="181" t="s">
        <v>170</v>
      </c>
      <c r="P1438" s="83" t="s">
        <v>323</v>
      </c>
      <c r="Q1438" s="177" t="s">
        <v>324</v>
      </c>
      <c r="R1438" s="83"/>
    </row>
    <row r="1439" spans="1:18">
      <c r="A1439" s="83">
        <v>80813615</v>
      </c>
      <c r="B1439" s="186" t="s">
        <v>265</v>
      </c>
      <c r="C1439" s="186" t="s">
        <v>151</v>
      </c>
      <c r="D1439" s="83" t="s">
        <v>428</v>
      </c>
      <c r="E1439" s="83" t="s">
        <v>168</v>
      </c>
      <c r="F1439" s="180">
        <v>46034</v>
      </c>
      <c r="G1439" s="83">
        <v>963</v>
      </c>
      <c r="H1439" s="180">
        <v>46021</v>
      </c>
      <c r="I1439" s="180" t="s">
        <v>202</v>
      </c>
      <c r="J1439" s="83">
        <v>3518741160</v>
      </c>
      <c r="K1439" s="180"/>
      <c r="L1439" s="180">
        <v>46021</v>
      </c>
      <c r="M1439" s="180"/>
      <c r="N1439" s="181">
        <v>1.7455338</v>
      </c>
      <c r="O1439" s="181" t="s">
        <v>170</v>
      </c>
      <c r="P1439" s="83" t="s">
        <v>323</v>
      </c>
      <c r="Q1439" s="177" t="s">
        <v>324</v>
      </c>
      <c r="R1439" s="83"/>
    </row>
    <row r="1440" spans="1:18">
      <c r="A1440" s="83">
        <v>80813615</v>
      </c>
      <c r="B1440" s="186" t="s">
        <v>265</v>
      </c>
      <c r="C1440" s="186" t="s">
        <v>152</v>
      </c>
      <c r="D1440" s="83" t="s">
        <v>428</v>
      </c>
      <c r="E1440" s="83" t="s">
        <v>168</v>
      </c>
      <c r="F1440" s="180">
        <v>46034</v>
      </c>
      <c r="G1440" s="83">
        <v>195</v>
      </c>
      <c r="H1440" s="180">
        <v>46021</v>
      </c>
      <c r="I1440" s="180" t="s">
        <v>202</v>
      </c>
      <c r="J1440" s="83">
        <v>3518741161</v>
      </c>
      <c r="K1440" s="180"/>
      <c r="L1440" s="180">
        <v>46021</v>
      </c>
      <c r="M1440" s="180"/>
      <c r="N1440" s="181">
        <v>0.35345700000000002</v>
      </c>
      <c r="O1440" s="181" t="s">
        <v>170</v>
      </c>
      <c r="P1440" s="83" t="s">
        <v>323</v>
      </c>
      <c r="Q1440" s="177" t="s">
        <v>324</v>
      </c>
      <c r="R1440" s="83"/>
    </row>
    <row r="1441" spans="1:18">
      <c r="A1441" s="83">
        <v>80813615</v>
      </c>
      <c r="B1441" s="186" t="s">
        <v>265</v>
      </c>
      <c r="C1441" s="186" t="s">
        <v>153</v>
      </c>
      <c r="D1441" s="83" t="s">
        <v>428</v>
      </c>
      <c r="E1441" s="83" t="s">
        <v>168</v>
      </c>
      <c r="F1441" s="180">
        <v>46034</v>
      </c>
      <c r="G1441" s="83">
        <v>147</v>
      </c>
      <c r="H1441" s="180">
        <v>46021</v>
      </c>
      <c r="I1441" s="180" t="s">
        <v>202</v>
      </c>
      <c r="J1441" s="83">
        <v>3518741162</v>
      </c>
      <c r="K1441" s="180"/>
      <c r="L1441" s="180">
        <v>46021</v>
      </c>
      <c r="M1441" s="180"/>
      <c r="N1441" s="181">
        <v>0.26645219999999997</v>
      </c>
      <c r="O1441" s="181" t="s">
        <v>170</v>
      </c>
      <c r="P1441" s="83" t="s">
        <v>323</v>
      </c>
      <c r="Q1441" s="177" t="s">
        <v>324</v>
      </c>
      <c r="R1441" s="83"/>
    </row>
    <row r="1442" spans="1:18">
      <c r="A1442" s="83">
        <v>80813615</v>
      </c>
      <c r="B1442" s="186" t="s">
        <v>265</v>
      </c>
      <c r="C1442" s="186" t="s">
        <v>154</v>
      </c>
      <c r="D1442" s="83" t="s">
        <v>428</v>
      </c>
      <c r="E1442" s="83" t="s">
        <v>168</v>
      </c>
      <c r="F1442" s="180">
        <v>46034</v>
      </c>
      <c r="G1442" s="83">
        <v>204</v>
      </c>
      <c r="H1442" s="180">
        <v>46021</v>
      </c>
      <c r="I1442" s="180" t="s">
        <v>202</v>
      </c>
      <c r="J1442" s="83">
        <v>3518741163</v>
      </c>
      <c r="K1442" s="180"/>
      <c r="L1442" s="180">
        <v>46021</v>
      </c>
      <c r="M1442" s="180"/>
      <c r="N1442" s="181">
        <v>0.3697704</v>
      </c>
      <c r="O1442" s="181" t="s">
        <v>170</v>
      </c>
      <c r="P1442" s="83" t="s">
        <v>323</v>
      </c>
      <c r="Q1442" s="177" t="s">
        <v>324</v>
      </c>
      <c r="R1442" s="83"/>
    </row>
    <row r="1443" spans="1:18">
      <c r="A1443" s="83">
        <v>80813615</v>
      </c>
      <c r="B1443" s="186" t="s">
        <v>265</v>
      </c>
      <c r="C1443" s="186" t="s">
        <v>155</v>
      </c>
      <c r="D1443" s="83" t="s">
        <v>428</v>
      </c>
      <c r="E1443" s="83" t="s">
        <v>168</v>
      </c>
      <c r="F1443" s="180">
        <v>46034</v>
      </c>
      <c r="G1443" s="83">
        <v>208</v>
      </c>
      <c r="H1443" s="180">
        <v>46021</v>
      </c>
      <c r="I1443" s="180" t="s">
        <v>202</v>
      </c>
      <c r="J1443" s="83">
        <v>3518741164</v>
      </c>
      <c r="K1443" s="180"/>
      <c r="L1443" s="180">
        <v>46021</v>
      </c>
      <c r="M1443" s="180"/>
      <c r="N1443" s="181">
        <v>0.37702079999999999</v>
      </c>
      <c r="O1443" s="181" t="s">
        <v>170</v>
      </c>
      <c r="P1443" s="83" t="s">
        <v>323</v>
      </c>
      <c r="Q1443" s="177" t="s">
        <v>324</v>
      </c>
      <c r="R1443" s="83"/>
    </row>
    <row r="1444" spans="1:18">
      <c r="A1444" s="83">
        <v>80813617</v>
      </c>
      <c r="B1444" s="186" t="s">
        <v>267</v>
      </c>
      <c r="C1444" s="186" t="s">
        <v>143</v>
      </c>
      <c r="D1444" s="83" t="s">
        <v>428</v>
      </c>
      <c r="E1444" s="83" t="s">
        <v>168</v>
      </c>
      <c r="F1444" s="180">
        <v>46034</v>
      </c>
      <c r="G1444" s="83">
        <v>150</v>
      </c>
      <c r="H1444" s="180">
        <v>46021</v>
      </c>
      <c r="I1444" s="180" t="s">
        <v>202</v>
      </c>
      <c r="J1444" s="83">
        <v>3518741165</v>
      </c>
      <c r="K1444" s="180"/>
      <c r="L1444" s="180">
        <v>46021</v>
      </c>
      <c r="M1444" s="180"/>
      <c r="N1444" s="181">
        <v>0.27189000000000002</v>
      </c>
      <c r="O1444" s="181" t="s">
        <v>170</v>
      </c>
      <c r="P1444" s="83" t="s">
        <v>323</v>
      </c>
      <c r="Q1444" s="177" t="s">
        <v>324</v>
      </c>
      <c r="R1444" s="83"/>
    </row>
    <row r="1445" spans="1:18">
      <c r="A1445" s="83">
        <v>80813617</v>
      </c>
      <c r="B1445" s="186" t="s">
        <v>267</v>
      </c>
      <c r="C1445" s="186" t="s">
        <v>150</v>
      </c>
      <c r="D1445" s="83" t="s">
        <v>428</v>
      </c>
      <c r="E1445" s="83" t="s">
        <v>168</v>
      </c>
      <c r="F1445" s="180">
        <v>46034</v>
      </c>
      <c r="G1445" s="83">
        <v>1025</v>
      </c>
      <c r="H1445" s="180">
        <v>46021</v>
      </c>
      <c r="I1445" s="180" t="s">
        <v>202</v>
      </c>
      <c r="J1445" s="83">
        <v>3518741166</v>
      </c>
      <c r="K1445" s="180"/>
      <c r="L1445" s="180">
        <v>46021</v>
      </c>
      <c r="M1445" s="180"/>
      <c r="N1445" s="181">
        <v>1.857915</v>
      </c>
      <c r="O1445" s="181" t="s">
        <v>170</v>
      </c>
      <c r="P1445" s="83" t="s">
        <v>323</v>
      </c>
      <c r="Q1445" s="177" t="s">
        <v>324</v>
      </c>
      <c r="R1445" s="83"/>
    </row>
    <row r="1446" spans="1:18">
      <c r="A1446" s="83">
        <v>80813617</v>
      </c>
      <c r="B1446" s="186" t="s">
        <v>267</v>
      </c>
      <c r="C1446" s="186" t="s">
        <v>151</v>
      </c>
      <c r="D1446" s="83" t="s">
        <v>428</v>
      </c>
      <c r="E1446" s="83" t="s">
        <v>168</v>
      </c>
      <c r="F1446" s="180">
        <v>46034</v>
      </c>
      <c r="G1446" s="83">
        <v>1026</v>
      </c>
      <c r="H1446" s="180">
        <v>46021</v>
      </c>
      <c r="I1446" s="180" t="s">
        <v>202</v>
      </c>
      <c r="J1446" s="83">
        <v>3518741167</v>
      </c>
      <c r="K1446" s="180"/>
      <c r="L1446" s="180">
        <v>46021</v>
      </c>
      <c r="M1446" s="180"/>
      <c r="N1446" s="181">
        <v>1.8597276</v>
      </c>
      <c r="O1446" s="181" t="s">
        <v>170</v>
      </c>
      <c r="P1446" s="83" t="s">
        <v>323</v>
      </c>
      <c r="Q1446" s="177" t="s">
        <v>324</v>
      </c>
      <c r="R1446" s="83"/>
    </row>
    <row r="1447" spans="1:18">
      <c r="A1447" s="83">
        <v>80813617</v>
      </c>
      <c r="B1447" s="186" t="s">
        <v>267</v>
      </c>
      <c r="C1447" s="186" t="s">
        <v>152</v>
      </c>
      <c r="D1447" s="83" t="s">
        <v>428</v>
      </c>
      <c r="E1447" s="83" t="s">
        <v>168</v>
      </c>
      <c r="F1447" s="180">
        <v>46034</v>
      </c>
      <c r="G1447" s="83">
        <v>291</v>
      </c>
      <c r="H1447" s="180">
        <v>46021</v>
      </c>
      <c r="I1447" s="180" t="s">
        <v>202</v>
      </c>
      <c r="J1447" s="83">
        <v>3518741168</v>
      </c>
      <c r="K1447" s="180"/>
      <c r="L1447" s="180">
        <v>46021</v>
      </c>
      <c r="M1447" s="180"/>
      <c r="N1447" s="181">
        <v>0.52746660000000001</v>
      </c>
      <c r="O1447" s="181" t="s">
        <v>170</v>
      </c>
      <c r="P1447" s="83" t="s">
        <v>323</v>
      </c>
      <c r="Q1447" s="177" t="s">
        <v>324</v>
      </c>
      <c r="R1447" s="83"/>
    </row>
    <row r="1448" spans="1:18">
      <c r="A1448" s="83">
        <v>80813617</v>
      </c>
      <c r="B1448" s="186" t="s">
        <v>267</v>
      </c>
      <c r="C1448" s="186" t="s">
        <v>153</v>
      </c>
      <c r="D1448" s="83" t="s">
        <v>428</v>
      </c>
      <c r="E1448" s="83" t="s">
        <v>168</v>
      </c>
      <c r="F1448" s="180">
        <v>46034</v>
      </c>
      <c r="G1448" s="83">
        <v>105</v>
      </c>
      <c r="H1448" s="180">
        <v>46021</v>
      </c>
      <c r="I1448" s="180" t="s">
        <v>202</v>
      </c>
      <c r="J1448" s="83">
        <v>3518741169</v>
      </c>
      <c r="K1448" s="180"/>
      <c r="L1448" s="180">
        <v>46021</v>
      </c>
      <c r="M1448" s="180"/>
      <c r="N1448" s="181">
        <v>0.19032299999999999</v>
      </c>
      <c r="O1448" s="181" t="s">
        <v>170</v>
      </c>
      <c r="P1448" s="83" t="s">
        <v>323</v>
      </c>
      <c r="Q1448" s="177" t="s">
        <v>324</v>
      </c>
      <c r="R1448" s="83"/>
    </row>
    <row r="1449" spans="1:18">
      <c r="A1449" s="83">
        <v>80813617</v>
      </c>
      <c r="B1449" s="186" t="s">
        <v>267</v>
      </c>
      <c r="C1449" s="186" t="s">
        <v>154</v>
      </c>
      <c r="D1449" s="83" t="s">
        <v>428</v>
      </c>
      <c r="E1449" s="83" t="s">
        <v>168</v>
      </c>
      <c r="F1449" s="180">
        <v>46034</v>
      </c>
      <c r="G1449" s="83">
        <v>146</v>
      </c>
      <c r="H1449" s="180">
        <v>46021</v>
      </c>
      <c r="I1449" s="180" t="s">
        <v>202</v>
      </c>
      <c r="J1449" s="83">
        <v>3518741170</v>
      </c>
      <c r="K1449" s="180"/>
      <c r="L1449" s="180">
        <v>46021</v>
      </c>
      <c r="M1449" s="180"/>
      <c r="N1449" s="181">
        <v>0.26463959999999997</v>
      </c>
      <c r="O1449" s="181" t="s">
        <v>170</v>
      </c>
      <c r="P1449" s="83" t="s">
        <v>323</v>
      </c>
      <c r="Q1449" s="177" t="s">
        <v>324</v>
      </c>
      <c r="R1449" s="83"/>
    </row>
    <row r="1450" spans="1:18">
      <c r="A1450" s="83">
        <v>80813617</v>
      </c>
      <c r="B1450" s="186" t="s">
        <v>267</v>
      </c>
      <c r="C1450" s="186" t="s">
        <v>155</v>
      </c>
      <c r="D1450" s="83" t="s">
        <v>428</v>
      </c>
      <c r="E1450" s="83" t="s">
        <v>168</v>
      </c>
      <c r="F1450" s="180">
        <v>46034</v>
      </c>
      <c r="G1450" s="83">
        <v>326</v>
      </c>
      <c r="H1450" s="180">
        <v>46021</v>
      </c>
      <c r="I1450" s="180" t="s">
        <v>202</v>
      </c>
      <c r="J1450" s="83">
        <v>3518741171</v>
      </c>
      <c r="K1450" s="180"/>
      <c r="L1450" s="180">
        <v>46021</v>
      </c>
      <c r="M1450" s="180"/>
      <c r="N1450" s="181">
        <v>0.59090759999999998</v>
      </c>
      <c r="O1450" s="181" t="s">
        <v>170</v>
      </c>
      <c r="P1450" s="83" t="s">
        <v>323</v>
      </c>
      <c r="Q1450" s="177" t="s">
        <v>324</v>
      </c>
      <c r="R1450" s="83"/>
    </row>
    <row r="1451" spans="1:18">
      <c r="A1451" s="83">
        <v>80813629</v>
      </c>
      <c r="B1451" s="186" t="s">
        <v>268</v>
      </c>
      <c r="C1451" s="186" t="s">
        <v>143</v>
      </c>
      <c r="D1451" s="83" t="s">
        <v>428</v>
      </c>
      <c r="E1451" s="83" t="s">
        <v>168</v>
      </c>
      <c r="F1451" s="180">
        <v>46034</v>
      </c>
      <c r="G1451" s="83">
        <v>127</v>
      </c>
      <c r="H1451" s="180">
        <v>46021</v>
      </c>
      <c r="I1451" s="180" t="s">
        <v>202</v>
      </c>
      <c r="J1451" s="83">
        <v>3518741172</v>
      </c>
      <c r="K1451" s="180"/>
      <c r="L1451" s="180">
        <v>46021</v>
      </c>
      <c r="M1451" s="180"/>
      <c r="N1451" s="181">
        <v>0.23020019999999999</v>
      </c>
      <c r="O1451" s="181" t="s">
        <v>170</v>
      </c>
      <c r="P1451" s="83" t="s">
        <v>323</v>
      </c>
      <c r="Q1451" s="177" t="s">
        <v>324</v>
      </c>
      <c r="R1451" s="83"/>
    </row>
    <row r="1452" spans="1:18">
      <c r="A1452" s="83">
        <v>80813629</v>
      </c>
      <c r="B1452" s="186" t="s">
        <v>268</v>
      </c>
      <c r="C1452" s="186" t="s">
        <v>150</v>
      </c>
      <c r="D1452" s="83" t="s">
        <v>428</v>
      </c>
      <c r="E1452" s="83" t="s">
        <v>168</v>
      </c>
      <c r="F1452" s="180">
        <v>46034</v>
      </c>
      <c r="G1452" s="83">
        <v>856</v>
      </c>
      <c r="H1452" s="180">
        <v>46021</v>
      </c>
      <c r="I1452" s="180" t="s">
        <v>202</v>
      </c>
      <c r="J1452" s="83">
        <v>3518741173</v>
      </c>
      <c r="K1452" s="180"/>
      <c r="L1452" s="180">
        <v>46021</v>
      </c>
      <c r="M1452" s="180"/>
      <c r="N1452" s="181">
        <v>1.5515855999999999</v>
      </c>
      <c r="O1452" s="181" t="s">
        <v>170</v>
      </c>
      <c r="P1452" s="83" t="s">
        <v>323</v>
      </c>
      <c r="Q1452" s="177" t="s">
        <v>324</v>
      </c>
      <c r="R1452" s="83"/>
    </row>
    <row r="1453" spans="1:18">
      <c r="A1453" s="83">
        <v>80813629</v>
      </c>
      <c r="B1453" s="186" t="s">
        <v>268</v>
      </c>
      <c r="C1453" s="186" t="s">
        <v>151</v>
      </c>
      <c r="D1453" s="83" t="s">
        <v>428</v>
      </c>
      <c r="E1453" s="83" t="s">
        <v>168</v>
      </c>
      <c r="F1453" s="180">
        <v>46034</v>
      </c>
      <c r="G1453" s="83">
        <v>982</v>
      </c>
      <c r="H1453" s="180">
        <v>46021</v>
      </c>
      <c r="I1453" s="180" t="s">
        <v>202</v>
      </c>
      <c r="J1453" s="83">
        <v>3518741174</v>
      </c>
      <c r="K1453" s="180"/>
      <c r="L1453" s="180">
        <v>46021</v>
      </c>
      <c r="M1453" s="180"/>
      <c r="N1453" s="181">
        <v>1.7799731999999999</v>
      </c>
      <c r="O1453" s="181" t="s">
        <v>170</v>
      </c>
      <c r="P1453" s="83" t="s">
        <v>323</v>
      </c>
      <c r="Q1453" s="177" t="s">
        <v>324</v>
      </c>
      <c r="R1453" s="83"/>
    </row>
    <row r="1454" spans="1:18">
      <c r="A1454" s="83">
        <v>80813629</v>
      </c>
      <c r="B1454" s="186" t="s">
        <v>268</v>
      </c>
      <c r="C1454" s="186" t="s">
        <v>152</v>
      </c>
      <c r="D1454" s="83" t="s">
        <v>428</v>
      </c>
      <c r="E1454" s="83" t="s">
        <v>168</v>
      </c>
      <c r="F1454" s="180">
        <v>46034</v>
      </c>
      <c r="G1454" s="83">
        <v>230</v>
      </c>
      <c r="H1454" s="180">
        <v>46021</v>
      </c>
      <c r="I1454" s="180" t="s">
        <v>202</v>
      </c>
      <c r="J1454" s="83">
        <v>3518741175</v>
      </c>
      <c r="K1454" s="180"/>
      <c r="L1454" s="180">
        <v>46021</v>
      </c>
      <c r="M1454" s="180"/>
      <c r="N1454" s="181">
        <v>0.41689799999999999</v>
      </c>
      <c r="O1454" s="181" t="s">
        <v>170</v>
      </c>
      <c r="P1454" s="83" t="s">
        <v>323</v>
      </c>
      <c r="Q1454" s="177" t="s">
        <v>324</v>
      </c>
      <c r="R1454" s="83"/>
    </row>
    <row r="1455" spans="1:18">
      <c r="A1455" s="83">
        <v>80813629</v>
      </c>
      <c r="B1455" s="186" t="s">
        <v>268</v>
      </c>
      <c r="C1455" s="186" t="s">
        <v>153</v>
      </c>
      <c r="D1455" s="83" t="s">
        <v>428</v>
      </c>
      <c r="E1455" s="83" t="s">
        <v>168</v>
      </c>
      <c r="F1455" s="180">
        <v>46034</v>
      </c>
      <c r="G1455" s="83">
        <v>87</v>
      </c>
      <c r="H1455" s="180">
        <v>46021</v>
      </c>
      <c r="I1455" s="180" t="s">
        <v>202</v>
      </c>
      <c r="J1455" s="83">
        <v>3518741176</v>
      </c>
      <c r="K1455" s="180"/>
      <c r="L1455" s="180">
        <v>46021</v>
      </c>
      <c r="M1455" s="180"/>
      <c r="N1455" s="181">
        <v>0.15769620000000001</v>
      </c>
      <c r="O1455" s="181" t="s">
        <v>170</v>
      </c>
      <c r="P1455" s="83" t="s">
        <v>323</v>
      </c>
      <c r="Q1455" s="177" t="s">
        <v>324</v>
      </c>
      <c r="R1455" s="83"/>
    </row>
    <row r="1456" spans="1:18">
      <c r="A1456" s="83">
        <v>80813629</v>
      </c>
      <c r="B1456" s="186" t="s">
        <v>268</v>
      </c>
      <c r="C1456" s="186" t="s">
        <v>154</v>
      </c>
      <c r="D1456" s="83" t="s">
        <v>428</v>
      </c>
      <c r="E1456" s="83" t="s">
        <v>168</v>
      </c>
      <c r="F1456" s="180">
        <v>46034</v>
      </c>
      <c r="G1456" s="83">
        <v>110</v>
      </c>
      <c r="H1456" s="180">
        <v>46021</v>
      </c>
      <c r="I1456" s="180" t="s">
        <v>202</v>
      </c>
      <c r="J1456" s="83">
        <v>3518741177</v>
      </c>
      <c r="K1456" s="180"/>
      <c r="L1456" s="180">
        <v>46021</v>
      </c>
      <c r="M1456" s="180"/>
      <c r="N1456" s="181">
        <v>0.19938600000000001</v>
      </c>
      <c r="O1456" s="181" t="s">
        <v>170</v>
      </c>
      <c r="P1456" s="83" t="s">
        <v>323</v>
      </c>
      <c r="Q1456" s="177" t="s">
        <v>324</v>
      </c>
      <c r="R1456" s="83"/>
    </row>
    <row r="1457" spans="1:18">
      <c r="A1457" s="83">
        <v>80813629</v>
      </c>
      <c r="B1457" s="186" t="s">
        <v>268</v>
      </c>
      <c r="C1457" s="186" t="s">
        <v>155</v>
      </c>
      <c r="D1457" s="83" t="s">
        <v>428</v>
      </c>
      <c r="E1457" s="83" t="s">
        <v>168</v>
      </c>
      <c r="F1457" s="180">
        <v>46034</v>
      </c>
      <c r="G1457" s="83">
        <v>270</v>
      </c>
      <c r="H1457" s="180">
        <v>46021</v>
      </c>
      <c r="I1457" s="180" t="s">
        <v>202</v>
      </c>
      <c r="J1457" s="83">
        <v>3518741178</v>
      </c>
      <c r="K1457" s="180"/>
      <c r="L1457" s="180">
        <v>46021</v>
      </c>
      <c r="M1457" s="180"/>
      <c r="N1457" s="181">
        <v>0.489402</v>
      </c>
      <c r="O1457" s="181" t="s">
        <v>170</v>
      </c>
      <c r="P1457" s="83" t="s">
        <v>323</v>
      </c>
      <c r="Q1457" s="177" t="s">
        <v>324</v>
      </c>
      <c r="R1457" s="83"/>
    </row>
    <row r="1458" spans="1:18">
      <c r="A1458" s="83">
        <v>80813630</v>
      </c>
      <c r="B1458" s="186" t="s">
        <v>751</v>
      </c>
      <c r="C1458" s="186" t="s">
        <v>143</v>
      </c>
      <c r="D1458" s="83" t="s">
        <v>428</v>
      </c>
      <c r="E1458" s="83" t="s">
        <v>168</v>
      </c>
      <c r="F1458" s="180">
        <v>46034</v>
      </c>
      <c r="G1458" s="83">
        <v>200</v>
      </c>
      <c r="H1458" s="180">
        <v>46021</v>
      </c>
      <c r="I1458" s="180" t="s">
        <v>202</v>
      </c>
      <c r="J1458" s="83">
        <v>3518741179</v>
      </c>
      <c r="K1458" s="180"/>
      <c r="L1458" s="180">
        <v>46021</v>
      </c>
      <c r="M1458" s="180"/>
      <c r="N1458" s="181">
        <v>0.24893999999999999</v>
      </c>
      <c r="O1458" s="181" t="s">
        <v>170</v>
      </c>
      <c r="P1458" s="83" t="s">
        <v>323</v>
      </c>
      <c r="Q1458" s="177" t="s">
        <v>324</v>
      </c>
      <c r="R1458" s="83"/>
    </row>
    <row r="1459" spans="1:18">
      <c r="A1459" s="83">
        <v>80813630</v>
      </c>
      <c r="B1459" s="186" t="s">
        <v>751</v>
      </c>
      <c r="C1459" s="186" t="s">
        <v>150</v>
      </c>
      <c r="D1459" s="83" t="s">
        <v>428</v>
      </c>
      <c r="E1459" s="83" t="s">
        <v>168</v>
      </c>
      <c r="F1459" s="180">
        <v>46034</v>
      </c>
      <c r="G1459" s="83">
        <v>1156</v>
      </c>
      <c r="H1459" s="180">
        <v>46021</v>
      </c>
      <c r="I1459" s="180" t="s">
        <v>202</v>
      </c>
      <c r="J1459" s="83">
        <v>3518741180</v>
      </c>
      <c r="K1459" s="180"/>
      <c r="L1459" s="180">
        <v>46021</v>
      </c>
      <c r="M1459" s="180"/>
      <c r="N1459" s="181">
        <v>1.4388732</v>
      </c>
      <c r="O1459" s="181" t="s">
        <v>170</v>
      </c>
      <c r="P1459" s="83" t="s">
        <v>323</v>
      </c>
      <c r="Q1459" s="177" t="s">
        <v>324</v>
      </c>
      <c r="R1459" s="83"/>
    </row>
    <row r="1460" spans="1:18">
      <c r="A1460" s="83">
        <v>80813630</v>
      </c>
      <c r="B1460" s="186" t="s">
        <v>751</v>
      </c>
      <c r="C1460" s="186" t="s">
        <v>151</v>
      </c>
      <c r="D1460" s="83" t="s">
        <v>428</v>
      </c>
      <c r="E1460" s="83" t="s">
        <v>168</v>
      </c>
      <c r="F1460" s="180">
        <v>46034</v>
      </c>
      <c r="G1460" s="83">
        <v>1175</v>
      </c>
      <c r="H1460" s="180">
        <v>46021</v>
      </c>
      <c r="I1460" s="180" t="s">
        <v>202</v>
      </c>
      <c r="J1460" s="83">
        <v>3518741181</v>
      </c>
      <c r="K1460" s="180"/>
      <c r="L1460" s="180">
        <v>46021</v>
      </c>
      <c r="M1460" s="180"/>
      <c r="N1460" s="181">
        <v>1.4625224999999999</v>
      </c>
      <c r="O1460" s="181" t="s">
        <v>170</v>
      </c>
      <c r="P1460" s="83" t="s">
        <v>323</v>
      </c>
      <c r="Q1460" s="177" t="s">
        <v>324</v>
      </c>
      <c r="R1460" s="83"/>
    </row>
    <row r="1461" spans="1:18">
      <c r="A1461" s="83">
        <v>80813630</v>
      </c>
      <c r="B1461" s="186" t="s">
        <v>751</v>
      </c>
      <c r="C1461" s="186" t="s">
        <v>152</v>
      </c>
      <c r="D1461" s="83" t="s">
        <v>428</v>
      </c>
      <c r="E1461" s="83" t="s">
        <v>168</v>
      </c>
      <c r="F1461" s="180">
        <v>46034</v>
      </c>
      <c r="G1461" s="83">
        <v>316</v>
      </c>
      <c r="H1461" s="180">
        <v>46021</v>
      </c>
      <c r="I1461" s="180" t="s">
        <v>202</v>
      </c>
      <c r="J1461" s="83">
        <v>3518741182</v>
      </c>
      <c r="K1461" s="180"/>
      <c r="L1461" s="180">
        <v>46021</v>
      </c>
      <c r="M1461" s="180"/>
      <c r="N1461" s="181">
        <v>0.39332519999999999</v>
      </c>
      <c r="O1461" s="181" t="s">
        <v>170</v>
      </c>
      <c r="P1461" s="83" t="s">
        <v>323</v>
      </c>
      <c r="Q1461" s="177" t="s">
        <v>324</v>
      </c>
      <c r="R1461" s="83"/>
    </row>
    <row r="1462" spans="1:18">
      <c r="A1462" s="83">
        <v>80813630</v>
      </c>
      <c r="B1462" s="186" t="s">
        <v>751</v>
      </c>
      <c r="C1462" s="186" t="s">
        <v>153</v>
      </c>
      <c r="D1462" s="83" t="s">
        <v>428</v>
      </c>
      <c r="E1462" s="83" t="s">
        <v>168</v>
      </c>
      <c r="F1462" s="180">
        <v>46034</v>
      </c>
      <c r="G1462" s="83">
        <v>128</v>
      </c>
      <c r="H1462" s="180">
        <v>46021</v>
      </c>
      <c r="I1462" s="180" t="s">
        <v>202</v>
      </c>
      <c r="J1462" s="83">
        <v>3518741183</v>
      </c>
      <c r="K1462" s="180"/>
      <c r="L1462" s="180">
        <v>46021</v>
      </c>
      <c r="M1462" s="180"/>
      <c r="N1462" s="181">
        <v>0.15932160000000001</v>
      </c>
      <c r="O1462" s="181" t="s">
        <v>170</v>
      </c>
      <c r="P1462" s="83" t="s">
        <v>323</v>
      </c>
      <c r="Q1462" s="177" t="s">
        <v>324</v>
      </c>
      <c r="R1462" s="83"/>
    </row>
    <row r="1463" spans="1:18">
      <c r="A1463" s="83">
        <v>80813630</v>
      </c>
      <c r="B1463" s="186" t="s">
        <v>751</v>
      </c>
      <c r="C1463" s="186" t="s">
        <v>154</v>
      </c>
      <c r="D1463" s="83" t="s">
        <v>428</v>
      </c>
      <c r="E1463" s="83" t="s">
        <v>168</v>
      </c>
      <c r="F1463" s="180">
        <v>46034</v>
      </c>
      <c r="G1463" s="83">
        <v>202</v>
      </c>
      <c r="H1463" s="180">
        <v>46021</v>
      </c>
      <c r="I1463" s="180" t="s">
        <v>202</v>
      </c>
      <c r="J1463" s="83">
        <v>3518741184</v>
      </c>
      <c r="K1463" s="180"/>
      <c r="L1463" s="180">
        <v>46021</v>
      </c>
      <c r="M1463" s="180"/>
      <c r="N1463" s="181">
        <v>0.25142940000000003</v>
      </c>
      <c r="O1463" s="181" t="s">
        <v>170</v>
      </c>
      <c r="P1463" s="83" t="s">
        <v>323</v>
      </c>
      <c r="Q1463" s="177" t="s">
        <v>324</v>
      </c>
      <c r="R1463" s="83"/>
    </row>
    <row r="1464" spans="1:18">
      <c r="A1464" s="83">
        <v>80813630</v>
      </c>
      <c r="B1464" s="186" t="s">
        <v>751</v>
      </c>
      <c r="C1464" s="186" t="s">
        <v>155</v>
      </c>
      <c r="D1464" s="83" t="s">
        <v>428</v>
      </c>
      <c r="E1464" s="83" t="s">
        <v>168</v>
      </c>
      <c r="F1464" s="180">
        <v>46034</v>
      </c>
      <c r="G1464" s="83">
        <v>386</v>
      </c>
      <c r="H1464" s="180">
        <v>46021</v>
      </c>
      <c r="I1464" s="180" t="s">
        <v>202</v>
      </c>
      <c r="J1464" s="83">
        <v>3518741185</v>
      </c>
      <c r="K1464" s="180"/>
      <c r="L1464" s="180">
        <v>46021</v>
      </c>
      <c r="M1464" s="180"/>
      <c r="N1464" s="181">
        <v>0.4804542</v>
      </c>
      <c r="O1464" s="181" t="s">
        <v>170</v>
      </c>
      <c r="P1464" s="83" t="s">
        <v>323</v>
      </c>
      <c r="Q1464" s="177" t="s">
        <v>324</v>
      </c>
      <c r="R1464" s="83"/>
    </row>
    <row r="1465" spans="1:18">
      <c r="A1465" s="83">
        <v>80813631</v>
      </c>
      <c r="B1465" s="186" t="s">
        <v>759</v>
      </c>
      <c r="C1465" s="186" t="s">
        <v>143</v>
      </c>
      <c r="D1465" s="83" t="s">
        <v>428</v>
      </c>
      <c r="E1465" s="83" t="s">
        <v>168</v>
      </c>
      <c r="F1465" s="180">
        <v>46034</v>
      </c>
      <c r="G1465" s="83">
        <v>16</v>
      </c>
      <c r="H1465" s="180">
        <v>46021</v>
      </c>
      <c r="I1465" s="180" t="s">
        <v>202</v>
      </c>
      <c r="J1465" s="83">
        <v>3518741186</v>
      </c>
      <c r="K1465" s="180"/>
      <c r="L1465" s="180">
        <v>46021</v>
      </c>
      <c r="M1465" s="180"/>
      <c r="N1465" s="181">
        <v>2.9001599999999999E-2</v>
      </c>
      <c r="O1465" s="181" t="s">
        <v>170</v>
      </c>
      <c r="P1465" s="83" t="s">
        <v>323</v>
      </c>
      <c r="Q1465" s="177" t="s">
        <v>324</v>
      </c>
      <c r="R1465" s="83"/>
    </row>
    <row r="1466" spans="1:18">
      <c r="A1466" s="83">
        <v>80813631</v>
      </c>
      <c r="B1466" s="186" t="s">
        <v>759</v>
      </c>
      <c r="C1466" s="186" t="s">
        <v>150</v>
      </c>
      <c r="D1466" s="83" t="s">
        <v>428</v>
      </c>
      <c r="E1466" s="83" t="s">
        <v>168</v>
      </c>
      <c r="F1466" s="180">
        <v>46034</v>
      </c>
      <c r="G1466" s="83">
        <v>317</v>
      </c>
      <c r="H1466" s="180">
        <v>46021</v>
      </c>
      <c r="I1466" s="180" t="s">
        <v>202</v>
      </c>
      <c r="J1466" s="83">
        <v>3518741187</v>
      </c>
      <c r="K1466" s="180"/>
      <c r="L1466" s="180">
        <v>46021</v>
      </c>
      <c r="M1466" s="180"/>
      <c r="N1466" s="181">
        <v>0.57459420000000005</v>
      </c>
      <c r="O1466" s="181" t="s">
        <v>170</v>
      </c>
      <c r="P1466" s="83" t="s">
        <v>323</v>
      </c>
      <c r="Q1466" s="177" t="s">
        <v>324</v>
      </c>
      <c r="R1466" s="83"/>
    </row>
    <row r="1467" spans="1:18">
      <c r="A1467" s="83">
        <v>80813631</v>
      </c>
      <c r="B1467" s="186" t="s">
        <v>759</v>
      </c>
      <c r="C1467" s="186" t="s">
        <v>151</v>
      </c>
      <c r="D1467" s="83" t="s">
        <v>428</v>
      </c>
      <c r="E1467" s="83" t="s">
        <v>168</v>
      </c>
      <c r="F1467" s="180">
        <v>46034</v>
      </c>
      <c r="G1467" s="83">
        <v>312</v>
      </c>
      <c r="H1467" s="180">
        <v>46021</v>
      </c>
      <c r="I1467" s="180" t="s">
        <v>202</v>
      </c>
      <c r="J1467" s="83">
        <v>3518741188</v>
      </c>
      <c r="K1467" s="180"/>
      <c r="L1467" s="180">
        <v>46021</v>
      </c>
      <c r="M1467" s="180"/>
      <c r="N1467" s="181">
        <v>0.56553120000000001</v>
      </c>
      <c r="O1467" s="181" t="s">
        <v>170</v>
      </c>
      <c r="P1467" s="83" t="s">
        <v>323</v>
      </c>
      <c r="Q1467" s="177" t="s">
        <v>324</v>
      </c>
      <c r="R1467" s="83"/>
    </row>
    <row r="1468" spans="1:18">
      <c r="A1468" s="83">
        <v>80813631</v>
      </c>
      <c r="B1468" s="186" t="s">
        <v>759</v>
      </c>
      <c r="C1468" s="186" t="s">
        <v>152</v>
      </c>
      <c r="D1468" s="83" t="s">
        <v>428</v>
      </c>
      <c r="E1468" s="83" t="s">
        <v>168</v>
      </c>
      <c r="F1468" s="180">
        <v>46034</v>
      </c>
      <c r="G1468" s="83">
        <v>50</v>
      </c>
      <c r="H1468" s="180">
        <v>46021</v>
      </c>
      <c r="I1468" s="180" t="s">
        <v>202</v>
      </c>
      <c r="J1468" s="83">
        <v>3518741189</v>
      </c>
      <c r="K1468" s="180"/>
      <c r="L1468" s="180">
        <v>46021</v>
      </c>
      <c r="M1468" s="180"/>
      <c r="N1468" s="181">
        <v>9.0630000000000002E-2</v>
      </c>
      <c r="O1468" s="181" t="s">
        <v>170</v>
      </c>
      <c r="P1468" s="83" t="s">
        <v>323</v>
      </c>
      <c r="Q1468" s="177" t="s">
        <v>324</v>
      </c>
      <c r="R1468" s="83"/>
    </row>
    <row r="1469" spans="1:18">
      <c r="A1469" s="83">
        <v>80813631</v>
      </c>
      <c r="B1469" s="186" t="s">
        <v>759</v>
      </c>
      <c r="C1469" s="186" t="s">
        <v>153</v>
      </c>
      <c r="D1469" s="83" t="s">
        <v>428</v>
      </c>
      <c r="E1469" s="83" t="s">
        <v>168</v>
      </c>
      <c r="F1469" s="180">
        <v>46034</v>
      </c>
      <c r="G1469" s="83">
        <v>17</v>
      </c>
      <c r="H1469" s="180">
        <v>46021</v>
      </c>
      <c r="I1469" s="180" t="s">
        <v>202</v>
      </c>
      <c r="J1469" s="83">
        <v>3518741190</v>
      </c>
      <c r="K1469" s="180"/>
      <c r="L1469" s="180">
        <v>46021</v>
      </c>
      <c r="M1469" s="180"/>
      <c r="N1469" s="181">
        <v>3.08142E-2</v>
      </c>
      <c r="O1469" s="181" t="s">
        <v>170</v>
      </c>
      <c r="P1469" s="83" t="s">
        <v>323</v>
      </c>
      <c r="Q1469" s="177" t="s">
        <v>324</v>
      </c>
      <c r="R1469" s="83"/>
    </row>
    <row r="1470" spans="1:18">
      <c r="A1470" s="83">
        <v>80813631</v>
      </c>
      <c r="B1470" s="186" t="s">
        <v>759</v>
      </c>
      <c r="C1470" s="186" t="s">
        <v>154</v>
      </c>
      <c r="D1470" s="83" t="s">
        <v>428</v>
      </c>
      <c r="E1470" s="83" t="s">
        <v>168</v>
      </c>
      <c r="F1470" s="180">
        <v>46034</v>
      </c>
      <c r="G1470" s="83">
        <v>49</v>
      </c>
      <c r="H1470" s="180">
        <v>46021</v>
      </c>
      <c r="I1470" s="180" t="s">
        <v>202</v>
      </c>
      <c r="J1470" s="83">
        <v>3518741191</v>
      </c>
      <c r="K1470" s="180"/>
      <c r="L1470" s="180">
        <v>46021</v>
      </c>
      <c r="M1470" s="180"/>
      <c r="N1470" s="181">
        <v>8.8817400000000005E-2</v>
      </c>
      <c r="O1470" s="181" t="s">
        <v>170</v>
      </c>
      <c r="P1470" s="83" t="s">
        <v>323</v>
      </c>
      <c r="Q1470" s="177" t="s">
        <v>324</v>
      </c>
      <c r="R1470" s="83"/>
    </row>
    <row r="1471" spans="1:18">
      <c r="A1471" s="83">
        <v>80813631</v>
      </c>
      <c r="B1471" s="186" t="s">
        <v>759</v>
      </c>
      <c r="C1471" s="186" t="s">
        <v>155</v>
      </c>
      <c r="D1471" s="83" t="s">
        <v>428</v>
      </c>
      <c r="E1471" s="83" t="s">
        <v>168</v>
      </c>
      <c r="F1471" s="180">
        <v>46034</v>
      </c>
      <c r="G1471" s="83">
        <v>160</v>
      </c>
      <c r="H1471" s="180">
        <v>46021</v>
      </c>
      <c r="I1471" s="180" t="s">
        <v>202</v>
      </c>
      <c r="J1471" s="83">
        <v>3518741192</v>
      </c>
      <c r="K1471" s="180"/>
      <c r="L1471" s="180">
        <v>46021</v>
      </c>
      <c r="M1471" s="180"/>
      <c r="N1471" s="181">
        <v>0.290016</v>
      </c>
      <c r="O1471" s="181" t="s">
        <v>170</v>
      </c>
      <c r="P1471" s="83" t="s">
        <v>323</v>
      </c>
      <c r="Q1471" s="177" t="s">
        <v>324</v>
      </c>
      <c r="R1471" s="83"/>
    </row>
    <row r="1472" spans="1:18">
      <c r="A1472" s="83">
        <v>80813633</v>
      </c>
      <c r="B1472" s="186" t="s">
        <v>767</v>
      </c>
      <c r="C1472" s="186" t="s">
        <v>143</v>
      </c>
      <c r="D1472" s="83" t="s">
        <v>428</v>
      </c>
      <c r="E1472" s="83" t="s">
        <v>168</v>
      </c>
      <c r="F1472" s="180">
        <v>46034</v>
      </c>
      <c r="G1472" s="83">
        <v>19</v>
      </c>
      <c r="H1472" s="180">
        <v>46021</v>
      </c>
      <c r="I1472" s="180" t="s">
        <v>202</v>
      </c>
      <c r="J1472" s="83">
        <v>3518741193</v>
      </c>
      <c r="K1472" s="180"/>
      <c r="L1472" s="180">
        <v>46021</v>
      </c>
      <c r="M1472" s="180"/>
      <c r="N1472" s="181">
        <v>2.3649300000000002E-2</v>
      </c>
      <c r="O1472" s="181" t="s">
        <v>170</v>
      </c>
      <c r="P1472" s="83" t="s">
        <v>323</v>
      </c>
      <c r="Q1472" s="177" t="s">
        <v>324</v>
      </c>
      <c r="R1472" s="83"/>
    </row>
    <row r="1473" spans="1:18">
      <c r="A1473" s="83">
        <v>80813633</v>
      </c>
      <c r="B1473" s="186" t="s">
        <v>767</v>
      </c>
      <c r="C1473" s="186" t="s">
        <v>150</v>
      </c>
      <c r="D1473" s="83" t="s">
        <v>428</v>
      </c>
      <c r="E1473" s="83" t="s">
        <v>168</v>
      </c>
      <c r="F1473" s="180">
        <v>46034</v>
      </c>
      <c r="G1473" s="83">
        <v>198</v>
      </c>
      <c r="H1473" s="180">
        <v>46021</v>
      </c>
      <c r="I1473" s="180" t="s">
        <v>202</v>
      </c>
      <c r="J1473" s="83">
        <v>3518741194</v>
      </c>
      <c r="K1473" s="180"/>
      <c r="L1473" s="180">
        <v>46021</v>
      </c>
      <c r="M1473" s="180"/>
      <c r="N1473" s="181">
        <v>0.24645059999999999</v>
      </c>
      <c r="O1473" s="181" t="s">
        <v>170</v>
      </c>
      <c r="P1473" s="83" t="s">
        <v>323</v>
      </c>
      <c r="Q1473" s="177" t="s">
        <v>324</v>
      </c>
      <c r="R1473" s="83"/>
    </row>
    <row r="1474" spans="1:18">
      <c r="A1474" s="83">
        <v>80813633</v>
      </c>
      <c r="B1474" s="186" t="s">
        <v>767</v>
      </c>
      <c r="C1474" s="186" t="s">
        <v>151</v>
      </c>
      <c r="D1474" s="83" t="s">
        <v>428</v>
      </c>
      <c r="E1474" s="83" t="s">
        <v>168</v>
      </c>
      <c r="F1474" s="180">
        <v>46034</v>
      </c>
      <c r="G1474" s="83">
        <v>247</v>
      </c>
      <c r="H1474" s="180">
        <v>46021</v>
      </c>
      <c r="I1474" s="180" t="s">
        <v>202</v>
      </c>
      <c r="J1474" s="83">
        <v>3518741195</v>
      </c>
      <c r="K1474" s="180"/>
      <c r="L1474" s="180">
        <v>46021</v>
      </c>
      <c r="M1474" s="180"/>
      <c r="N1474" s="181">
        <v>0.30744090000000002</v>
      </c>
      <c r="O1474" s="181" t="s">
        <v>170</v>
      </c>
      <c r="P1474" s="83" t="s">
        <v>323</v>
      </c>
      <c r="Q1474" s="177" t="s">
        <v>324</v>
      </c>
      <c r="R1474" s="83"/>
    </row>
    <row r="1475" spans="1:18">
      <c r="A1475" s="83">
        <v>80813633</v>
      </c>
      <c r="B1475" s="186" t="s">
        <v>767</v>
      </c>
      <c r="C1475" s="186" t="s">
        <v>152</v>
      </c>
      <c r="D1475" s="83" t="s">
        <v>428</v>
      </c>
      <c r="E1475" s="83" t="s">
        <v>168</v>
      </c>
      <c r="F1475" s="180">
        <v>46034</v>
      </c>
      <c r="G1475" s="83">
        <v>53</v>
      </c>
      <c r="H1475" s="180">
        <v>46021</v>
      </c>
      <c r="I1475" s="180" t="s">
        <v>202</v>
      </c>
      <c r="J1475" s="83">
        <v>3518741196</v>
      </c>
      <c r="K1475" s="180"/>
      <c r="L1475" s="180">
        <v>46021</v>
      </c>
      <c r="M1475" s="180"/>
      <c r="N1475" s="181">
        <v>6.5969100000000003E-2</v>
      </c>
      <c r="O1475" s="181" t="s">
        <v>170</v>
      </c>
      <c r="P1475" s="83" t="s">
        <v>323</v>
      </c>
      <c r="Q1475" s="177" t="s">
        <v>324</v>
      </c>
      <c r="R1475" s="83"/>
    </row>
    <row r="1476" spans="1:18">
      <c r="A1476" s="83">
        <v>80813633</v>
      </c>
      <c r="B1476" s="186" t="s">
        <v>767</v>
      </c>
      <c r="C1476" s="186" t="s">
        <v>153</v>
      </c>
      <c r="D1476" s="83" t="s">
        <v>428</v>
      </c>
      <c r="E1476" s="83" t="s">
        <v>168</v>
      </c>
      <c r="F1476" s="180">
        <v>46034</v>
      </c>
      <c r="G1476" s="83">
        <v>21</v>
      </c>
      <c r="H1476" s="180">
        <v>46021</v>
      </c>
      <c r="I1476" s="180" t="s">
        <v>202</v>
      </c>
      <c r="J1476" s="83">
        <v>3518741197</v>
      </c>
      <c r="K1476" s="180"/>
      <c r="L1476" s="180">
        <v>46021</v>
      </c>
      <c r="M1476" s="180"/>
      <c r="N1476" s="181">
        <v>2.6138700000000001E-2</v>
      </c>
      <c r="O1476" s="181" t="s">
        <v>170</v>
      </c>
      <c r="P1476" s="83" t="s">
        <v>323</v>
      </c>
      <c r="Q1476" s="177" t="s">
        <v>324</v>
      </c>
      <c r="R1476" s="83"/>
    </row>
    <row r="1477" spans="1:18">
      <c r="A1477" s="83">
        <v>80813633</v>
      </c>
      <c r="B1477" s="186" t="s">
        <v>767</v>
      </c>
      <c r="C1477" s="186" t="s">
        <v>154</v>
      </c>
      <c r="D1477" s="83" t="s">
        <v>428</v>
      </c>
      <c r="E1477" s="83" t="s">
        <v>168</v>
      </c>
      <c r="F1477" s="180">
        <v>46034</v>
      </c>
      <c r="G1477" s="83">
        <v>29</v>
      </c>
      <c r="H1477" s="180">
        <v>46021</v>
      </c>
      <c r="I1477" s="180" t="s">
        <v>202</v>
      </c>
      <c r="J1477" s="83">
        <v>3518741198</v>
      </c>
      <c r="K1477" s="180"/>
      <c r="L1477" s="180">
        <v>46021</v>
      </c>
      <c r="M1477" s="180"/>
      <c r="N1477" s="181">
        <v>3.6096299999999998E-2</v>
      </c>
      <c r="O1477" s="181" t="s">
        <v>170</v>
      </c>
      <c r="P1477" s="83" t="s">
        <v>323</v>
      </c>
      <c r="Q1477" s="177" t="s">
        <v>324</v>
      </c>
      <c r="R1477" s="83"/>
    </row>
    <row r="1478" spans="1:18">
      <c r="A1478" s="83">
        <v>80813633</v>
      </c>
      <c r="B1478" s="186" t="s">
        <v>767</v>
      </c>
      <c r="C1478" s="186" t="s">
        <v>155</v>
      </c>
      <c r="D1478" s="83" t="s">
        <v>428</v>
      </c>
      <c r="E1478" s="83" t="s">
        <v>168</v>
      </c>
      <c r="F1478" s="180">
        <v>46034</v>
      </c>
      <c r="G1478" s="83">
        <v>33</v>
      </c>
      <c r="H1478" s="180">
        <v>46021</v>
      </c>
      <c r="I1478" s="180" t="s">
        <v>202</v>
      </c>
      <c r="J1478" s="83">
        <v>3518741199</v>
      </c>
      <c r="K1478" s="180"/>
      <c r="L1478" s="180">
        <v>46021</v>
      </c>
      <c r="M1478" s="180"/>
      <c r="N1478" s="181">
        <v>4.1075100000000003E-2</v>
      </c>
      <c r="O1478" s="181" t="s">
        <v>170</v>
      </c>
      <c r="P1478" s="83" t="s">
        <v>323</v>
      </c>
      <c r="Q1478" s="177" t="s">
        <v>324</v>
      </c>
      <c r="R1478" s="83"/>
    </row>
    <row r="1479" spans="1:18">
      <c r="A1479" s="83">
        <v>80813634</v>
      </c>
      <c r="B1479" s="186" t="s">
        <v>775</v>
      </c>
      <c r="C1479" s="186" t="s">
        <v>143</v>
      </c>
      <c r="D1479" s="83" t="s">
        <v>428</v>
      </c>
      <c r="E1479" s="83" t="s">
        <v>168</v>
      </c>
      <c r="F1479" s="180">
        <v>46034</v>
      </c>
      <c r="G1479" s="83">
        <v>15</v>
      </c>
      <c r="H1479" s="180">
        <v>46021</v>
      </c>
      <c r="I1479" s="180" t="s">
        <v>202</v>
      </c>
      <c r="J1479" s="83">
        <v>3518741200</v>
      </c>
      <c r="K1479" s="180"/>
      <c r="L1479" s="180">
        <v>46021</v>
      </c>
      <c r="M1479" s="180"/>
      <c r="N1479" s="181">
        <v>2.7189000000000001E-2</v>
      </c>
      <c r="O1479" s="181" t="s">
        <v>170</v>
      </c>
      <c r="P1479" s="83" t="s">
        <v>323</v>
      </c>
      <c r="Q1479" s="177" t="s">
        <v>324</v>
      </c>
      <c r="R1479" s="83"/>
    </row>
    <row r="1480" spans="1:18">
      <c r="A1480" s="83">
        <v>80813634</v>
      </c>
      <c r="B1480" s="186" t="s">
        <v>775</v>
      </c>
      <c r="C1480" s="186" t="s">
        <v>150</v>
      </c>
      <c r="D1480" s="83" t="s">
        <v>428</v>
      </c>
      <c r="E1480" s="83" t="s">
        <v>168</v>
      </c>
      <c r="F1480" s="180">
        <v>46034</v>
      </c>
      <c r="G1480" s="83">
        <v>352</v>
      </c>
      <c r="H1480" s="180">
        <v>46021</v>
      </c>
      <c r="I1480" s="180" t="s">
        <v>202</v>
      </c>
      <c r="J1480" s="83">
        <v>3518741201</v>
      </c>
      <c r="K1480" s="180"/>
      <c r="L1480" s="180">
        <v>46021</v>
      </c>
      <c r="M1480" s="180"/>
      <c r="N1480" s="181">
        <v>0.63803520000000002</v>
      </c>
      <c r="O1480" s="181" t="s">
        <v>170</v>
      </c>
      <c r="P1480" s="83" t="s">
        <v>323</v>
      </c>
      <c r="Q1480" s="177" t="s">
        <v>324</v>
      </c>
      <c r="R1480" s="83"/>
    </row>
    <row r="1481" spans="1:18">
      <c r="A1481" s="83">
        <v>80813634</v>
      </c>
      <c r="B1481" s="186" t="s">
        <v>775</v>
      </c>
      <c r="C1481" s="186" t="s">
        <v>151</v>
      </c>
      <c r="D1481" s="83" t="s">
        <v>428</v>
      </c>
      <c r="E1481" s="83" t="s">
        <v>168</v>
      </c>
      <c r="F1481" s="180">
        <v>46034</v>
      </c>
      <c r="G1481" s="83">
        <v>256</v>
      </c>
      <c r="H1481" s="180">
        <v>46021</v>
      </c>
      <c r="I1481" s="180" t="s">
        <v>202</v>
      </c>
      <c r="J1481" s="83">
        <v>3518741202</v>
      </c>
      <c r="K1481" s="180"/>
      <c r="L1481" s="180">
        <v>46021</v>
      </c>
      <c r="M1481" s="180"/>
      <c r="N1481" s="181">
        <v>0.46402559999999998</v>
      </c>
      <c r="O1481" s="181" t="s">
        <v>170</v>
      </c>
      <c r="P1481" s="83" t="s">
        <v>323</v>
      </c>
      <c r="Q1481" s="177" t="s">
        <v>324</v>
      </c>
      <c r="R1481" s="83"/>
    </row>
    <row r="1482" spans="1:18">
      <c r="A1482" s="83">
        <v>80813634</v>
      </c>
      <c r="B1482" s="186" t="s">
        <v>775</v>
      </c>
      <c r="C1482" s="186" t="s">
        <v>152</v>
      </c>
      <c r="D1482" s="83" t="s">
        <v>428</v>
      </c>
      <c r="E1482" s="83" t="s">
        <v>168</v>
      </c>
      <c r="F1482" s="180">
        <v>46034</v>
      </c>
      <c r="G1482" s="83">
        <v>54</v>
      </c>
      <c r="H1482" s="180">
        <v>46021</v>
      </c>
      <c r="I1482" s="180" t="s">
        <v>202</v>
      </c>
      <c r="J1482" s="83">
        <v>3518741203</v>
      </c>
      <c r="K1482" s="180"/>
      <c r="L1482" s="180">
        <v>46021</v>
      </c>
      <c r="M1482" s="180"/>
      <c r="N1482" s="181">
        <v>9.7880400000000006E-2</v>
      </c>
      <c r="O1482" s="181" t="s">
        <v>170</v>
      </c>
      <c r="P1482" s="83" t="s">
        <v>323</v>
      </c>
      <c r="Q1482" s="177" t="s">
        <v>324</v>
      </c>
      <c r="R1482" s="83"/>
    </row>
    <row r="1483" spans="1:18">
      <c r="A1483" s="83">
        <v>80813634</v>
      </c>
      <c r="B1483" s="186" t="s">
        <v>775</v>
      </c>
      <c r="C1483" s="186" t="s">
        <v>153</v>
      </c>
      <c r="D1483" s="83" t="s">
        <v>428</v>
      </c>
      <c r="E1483" s="83" t="s">
        <v>168</v>
      </c>
      <c r="F1483" s="180">
        <v>46034</v>
      </c>
      <c r="G1483" s="83">
        <v>39</v>
      </c>
      <c r="H1483" s="180">
        <v>46021</v>
      </c>
      <c r="I1483" s="180" t="s">
        <v>202</v>
      </c>
      <c r="J1483" s="83">
        <v>3518741204</v>
      </c>
      <c r="K1483" s="180"/>
      <c r="L1483" s="180">
        <v>46021</v>
      </c>
      <c r="M1483" s="180"/>
      <c r="N1483" s="181">
        <v>7.0691400000000001E-2</v>
      </c>
      <c r="O1483" s="181" t="s">
        <v>170</v>
      </c>
      <c r="P1483" s="83" t="s">
        <v>323</v>
      </c>
      <c r="Q1483" s="177" t="s">
        <v>324</v>
      </c>
      <c r="R1483" s="83"/>
    </row>
    <row r="1484" spans="1:18">
      <c r="A1484" s="83">
        <v>80813634</v>
      </c>
      <c r="B1484" s="186" t="s">
        <v>775</v>
      </c>
      <c r="C1484" s="186" t="s">
        <v>154</v>
      </c>
      <c r="D1484" s="83" t="s">
        <v>428</v>
      </c>
      <c r="E1484" s="83" t="s">
        <v>168</v>
      </c>
      <c r="F1484" s="180">
        <v>46034</v>
      </c>
      <c r="G1484" s="83">
        <v>43</v>
      </c>
      <c r="H1484" s="180">
        <v>46021</v>
      </c>
      <c r="I1484" s="180" t="s">
        <v>202</v>
      </c>
      <c r="J1484" s="83">
        <v>3518741205</v>
      </c>
      <c r="K1484" s="180"/>
      <c r="L1484" s="180">
        <v>46021</v>
      </c>
      <c r="M1484" s="180"/>
      <c r="N1484" s="181">
        <v>7.7941800000000006E-2</v>
      </c>
      <c r="O1484" s="181" t="s">
        <v>170</v>
      </c>
      <c r="P1484" s="83" t="s">
        <v>323</v>
      </c>
      <c r="Q1484" s="177" t="s">
        <v>324</v>
      </c>
      <c r="R1484" s="83"/>
    </row>
    <row r="1485" spans="1:18">
      <c r="A1485" s="83">
        <v>80813634</v>
      </c>
      <c r="B1485" s="186" t="s">
        <v>775</v>
      </c>
      <c r="C1485" s="186" t="s">
        <v>155</v>
      </c>
      <c r="D1485" s="83" t="s">
        <v>428</v>
      </c>
      <c r="E1485" s="83" t="s">
        <v>168</v>
      </c>
      <c r="F1485" s="180">
        <v>46034</v>
      </c>
      <c r="G1485" s="83">
        <v>130</v>
      </c>
      <c r="H1485" s="180">
        <v>46021</v>
      </c>
      <c r="I1485" s="180" t="s">
        <v>202</v>
      </c>
      <c r="J1485" s="83">
        <v>3518741206</v>
      </c>
      <c r="K1485" s="180"/>
      <c r="L1485" s="180">
        <v>46021</v>
      </c>
      <c r="M1485" s="180"/>
      <c r="N1485" s="181">
        <v>0.23563799999999999</v>
      </c>
      <c r="O1485" s="181" t="s">
        <v>170</v>
      </c>
      <c r="P1485" s="83" t="s">
        <v>323</v>
      </c>
      <c r="Q1485" s="177" t="s">
        <v>324</v>
      </c>
      <c r="R1485" s="83"/>
    </row>
    <row r="1486" spans="1:18">
      <c r="A1486" s="83">
        <v>80813636</v>
      </c>
      <c r="B1486" s="186" t="s">
        <v>783</v>
      </c>
      <c r="C1486" s="186" t="s">
        <v>143</v>
      </c>
      <c r="D1486" s="83" t="s">
        <v>428</v>
      </c>
      <c r="E1486" s="83" t="s">
        <v>168</v>
      </c>
      <c r="F1486" s="180">
        <v>46034</v>
      </c>
      <c r="G1486" s="83">
        <v>207</v>
      </c>
      <c r="H1486" s="180">
        <v>46021</v>
      </c>
      <c r="I1486" s="180" t="s">
        <v>202</v>
      </c>
      <c r="J1486" s="83">
        <v>3518741207</v>
      </c>
      <c r="K1486" s="180"/>
      <c r="L1486" s="180">
        <v>46021</v>
      </c>
      <c r="M1486" s="180"/>
      <c r="N1486" s="181">
        <v>0.25765290000000002</v>
      </c>
      <c r="O1486" s="181" t="s">
        <v>170</v>
      </c>
      <c r="P1486" s="83" t="s">
        <v>323</v>
      </c>
      <c r="Q1486" s="177" t="s">
        <v>324</v>
      </c>
      <c r="R1486" s="83"/>
    </row>
    <row r="1487" spans="1:18">
      <c r="A1487" s="83">
        <v>80813636</v>
      </c>
      <c r="B1487" s="186" t="s">
        <v>783</v>
      </c>
      <c r="C1487" s="186" t="s">
        <v>150</v>
      </c>
      <c r="D1487" s="83" t="s">
        <v>428</v>
      </c>
      <c r="E1487" s="83" t="s">
        <v>168</v>
      </c>
      <c r="F1487" s="180">
        <v>46034</v>
      </c>
      <c r="G1487" s="83">
        <v>944</v>
      </c>
      <c r="H1487" s="180">
        <v>46021</v>
      </c>
      <c r="I1487" s="180" t="s">
        <v>202</v>
      </c>
      <c r="J1487" s="83">
        <v>3518741208</v>
      </c>
      <c r="K1487" s="180"/>
      <c r="L1487" s="180">
        <v>46021</v>
      </c>
      <c r="M1487" s="180"/>
      <c r="N1487" s="181">
        <v>1.1749968</v>
      </c>
      <c r="O1487" s="181" t="s">
        <v>170</v>
      </c>
      <c r="P1487" s="83" t="s">
        <v>323</v>
      </c>
      <c r="Q1487" s="177" t="s">
        <v>324</v>
      </c>
      <c r="R1487" s="83"/>
    </row>
    <row r="1488" spans="1:18">
      <c r="A1488" s="83">
        <v>80813636</v>
      </c>
      <c r="B1488" s="186" t="s">
        <v>783</v>
      </c>
      <c r="C1488" s="186" t="s">
        <v>151</v>
      </c>
      <c r="D1488" s="83" t="s">
        <v>428</v>
      </c>
      <c r="E1488" s="83" t="s">
        <v>168</v>
      </c>
      <c r="F1488" s="180">
        <v>46034</v>
      </c>
      <c r="G1488" s="83">
        <v>1026</v>
      </c>
      <c r="H1488" s="180">
        <v>46021</v>
      </c>
      <c r="I1488" s="180" t="s">
        <v>202</v>
      </c>
      <c r="J1488" s="83">
        <v>3518741209</v>
      </c>
      <c r="K1488" s="180"/>
      <c r="L1488" s="180">
        <v>46021</v>
      </c>
      <c r="M1488" s="180"/>
      <c r="N1488" s="181">
        <v>1.2770622</v>
      </c>
      <c r="O1488" s="181" t="s">
        <v>170</v>
      </c>
      <c r="P1488" s="83" t="s">
        <v>323</v>
      </c>
      <c r="Q1488" s="177" t="s">
        <v>324</v>
      </c>
      <c r="R1488" s="83"/>
    </row>
    <row r="1489" spans="1:18">
      <c r="A1489" s="83">
        <v>80813636</v>
      </c>
      <c r="B1489" s="186" t="s">
        <v>783</v>
      </c>
      <c r="C1489" s="186" t="s">
        <v>152</v>
      </c>
      <c r="D1489" s="83" t="s">
        <v>428</v>
      </c>
      <c r="E1489" s="83" t="s">
        <v>168</v>
      </c>
      <c r="F1489" s="180">
        <v>46034</v>
      </c>
      <c r="G1489" s="83">
        <v>499</v>
      </c>
      <c r="H1489" s="180">
        <v>46021</v>
      </c>
      <c r="I1489" s="180" t="s">
        <v>202</v>
      </c>
      <c r="J1489" s="83">
        <v>3518741210</v>
      </c>
      <c r="K1489" s="180"/>
      <c r="L1489" s="180">
        <v>46021</v>
      </c>
      <c r="M1489" s="180"/>
      <c r="N1489" s="181">
        <v>0.62110529999999997</v>
      </c>
      <c r="O1489" s="181" t="s">
        <v>170</v>
      </c>
      <c r="P1489" s="83" t="s">
        <v>323</v>
      </c>
      <c r="Q1489" s="177" t="s">
        <v>324</v>
      </c>
      <c r="R1489" s="83"/>
    </row>
    <row r="1490" spans="1:18">
      <c r="A1490" s="83">
        <v>80813636</v>
      </c>
      <c r="B1490" s="186" t="s">
        <v>783</v>
      </c>
      <c r="C1490" s="186" t="s">
        <v>153</v>
      </c>
      <c r="D1490" s="83" t="s">
        <v>428</v>
      </c>
      <c r="E1490" s="83" t="s">
        <v>168</v>
      </c>
      <c r="F1490" s="180">
        <v>46034</v>
      </c>
      <c r="G1490" s="83">
        <v>144</v>
      </c>
      <c r="H1490" s="180">
        <v>46021</v>
      </c>
      <c r="I1490" s="180" t="s">
        <v>202</v>
      </c>
      <c r="J1490" s="83">
        <v>3518741211</v>
      </c>
      <c r="K1490" s="180"/>
      <c r="L1490" s="180">
        <v>46021</v>
      </c>
      <c r="M1490" s="180"/>
      <c r="N1490" s="181">
        <v>0.1792368</v>
      </c>
      <c r="O1490" s="181" t="s">
        <v>170</v>
      </c>
      <c r="P1490" s="83" t="s">
        <v>323</v>
      </c>
      <c r="Q1490" s="177" t="s">
        <v>324</v>
      </c>
      <c r="R1490" s="83"/>
    </row>
    <row r="1491" spans="1:18">
      <c r="A1491" s="83">
        <v>80813636</v>
      </c>
      <c r="B1491" s="186" t="s">
        <v>783</v>
      </c>
      <c r="C1491" s="186" t="s">
        <v>154</v>
      </c>
      <c r="D1491" s="83" t="s">
        <v>428</v>
      </c>
      <c r="E1491" s="83" t="s">
        <v>168</v>
      </c>
      <c r="F1491" s="180">
        <v>46034</v>
      </c>
      <c r="G1491" s="83">
        <v>147</v>
      </c>
      <c r="H1491" s="180">
        <v>46021</v>
      </c>
      <c r="I1491" s="180" t="s">
        <v>202</v>
      </c>
      <c r="J1491" s="83">
        <v>3518741212</v>
      </c>
      <c r="K1491" s="180"/>
      <c r="L1491" s="180">
        <v>46021</v>
      </c>
      <c r="M1491" s="180"/>
      <c r="N1491" s="181">
        <v>0.18297089999999999</v>
      </c>
      <c r="O1491" s="181" t="s">
        <v>170</v>
      </c>
      <c r="P1491" s="83" t="s">
        <v>323</v>
      </c>
      <c r="Q1491" s="177" t="s">
        <v>324</v>
      </c>
      <c r="R1491" s="83"/>
    </row>
    <row r="1492" spans="1:18">
      <c r="A1492" s="83">
        <v>80813636</v>
      </c>
      <c r="B1492" s="186" t="s">
        <v>783</v>
      </c>
      <c r="C1492" s="186" t="s">
        <v>155</v>
      </c>
      <c r="D1492" s="83" t="s">
        <v>428</v>
      </c>
      <c r="E1492" s="83" t="s">
        <v>168</v>
      </c>
      <c r="F1492" s="180">
        <v>46034</v>
      </c>
      <c r="G1492" s="83">
        <v>465</v>
      </c>
      <c r="H1492" s="180">
        <v>46021</v>
      </c>
      <c r="I1492" s="180" t="s">
        <v>202</v>
      </c>
      <c r="J1492" s="83">
        <v>3518741213</v>
      </c>
      <c r="K1492" s="180"/>
      <c r="L1492" s="180">
        <v>46021</v>
      </c>
      <c r="M1492" s="180"/>
      <c r="N1492" s="181">
        <v>0.57878549999999995</v>
      </c>
      <c r="O1492" s="181" t="s">
        <v>170</v>
      </c>
      <c r="P1492" s="83" t="s">
        <v>323</v>
      </c>
      <c r="Q1492" s="177" t="s">
        <v>324</v>
      </c>
      <c r="R1492" s="83"/>
    </row>
    <row r="1493" spans="1:18">
      <c r="A1493" s="83">
        <v>80813637</v>
      </c>
      <c r="B1493" s="186" t="s">
        <v>266</v>
      </c>
      <c r="C1493" s="186" t="s">
        <v>143</v>
      </c>
      <c r="D1493" s="83" t="s">
        <v>428</v>
      </c>
      <c r="E1493" s="83" t="s">
        <v>168</v>
      </c>
      <c r="F1493" s="180">
        <v>46034</v>
      </c>
      <c r="G1493" s="83">
        <v>198</v>
      </c>
      <c r="H1493" s="180">
        <v>46021</v>
      </c>
      <c r="I1493" s="180" t="s">
        <v>202</v>
      </c>
      <c r="J1493" s="83">
        <v>3518741214</v>
      </c>
      <c r="K1493" s="180"/>
      <c r="L1493" s="180">
        <v>46021</v>
      </c>
      <c r="M1493" s="180"/>
      <c r="N1493" s="181">
        <v>0.35889480000000001</v>
      </c>
      <c r="O1493" s="181" t="s">
        <v>170</v>
      </c>
      <c r="P1493" s="83" t="s">
        <v>323</v>
      </c>
      <c r="Q1493" s="177" t="s">
        <v>324</v>
      </c>
      <c r="R1493" s="83"/>
    </row>
    <row r="1494" spans="1:18">
      <c r="A1494" s="83">
        <v>80813637</v>
      </c>
      <c r="B1494" s="186" t="s">
        <v>266</v>
      </c>
      <c r="C1494" s="186" t="s">
        <v>150</v>
      </c>
      <c r="D1494" s="83" t="s">
        <v>428</v>
      </c>
      <c r="E1494" s="83" t="s">
        <v>168</v>
      </c>
      <c r="F1494" s="180">
        <v>46034</v>
      </c>
      <c r="G1494" s="83">
        <v>1541</v>
      </c>
      <c r="H1494" s="180">
        <v>46021</v>
      </c>
      <c r="I1494" s="180" t="s">
        <v>202</v>
      </c>
      <c r="J1494" s="83">
        <v>3518741215</v>
      </c>
      <c r="K1494" s="180"/>
      <c r="L1494" s="180">
        <v>46021</v>
      </c>
      <c r="M1494" s="180"/>
      <c r="N1494" s="181">
        <v>2.7932166</v>
      </c>
      <c r="O1494" s="181" t="s">
        <v>170</v>
      </c>
      <c r="P1494" s="83" t="s">
        <v>323</v>
      </c>
      <c r="Q1494" s="177" t="s">
        <v>324</v>
      </c>
      <c r="R1494" s="83"/>
    </row>
    <row r="1495" spans="1:18">
      <c r="A1495" s="83">
        <v>80813637</v>
      </c>
      <c r="B1495" s="186" t="s">
        <v>266</v>
      </c>
      <c r="C1495" s="186" t="s">
        <v>151</v>
      </c>
      <c r="D1495" s="83" t="s">
        <v>428</v>
      </c>
      <c r="E1495" s="83" t="s">
        <v>168</v>
      </c>
      <c r="F1495" s="180">
        <v>46034</v>
      </c>
      <c r="G1495" s="83">
        <v>1269</v>
      </c>
      <c r="H1495" s="180">
        <v>46021</v>
      </c>
      <c r="I1495" s="180" t="s">
        <v>202</v>
      </c>
      <c r="J1495" s="83">
        <v>3518741216</v>
      </c>
      <c r="K1495" s="180"/>
      <c r="L1495" s="180">
        <v>46021</v>
      </c>
      <c r="M1495" s="180"/>
      <c r="N1495" s="181">
        <v>2.3001893999999998</v>
      </c>
      <c r="O1495" s="181" t="s">
        <v>170</v>
      </c>
      <c r="P1495" s="83" t="s">
        <v>323</v>
      </c>
      <c r="Q1495" s="177" t="s">
        <v>324</v>
      </c>
      <c r="R1495" s="83"/>
    </row>
    <row r="1496" spans="1:18">
      <c r="A1496" s="83">
        <v>80813637</v>
      </c>
      <c r="B1496" s="186" t="s">
        <v>266</v>
      </c>
      <c r="C1496" s="186" t="s">
        <v>152</v>
      </c>
      <c r="D1496" s="83" t="s">
        <v>428</v>
      </c>
      <c r="E1496" s="83" t="s">
        <v>168</v>
      </c>
      <c r="F1496" s="180">
        <v>46034</v>
      </c>
      <c r="G1496" s="83">
        <v>261</v>
      </c>
      <c r="H1496" s="180">
        <v>46021</v>
      </c>
      <c r="I1496" s="180" t="s">
        <v>202</v>
      </c>
      <c r="J1496" s="83">
        <v>3518741217</v>
      </c>
      <c r="K1496" s="180"/>
      <c r="L1496" s="180">
        <v>46021</v>
      </c>
      <c r="M1496" s="180"/>
      <c r="N1496" s="181">
        <v>0.47308860000000003</v>
      </c>
      <c r="O1496" s="181" t="s">
        <v>170</v>
      </c>
      <c r="P1496" s="83" t="s">
        <v>323</v>
      </c>
      <c r="Q1496" s="177" t="s">
        <v>324</v>
      </c>
      <c r="R1496" s="83"/>
    </row>
    <row r="1497" spans="1:18">
      <c r="A1497" s="83">
        <v>80813637</v>
      </c>
      <c r="B1497" s="186" t="s">
        <v>266</v>
      </c>
      <c r="C1497" s="186" t="s">
        <v>153</v>
      </c>
      <c r="D1497" s="83" t="s">
        <v>428</v>
      </c>
      <c r="E1497" s="83" t="s">
        <v>168</v>
      </c>
      <c r="F1497" s="180">
        <v>46034</v>
      </c>
      <c r="G1497" s="83">
        <v>102</v>
      </c>
      <c r="H1497" s="180">
        <v>46021</v>
      </c>
      <c r="I1497" s="180" t="s">
        <v>202</v>
      </c>
      <c r="J1497" s="83">
        <v>3518741218</v>
      </c>
      <c r="K1497" s="180"/>
      <c r="L1497" s="180">
        <v>46021</v>
      </c>
      <c r="M1497" s="180"/>
      <c r="N1497" s="181">
        <v>0.1848852</v>
      </c>
      <c r="O1497" s="181" t="s">
        <v>170</v>
      </c>
      <c r="P1497" s="83" t="s">
        <v>323</v>
      </c>
      <c r="Q1497" s="177" t="s">
        <v>324</v>
      </c>
      <c r="R1497" s="83"/>
    </row>
    <row r="1498" spans="1:18">
      <c r="A1498" s="83">
        <v>80813637</v>
      </c>
      <c r="B1498" s="186" t="s">
        <v>266</v>
      </c>
      <c r="C1498" s="186" t="s">
        <v>154</v>
      </c>
      <c r="D1498" s="83" t="s">
        <v>428</v>
      </c>
      <c r="E1498" s="83" t="s">
        <v>168</v>
      </c>
      <c r="F1498" s="180">
        <v>46034</v>
      </c>
      <c r="G1498" s="83">
        <v>179</v>
      </c>
      <c r="H1498" s="180">
        <v>46021</v>
      </c>
      <c r="I1498" s="180" t="s">
        <v>202</v>
      </c>
      <c r="J1498" s="83">
        <v>3518741219</v>
      </c>
      <c r="K1498" s="180"/>
      <c r="L1498" s="180">
        <v>46021</v>
      </c>
      <c r="M1498" s="180"/>
      <c r="N1498" s="181">
        <v>0.3244554</v>
      </c>
      <c r="O1498" s="181" t="s">
        <v>170</v>
      </c>
      <c r="P1498" s="83" t="s">
        <v>323</v>
      </c>
      <c r="Q1498" s="177" t="s">
        <v>324</v>
      </c>
      <c r="R1498" s="83"/>
    </row>
    <row r="1499" spans="1:18">
      <c r="A1499" s="83">
        <v>80813637</v>
      </c>
      <c r="B1499" s="186" t="s">
        <v>266</v>
      </c>
      <c r="C1499" s="186" t="s">
        <v>155</v>
      </c>
      <c r="D1499" s="83" t="s">
        <v>428</v>
      </c>
      <c r="E1499" s="83" t="s">
        <v>168</v>
      </c>
      <c r="F1499" s="180">
        <v>46034</v>
      </c>
      <c r="G1499" s="83">
        <v>473</v>
      </c>
      <c r="H1499" s="180">
        <v>46021</v>
      </c>
      <c r="I1499" s="180" t="s">
        <v>202</v>
      </c>
      <c r="J1499" s="83">
        <v>3518741220</v>
      </c>
      <c r="K1499" s="180"/>
      <c r="L1499" s="180">
        <v>46021</v>
      </c>
      <c r="M1499" s="180"/>
      <c r="N1499" s="181">
        <v>0.85735980000000001</v>
      </c>
      <c r="O1499" s="181" t="s">
        <v>170</v>
      </c>
      <c r="P1499" s="83" t="s">
        <v>323</v>
      </c>
      <c r="Q1499" s="177" t="s">
        <v>324</v>
      </c>
      <c r="R1499" s="83"/>
    </row>
    <row r="1500" spans="1:18">
      <c r="A1500" s="83">
        <v>80813642</v>
      </c>
      <c r="B1500" s="186" t="s">
        <v>798</v>
      </c>
      <c r="C1500" s="186" t="s">
        <v>143</v>
      </c>
      <c r="D1500" s="83" t="s">
        <v>428</v>
      </c>
      <c r="E1500" s="83" t="s">
        <v>168</v>
      </c>
      <c r="F1500" s="180">
        <v>46034</v>
      </c>
      <c r="G1500" s="83">
        <v>11</v>
      </c>
      <c r="H1500" s="180">
        <v>46021</v>
      </c>
      <c r="I1500" s="180" t="s">
        <v>202</v>
      </c>
      <c r="J1500" s="83">
        <v>3518741221</v>
      </c>
      <c r="K1500" s="180"/>
      <c r="L1500" s="180">
        <v>46021</v>
      </c>
      <c r="M1500" s="180"/>
      <c r="N1500" s="181">
        <v>1.3691699999999999E-2</v>
      </c>
      <c r="O1500" s="181" t="s">
        <v>170</v>
      </c>
      <c r="P1500" s="83" t="s">
        <v>323</v>
      </c>
      <c r="Q1500" s="177" t="s">
        <v>324</v>
      </c>
      <c r="R1500" s="83"/>
    </row>
    <row r="1501" spans="1:18">
      <c r="A1501" s="83">
        <v>80813642</v>
      </c>
      <c r="B1501" s="186" t="s">
        <v>798</v>
      </c>
      <c r="C1501" s="186" t="s">
        <v>150</v>
      </c>
      <c r="D1501" s="83" t="s">
        <v>428</v>
      </c>
      <c r="E1501" s="83" t="s">
        <v>168</v>
      </c>
      <c r="F1501" s="180">
        <v>46034</v>
      </c>
      <c r="G1501" s="83">
        <v>213</v>
      </c>
      <c r="H1501" s="180">
        <v>46021</v>
      </c>
      <c r="I1501" s="180" t="s">
        <v>202</v>
      </c>
      <c r="J1501" s="83">
        <v>3518741222</v>
      </c>
      <c r="K1501" s="180"/>
      <c r="L1501" s="180">
        <v>46021</v>
      </c>
      <c r="M1501" s="180"/>
      <c r="N1501" s="181">
        <v>0.2651211</v>
      </c>
      <c r="O1501" s="181" t="s">
        <v>170</v>
      </c>
      <c r="P1501" s="83" t="s">
        <v>323</v>
      </c>
      <c r="Q1501" s="177" t="s">
        <v>324</v>
      </c>
      <c r="R1501" s="83"/>
    </row>
    <row r="1502" spans="1:18">
      <c r="A1502" s="83">
        <v>80813642</v>
      </c>
      <c r="B1502" s="186" t="s">
        <v>798</v>
      </c>
      <c r="C1502" s="186" t="s">
        <v>151</v>
      </c>
      <c r="D1502" s="83" t="s">
        <v>428</v>
      </c>
      <c r="E1502" s="83" t="s">
        <v>168</v>
      </c>
      <c r="F1502" s="180">
        <v>46034</v>
      </c>
      <c r="G1502" s="83">
        <v>208</v>
      </c>
      <c r="H1502" s="180">
        <v>46021</v>
      </c>
      <c r="I1502" s="180" t="s">
        <v>202</v>
      </c>
      <c r="J1502" s="83">
        <v>3518741223</v>
      </c>
      <c r="K1502" s="180"/>
      <c r="L1502" s="180">
        <v>46021</v>
      </c>
      <c r="M1502" s="180"/>
      <c r="N1502" s="181">
        <v>0.25889760000000001</v>
      </c>
      <c r="O1502" s="181" t="s">
        <v>170</v>
      </c>
      <c r="P1502" s="83" t="s">
        <v>323</v>
      </c>
      <c r="Q1502" s="177" t="s">
        <v>324</v>
      </c>
      <c r="R1502" s="83"/>
    </row>
    <row r="1503" spans="1:18">
      <c r="A1503" s="83">
        <v>80813642</v>
      </c>
      <c r="B1503" s="186" t="s">
        <v>798</v>
      </c>
      <c r="C1503" s="186" t="s">
        <v>152</v>
      </c>
      <c r="D1503" s="83" t="s">
        <v>428</v>
      </c>
      <c r="E1503" s="83" t="s">
        <v>168</v>
      </c>
      <c r="F1503" s="180">
        <v>46034</v>
      </c>
      <c r="G1503" s="83">
        <v>47</v>
      </c>
      <c r="H1503" s="180">
        <v>46021</v>
      </c>
      <c r="I1503" s="180" t="s">
        <v>202</v>
      </c>
      <c r="J1503" s="83">
        <v>3518741224</v>
      </c>
      <c r="K1503" s="180"/>
      <c r="L1503" s="180">
        <v>46021</v>
      </c>
      <c r="M1503" s="180"/>
      <c r="N1503" s="181">
        <v>5.8500900000000002E-2</v>
      </c>
      <c r="O1503" s="181" t="s">
        <v>170</v>
      </c>
      <c r="P1503" s="83" t="s">
        <v>323</v>
      </c>
      <c r="Q1503" s="177" t="s">
        <v>324</v>
      </c>
      <c r="R1503" s="83"/>
    </row>
    <row r="1504" spans="1:18">
      <c r="A1504" s="83">
        <v>80813642</v>
      </c>
      <c r="B1504" s="186" t="s">
        <v>798</v>
      </c>
      <c r="C1504" s="186" t="s">
        <v>153</v>
      </c>
      <c r="D1504" s="83" t="s">
        <v>428</v>
      </c>
      <c r="E1504" s="83" t="s">
        <v>168</v>
      </c>
      <c r="F1504" s="180">
        <v>46034</v>
      </c>
      <c r="G1504" s="83">
        <v>13</v>
      </c>
      <c r="H1504" s="180">
        <v>46021</v>
      </c>
      <c r="I1504" s="180" t="s">
        <v>202</v>
      </c>
      <c r="J1504" s="83">
        <v>3518741225</v>
      </c>
      <c r="K1504" s="180"/>
      <c r="L1504" s="180">
        <v>46021</v>
      </c>
      <c r="M1504" s="180"/>
      <c r="N1504" s="181">
        <v>1.61811E-2</v>
      </c>
      <c r="O1504" s="181" t="s">
        <v>170</v>
      </c>
      <c r="P1504" s="83" t="s">
        <v>323</v>
      </c>
      <c r="Q1504" s="177" t="s">
        <v>324</v>
      </c>
      <c r="R1504" s="83"/>
    </row>
    <row r="1505" spans="1:18">
      <c r="A1505" s="83">
        <v>80813642</v>
      </c>
      <c r="B1505" s="186" t="s">
        <v>798</v>
      </c>
      <c r="C1505" s="186" t="s">
        <v>154</v>
      </c>
      <c r="D1505" s="83" t="s">
        <v>428</v>
      </c>
      <c r="E1505" s="83" t="s">
        <v>168</v>
      </c>
      <c r="F1505" s="180">
        <v>46034</v>
      </c>
      <c r="G1505" s="83">
        <v>31</v>
      </c>
      <c r="H1505" s="180">
        <v>46021</v>
      </c>
      <c r="I1505" s="180" t="s">
        <v>202</v>
      </c>
      <c r="J1505" s="83">
        <v>3518741226</v>
      </c>
      <c r="K1505" s="180"/>
      <c r="L1505" s="180">
        <v>46021</v>
      </c>
      <c r="M1505" s="180"/>
      <c r="N1505" s="181">
        <v>3.8585700000000001E-2</v>
      </c>
      <c r="O1505" s="181" t="s">
        <v>170</v>
      </c>
      <c r="P1505" s="83" t="s">
        <v>323</v>
      </c>
      <c r="Q1505" s="177" t="s">
        <v>324</v>
      </c>
      <c r="R1505" s="83"/>
    </row>
    <row r="1506" spans="1:18">
      <c r="A1506" s="83">
        <v>80813642</v>
      </c>
      <c r="B1506" s="186" t="s">
        <v>798</v>
      </c>
      <c r="C1506" s="186" t="s">
        <v>155</v>
      </c>
      <c r="D1506" s="83" t="s">
        <v>428</v>
      </c>
      <c r="E1506" s="83" t="s">
        <v>168</v>
      </c>
      <c r="F1506" s="180">
        <v>46034</v>
      </c>
      <c r="G1506" s="83">
        <v>54</v>
      </c>
      <c r="H1506" s="180">
        <v>46021</v>
      </c>
      <c r="I1506" s="180" t="s">
        <v>202</v>
      </c>
      <c r="J1506" s="83">
        <v>3518741227</v>
      </c>
      <c r="K1506" s="180"/>
      <c r="L1506" s="180">
        <v>46021</v>
      </c>
      <c r="M1506" s="180"/>
      <c r="N1506" s="181">
        <v>6.7213800000000004E-2</v>
      </c>
      <c r="O1506" s="181" t="s">
        <v>170</v>
      </c>
      <c r="P1506" s="83" t="s">
        <v>323</v>
      </c>
      <c r="Q1506" s="177" t="s">
        <v>324</v>
      </c>
      <c r="R1506" s="83"/>
    </row>
    <row r="1507" spans="1:18">
      <c r="A1507" s="83">
        <v>80823373</v>
      </c>
      <c r="B1507" s="186" t="s">
        <v>806</v>
      </c>
      <c r="C1507" s="186" t="s">
        <v>143</v>
      </c>
      <c r="D1507" s="83" t="s">
        <v>428</v>
      </c>
      <c r="E1507" s="83" t="s">
        <v>168</v>
      </c>
      <c r="F1507" s="180">
        <v>46034</v>
      </c>
      <c r="G1507" s="83">
        <v>9</v>
      </c>
      <c r="H1507" s="180">
        <v>46021</v>
      </c>
      <c r="I1507" s="180" t="s">
        <v>202</v>
      </c>
      <c r="J1507" s="83">
        <v>3518741228</v>
      </c>
      <c r="K1507" s="180"/>
      <c r="L1507" s="180">
        <v>46021</v>
      </c>
      <c r="M1507" s="180"/>
      <c r="N1507" s="181">
        <v>8.1566999999999994E-3</v>
      </c>
      <c r="O1507" s="181" t="s">
        <v>170</v>
      </c>
      <c r="P1507" s="83" t="s">
        <v>323</v>
      </c>
      <c r="Q1507" s="177" t="s">
        <v>324</v>
      </c>
      <c r="R1507" s="83"/>
    </row>
    <row r="1508" spans="1:18">
      <c r="A1508" s="83">
        <v>80823373</v>
      </c>
      <c r="B1508" s="186" t="s">
        <v>806</v>
      </c>
      <c r="C1508" s="186" t="s">
        <v>150</v>
      </c>
      <c r="D1508" s="83" t="s">
        <v>428</v>
      </c>
      <c r="E1508" s="83" t="s">
        <v>168</v>
      </c>
      <c r="F1508" s="180">
        <v>46034</v>
      </c>
      <c r="G1508" s="83">
        <v>8</v>
      </c>
      <c r="H1508" s="180">
        <v>46021</v>
      </c>
      <c r="I1508" s="180" t="s">
        <v>202</v>
      </c>
      <c r="J1508" s="83">
        <v>3518741229</v>
      </c>
      <c r="K1508" s="180"/>
      <c r="L1508" s="180">
        <v>46021</v>
      </c>
      <c r="M1508" s="180"/>
      <c r="N1508" s="181">
        <v>7.2503999999999997E-3</v>
      </c>
      <c r="O1508" s="181" t="s">
        <v>170</v>
      </c>
      <c r="P1508" s="83" t="s">
        <v>323</v>
      </c>
      <c r="Q1508" s="177" t="s">
        <v>324</v>
      </c>
      <c r="R1508" s="83"/>
    </row>
    <row r="1509" spans="1:18">
      <c r="A1509" s="83">
        <v>80823373</v>
      </c>
      <c r="B1509" s="186" t="s">
        <v>806</v>
      </c>
      <c r="C1509" s="186" t="s">
        <v>151</v>
      </c>
      <c r="D1509" s="83" t="s">
        <v>428</v>
      </c>
      <c r="E1509" s="83" t="s">
        <v>168</v>
      </c>
      <c r="F1509" s="180">
        <v>46034</v>
      </c>
      <c r="G1509" s="83">
        <v>6</v>
      </c>
      <c r="H1509" s="180">
        <v>46021</v>
      </c>
      <c r="I1509" s="180" t="s">
        <v>202</v>
      </c>
      <c r="J1509" s="83">
        <v>3518741230</v>
      </c>
      <c r="K1509" s="180"/>
      <c r="L1509" s="180">
        <v>46021</v>
      </c>
      <c r="M1509" s="180"/>
      <c r="N1509" s="181">
        <v>5.4377999999999996E-3</v>
      </c>
      <c r="O1509" s="181" t="s">
        <v>170</v>
      </c>
      <c r="P1509" s="83" t="s">
        <v>323</v>
      </c>
      <c r="Q1509" s="177" t="s">
        <v>324</v>
      </c>
      <c r="R1509" s="83"/>
    </row>
    <row r="1510" spans="1:18">
      <c r="A1510" s="83">
        <v>80823373</v>
      </c>
      <c r="B1510" s="186" t="s">
        <v>806</v>
      </c>
      <c r="C1510" s="186" t="s">
        <v>152</v>
      </c>
      <c r="D1510" s="83" t="s">
        <v>428</v>
      </c>
      <c r="E1510" s="83" t="s">
        <v>168</v>
      </c>
      <c r="F1510" s="180">
        <v>46034</v>
      </c>
      <c r="G1510" s="83">
        <v>8</v>
      </c>
      <c r="H1510" s="180">
        <v>46021</v>
      </c>
      <c r="I1510" s="180" t="s">
        <v>202</v>
      </c>
      <c r="J1510" s="83">
        <v>3518741231</v>
      </c>
      <c r="K1510" s="180"/>
      <c r="L1510" s="180">
        <v>46021</v>
      </c>
      <c r="M1510" s="180"/>
      <c r="N1510" s="181">
        <v>7.2503999999999997E-3</v>
      </c>
      <c r="O1510" s="181" t="s">
        <v>170</v>
      </c>
      <c r="P1510" s="83" t="s">
        <v>323</v>
      </c>
      <c r="Q1510" s="177" t="s">
        <v>324</v>
      </c>
      <c r="R1510" s="83"/>
    </row>
    <row r="1511" spans="1:18">
      <c r="A1511" s="83">
        <v>80823373</v>
      </c>
      <c r="B1511" s="186" t="s">
        <v>806</v>
      </c>
      <c r="C1511" s="186" t="s">
        <v>154</v>
      </c>
      <c r="D1511" s="83" t="s">
        <v>428</v>
      </c>
      <c r="E1511" s="83" t="s">
        <v>168</v>
      </c>
      <c r="F1511" s="180">
        <v>46034</v>
      </c>
      <c r="G1511" s="83">
        <v>8</v>
      </c>
      <c r="H1511" s="180">
        <v>46021</v>
      </c>
      <c r="I1511" s="180" t="s">
        <v>202</v>
      </c>
      <c r="J1511" s="83">
        <v>3518741232</v>
      </c>
      <c r="K1511" s="180"/>
      <c r="L1511" s="180">
        <v>46021</v>
      </c>
      <c r="M1511" s="180"/>
      <c r="N1511" s="181">
        <v>7.2503999999999997E-3</v>
      </c>
      <c r="O1511" s="181" t="s">
        <v>170</v>
      </c>
      <c r="P1511" s="83" t="s">
        <v>323</v>
      </c>
      <c r="Q1511" s="177" t="s">
        <v>324</v>
      </c>
      <c r="R1511" s="83"/>
    </row>
    <row r="1512" spans="1:18">
      <c r="A1512" s="83">
        <v>80823373</v>
      </c>
      <c r="B1512" s="186" t="s">
        <v>806</v>
      </c>
      <c r="C1512" s="186" t="s">
        <v>155</v>
      </c>
      <c r="D1512" s="83" t="s">
        <v>428</v>
      </c>
      <c r="E1512" s="83" t="s">
        <v>168</v>
      </c>
      <c r="F1512" s="180">
        <v>46034</v>
      </c>
      <c r="G1512" s="83">
        <v>12</v>
      </c>
      <c r="H1512" s="180">
        <v>46021</v>
      </c>
      <c r="I1512" s="180" t="s">
        <v>202</v>
      </c>
      <c r="J1512" s="83">
        <v>3518741233</v>
      </c>
      <c r="K1512" s="180"/>
      <c r="L1512" s="180">
        <v>46021</v>
      </c>
      <c r="M1512" s="180"/>
      <c r="N1512" s="181">
        <v>1.0875599999999999E-2</v>
      </c>
      <c r="O1512" s="181" t="s">
        <v>170</v>
      </c>
      <c r="P1512" s="83" t="s">
        <v>323</v>
      </c>
      <c r="Q1512" s="177" t="s">
        <v>324</v>
      </c>
      <c r="R1512" s="83"/>
    </row>
    <row r="1513" spans="1:18">
      <c r="A1513" s="83">
        <v>80812158</v>
      </c>
      <c r="B1513" s="186" t="s">
        <v>813</v>
      </c>
      <c r="C1513" s="186" t="s">
        <v>143</v>
      </c>
      <c r="D1513" s="83" t="s">
        <v>428</v>
      </c>
      <c r="E1513" s="83" t="s">
        <v>168</v>
      </c>
      <c r="F1513" s="180">
        <v>46034</v>
      </c>
      <c r="G1513" s="83">
        <v>46</v>
      </c>
      <c r="H1513" s="180">
        <v>46021</v>
      </c>
      <c r="I1513" s="180" t="s">
        <v>202</v>
      </c>
      <c r="J1513" s="83">
        <v>3518741234</v>
      </c>
      <c r="K1513" s="180"/>
      <c r="L1513" s="180">
        <v>46021</v>
      </c>
      <c r="M1513" s="180"/>
      <c r="N1513" s="181">
        <v>8.3379599999999998E-2</v>
      </c>
      <c r="O1513" s="181" t="s">
        <v>170</v>
      </c>
      <c r="P1513" s="83" t="s">
        <v>323</v>
      </c>
      <c r="Q1513" s="177" t="s">
        <v>324</v>
      </c>
      <c r="R1513" s="83"/>
    </row>
    <row r="1514" spans="1:18">
      <c r="A1514" s="83">
        <v>80812158</v>
      </c>
      <c r="B1514" s="186" t="s">
        <v>813</v>
      </c>
      <c r="C1514" s="186" t="s">
        <v>150</v>
      </c>
      <c r="D1514" s="83" t="s">
        <v>428</v>
      </c>
      <c r="E1514" s="83" t="s">
        <v>168</v>
      </c>
      <c r="F1514" s="180">
        <v>46034</v>
      </c>
      <c r="G1514" s="83">
        <v>524</v>
      </c>
      <c r="H1514" s="180">
        <v>46021</v>
      </c>
      <c r="I1514" s="180" t="s">
        <v>202</v>
      </c>
      <c r="J1514" s="83">
        <v>3518741235</v>
      </c>
      <c r="K1514" s="180"/>
      <c r="L1514" s="180">
        <v>46021</v>
      </c>
      <c r="M1514" s="180"/>
      <c r="N1514" s="181">
        <v>0.94980240000000005</v>
      </c>
      <c r="O1514" s="181" t="s">
        <v>170</v>
      </c>
      <c r="P1514" s="83" t="s">
        <v>323</v>
      </c>
      <c r="Q1514" s="177" t="s">
        <v>324</v>
      </c>
      <c r="R1514" s="83"/>
    </row>
    <row r="1515" spans="1:18">
      <c r="A1515" s="83">
        <v>80812158</v>
      </c>
      <c r="B1515" s="186" t="s">
        <v>813</v>
      </c>
      <c r="C1515" s="186" t="s">
        <v>151</v>
      </c>
      <c r="D1515" s="83" t="s">
        <v>428</v>
      </c>
      <c r="E1515" s="83" t="s">
        <v>168</v>
      </c>
      <c r="F1515" s="180">
        <v>46034</v>
      </c>
      <c r="G1515" s="83">
        <v>291</v>
      </c>
      <c r="H1515" s="180">
        <v>46021</v>
      </c>
      <c r="I1515" s="180" t="s">
        <v>202</v>
      </c>
      <c r="J1515" s="83">
        <v>3518741236</v>
      </c>
      <c r="K1515" s="180"/>
      <c r="L1515" s="180">
        <v>46021</v>
      </c>
      <c r="M1515" s="180"/>
      <c r="N1515" s="181">
        <v>0.52746660000000001</v>
      </c>
      <c r="O1515" s="181" t="s">
        <v>170</v>
      </c>
      <c r="P1515" s="83" t="s">
        <v>323</v>
      </c>
      <c r="Q1515" s="177" t="s">
        <v>324</v>
      </c>
      <c r="R1515" s="83"/>
    </row>
    <row r="1516" spans="1:18">
      <c r="A1516" s="83">
        <v>80812158</v>
      </c>
      <c r="B1516" s="186" t="s">
        <v>813</v>
      </c>
      <c r="C1516" s="186" t="s">
        <v>152</v>
      </c>
      <c r="D1516" s="83" t="s">
        <v>428</v>
      </c>
      <c r="E1516" s="83" t="s">
        <v>168</v>
      </c>
      <c r="F1516" s="180">
        <v>46034</v>
      </c>
      <c r="G1516" s="83">
        <v>122</v>
      </c>
      <c r="H1516" s="180">
        <v>46021</v>
      </c>
      <c r="I1516" s="180" t="s">
        <v>202</v>
      </c>
      <c r="J1516" s="83">
        <v>3518741237</v>
      </c>
      <c r="K1516" s="180"/>
      <c r="L1516" s="180">
        <v>46021</v>
      </c>
      <c r="M1516" s="180"/>
      <c r="N1516" s="181">
        <v>0.22113720000000001</v>
      </c>
      <c r="O1516" s="181" t="s">
        <v>170</v>
      </c>
      <c r="P1516" s="83" t="s">
        <v>323</v>
      </c>
      <c r="Q1516" s="177" t="s">
        <v>324</v>
      </c>
      <c r="R1516" s="83"/>
    </row>
    <row r="1517" spans="1:18">
      <c r="A1517" s="83">
        <v>80812158</v>
      </c>
      <c r="B1517" s="186" t="s">
        <v>813</v>
      </c>
      <c r="C1517" s="186" t="s">
        <v>153</v>
      </c>
      <c r="D1517" s="83" t="s">
        <v>428</v>
      </c>
      <c r="E1517" s="83" t="s">
        <v>168</v>
      </c>
      <c r="F1517" s="180">
        <v>46034</v>
      </c>
      <c r="G1517" s="83">
        <v>52</v>
      </c>
      <c r="H1517" s="180">
        <v>46021</v>
      </c>
      <c r="I1517" s="180" t="s">
        <v>202</v>
      </c>
      <c r="J1517" s="83">
        <v>3518741238</v>
      </c>
      <c r="K1517" s="180"/>
      <c r="L1517" s="180">
        <v>46021</v>
      </c>
      <c r="M1517" s="180"/>
      <c r="N1517" s="181">
        <v>9.4255199999999997E-2</v>
      </c>
      <c r="O1517" s="181" t="s">
        <v>170</v>
      </c>
      <c r="P1517" s="83" t="s">
        <v>323</v>
      </c>
      <c r="Q1517" s="177" t="s">
        <v>324</v>
      </c>
      <c r="R1517" s="83"/>
    </row>
    <row r="1518" spans="1:18">
      <c r="A1518" s="83">
        <v>80812158</v>
      </c>
      <c r="B1518" s="186" t="s">
        <v>813</v>
      </c>
      <c r="C1518" s="186" t="s">
        <v>154</v>
      </c>
      <c r="D1518" s="83" t="s">
        <v>428</v>
      </c>
      <c r="E1518" s="83" t="s">
        <v>168</v>
      </c>
      <c r="F1518" s="180">
        <v>46034</v>
      </c>
      <c r="G1518" s="83">
        <v>66</v>
      </c>
      <c r="H1518" s="180">
        <v>46021</v>
      </c>
      <c r="I1518" s="180" t="s">
        <v>202</v>
      </c>
      <c r="J1518" s="83">
        <v>3518741239</v>
      </c>
      <c r="K1518" s="180"/>
      <c r="L1518" s="180">
        <v>46021</v>
      </c>
      <c r="M1518" s="180"/>
      <c r="N1518" s="181">
        <v>0.1196316</v>
      </c>
      <c r="O1518" s="181" t="s">
        <v>170</v>
      </c>
      <c r="P1518" s="83" t="s">
        <v>323</v>
      </c>
      <c r="Q1518" s="177" t="s">
        <v>324</v>
      </c>
      <c r="R1518" s="83"/>
    </row>
    <row r="1519" spans="1:18">
      <c r="A1519" s="83">
        <v>80812158</v>
      </c>
      <c r="B1519" s="186" t="s">
        <v>813</v>
      </c>
      <c r="C1519" s="186" t="s">
        <v>155</v>
      </c>
      <c r="D1519" s="83" t="s">
        <v>428</v>
      </c>
      <c r="E1519" s="83" t="s">
        <v>168</v>
      </c>
      <c r="F1519" s="180">
        <v>46034</v>
      </c>
      <c r="G1519" s="83">
        <v>121</v>
      </c>
      <c r="H1519" s="180">
        <v>46021</v>
      </c>
      <c r="I1519" s="180" t="s">
        <v>202</v>
      </c>
      <c r="J1519" s="83">
        <v>3518741240</v>
      </c>
      <c r="K1519" s="180"/>
      <c r="L1519" s="180">
        <v>46021</v>
      </c>
      <c r="M1519" s="180"/>
      <c r="N1519" s="181">
        <v>0.21932460000000001</v>
      </c>
      <c r="O1519" s="181" t="s">
        <v>170</v>
      </c>
      <c r="P1519" s="83" t="s">
        <v>323</v>
      </c>
      <c r="Q1519" s="177" t="s">
        <v>324</v>
      </c>
      <c r="R1519" s="83"/>
    </row>
    <row r="1520" spans="1:18">
      <c r="A1520" s="83">
        <v>80812161</v>
      </c>
      <c r="B1520" s="186" t="s">
        <v>821</v>
      </c>
      <c r="C1520" s="186" t="s">
        <v>143</v>
      </c>
      <c r="D1520" s="83" t="s">
        <v>428</v>
      </c>
      <c r="E1520" s="83" t="s">
        <v>168</v>
      </c>
      <c r="F1520" s="180">
        <v>46034</v>
      </c>
      <c r="G1520" s="83">
        <v>19</v>
      </c>
      <c r="H1520" s="180">
        <v>46021</v>
      </c>
      <c r="I1520" s="180" t="s">
        <v>202</v>
      </c>
      <c r="J1520" s="83">
        <v>3518741241</v>
      </c>
      <c r="K1520" s="180"/>
      <c r="L1520" s="180">
        <v>46021</v>
      </c>
      <c r="M1520" s="180"/>
      <c r="N1520" s="181">
        <v>3.4439400000000002E-2</v>
      </c>
      <c r="O1520" s="181" t="s">
        <v>170</v>
      </c>
      <c r="P1520" s="83" t="s">
        <v>323</v>
      </c>
      <c r="Q1520" s="177" t="s">
        <v>324</v>
      </c>
      <c r="R1520" s="83"/>
    </row>
    <row r="1521" spans="1:18">
      <c r="A1521" s="83">
        <v>80812161</v>
      </c>
      <c r="B1521" s="186" t="s">
        <v>821</v>
      </c>
      <c r="C1521" s="186" t="s">
        <v>150</v>
      </c>
      <c r="D1521" s="83" t="s">
        <v>428</v>
      </c>
      <c r="E1521" s="83" t="s">
        <v>168</v>
      </c>
      <c r="F1521" s="180">
        <v>46034</v>
      </c>
      <c r="G1521" s="83">
        <v>375</v>
      </c>
      <c r="H1521" s="180">
        <v>46021</v>
      </c>
      <c r="I1521" s="180" t="s">
        <v>202</v>
      </c>
      <c r="J1521" s="83">
        <v>3518741242</v>
      </c>
      <c r="K1521" s="180"/>
      <c r="L1521" s="180">
        <v>46021</v>
      </c>
      <c r="M1521" s="180"/>
      <c r="N1521" s="181">
        <v>0.67972500000000002</v>
      </c>
      <c r="O1521" s="181" t="s">
        <v>170</v>
      </c>
      <c r="P1521" s="83" t="s">
        <v>323</v>
      </c>
      <c r="Q1521" s="177" t="s">
        <v>324</v>
      </c>
      <c r="R1521" s="83"/>
    </row>
    <row r="1522" spans="1:18">
      <c r="A1522" s="83">
        <v>80812161</v>
      </c>
      <c r="B1522" s="186" t="s">
        <v>821</v>
      </c>
      <c r="C1522" s="186" t="s">
        <v>151</v>
      </c>
      <c r="D1522" s="83" t="s">
        <v>428</v>
      </c>
      <c r="E1522" s="83" t="s">
        <v>168</v>
      </c>
      <c r="F1522" s="180">
        <v>46034</v>
      </c>
      <c r="G1522" s="83">
        <v>221</v>
      </c>
      <c r="H1522" s="180">
        <v>46021</v>
      </c>
      <c r="I1522" s="180" t="s">
        <v>202</v>
      </c>
      <c r="J1522" s="83">
        <v>3518741243</v>
      </c>
      <c r="K1522" s="180"/>
      <c r="L1522" s="180">
        <v>46021</v>
      </c>
      <c r="M1522" s="180"/>
      <c r="N1522" s="181">
        <v>0.40058460000000001</v>
      </c>
      <c r="O1522" s="181" t="s">
        <v>170</v>
      </c>
      <c r="P1522" s="83" t="s">
        <v>323</v>
      </c>
      <c r="Q1522" s="177" t="s">
        <v>324</v>
      </c>
      <c r="R1522" s="83"/>
    </row>
    <row r="1523" spans="1:18">
      <c r="A1523" s="83">
        <v>80812161</v>
      </c>
      <c r="B1523" s="186" t="s">
        <v>821</v>
      </c>
      <c r="C1523" s="186" t="s">
        <v>152</v>
      </c>
      <c r="D1523" s="83" t="s">
        <v>428</v>
      </c>
      <c r="E1523" s="83" t="s">
        <v>168</v>
      </c>
      <c r="F1523" s="180">
        <v>46034</v>
      </c>
      <c r="G1523" s="83">
        <v>52</v>
      </c>
      <c r="H1523" s="180">
        <v>46021</v>
      </c>
      <c r="I1523" s="180" t="s">
        <v>202</v>
      </c>
      <c r="J1523" s="83">
        <v>3518741244</v>
      </c>
      <c r="K1523" s="180"/>
      <c r="L1523" s="180">
        <v>46021</v>
      </c>
      <c r="M1523" s="180"/>
      <c r="N1523" s="181">
        <v>9.4255199999999997E-2</v>
      </c>
      <c r="O1523" s="181" t="s">
        <v>170</v>
      </c>
      <c r="P1523" s="83" t="s">
        <v>323</v>
      </c>
      <c r="Q1523" s="177" t="s">
        <v>324</v>
      </c>
      <c r="R1523" s="83"/>
    </row>
    <row r="1524" spans="1:18">
      <c r="A1524" s="83">
        <v>80812161</v>
      </c>
      <c r="B1524" s="186" t="s">
        <v>821</v>
      </c>
      <c r="C1524" s="186" t="s">
        <v>153</v>
      </c>
      <c r="D1524" s="83" t="s">
        <v>428</v>
      </c>
      <c r="E1524" s="83" t="s">
        <v>168</v>
      </c>
      <c r="F1524" s="180">
        <v>46034</v>
      </c>
      <c r="G1524" s="83">
        <v>36</v>
      </c>
      <c r="H1524" s="180">
        <v>46021</v>
      </c>
      <c r="I1524" s="180" t="s">
        <v>202</v>
      </c>
      <c r="J1524" s="83">
        <v>3518741245</v>
      </c>
      <c r="K1524" s="180"/>
      <c r="L1524" s="180">
        <v>46021</v>
      </c>
      <c r="M1524" s="180"/>
      <c r="N1524" s="181">
        <v>6.5253599999999995E-2</v>
      </c>
      <c r="O1524" s="181" t="s">
        <v>170</v>
      </c>
      <c r="P1524" s="83" t="s">
        <v>323</v>
      </c>
      <c r="Q1524" s="177" t="s">
        <v>324</v>
      </c>
      <c r="R1524" s="83"/>
    </row>
    <row r="1525" spans="1:18">
      <c r="A1525" s="83">
        <v>80812161</v>
      </c>
      <c r="B1525" s="186" t="s">
        <v>821</v>
      </c>
      <c r="C1525" s="186" t="s">
        <v>154</v>
      </c>
      <c r="D1525" s="83" t="s">
        <v>428</v>
      </c>
      <c r="E1525" s="83" t="s">
        <v>168</v>
      </c>
      <c r="F1525" s="180">
        <v>46034</v>
      </c>
      <c r="G1525" s="83">
        <v>50</v>
      </c>
      <c r="H1525" s="180">
        <v>46021</v>
      </c>
      <c r="I1525" s="180" t="s">
        <v>202</v>
      </c>
      <c r="J1525" s="83">
        <v>3518741246</v>
      </c>
      <c r="K1525" s="180"/>
      <c r="L1525" s="180">
        <v>46021</v>
      </c>
      <c r="M1525" s="180"/>
      <c r="N1525" s="181">
        <v>9.0630000000000002E-2</v>
      </c>
      <c r="O1525" s="181" t="s">
        <v>170</v>
      </c>
      <c r="P1525" s="83" t="s">
        <v>323</v>
      </c>
      <c r="Q1525" s="177" t="s">
        <v>324</v>
      </c>
      <c r="R1525" s="83"/>
    </row>
    <row r="1526" spans="1:18">
      <c r="A1526" s="83">
        <v>80812161</v>
      </c>
      <c r="B1526" s="186" t="s">
        <v>821</v>
      </c>
      <c r="C1526" s="186" t="s">
        <v>155</v>
      </c>
      <c r="D1526" s="83" t="s">
        <v>428</v>
      </c>
      <c r="E1526" s="83" t="s">
        <v>168</v>
      </c>
      <c r="F1526" s="180">
        <v>46034</v>
      </c>
      <c r="G1526" s="83">
        <v>85</v>
      </c>
      <c r="H1526" s="180">
        <v>46021</v>
      </c>
      <c r="I1526" s="180" t="s">
        <v>202</v>
      </c>
      <c r="J1526" s="83">
        <v>3518741247</v>
      </c>
      <c r="K1526" s="180"/>
      <c r="L1526" s="180">
        <v>46021</v>
      </c>
      <c r="M1526" s="180"/>
      <c r="N1526" s="181">
        <v>0.15407100000000001</v>
      </c>
      <c r="O1526" s="181" t="s">
        <v>170</v>
      </c>
      <c r="P1526" s="83" t="s">
        <v>323</v>
      </c>
      <c r="Q1526" s="177" t="s">
        <v>324</v>
      </c>
      <c r="R1526" s="83"/>
    </row>
    <row r="1527" spans="1:18">
      <c r="A1527" s="83">
        <v>80813610</v>
      </c>
      <c r="B1527" s="186" t="s">
        <v>263</v>
      </c>
      <c r="C1527" s="186" t="s">
        <v>143</v>
      </c>
      <c r="D1527" s="83" t="s">
        <v>428</v>
      </c>
      <c r="E1527" s="83" t="s">
        <v>168</v>
      </c>
      <c r="F1527" s="180">
        <v>46034</v>
      </c>
      <c r="G1527" s="83">
        <v>90</v>
      </c>
      <c r="H1527" s="180">
        <v>46021</v>
      </c>
      <c r="I1527" s="180" t="s">
        <v>202</v>
      </c>
      <c r="J1527" s="83">
        <v>3518741248</v>
      </c>
      <c r="K1527" s="180"/>
      <c r="L1527" s="180">
        <v>46021</v>
      </c>
      <c r="M1527" s="180"/>
      <c r="N1527" s="181">
        <v>0.163134</v>
      </c>
      <c r="O1527" s="181" t="s">
        <v>170</v>
      </c>
      <c r="P1527" s="83" t="s">
        <v>323</v>
      </c>
      <c r="Q1527" s="177" t="s">
        <v>324</v>
      </c>
      <c r="R1527" s="83"/>
    </row>
    <row r="1528" spans="1:18">
      <c r="A1528" s="83">
        <v>80813610</v>
      </c>
      <c r="B1528" s="186" t="s">
        <v>263</v>
      </c>
      <c r="C1528" s="186" t="s">
        <v>150</v>
      </c>
      <c r="D1528" s="83" t="s">
        <v>428</v>
      </c>
      <c r="E1528" s="83" t="s">
        <v>168</v>
      </c>
      <c r="F1528" s="180">
        <v>46034</v>
      </c>
      <c r="G1528" s="83">
        <v>1377</v>
      </c>
      <c r="H1528" s="180">
        <v>46021</v>
      </c>
      <c r="I1528" s="180" t="s">
        <v>202</v>
      </c>
      <c r="J1528" s="83">
        <v>3518741249</v>
      </c>
      <c r="K1528" s="180"/>
      <c r="L1528" s="180">
        <v>46021</v>
      </c>
      <c r="M1528" s="180"/>
      <c r="N1528" s="181">
        <v>2.4959501999999998</v>
      </c>
      <c r="O1528" s="181" t="s">
        <v>170</v>
      </c>
      <c r="P1528" s="83" t="s">
        <v>323</v>
      </c>
      <c r="Q1528" s="177" t="s">
        <v>324</v>
      </c>
      <c r="R1528" s="83"/>
    </row>
    <row r="1529" spans="1:18">
      <c r="A1529" s="83">
        <v>80813610</v>
      </c>
      <c r="B1529" s="186" t="s">
        <v>263</v>
      </c>
      <c r="C1529" s="186" t="s">
        <v>151</v>
      </c>
      <c r="D1529" s="83" t="s">
        <v>428</v>
      </c>
      <c r="E1529" s="83" t="s">
        <v>168</v>
      </c>
      <c r="F1529" s="180">
        <v>46034</v>
      </c>
      <c r="G1529" s="83">
        <v>880</v>
      </c>
      <c r="H1529" s="180">
        <v>46021</v>
      </c>
      <c r="I1529" s="180" t="s">
        <v>202</v>
      </c>
      <c r="J1529" s="83">
        <v>3518741250</v>
      </c>
      <c r="K1529" s="180"/>
      <c r="L1529" s="180">
        <v>46021</v>
      </c>
      <c r="M1529" s="180"/>
      <c r="N1529" s="181">
        <v>1.5950880000000001</v>
      </c>
      <c r="O1529" s="181" t="s">
        <v>170</v>
      </c>
      <c r="P1529" s="83" t="s">
        <v>323</v>
      </c>
      <c r="Q1529" s="177" t="s">
        <v>324</v>
      </c>
      <c r="R1529" s="83"/>
    </row>
    <row r="1530" spans="1:18">
      <c r="A1530" s="83">
        <v>80813610</v>
      </c>
      <c r="B1530" s="186" t="s">
        <v>263</v>
      </c>
      <c r="C1530" s="186" t="s">
        <v>152</v>
      </c>
      <c r="D1530" s="83" t="s">
        <v>428</v>
      </c>
      <c r="E1530" s="83" t="s">
        <v>168</v>
      </c>
      <c r="F1530" s="180">
        <v>46034</v>
      </c>
      <c r="G1530" s="83">
        <v>246</v>
      </c>
      <c r="H1530" s="180">
        <v>46021</v>
      </c>
      <c r="I1530" s="180" t="s">
        <v>202</v>
      </c>
      <c r="J1530" s="83">
        <v>3518741251</v>
      </c>
      <c r="K1530" s="180"/>
      <c r="L1530" s="180">
        <v>46021</v>
      </c>
      <c r="M1530" s="180"/>
      <c r="N1530" s="181">
        <v>0.44589960000000001</v>
      </c>
      <c r="O1530" s="181" t="s">
        <v>170</v>
      </c>
      <c r="P1530" s="83" t="s">
        <v>323</v>
      </c>
      <c r="Q1530" s="177" t="s">
        <v>324</v>
      </c>
      <c r="R1530" s="83"/>
    </row>
    <row r="1531" spans="1:18">
      <c r="A1531" s="83">
        <v>80813610</v>
      </c>
      <c r="B1531" s="186" t="s">
        <v>263</v>
      </c>
      <c r="C1531" s="186" t="s">
        <v>153</v>
      </c>
      <c r="D1531" s="83" t="s">
        <v>428</v>
      </c>
      <c r="E1531" s="83" t="s">
        <v>168</v>
      </c>
      <c r="F1531" s="180">
        <v>46034</v>
      </c>
      <c r="G1531" s="83">
        <v>144</v>
      </c>
      <c r="H1531" s="180">
        <v>46021</v>
      </c>
      <c r="I1531" s="180" t="s">
        <v>202</v>
      </c>
      <c r="J1531" s="83">
        <v>3518741252</v>
      </c>
      <c r="K1531" s="180"/>
      <c r="L1531" s="180">
        <v>46021</v>
      </c>
      <c r="M1531" s="180"/>
      <c r="N1531" s="181">
        <v>0.26101439999999998</v>
      </c>
      <c r="O1531" s="181" t="s">
        <v>170</v>
      </c>
      <c r="P1531" s="83" t="s">
        <v>323</v>
      </c>
      <c r="Q1531" s="177" t="s">
        <v>324</v>
      </c>
      <c r="R1531" s="83"/>
    </row>
    <row r="1532" spans="1:18">
      <c r="A1532" s="83">
        <v>80813610</v>
      </c>
      <c r="B1532" s="186" t="s">
        <v>263</v>
      </c>
      <c r="C1532" s="186" t="s">
        <v>154</v>
      </c>
      <c r="D1532" s="83" t="s">
        <v>428</v>
      </c>
      <c r="E1532" s="83" t="s">
        <v>168</v>
      </c>
      <c r="F1532" s="180">
        <v>46034</v>
      </c>
      <c r="G1532" s="83">
        <v>168</v>
      </c>
      <c r="H1532" s="180">
        <v>46021</v>
      </c>
      <c r="I1532" s="180" t="s">
        <v>202</v>
      </c>
      <c r="J1532" s="83">
        <v>3518741253</v>
      </c>
      <c r="K1532" s="180"/>
      <c r="L1532" s="180">
        <v>46021</v>
      </c>
      <c r="M1532" s="180"/>
      <c r="N1532" s="181">
        <v>0.30451679999999998</v>
      </c>
      <c r="O1532" s="181" t="s">
        <v>170</v>
      </c>
      <c r="P1532" s="83" t="s">
        <v>323</v>
      </c>
      <c r="Q1532" s="177" t="s">
        <v>324</v>
      </c>
      <c r="R1532" s="83"/>
    </row>
    <row r="1533" spans="1:18">
      <c r="A1533" s="83">
        <v>80813610</v>
      </c>
      <c r="B1533" s="186" t="s">
        <v>263</v>
      </c>
      <c r="C1533" s="186" t="s">
        <v>155</v>
      </c>
      <c r="D1533" s="83" t="s">
        <v>428</v>
      </c>
      <c r="E1533" s="83" t="s">
        <v>168</v>
      </c>
      <c r="F1533" s="180">
        <v>46034</v>
      </c>
      <c r="G1533" s="83">
        <v>202</v>
      </c>
      <c r="H1533" s="180">
        <v>46021</v>
      </c>
      <c r="I1533" s="180" t="s">
        <v>202</v>
      </c>
      <c r="J1533" s="83">
        <v>3518741254</v>
      </c>
      <c r="K1533" s="180"/>
      <c r="L1533" s="180">
        <v>46021</v>
      </c>
      <c r="M1533" s="180"/>
      <c r="N1533" s="181">
        <v>0.3661452</v>
      </c>
      <c r="O1533" s="181" t="s">
        <v>170</v>
      </c>
      <c r="P1533" s="83" t="s">
        <v>323</v>
      </c>
      <c r="Q1533" s="177" t="s">
        <v>324</v>
      </c>
      <c r="R1533" s="83"/>
    </row>
    <row r="1534" spans="1:18">
      <c r="A1534" s="83">
        <v>80813619</v>
      </c>
      <c r="B1534" s="186" t="s">
        <v>264</v>
      </c>
      <c r="C1534" s="186" t="s">
        <v>143</v>
      </c>
      <c r="D1534" s="83" t="s">
        <v>428</v>
      </c>
      <c r="E1534" s="83" t="s">
        <v>168</v>
      </c>
      <c r="F1534" s="180">
        <v>46034</v>
      </c>
      <c r="G1534" s="83">
        <v>140</v>
      </c>
      <c r="H1534" s="180">
        <v>46021</v>
      </c>
      <c r="I1534" s="180" t="s">
        <v>202</v>
      </c>
      <c r="J1534" s="83">
        <v>3518741255</v>
      </c>
      <c r="K1534" s="180"/>
      <c r="L1534" s="180">
        <v>46021</v>
      </c>
      <c r="M1534" s="180"/>
      <c r="N1534" s="181">
        <v>0.25376399999999999</v>
      </c>
      <c r="O1534" s="181" t="s">
        <v>170</v>
      </c>
      <c r="P1534" s="83" t="s">
        <v>323</v>
      </c>
      <c r="Q1534" s="177" t="s">
        <v>324</v>
      </c>
      <c r="R1534" s="83"/>
    </row>
    <row r="1535" spans="1:18">
      <c r="A1535" s="83">
        <v>80813619</v>
      </c>
      <c r="B1535" s="186" t="s">
        <v>264</v>
      </c>
      <c r="C1535" s="186" t="s">
        <v>150</v>
      </c>
      <c r="D1535" s="83" t="s">
        <v>428</v>
      </c>
      <c r="E1535" s="83" t="s">
        <v>168</v>
      </c>
      <c r="F1535" s="180">
        <v>46034</v>
      </c>
      <c r="G1535" s="83">
        <v>1666</v>
      </c>
      <c r="H1535" s="180">
        <v>46021</v>
      </c>
      <c r="I1535" s="180" t="s">
        <v>202</v>
      </c>
      <c r="J1535" s="83">
        <v>3518741256</v>
      </c>
      <c r="K1535" s="180"/>
      <c r="L1535" s="180">
        <v>46021</v>
      </c>
      <c r="M1535" s="180"/>
      <c r="N1535" s="181">
        <v>3.0197916</v>
      </c>
      <c r="O1535" s="181" t="s">
        <v>170</v>
      </c>
      <c r="P1535" s="83" t="s">
        <v>323</v>
      </c>
      <c r="Q1535" s="177" t="s">
        <v>324</v>
      </c>
      <c r="R1535" s="83"/>
    </row>
    <row r="1536" spans="1:18">
      <c r="A1536" s="83">
        <v>80813619</v>
      </c>
      <c r="B1536" s="186" t="s">
        <v>264</v>
      </c>
      <c r="C1536" s="186" t="s">
        <v>151</v>
      </c>
      <c r="D1536" s="83" t="s">
        <v>428</v>
      </c>
      <c r="E1536" s="83" t="s">
        <v>168</v>
      </c>
      <c r="F1536" s="180">
        <v>46034</v>
      </c>
      <c r="G1536" s="83">
        <v>1108</v>
      </c>
      <c r="H1536" s="180">
        <v>46021</v>
      </c>
      <c r="I1536" s="180" t="s">
        <v>202</v>
      </c>
      <c r="J1536" s="83">
        <v>3518741257</v>
      </c>
      <c r="K1536" s="180"/>
      <c r="L1536" s="180">
        <v>46021</v>
      </c>
      <c r="M1536" s="180"/>
      <c r="N1536" s="181">
        <v>2.0083608000000002</v>
      </c>
      <c r="O1536" s="181" t="s">
        <v>170</v>
      </c>
      <c r="P1536" s="83" t="s">
        <v>323</v>
      </c>
      <c r="Q1536" s="177" t="s">
        <v>324</v>
      </c>
      <c r="R1536" s="83"/>
    </row>
    <row r="1537" spans="1:18">
      <c r="A1537" s="83">
        <v>80813619</v>
      </c>
      <c r="B1537" s="186" t="s">
        <v>264</v>
      </c>
      <c r="C1537" s="186" t="s">
        <v>152</v>
      </c>
      <c r="D1537" s="83" t="s">
        <v>428</v>
      </c>
      <c r="E1537" s="83" t="s">
        <v>168</v>
      </c>
      <c r="F1537" s="180">
        <v>46034</v>
      </c>
      <c r="G1537" s="83">
        <v>283</v>
      </c>
      <c r="H1537" s="180">
        <v>46021</v>
      </c>
      <c r="I1537" s="180" t="s">
        <v>202</v>
      </c>
      <c r="J1537" s="83">
        <v>3518741258</v>
      </c>
      <c r="K1537" s="180"/>
      <c r="L1537" s="180">
        <v>46021</v>
      </c>
      <c r="M1537" s="180"/>
      <c r="N1537" s="181">
        <v>0.51296580000000003</v>
      </c>
      <c r="O1537" s="181" t="s">
        <v>170</v>
      </c>
      <c r="P1537" s="83" t="s">
        <v>323</v>
      </c>
      <c r="Q1537" s="177" t="s">
        <v>324</v>
      </c>
      <c r="R1537" s="83"/>
    </row>
    <row r="1538" spans="1:18">
      <c r="A1538" s="83">
        <v>80813619</v>
      </c>
      <c r="B1538" s="186" t="s">
        <v>264</v>
      </c>
      <c r="C1538" s="186" t="s">
        <v>153</v>
      </c>
      <c r="D1538" s="83" t="s">
        <v>428</v>
      </c>
      <c r="E1538" s="83" t="s">
        <v>168</v>
      </c>
      <c r="F1538" s="180">
        <v>46034</v>
      </c>
      <c r="G1538" s="83">
        <v>206</v>
      </c>
      <c r="H1538" s="180">
        <v>46021</v>
      </c>
      <c r="I1538" s="180" t="s">
        <v>202</v>
      </c>
      <c r="J1538" s="83">
        <v>3518741259</v>
      </c>
      <c r="K1538" s="180"/>
      <c r="L1538" s="180">
        <v>46021</v>
      </c>
      <c r="M1538" s="180"/>
      <c r="N1538" s="181">
        <v>0.37339559999999999</v>
      </c>
      <c r="O1538" s="181" t="s">
        <v>170</v>
      </c>
      <c r="P1538" s="83" t="s">
        <v>323</v>
      </c>
      <c r="Q1538" s="177" t="s">
        <v>324</v>
      </c>
      <c r="R1538" s="83"/>
    </row>
    <row r="1539" spans="1:18">
      <c r="A1539" s="83">
        <v>80813619</v>
      </c>
      <c r="B1539" s="186" t="s">
        <v>264</v>
      </c>
      <c r="C1539" s="186" t="s">
        <v>154</v>
      </c>
      <c r="D1539" s="83" t="s">
        <v>428</v>
      </c>
      <c r="E1539" s="83" t="s">
        <v>168</v>
      </c>
      <c r="F1539" s="180">
        <v>46034</v>
      </c>
      <c r="G1539" s="83">
        <v>176</v>
      </c>
      <c r="H1539" s="180">
        <v>46021</v>
      </c>
      <c r="I1539" s="180" t="s">
        <v>202</v>
      </c>
      <c r="J1539" s="83">
        <v>3518741260</v>
      </c>
      <c r="K1539" s="180"/>
      <c r="L1539" s="180">
        <v>46021</v>
      </c>
      <c r="M1539" s="180"/>
      <c r="N1539" s="181">
        <v>0.31901760000000001</v>
      </c>
      <c r="O1539" s="181" t="s">
        <v>170</v>
      </c>
      <c r="P1539" s="83" t="s">
        <v>323</v>
      </c>
      <c r="Q1539" s="177" t="s">
        <v>324</v>
      </c>
      <c r="R1539" s="83"/>
    </row>
    <row r="1540" spans="1:18">
      <c r="A1540" s="83">
        <v>80813619</v>
      </c>
      <c r="B1540" s="186" t="s">
        <v>264</v>
      </c>
      <c r="C1540" s="186" t="s">
        <v>155</v>
      </c>
      <c r="D1540" s="83" t="s">
        <v>428</v>
      </c>
      <c r="E1540" s="83" t="s">
        <v>168</v>
      </c>
      <c r="F1540" s="180">
        <v>46034</v>
      </c>
      <c r="G1540" s="83">
        <v>441</v>
      </c>
      <c r="H1540" s="180">
        <v>46021</v>
      </c>
      <c r="I1540" s="180" t="s">
        <v>202</v>
      </c>
      <c r="J1540" s="83">
        <v>3518741261</v>
      </c>
      <c r="K1540" s="180"/>
      <c r="L1540" s="180">
        <v>46021</v>
      </c>
      <c r="M1540" s="180"/>
      <c r="N1540" s="181">
        <v>0.79935659999999997</v>
      </c>
      <c r="O1540" s="181" t="s">
        <v>170</v>
      </c>
      <c r="P1540" s="83" t="s">
        <v>323</v>
      </c>
      <c r="Q1540" s="177" t="s">
        <v>324</v>
      </c>
      <c r="R1540" s="83"/>
    </row>
    <row r="1541" spans="1:18">
      <c r="A1541" s="83">
        <v>80813621</v>
      </c>
      <c r="B1541" s="186" t="s">
        <v>843</v>
      </c>
      <c r="C1541" s="186" t="s">
        <v>143</v>
      </c>
      <c r="D1541" s="83" t="s">
        <v>428</v>
      </c>
      <c r="E1541" s="83" t="s">
        <v>168</v>
      </c>
      <c r="F1541" s="180">
        <v>46034</v>
      </c>
      <c r="G1541" s="83">
        <v>57</v>
      </c>
      <c r="H1541" s="180">
        <v>46021</v>
      </c>
      <c r="I1541" s="180" t="s">
        <v>202</v>
      </c>
      <c r="J1541" s="83">
        <v>3518741262</v>
      </c>
      <c r="K1541" s="180"/>
      <c r="L1541" s="180">
        <v>46021</v>
      </c>
      <c r="M1541" s="180"/>
      <c r="N1541" s="181">
        <v>0.1033182</v>
      </c>
      <c r="O1541" s="181" t="s">
        <v>170</v>
      </c>
      <c r="P1541" s="83" t="s">
        <v>323</v>
      </c>
      <c r="Q1541" s="177" t="s">
        <v>324</v>
      </c>
      <c r="R1541" s="83"/>
    </row>
    <row r="1542" spans="1:18">
      <c r="A1542" s="83">
        <v>80813621</v>
      </c>
      <c r="B1542" s="186" t="s">
        <v>843</v>
      </c>
      <c r="C1542" s="186" t="s">
        <v>150</v>
      </c>
      <c r="D1542" s="83" t="s">
        <v>428</v>
      </c>
      <c r="E1542" s="83" t="s">
        <v>168</v>
      </c>
      <c r="F1542" s="180">
        <v>46034</v>
      </c>
      <c r="G1542" s="83">
        <v>682</v>
      </c>
      <c r="H1542" s="180">
        <v>46021</v>
      </c>
      <c r="I1542" s="180" t="s">
        <v>202</v>
      </c>
      <c r="J1542" s="83">
        <v>3518741263</v>
      </c>
      <c r="K1542" s="180"/>
      <c r="L1542" s="180">
        <v>46021</v>
      </c>
      <c r="M1542" s="180"/>
      <c r="N1542" s="181">
        <v>1.2361932</v>
      </c>
      <c r="O1542" s="181" t="s">
        <v>170</v>
      </c>
      <c r="P1542" s="83" t="s">
        <v>323</v>
      </c>
      <c r="Q1542" s="177" t="s">
        <v>324</v>
      </c>
      <c r="R1542" s="83"/>
    </row>
    <row r="1543" spans="1:18">
      <c r="A1543" s="83">
        <v>80813621</v>
      </c>
      <c r="B1543" s="186" t="s">
        <v>843</v>
      </c>
      <c r="C1543" s="186" t="s">
        <v>151</v>
      </c>
      <c r="D1543" s="83" t="s">
        <v>428</v>
      </c>
      <c r="E1543" s="83" t="s">
        <v>168</v>
      </c>
      <c r="F1543" s="180">
        <v>46034</v>
      </c>
      <c r="G1543" s="83">
        <v>481</v>
      </c>
      <c r="H1543" s="180">
        <v>46021</v>
      </c>
      <c r="I1543" s="180" t="s">
        <v>202</v>
      </c>
      <c r="J1543" s="83">
        <v>3518741264</v>
      </c>
      <c r="K1543" s="180"/>
      <c r="L1543" s="180">
        <v>46021</v>
      </c>
      <c r="M1543" s="180"/>
      <c r="N1543" s="181">
        <v>0.87186059999999999</v>
      </c>
      <c r="O1543" s="181" t="s">
        <v>170</v>
      </c>
      <c r="P1543" s="83" t="s">
        <v>323</v>
      </c>
      <c r="Q1543" s="177" t="s">
        <v>324</v>
      </c>
      <c r="R1543" s="83"/>
    </row>
    <row r="1544" spans="1:18">
      <c r="A1544" s="83">
        <v>80813621</v>
      </c>
      <c r="B1544" s="186" t="s">
        <v>843</v>
      </c>
      <c r="C1544" s="186" t="s">
        <v>152</v>
      </c>
      <c r="D1544" s="83" t="s">
        <v>428</v>
      </c>
      <c r="E1544" s="83" t="s">
        <v>168</v>
      </c>
      <c r="F1544" s="180">
        <v>46034</v>
      </c>
      <c r="G1544" s="83">
        <v>88</v>
      </c>
      <c r="H1544" s="180">
        <v>46021</v>
      </c>
      <c r="I1544" s="180" t="s">
        <v>202</v>
      </c>
      <c r="J1544" s="83">
        <v>3518741265</v>
      </c>
      <c r="K1544" s="180"/>
      <c r="L1544" s="180">
        <v>46021</v>
      </c>
      <c r="M1544" s="180"/>
      <c r="N1544" s="181">
        <v>0.15950880000000001</v>
      </c>
      <c r="O1544" s="181" t="s">
        <v>170</v>
      </c>
      <c r="P1544" s="83" t="s">
        <v>323</v>
      </c>
      <c r="Q1544" s="177" t="s">
        <v>324</v>
      </c>
      <c r="R1544" s="83"/>
    </row>
    <row r="1545" spans="1:18">
      <c r="A1545" s="83">
        <v>80813621</v>
      </c>
      <c r="B1545" s="186" t="s">
        <v>843</v>
      </c>
      <c r="C1545" s="186" t="s">
        <v>153</v>
      </c>
      <c r="D1545" s="83" t="s">
        <v>428</v>
      </c>
      <c r="E1545" s="83" t="s">
        <v>168</v>
      </c>
      <c r="F1545" s="180">
        <v>46034</v>
      </c>
      <c r="G1545" s="83">
        <v>93</v>
      </c>
      <c r="H1545" s="180">
        <v>46021</v>
      </c>
      <c r="I1545" s="180" t="s">
        <v>202</v>
      </c>
      <c r="J1545" s="83">
        <v>3518741266</v>
      </c>
      <c r="K1545" s="180"/>
      <c r="L1545" s="180">
        <v>46021</v>
      </c>
      <c r="M1545" s="180"/>
      <c r="N1545" s="181">
        <v>0.16857179999999999</v>
      </c>
      <c r="O1545" s="181" t="s">
        <v>170</v>
      </c>
      <c r="P1545" s="83" t="s">
        <v>323</v>
      </c>
      <c r="Q1545" s="177" t="s">
        <v>324</v>
      </c>
      <c r="R1545" s="83"/>
    </row>
    <row r="1546" spans="1:18">
      <c r="A1546" s="83">
        <v>80813621</v>
      </c>
      <c r="B1546" s="186" t="s">
        <v>843</v>
      </c>
      <c r="C1546" s="186" t="s">
        <v>154</v>
      </c>
      <c r="D1546" s="83" t="s">
        <v>428</v>
      </c>
      <c r="E1546" s="83" t="s">
        <v>168</v>
      </c>
      <c r="F1546" s="180">
        <v>46034</v>
      </c>
      <c r="G1546" s="83">
        <v>56</v>
      </c>
      <c r="H1546" s="180">
        <v>46021</v>
      </c>
      <c r="I1546" s="180" t="s">
        <v>202</v>
      </c>
      <c r="J1546" s="83">
        <v>3518741267</v>
      </c>
      <c r="K1546" s="180"/>
      <c r="L1546" s="180">
        <v>46021</v>
      </c>
      <c r="M1546" s="180"/>
      <c r="N1546" s="181">
        <v>0.1015056</v>
      </c>
      <c r="O1546" s="181" t="s">
        <v>170</v>
      </c>
      <c r="P1546" s="83" t="s">
        <v>323</v>
      </c>
      <c r="Q1546" s="177" t="s">
        <v>324</v>
      </c>
      <c r="R1546" s="83"/>
    </row>
    <row r="1547" spans="1:18">
      <c r="A1547" s="83">
        <v>80813621</v>
      </c>
      <c r="B1547" s="186" t="s">
        <v>843</v>
      </c>
      <c r="C1547" s="186" t="s">
        <v>155</v>
      </c>
      <c r="D1547" s="83" t="s">
        <v>428</v>
      </c>
      <c r="E1547" s="83" t="s">
        <v>168</v>
      </c>
      <c r="F1547" s="180">
        <v>46034</v>
      </c>
      <c r="G1547" s="83">
        <v>230</v>
      </c>
      <c r="H1547" s="180">
        <v>46021</v>
      </c>
      <c r="I1547" s="180" t="s">
        <v>202</v>
      </c>
      <c r="J1547" s="83">
        <v>3518741268</v>
      </c>
      <c r="K1547" s="180"/>
      <c r="L1547" s="180">
        <v>46021</v>
      </c>
      <c r="M1547" s="180"/>
      <c r="N1547" s="181">
        <v>0.41689799999999999</v>
      </c>
      <c r="O1547" s="181" t="s">
        <v>170</v>
      </c>
      <c r="P1547" s="83" t="s">
        <v>323</v>
      </c>
      <c r="Q1547" s="177" t="s">
        <v>324</v>
      </c>
      <c r="R1547" s="83"/>
    </row>
    <row r="1548" spans="1:18">
      <c r="A1548" s="83">
        <v>80813625</v>
      </c>
      <c r="B1548" s="186" t="s">
        <v>851</v>
      </c>
      <c r="C1548" s="186" t="s">
        <v>143</v>
      </c>
      <c r="D1548" s="83" t="s">
        <v>428</v>
      </c>
      <c r="E1548" s="83" t="s">
        <v>168</v>
      </c>
      <c r="F1548" s="180">
        <v>46034</v>
      </c>
      <c r="G1548" s="83">
        <v>72</v>
      </c>
      <c r="H1548" s="180">
        <v>46021</v>
      </c>
      <c r="I1548" s="180" t="s">
        <v>202</v>
      </c>
      <c r="J1548" s="83">
        <v>3518741269</v>
      </c>
      <c r="K1548" s="180"/>
      <c r="L1548" s="180">
        <v>46021</v>
      </c>
      <c r="M1548" s="180"/>
      <c r="N1548" s="181">
        <v>0.13050719999999999</v>
      </c>
      <c r="O1548" s="181" t="s">
        <v>170</v>
      </c>
      <c r="P1548" s="83" t="s">
        <v>323</v>
      </c>
      <c r="Q1548" s="177" t="s">
        <v>324</v>
      </c>
      <c r="R1548" s="83"/>
    </row>
    <row r="1549" spans="1:18">
      <c r="A1549" s="83">
        <v>80813625</v>
      </c>
      <c r="B1549" s="186" t="s">
        <v>851</v>
      </c>
      <c r="C1549" s="186" t="s">
        <v>150</v>
      </c>
      <c r="D1549" s="83" t="s">
        <v>428</v>
      </c>
      <c r="E1549" s="83" t="s">
        <v>168</v>
      </c>
      <c r="F1549" s="180">
        <v>46034</v>
      </c>
      <c r="G1549" s="83">
        <v>898</v>
      </c>
      <c r="H1549" s="180">
        <v>46021</v>
      </c>
      <c r="I1549" s="180" t="s">
        <v>202</v>
      </c>
      <c r="J1549" s="83">
        <v>3518741270</v>
      </c>
      <c r="K1549" s="180"/>
      <c r="L1549" s="180">
        <v>46021</v>
      </c>
      <c r="M1549" s="180"/>
      <c r="N1549" s="181">
        <v>1.6277147999999999</v>
      </c>
      <c r="O1549" s="181" t="s">
        <v>170</v>
      </c>
      <c r="P1549" s="83" t="s">
        <v>323</v>
      </c>
      <c r="Q1549" s="177" t="s">
        <v>324</v>
      </c>
      <c r="R1549" s="83"/>
    </row>
    <row r="1550" spans="1:18">
      <c r="A1550" s="83">
        <v>80813625</v>
      </c>
      <c r="B1550" s="186" t="s">
        <v>851</v>
      </c>
      <c r="C1550" s="186" t="s">
        <v>151</v>
      </c>
      <c r="D1550" s="83" t="s">
        <v>428</v>
      </c>
      <c r="E1550" s="83" t="s">
        <v>168</v>
      </c>
      <c r="F1550" s="180">
        <v>46034</v>
      </c>
      <c r="G1550" s="83">
        <v>575</v>
      </c>
      <c r="H1550" s="180">
        <v>46021</v>
      </c>
      <c r="I1550" s="180" t="s">
        <v>202</v>
      </c>
      <c r="J1550" s="83">
        <v>3518741271</v>
      </c>
      <c r="K1550" s="180"/>
      <c r="L1550" s="180">
        <v>46021</v>
      </c>
      <c r="M1550" s="180"/>
      <c r="N1550" s="181">
        <v>1.0422450000000001</v>
      </c>
      <c r="O1550" s="181" t="s">
        <v>170</v>
      </c>
      <c r="P1550" s="83" t="s">
        <v>323</v>
      </c>
      <c r="Q1550" s="177" t="s">
        <v>324</v>
      </c>
      <c r="R1550" s="83"/>
    </row>
    <row r="1551" spans="1:18">
      <c r="A1551" s="83">
        <v>80813625</v>
      </c>
      <c r="B1551" s="186" t="s">
        <v>851</v>
      </c>
      <c r="C1551" s="186" t="s">
        <v>152</v>
      </c>
      <c r="D1551" s="83" t="s">
        <v>428</v>
      </c>
      <c r="E1551" s="83" t="s">
        <v>168</v>
      </c>
      <c r="F1551" s="180">
        <v>46034</v>
      </c>
      <c r="G1551" s="83">
        <v>115</v>
      </c>
      <c r="H1551" s="180">
        <v>46021</v>
      </c>
      <c r="I1551" s="180" t="s">
        <v>202</v>
      </c>
      <c r="J1551" s="83">
        <v>3518741272</v>
      </c>
      <c r="K1551" s="180"/>
      <c r="L1551" s="180">
        <v>46021</v>
      </c>
      <c r="M1551" s="180"/>
      <c r="N1551" s="181">
        <v>0.208449</v>
      </c>
      <c r="O1551" s="181" t="s">
        <v>170</v>
      </c>
      <c r="P1551" s="83" t="s">
        <v>323</v>
      </c>
      <c r="Q1551" s="177" t="s">
        <v>324</v>
      </c>
      <c r="R1551" s="83"/>
    </row>
    <row r="1552" spans="1:18">
      <c r="A1552" s="83">
        <v>80813625</v>
      </c>
      <c r="B1552" s="186" t="s">
        <v>851</v>
      </c>
      <c r="C1552" s="186" t="s">
        <v>153</v>
      </c>
      <c r="D1552" s="83" t="s">
        <v>428</v>
      </c>
      <c r="E1552" s="83" t="s">
        <v>168</v>
      </c>
      <c r="F1552" s="180">
        <v>46034</v>
      </c>
      <c r="G1552" s="83">
        <v>131</v>
      </c>
      <c r="H1552" s="180">
        <v>46021</v>
      </c>
      <c r="I1552" s="180" t="s">
        <v>202</v>
      </c>
      <c r="J1552" s="83">
        <v>3518741273</v>
      </c>
      <c r="K1552" s="180"/>
      <c r="L1552" s="180">
        <v>46021</v>
      </c>
      <c r="M1552" s="180"/>
      <c r="N1552" s="181">
        <v>0.23745060000000001</v>
      </c>
      <c r="O1552" s="181" t="s">
        <v>170</v>
      </c>
      <c r="P1552" s="83" t="s">
        <v>323</v>
      </c>
      <c r="Q1552" s="177" t="s">
        <v>324</v>
      </c>
      <c r="R1552" s="83"/>
    </row>
    <row r="1553" spans="1:18">
      <c r="A1553" s="83">
        <v>80813625</v>
      </c>
      <c r="B1553" s="186" t="s">
        <v>851</v>
      </c>
      <c r="C1553" s="186" t="s">
        <v>154</v>
      </c>
      <c r="D1553" s="83" t="s">
        <v>428</v>
      </c>
      <c r="E1553" s="83" t="s">
        <v>168</v>
      </c>
      <c r="F1553" s="180">
        <v>46034</v>
      </c>
      <c r="G1553" s="83">
        <v>85</v>
      </c>
      <c r="H1553" s="180">
        <v>46021</v>
      </c>
      <c r="I1553" s="180" t="s">
        <v>202</v>
      </c>
      <c r="J1553" s="83">
        <v>3518741274</v>
      </c>
      <c r="K1553" s="180"/>
      <c r="L1553" s="180">
        <v>46021</v>
      </c>
      <c r="M1553" s="180"/>
      <c r="N1553" s="181">
        <v>0.15407100000000001</v>
      </c>
      <c r="O1553" s="181" t="s">
        <v>170</v>
      </c>
      <c r="P1553" s="83" t="s">
        <v>323</v>
      </c>
      <c r="Q1553" s="177" t="s">
        <v>324</v>
      </c>
      <c r="R1553" s="83"/>
    </row>
    <row r="1554" spans="1:18">
      <c r="A1554" s="83">
        <v>80813625</v>
      </c>
      <c r="B1554" s="186" t="s">
        <v>851</v>
      </c>
      <c r="C1554" s="186" t="s">
        <v>155</v>
      </c>
      <c r="D1554" s="83" t="s">
        <v>428</v>
      </c>
      <c r="E1554" s="83" t="s">
        <v>168</v>
      </c>
      <c r="F1554" s="180">
        <v>46034</v>
      </c>
      <c r="G1554" s="83">
        <v>203</v>
      </c>
      <c r="H1554" s="180">
        <v>46021</v>
      </c>
      <c r="I1554" s="180" t="s">
        <v>202</v>
      </c>
      <c r="J1554" s="83">
        <v>3518741275</v>
      </c>
      <c r="K1554" s="180"/>
      <c r="L1554" s="180">
        <v>46021</v>
      </c>
      <c r="M1554" s="180"/>
      <c r="N1554" s="181">
        <v>0.3679578</v>
      </c>
      <c r="O1554" s="181" t="s">
        <v>170</v>
      </c>
      <c r="P1554" s="83" t="s">
        <v>323</v>
      </c>
      <c r="Q1554" s="177" t="s">
        <v>324</v>
      </c>
      <c r="R1554" s="83"/>
    </row>
    <row r="1555" spans="1:18">
      <c r="A1555" s="83">
        <v>80813632</v>
      </c>
      <c r="B1555" s="186" t="s">
        <v>859</v>
      </c>
      <c r="C1555" s="186" t="s">
        <v>143</v>
      </c>
      <c r="D1555" s="83" t="s">
        <v>428</v>
      </c>
      <c r="E1555" s="83" t="s">
        <v>168</v>
      </c>
      <c r="F1555" s="180">
        <v>46034</v>
      </c>
      <c r="G1555" s="83">
        <v>146</v>
      </c>
      <c r="H1555" s="180">
        <v>46021</v>
      </c>
      <c r="I1555" s="180" t="s">
        <v>202</v>
      </c>
      <c r="J1555" s="83">
        <v>3518741276</v>
      </c>
      <c r="K1555" s="180"/>
      <c r="L1555" s="180">
        <v>46021</v>
      </c>
      <c r="M1555" s="180"/>
      <c r="N1555" s="181">
        <v>0.136291</v>
      </c>
      <c r="O1555" s="181" t="s">
        <v>170</v>
      </c>
      <c r="P1555" s="83" t="s">
        <v>323</v>
      </c>
      <c r="Q1555" s="177" t="s">
        <v>324</v>
      </c>
      <c r="R1555" s="83"/>
    </row>
    <row r="1556" spans="1:18">
      <c r="A1556" s="83">
        <v>80813632</v>
      </c>
      <c r="B1556" s="186" t="s">
        <v>859</v>
      </c>
      <c r="C1556" s="186" t="s">
        <v>150</v>
      </c>
      <c r="D1556" s="83" t="s">
        <v>428</v>
      </c>
      <c r="E1556" s="83" t="s">
        <v>168</v>
      </c>
      <c r="F1556" s="180">
        <v>46034</v>
      </c>
      <c r="G1556" s="83">
        <v>905</v>
      </c>
      <c r="H1556" s="180">
        <v>46021</v>
      </c>
      <c r="I1556" s="180" t="s">
        <v>202</v>
      </c>
      <c r="J1556" s="83">
        <v>3518741277</v>
      </c>
      <c r="K1556" s="180"/>
      <c r="L1556" s="180">
        <v>46021</v>
      </c>
      <c r="M1556" s="180"/>
      <c r="N1556" s="181">
        <v>0.8448175</v>
      </c>
      <c r="O1556" s="181" t="s">
        <v>170</v>
      </c>
      <c r="P1556" s="83" t="s">
        <v>323</v>
      </c>
      <c r="Q1556" s="177" t="s">
        <v>324</v>
      </c>
      <c r="R1556" s="83"/>
    </row>
    <row r="1557" spans="1:18">
      <c r="A1557" s="83">
        <v>80813632</v>
      </c>
      <c r="B1557" s="186" t="s">
        <v>859</v>
      </c>
      <c r="C1557" s="186" t="s">
        <v>151</v>
      </c>
      <c r="D1557" s="83" t="s">
        <v>428</v>
      </c>
      <c r="E1557" s="83" t="s">
        <v>168</v>
      </c>
      <c r="F1557" s="180">
        <v>46034</v>
      </c>
      <c r="G1557" s="83">
        <v>840</v>
      </c>
      <c r="H1557" s="180">
        <v>46021</v>
      </c>
      <c r="I1557" s="180" t="s">
        <v>202</v>
      </c>
      <c r="J1557" s="83">
        <v>3518741278</v>
      </c>
      <c r="K1557" s="180"/>
      <c r="L1557" s="180">
        <v>46021</v>
      </c>
      <c r="M1557" s="180"/>
      <c r="N1557" s="181">
        <v>0.78413999999999995</v>
      </c>
      <c r="O1557" s="181" t="s">
        <v>170</v>
      </c>
      <c r="P1557" s="83" t="s">
        <v>323</v>
      </c>
      <c r="Q1557" s="177" t="s">
        <v>324</v>
      </c>
      <c r="R1557" s="83"/>
    </row>
    <row r="1558" spans="1:18">
      <c r="A1558" s="83">
        <v>80813632</v>
      </c>
      <c r="B1558" s="186" t="s">
        <v>859</v>
      </c>
      <c r="C1558" s="186" t="s">
        <v>152</v>
      </c>
      <c r="D1558" s="83" t="s">
        <v>428</v>
      </c>
      <c r="E1558" s="83" t="s">
        <v>168</v>
      </c>
      <c r="F1558" s="180">
        <v>46034</v>
      </c>
      <c r="G1558" s="83">
        <v>313</v>
      </c>
      <c r="H1558" s="180">
        <v>46021</v>
      </c>
      <c r="I1558" s="180" t="s">
        <v>202</v>
      </c>
      <c r="J1558" s="83">
        <v>3518741279</v>
      </c>
      <c r="K1558" s="180"/>
      <c r="L1558" s="180">
        <v>46021</v>
      </c>
      <c r="M1558" s="180"/>
      <c r="N1558" s="181">
        <v>0.29218549999999999</v>
      </c>
      <c r="O1558" s="181" t="s">
        <v>170</v>
      </c>
      <c r="P1558" s="83" t="s">
        <v>323</v>
      </c>
      <c r="Q1558" s="177" t="s">
        <v>324</v>
      </c>
      <c r="R1558" s="83"/>
    </row>
    <row r="1559" spans="1:18">
      <c r="A1559" s="83">
        <v>80813632</v>
      </c>
      <c r="B1559" s="186" t="s">
        <v>859</v>
      </c>
      <c r="C1559" s="186" t="s">
        <v>153</v>
      </c>
      <c r="D1559" s="83" t="s">
        <v>428</v>
      </c>
      <c r="E1559" s="83" t="s">
        <v>168</v>
      </c>
      <c r="F1559" s="180">
        <v>46034</v>
      </c>
      <c r="G1559" s="83">
        <v>95</v>
      </c>
      <c r="H1559" s="180">
        <v>46021</v>
      </c>
      <c r="I1559" s="180" t="s">
        <v>202</v>
      </c>
      <c r="J1559" s="83">
        <v>3518741280</v>
      </c>
      <c r="K1559" s="180"/>
      <c r="L1559" s="180">
        <v>46021</v>
      </c>
      <c r="M1559" s="180"/>
      <c r="N1559" s="181">
        <v>8.8682499999999997E-2</v>
      </c>
      <c r="O1559" s="181" t="s">
        <v>170</v>
      </c>
      <c r="P1559" s="83" t="s">
        <v>323</v>
      </c>
      <c r="Q1559" s="177" t="s">
        <v>324</v>
      </c>
      <c r="R1559" s="83"/>
    </row>
    <row r="1560" spans="1:18">
      <c r="A1560" s="83">
        <v>80813632</v>
      </c>
      <c r="B1560" s="186" t="s">
        <v>859</v>
      </c>
      <c r="C1560" s="186" t="s">
        <v>154</v>
      </c>
      <c r="D1560" s="83" t="s">
        <v>428</v>
      </c>
      <c r="E1560" s="83" t="s">
        <v>168</v>
      </c>
      <c r="F1560" s="180">
        <v>46034</v>
      </c>
      <c r="G1560" s="83">
        <v>147</v>
      </c>
      <c r="H1560" s="180">
        <v>46021</v>
      </c>
      <c r="I1560" s="180" t="s">
        <v>202</v>
      </c>
      <c r="J1560" s="83">
        <v>3518741281</v>
      </c>
      <c r="K1560" s="180"/>
      <c r="L1560" s="180">
        <v>46021</v>
      </c>
      <c r="M1560" s="180"/>
      <c r="N1560" s="181">
        <v>0.1372245</v>
      </c>
      <c r="O1560" s="181" t="s">
        <v>170</v>
      </c>
      <c r="P1560" s="83" t="s">
        <v>323</v>
      </c>
      <c r="Q1560" s="177" t="s">
        <v>324</v>
      </c>
      <c r="R1560" s="83"/>
    </row>
    <row r="1561" spans="1:18">
      <c r="A1561" s="83">
        <v>80813632</v>
      </c>
      <c r="B1561" s="186" t="s">
        <v>859</v>
      </c>
      <c r="C1561" s="186" t="s">
        <v>155</v>
      </c>
      <c r="D1561" s="83" t="s">
        <v>428</v>
      </c>
      <c r="E1561" s="83" t="s">
        <v>168</v>
      </c>
      <c r="F1561" s="180">
        <v>46034</v>
      </c>
      <c r="G1561" s="83">
        <v>444</v>
      </c>
      <c r="H1561" s="180">
        <v>46021</v>
      </c>
      <c r="I1561" s="180" t="s">
        <v>202</v>
      </c>
      <c r="J1561" s="83">
        <v>3518741282</v>
      </c>
      <c r="K1561" s="180"/>
      <c r="L1561" s="180">
        <v>46021</v>
      </c>
      <c r="M1561" s="180"/>
      <c r="N1561" s="181">
        <v>0.41447400000000001</v>
      </c>
      <c r="O1561" s="181" t="s">
        <v>170</v>
      </c>
      <c r="P1561" s="83" t="s">
        <v>323</v>
      </c>
      <c r="Q1561" s="177" t="s">
        <v>324</v>
      </c>
      <c r="R1561" s="83"/>
    </row>
    <row r="1562" spans="1:18">
      <c r="A1562" s="83">
        <v>80813638</v>
      </c>
      <c r="B1562" s="186" t="s">
        <v>867</v>
      </c>
      <c r="C1562" s="186" t="s">
        <v>143</v>
      </c>
      <c r="D1562" s="83" t="s">
        <v>428</v>
      </c>
      <c r="E1562" s="83" t="s">
        <v>168</v>
      </c>
      <c r="F1562" s="180">
        <v>46034</v>
      </c>
      <c r="G1562" s="83">
        <v>8</v>
      </c>
      <c r="H1562" s="180">
        <v>46021</v>
      </c>
      <c r="I1562" s="180" t="s">
        <v>202</v>
      </c>
      <c r="J1562" s="83">
        <v>3518741283</v>
      </c>
      <c r="K1562" s="180"/>
      <c r="L1562" s="180">
        <v>46021</v>
      </c>
      <c r="M1562" s="180"/>
      <c r="N1562" s="181">
        <v>1.4500799999999999E-2</v>
      </c>
      <c r="O1562" s="181" t="s">
        <v>170</v>
      </c>
      <c r="P1562" s="83" t="s">
        <v>323</v>
      </c>
      <c r="Q1562" s="177" t="s">
        <v>324</v>
      </c>
      <c r="R1562" s="83"/>
    </row>
    <row r="1563" spans="1:18">
      <c r="A1563" s="83">
        <v>80813638</v>
      </c>
      <c r="B1563" s="186" t="s">
        <v>867</v>
      </c>
      <c r="C1563" s="186" t="s">
        <v>150</v>
      </c>
      <c r="D1563" s="83" t="s">
        <v>428</v>
      </c>
      <c r="E1563" s="83" t="s">
        <v>168</v>
      </c>
      <c r="F1563" s="180">
        <v>46034</v>
      </c>
      <c r="G1563" s="83">
        <v>252</v>
      </c>
      <c r="H1563" s="180">
        <v>46021</v>
      </c>
      <c r="I1563" s="180" t="s">
        <v>202</v>
      </c>
      <c r="J1563" s="83">
        <v>3518741284</v>
      </c>
      <c r="K1563" s="180"/>
      <c r="L1563" s="180">
        <v>46021</v>
      </c>
      <c r="M1563" s="180"/>
      <c r="N1563" s="181">
        <v>0.45677519999999999</v>
      </c>
      <c r="O1563" s="181" t="s">
        <v>170</v>
      </c>
      <c r="P1563" s="83" t="s">
        <v>323</v>
      </c>
      <c r="Q1563" s="177" t="s">
        <v>324</v>
      </c>
      <c r="R1563" s="83"/>
    </row>
    <row r="1564" spans="1:18">
      <c r="A1564" s="83">
        <v>80813638</v>
      </c>
      <c r="B1564" s="186" t="s">
        <v>867</v>
      </c>
      <c r="C1564" s="186" t="s">
        <v>151</v>
      </c>
      <c r="D1564" s="83" t="s">
        <v>428</v>
      </c>
      <c r="E1564" s="83" t="s">
        <v>168</v>
      </c>
      <c r="F1564" s="180">
        <v>46034</v>
      </c>
      <c r="G1564" s="83">
        <v>228</v>
      </c>
      <c r="H1564" s="180">
        <v>46021</v>
      </c>
      <c r="I1564" s="180" t="s">
        <v>202</v>
      </c>
      <c r="J1564" s="83">
        <v>3518741285</v>
      </c>
      <c r="K1564" s="180"/>
      <c r="L1564" s="180">
        <v>46021</v>
      </c>
      <c r="M1564" s="180"/>
      <c r="N1564" s="181">
        <v>0.4132728</v>
      </c>
      <c r="O1564" s="181" t="s">
        <v>170</v>
      </c>
      <c r="P1564" s="83" t="s">
        <v>323</v>
      </c>
      <c r="Q1564" s="177" t="s">
        <v>324</v>
      </c>
      <c r="R1564" s="83"/>
    </row>
    <row r="1565" spans="1:18">
      <c r="A1565" s="83">
        <v>80813638</v>
      </c>
      <c r="B1565" s="186" t="s">
        <v>867</v>
      </c>
      <c r="C1565" s="186" t="s">
        <v>152</v>
      </c>
      <c r="D1565" s="83" t="s">
        <v>428</v>
      </c>
      <c r="E1565" s="83" t="s">
        <v>168</v>
      </c>
      <c r="F1565" s="180">
        <v>46034</v>
      </c>
      <c r="G1565" s="83">
        <v>27</v>
      </c>
      <c r="H1565" s="180">
        <v>46021</v>
      </c>
      <c r="I1565" s="180" t="s">
        <v>202</v>
      </c>
      <c r="J1565" s="83">
        <v>3518741286</v>
      </c>
      <c r="K1565" s="180"/>
      <c r="L1565" s="180">
        <v>46021</v>
      </c>
      <c r="M1565" s="180"/>
      <c r="N1565" s="181">
        <v>4.8940200000000003E-2</v>
      </c>
      <c r="O1565" s="181" t="s">
        <v>170</v>
      </c>
      <c r="P1565" s="83" t="s">
        <v>323</v>
      </c>
      <c r="Q1565" s="177" t="s">
        <v>324</v>
      </c>
      <c r="R1565" s="83"/>
    </row>
    <row r="1566" spans="1:18">
      <c r="A1566" s="83">
        <v>80813638</v>
      </c>
      <c r="B1566" s="186" t="s">
        <v>867</v>
      </c>
      <c r="C1566" s="186" t="s">
        <v>153</v>
      </c>
      <c r="D1566" s="83" t="s">
        <v>428</v>
      </c>
      <c r="E1566" s="83" t="s">
        <v>168</v>
      </c>
      <c r="F1566" s="180">
        <v>46034</v>
      </c>
      <c r="G1566" s="83">
        <v>30</v>
      </c>
      <c r="H1566" s="180">
        <v>46021</v>
      </c>
      <c r="I1566" s="180" t="s">
        <v>202</v>
      </c>
      <c r="J1566" s="83">
        <v>3518741287</v>
      </c>
      <c r="K1566" s="180"/>
      <c r="L1566" s="180">
        <v>46021</v>
      </c>
      <c r="M1566" s="180"/>
      <c r="N1566" s="181">
        <v>5.4378000000000003E-2</v>
      </c>
      <c r="O1566" s="181" t="s">
        <v>170</v>
      </c>
      <c r="P1566" s="83" t="s">
        <v>323</v>
      </c>
      <c r="Q1566" s="177" t="s">
        <v>324</v>
      </c>
      <c r="R1566" s="83"/>
    </row>
    <row r="1567" spans="1:18">
      <c r="A1567" s="83">
        <v>80813638</v>
      </c>
      <c r="B1567" s="186" t="s">
        <v>867</v>
      </c>
      <c r="C1567" s="186" t="s">
        <v>154</v>
      </c>
      <c r="D1567" s="83" t="s">
        <v>428</v>
      </c>
      <c r="E1567" s="83" t="s">
        <v>168</v>
      </c>
      <c r="F1567" s="180">
        <v>46034</v>
      </c>
      <c r="G1567" s="83">
        <v>52</v>
      </c>
      <c r="H1567" s="180">
        <v>46021</v>
      </c>
      <c r="I1567" s="180" t="s">
        <v>202</v>
      </c>
      <c r="J1567" s="83">
        <v>3518741288</v>
      </c>
      <c r="K1567" s="180"/>
      <c r="L1567" s="180">
        <v>46021</v>
      </c>
      <c r="M1567" s="180"/>
      <c r="N1567" s="181">
        <v>9.4255199999999997E-2</v>
      </c>
      <c r="O1567" s="181" t="s">
        <v>170</v>
      </c>
      <c r="P1567" s="83" t="s">
        <v>323</v>
      </c>
      <c r="Q1567" s="177" t="s">
        <v>324</v>
      </c>
      <c r="R1567" s="83"/>
    </row>
    <row r="1568" spans="1:18">
      <c r="A1568" s="83">
        <v>80813638</v>
      </c>
      <c r="B1568" s="186" t="s">
        <v>867</v>
      </c>
      <c r="C1568" s="186" t="s">
        <v>155</v>
      </c>
      <c r="D1568" s="83" t="s">
        <v>428</v>
      </c>
      <c r="E1568" s="83" t="s">
        <v>168</v>
      </c>
      <c r="F1568" s="180">
        <v>46034</v>
      </c>
      <c r="G1568" s="83">
        <v>28</v>
      </c>
      <c r="H1568" s="180">
        <v>46021</v>
      </c>
      <c r="I1568" s="180" t="s">
        <v>202</v>
      </c>
      <c r="J1568" s="83">
        <v>3518741289</v>
      </c>
      <c r="K1568" s="180"/>
      <c r="L1568" s="180">
        <v>46021</v>
      </c>
      <c r="M1568" s="180"/>
      <c r="N1568" s="181">
        <v>5.0752800000000001E-2</v>
      </c>
      <c r="O1568" s="181" t="s">
        <v>170</v>
      </c>
      <c r="P1568" s="83" t="s">
        <v>323</v>
      </c>
      <c r="Q1568" s="177" t="s">
        <v>324</v>
      </c>
      <c r="R1568" s="83"/>
    </row>
    <row r="1569" spans="1:18">
      <c r="A1569" s="83">
        <v>80813641</v>
      </c>
      <c r="B1569" s="186" t="s">
        <v>875</v>
      </c>
      <c r="C1569" s="186" t="s">
        <v>143</v>
      </c>
      <c r="D1569" s="83" t="s">
        <v>428</v>
      </c>
      <c r="E1569" s="83" t="s">
        <v>168</v>
      </c>
      <c r="F1569" s="180">
        <v>46034</v>
      </c>
      <c r="G1569" s="83">
        <v>78</v>
      </c>
      <c r="H1569" s="180">
        <v>46021</v>
      </c>
      <c r="I1569" s="180" t="s">
        <v>202</v>
      </c>
      <c r="J1569" s="83">
        <v>3518741290</v>
      </c>
      <c r="K1569" s="180"/>
      <c r="L1569" s="180">
        <v>46021</v>
      </c>
      <c r="M1569" s="180"/>
      <c r="N1569" s="181">
        <v>7.2813000000000003E-2</v>
      </c>
      <c r="O1569" s="181" t="s">
        <v>170</v>
      </c>
      <c r="P1569" s="83" t="s">
        <v>323</v>
      </c>
      <c r="Q1569" s="177" t="s">
        <v>324</v>
      </c>
      <c r="R1569" s="83"/>
    </row>
    <row r="1570" spans="1:18">
      <c r="A1570" s="83">
        <v>80813641</v>
      </c>
      <c r="B1570" s="186" t="s">
        <v>875</v>
      </c>
      <c r="C1570" s="186" t="s">
        <v>150</v>
      </c>
      <c r="D1570" s="83" t="s">
        <v>428</v>
      </c>
      <c r="E1570" s="83" t="s">
        <v>168</v>
      </c>
      <c r="F1570" s="180">
        <v>46034</v>
      </c>
      <c r="G1570" s="83">
        <v>725</v>
      </c>
      <c r="H1570" s="180">
        <v>46021</v>
      </c>
      <c r="I1570" s="180" t="s">
        <v>202</v>
      </c>
      <c r="J1570" s="83">
        <v>3518741291</v>
      </c>
      <c r="K1570" s="180"/>
      <c r="L1570" s="180">
        <v>46021</v>
      </c>
      <c r="M1570" s="180"/>
      <c r="N1570" s="181">
        <v>0.67678749999999999</v>
      </c>
      <c r="O1570" s="181" t="s">
        <v>170</v>
      </c>
      <c r="P1570" s="83" t="s">
        <v>323</v>
      </c>
      <c r="Q1570" s="177" t="s">
        <v>324</v>
      </c>
      <c r="R1570" s="83"/>
    </row>
    <row r="1571" spans="1:18">
      <c r="A1571" s="83">
        <v>80813641</v>
      </c>
      <c r="B1571" s="186" t="s">
        <v>875</v>
      </c>
      <c r="C1571" s="186" t="s">
        <v>151</v>
      </c>
      <c r="D1571" s="83" t="s">
        <v>428</v>
      </c>
      <c r="E1571" s="83" t="s">
        <v>168</v>
      </c>
      <c r="F1571" s="180">
        <v>46034</v>
      </c>
      <c r="G1571" s="83">
        <v>685</v>
      </c>
      <c r="H1571" s="180">
        <v>46021</v>
      </c>
      <c r="I1571" s="180" t="s">
        <v>202</v>
      </c>
      <c r="J1571" s="83">
        <v>3518741292</v>
      </c>
      <c r="K1571" s="180"/>
      <c r="L1571" s="180">
        <v>46021</v>
      </c>
      <c r="M1571" s="180"/>
      <c r="N1571" s="181">
        <v>0.63944749999999995</v>
      </c>
      <c r="O1571" s="181" t="s">
        <v>170</v>
      </c>
      <c r="P1571" s="83" t="s">
        <v>323</v>
      </c>
      <c r="Q1571" s="177" t="s">
        <v>324</v>
      </c>
      <c r="R1571" s="83"/>
    </row>
    <row r="1572" spans="1:18">
      <c r="A1572" s="83">
        <v>80813641</v>
      </c>
      <c r="B1572" s="186" t="s">
        <v>875</v>
      </c>
      <c r="C1572" s="186" t="s">
        <v>152</v>
      </c>
      <c r="D1572" s="83" t="s">
        <v>428</v>
      </c>
      <c r="E1572" s="83" t="s">
        <v>168</v>
      </c>
      <c r="F1572" s="180">
        <v>46034</v>
      </c>
      <c r="G1572" s="83">
        <v>375</v>
      </c>
      <c r="H1572" s="180">
        <v>46021</v>
      </c>
      <c r="I1572" s="180" t="s">
        <v>202</v>
      </c>
      <c r="J1572" s="83">
        <v>3518741293</v>
      </c>
      <c r="K1572" s="180"/>
      <c r="L1572" s="180">
        <v>46021</v>
      </c>
      <c r="M1572" s="180"/>
      <c r="N1572" s="181">
        <v>0.3500625</v>
      </c>
      <c r="O1572" s="181" t="s">
        <v>170</v>
      </c>
      <c r="P1572" s="83" t="s">
        <v>323</v>
      </c>
      <c r="Q1572" s="177" t="s">
        <v>324</v>
      </c>
      <c r="R1572" s="83"/>
    </row>
    <row r="1573" spans="1:18">
      <c r="A1573" s="83">
        <v>80813641</v>
      </c>
      <c r="B1573" s="186" t="s">
        <v>875</v>
      </c>
      <c r="C1573" s="186" t="s">
        <v>153</v>
      </c>
      <c r="D1573" s="83" t="s">
        <v>428</v>
      </c>
      <c r="E1573" s="83" t="s">
        <v>168</v>
      </c>
      <c r="F1573" s="180">
        <v>46034</v>
      </c>
      <c r="G1573" s="83">
        <v>101</v>
      </c>
      <c r="H1573" s="180">
        <v>46021</v>
      </c>
      <c r="I1573" s="180" t="s">
        <v>202</v>
      </c>
      <c r="J1573" s="83">
        <v>3518741294</v>
      </c>
      <c r="K1573" s="180"/>
      <c r="L1573" s="180">
        <v>46021</v>
      </c>
      <c r="M1573" s="180"/>
      <c r="N1573" s="181">
        <v>9.4283500000000006E-2</v>
      </c>
      <c r="O1573" s="181" t="s">
        <v>170</v>
      </c>
      <c r="P1573" s="83" t="s">
        <v>323</v>
      </c>
      <c r="Q1573" s="177" t="s">
        <v>324</v>
      </c>
      <c r="R1573" s="83"/>
    </row>
    <row r="1574" spans="1:18">
      <c r="A1574" s="83">
        <v>80813641</v>
      </c>
      <c r="B1574" s="186" t="s">
        <v>875</v>
      </c>
      <c r="C1574" s="186" t="s">
        <v>154</v>
      </c>
      <c r="D1574" s="83" t="s">
        <v>428</v>
      </c>
      <c r="E1574" s="83" t="s">
        <v>168</v>
      </c>
      <c r="F1574" s="180">
        <v>46034</v>
      </c>
      <c r="G1574" s="83">
        <v>122</v>
      </c>
      <c r="H1574" s="180">
        <v>46021</v>
      </c>
      <c r="I1574" s="180" t="s">
        <v>202</v>
      </c>
      <c r="J1574" s="83">
        <v>3518741295</v>
      </c>
      <c r="K1574" s="180"/>
      <c r="L1574" s="180">
        <v>46021</v>
      </c>
      <c r="M1574" s="180"/>
      <c r="N1574" s="181">
        <v>0.113887</v>
      </c>
      <c r="O1574" s="181" t="s">
        <v>170</v>
      </c>
      <c r="P1574" s="83" t="s">
        <v>323</v>
      </c>
      <c r="Q1574" s="177" t="s">
        <v>324</v>
      </c>
      <c r="R1574" s="83"/>
    </row>
    <row r="1575" spans="1:18">
      <c r="A1575" s="83">
        <v>80813641</v>
      </c>
      <c r="B1575" s="186" t="s">
        <v>875</v>
      </c>
      <c r="C1575" s="186" t="s">
        <v>155</v>
      </c>
      <c r="D1575" s="83" t="s">
        <v>428</v>
      </c>
      <c r="E1575" s="83" t="s">
        <v>168</v>
      </c>
      <c r="F1575" s="180">
        <v>46034</v>
      </c>
      <c r="G1575" s="83">
        <v>250</v>
      </c>
      <c r="H1575" s="180">
        <v>46021</v>
      </c>
      <c r="I1575" s="180" t="s">
        <v>202</v>
      </c>
      <c r="J1575" s="83">
        <v>3518741296</v>
      </c>
      <c r="K1575" s="180"/>
      <c r="L1575" s="180">
        <v>46021</v>
      </c>
      <c r="M1575" s="180"/>
      <c r="N1575" s="181">
        <v>0.233375</v>
      </c>
      <c r="O1575" s="181" t="s">
        <v>170</v>
      </c>
      <c r="P1575" s="83" t="s">
        <v>323</v>
      </c>
      <c r="Q1575" s="177" t="s">
        <v>324</v>
      </c>
      <c r="R1575" s="83"/>
    </row>
    <row r="1576" spans="1:18">
      <c r="A1576" s="83">
        <v>80823372</v>
      </c>
      <c r="B1576" s="186" t="s">
        <v>883</v>
      </c>
      <c r="C1576" s="186" t="s">
        <v>143</v>
      </c>
      <c r="D1576" s="83" t="s">
        <v>428</v>
      </c>
      <c r="E1576" s="83" t="s">
        <v>168</v>
      </c>
      <c r="F1576" s="180">
        <v>46034</v>
      </c>
      <c r="G1576" s="83">
        <v>3</v>
      </c>
      <c r="H1576" s="180">
        <v>46021</v>
      </c>
      <c r="I1576" s="180" t="s">
        <v>202</v>
      </c>
      <c r="J1576" s="83">
        <v>3518741297</v>
      </c>
      <c r="K1576" s="180"/>
      <c r="L1576" s="180">
        <v>46021</v>
      </c>
      <c r="M1576" s="180"/>
      <c r="N1576" s="181">
        <v>1.3596000000000001E-3</v>
      </c>
      <c r="O1576" s="181" t="s">
        <v>170</v>
      </c>
      <c r="P1576" s="83" t="s">
        <v>323</v>
      </c>
      <c r="Q1576" s="177" t="s">
        <v>324</v>
      </c>
      <c r="R1576" s="83"/>
    </row>
    <row r="1577" spans="1:18">
      <c r="A1577" s="83">
        <v>80823372</v>
      </c>
      <c r="B1577" s="186" t="s">
        <v>883</v>
      </c>
      <c r="C1577" s="186" t="s">
        <v>150</v>
      </c>
      <c r="D1577" s="83" t="s">
        <v>428</v>
      </c>
      <c r="E1577" s="83" t="s">
        <v>168</v>
      </c>
      <c r="F1577" s="180">
        <v>46034</v>
      </c>
      <c r="G1577" s="83">
        <v>12</v>
      </c>
      <c r="H1577" s="180">
        <v>46021</v>
      </c>
      <c r="I1577" s="180" t="s">
        <v>202</v>
      </c>
      <c r="J1577" s="83">
        <v>3518741298</v>
      </c>
      <c r="K1577" s="180"/>
      <c r="L1577" s="180">
        <v>46021</v>
      </c>
      <c r="M1577" s="180"/>
      <c r="N1577" s="181">
        <v>5.4384000000000004E-3</v>
      </c>
      <c r="O1577" s="181" t="s">
        <v>170</v>
      </c>
      <c r="P1577" s="83" t="s">
        <v>323</v>
      </c>
      <c r="Q1577" s="177" t="s">
        <v>324</v>
      </c>
      <c r="R1577" s="83"/>
    </row>
    <row r="1578" spans="1:18">
      <c r="A1578" s="83">
        <v>80823372</v>
      </c>
      <c r="B1578" s="186" t="s">
        <v>883</v>
      </c>
      <c r="C1578" s="186" t="s">
        <v>151</v>
      </c>
      <c r="D1578" s="83" t="s">
        <v>428</v>
      </c>
      <c r="E1578" s="83" t="s">
        <v>168</v>
      </c>
      <c r="F1578" s="180">
        <v>46034</v>
      </c>
      <c r="G1578" s="83">
        <v>13</v>
      </c>
      <c r="H1578" s="180">
        <v>46021</v>
      </c>
      <c r="I1578" s="180" t="s">
        <v>202</v>
      </c>
      <c r="J1578" s="83">
        <v>3518741299</v>
      </c>
      <c r="K1578" s="180"/>
      <c r="L1578" s="180">
        <v>46021</v>
      </c>
      <c r="M1578" s="180"/>
      <c r="N1578" s="181">
        <v>5.8916000000000003E-3</v>
      </c>
      <c r="O1578" s="181" t="s">
        <v>170</v>
      </c>
      <c r="P1578" s="83" t="s">
        <v>323</v>
      </c>
      <c r="Q1578" s="177" t="s">
        <v>324</v>
      </c>
      <c r="R1578" s="83"/>
    </row>
    <row r="1579" spans="1:18">
      <c r="A1579" s="83">
        <v>80823372</v>
      </c>
      <c r="B1579" s="186" t="s">
        <v>883</v>
      </c>
      <c r="C1579" s="186" t="s">
        <v>152</v>
      </c>
      <c r="D1579" s="83" t="s">
        <v>428</v>
      </c>
      <c r="E1579" s="83" t="s">
        <v>168</v>
      </c>
      <c r="F1579" s="180">
        <v>46034</v>
      </c>
      <c r="G1579" s="83">
        <v>11</v>
      </c>
      <c r="H1579" s="180">
        <v>46021</v>
      </c>
      <c r="I1579" s="180" t="s">
        <v>202</v>
      </c>
      <c r="J1579" s="83">
        <v>3518741300</v>
      </c>
      <c r="K1579" s="180"/>
      <c r="L1579" s="180">
        <v>46021</v>
      </c>
      <c r="M1579" s="180"/>
      <c r="N1579" s="181">
        <v>4.9852000000000004E-3</v>
      </c>
      <c r="O1579" s="181" t="s">
        <v>170</v>
      </c>
      <c r="P1579" s="83" t="s">
        <v>323</v>
      </c>
      <c r="Q1579" s="177" t="s">
        <v>324</v>
      </c>
      <c r="R1579" s="83"/>
    </row>
    <row r="1580" spans="1:18">
      <c r="A1580" s="83">
        <v>80823372</v>
      </c>
      <c r="B1580" s="186" t="s">
        <v>883</v>
      </c>
      <c r="C1580" s="186" t="s">
        <v>153</v>
      </c>
      <c r="D1580" s="83" t="s">
        <v>428</v>
      </c>
      <c r="E1580" s="83" t="s">
        <v>168</v>
      </c>
      <c r="F1580" s="180">
        <v>46034</v>
      </c>
      <c r="G1580" s="83">
        <v>11</v>
      </c>
      <c r="H1580" s="180">
        <v>46021</v>
      </c>
      <c r="I1580" s="180" t="s">
        <v>202</v>
      </c>
      <c r="J1580" s="83">
        <v>3518741301</v>
      </c>
      <c r="K1580" s="180"/>
      <c r="L1580" s="180">
        <v>46021</v>
      </c>
      <c r="M1580" s="180"/>
      <c r="N1580" s="181">
        <v>4.9852000000000004E-3</v>
      </c>
      <c r="O1580" s="181" t="s">
        <v>170</v>
      </c>
      <c r="P1580" s="83" t="s">
        <v>323</v>
      </c>
      <c r="Q1580" s="177" t="s">
        <v>324</v>
      </c>
      <c r="R1580" s="83"/>
    </row>
    <row r="1581" spans="1:18">
      <c r="A1581" s="83">
        <v>80823372</v>
      </c>
      <c r="B1581" s="186" t="s">
        <v>883</v>
      </c>
      <c r="C1581" s="186" t="s">
        <v>154</v>
      </c>
      <c r="D1581" s="83" t="s">
        <v>428</v>
      </c>
      <c r="E1581" s="83" t="s">
        <v>168</v>
      </c>
      <c r="F1581" s="180">
        <v>46034</v>
      </c>
      <c r="G1581" s="83">
        <v>11</v>
      </c>
      <c r="H1581" s="180">
        <v>46021</v>
      </c>
      <c r="I1581" s="180" t="s">
        <v>202</v>
      </c>
      <c r="J1581" s="83">
        <v>3518741302</v>
      </c>
      <c r="K1581" s="180"/>
      <c r="L1581" s="180">
        <v>46021</v>
      </c>
      <c r="M1581" s="180"/>
      <c r="N1581" s="181">
        <v>4.9852000000000004E-3</v>
      </c>
      <c r="O1581" s="181" t="s">
        <v>170</v>
      </c>
      <c r="P1581" s="83" t="s">
        <v>323</v>
      </c>
      <c r="Q1581" s="177" t="s">
        <v>324</v>
      </c>
      <c r="R1581" s="83"/>
    </row>
    <row r="1582" spans="1:18">
      <c r="A1582" s="83">
        <v>80823372</v>
      </c>
      <c r="B1582" s="186" t="s">
        <v>883</v>
      </c>
      <c r="C1582" s="186" t="s">
        <v>155</v>
      </c>
      <c r="D1582" s="83" t="s">
        <v>428</v>
      </c>
      <c r="E1582" s="83" t="s">
        <v>168</v>
      </c>
      <c r="F1582" s="180">
        <v>46034</v>
      </c>
      <c r="G1582" s="83">
        <v>10</v>
      </c>
      <c r="H1582" s="180">
        <v>46021</v>
      </c>
      <c r="I1582" s="180" t="s">
        <v>202</v>
      </c>
      <c r="J1582" s="83">
        <v>3518741303</v>
      </c>
      <c r="K1582" s="180"/>
      <c r="L1582" s="180">
        <v>46021</v>
      </c>
      <c r="M1582" s="180"/>
      <c r="N1582" s="181">
        <v>4.5319999999999996E-3</v>
      </c>
      <c r="O1582" s="181" t="s">
        <v>170</v>
      </c>
      <c r="P1582" s="83" t="s">
        <v>323</v>
      </c>
      <c r="Q1582" s="177" t="s">
        <v>324</v>
      </c>
      <c r="R1582" s="83"/>
    </row>
    <row r="1583" spans="1:18">
      <c r="A1583" s="83">
        <v>80823374</v>
      </c>
      <c r="B1583" s="186" t="s">
        <v>891</v>
      </c>
      <c r="C1583" s="186" t="s">
        <v>143</v>
      </c>
      <c r="D1583" s="83" t="s">
        <v>428</v>
      </c>
      <c r="E1583" s="83" t="s">
        <v>168</v>
      </c>
      <c r="F1583" s="180">
        <v>46034</v>
      </c>
      <c r="G1583" s="83">
        <v>7</v>
      </c>
      <c r="H1583" s="180">
        <v>46021</v>
      </c>
      <c r="I1583" s="180" t="s">
        <v>202</v>
      </c>
      <c r="J1583" s="83">
        <v>3518741304</v>
      </c>
      <c r="K1583" s="180"/>
      <c r="L1583" s="180">
        <v>46021</v>
      </c>
      <c r="M1583" s="180"/>
      <c r="N1583" s="181">
        <v>3.1724000000000001E-3</v>
      </c>
      <c r="O1583" s="181" t="s">
        <v>170</v>
      </c>
      <c r="P1583" s="83" t="s">
        <v>323</v>
      </c>
      <c r="Q1583" s="177" t="s">
        <v>324</v>
      </c>
      <c r="R1583" s="83"/>
    </row>
    <row r="1584" spans="1:18">
      <c r="A1584" s="83">
        <v>80823374</v>
      </c>
      <c r="B1584" s="186" t="s">
        <v>891</v>
      </c>
      <c r="C1584" s="186" t="s">
        <v>150</v>
      </c>
      <c r="D1584" s="83" t="s">
        <v>428</v>
      </c>
      <c r="E1584" s="83" t="s">
        <v>168</v>
      </c>
      <c r="F1584" s="180">
        <v>46034</v>
      </c>
      <c r="G1584" s="83">
        <v>11</v>
      </c>
      <c r="H1584" s="180">
        <v>46021</v>
      </c>
      <c r="I1584" s="180" t="s">
        <v>202</v>
      </c>
      <c r="J1584" s="83">
        <v>3518741305</v>
      </c>
      <c r="K1584" s="180"/>
      <c r="L1584" s="180">
        <v>46021</v>
      </c>
      <c r="M1584" s="180"/>
      <c r="N1584" s="181">
        <v>4.9852000000000004E-3</v>
      </c>
      <c r="O1584" s="181" t="s">
        <v>170</v>
      </c>
      <c r="P1584" s="83" t="s">
        <v>323</v>
      </c>
      <c r="Q1584" s="177" t="s">
        <v>324</v>
      </c>
      <c r="R1584" s="83"/>
    </row>
    <row r="1585" spans="1:18">
      <c r="A1585" s="83">
        <v>80823374</v>
      </c>
      <c r="B1585" s="186" t="s">
        <v>891</v>
      </c>
      <c r="C1585" s="186" t="s">
        <v>151</v>
      </c>
      <c r="D1585" s="83" t="s">
        <v>428</v>
      </c>
      <c r="E1585" s="83" t="s">
        <v>168</v>
      </c>
      <c r="F1585" s="180">
        <v>46034</v>
      </c>
      <c r="G1585" s="83">
        <v>32</v>
      </c>
      <c r="H1585" s="180">
        <v>46021</v>
      </c>
      <c r="I1585" s="180" t="s">
        <v>202</v>
      </c>
      <c r="J1585" s="83">
        <v>3518741306</v>
      </c>
      <c r="K1585" s="180"/>
      <c r="L1585" s="180">
        <v>46021</v>
      </c>
      <c r="M1585" s="180"/>
      <c r="N1585" s="181">
        <v>1.45024E-2</v>
      </c>
      <c r="O1585" s="181" t="s">
        <v>170</v>
      </c>
      <c r="P1585" s="83" t="s">
        <v>323</v>
      </c>
      <c r="Q1585" s="177" t="s">
        <v>324</v>
      </c>
      <c r="R1585" s="83"/>
    </row>
    <row r="1586" spans="1:18">
      <c r="A1586" s="83">
        <v>80823374</v>
      </c>
      <c r="B1586" s="186" t="s">
        <v>891</v>
      </c>
      <c r="C1586" s="186" t="s">
        <v>152</v>
      </c>
      <c r="D1586" s="83" t="s">
        <v>428</v>
      </c>
      <c r="E1586" s="83" t="s">
        <v>168</v>
      </c>
      <c r="F1586" s="180">
        <v>46034</v>
      </c>
      <c r="G1586" s="83">
        <v>11</v>
      </c>
      <c r="H1586" s="180">
        <v>46021</v>
      </c>
      <c r="I1586" s="180" t="s">
        <v>202</v>
      </c>
      <c r="J1586" s="83">
        <v>3518741307</v>
      </c>
      <c r="K1586" s="180"/>
      <c r="L1586" s="180">
        <v>46021</v>
      </c>
      <c r="M1586" s="180"/>
      <c r="N1586" s="181">
        <v>4.9852000000000004E-3</v>
      </c>
      <c r="O1586" s="181" t="s">
        <v>170</v>
      </c>
      <c r="P1586" s="83" t="s">
        <v>323</v>
      </c>
      <c r="Q1586" s="177" t="s">
        <v>324</v>
      </c>
      <c r="R1586" s="83"/>
    </row>
    <row r="1587" spans="1:18">
      <c r="A1587" s="83">
        <v>80823374</v>
      </c>
      <c r="B1587" s="186" t="s">
        <v>891</v>
      </c>
      <c r="C1587" s="186" t="s">
        <v>153</v>
      </c>
      <c r="D1587" s="83" t="s">
        <v>428</v>
      </c>
      <c r="E1587" s="83" t="s">
        <v>168</v>
      </c>
      <c r="F1587" s="180">
        <v>46034</v>
      </c>
      <c r="G1587" s="83">
        <v>11</v>
      </c>
      <c r="H1587" s="180">
        <v>46021</v>
      </c>
      <c r="I1587" s="180" t="s">
        <v>202</v>
      </c>
      <c r="J1587" s="83">
        <v>3518741308</v>
      </c>
      <c r="K1587" s="180"/>
      <c r="L1587" s="180">
        <v>46021</v>
      </c>
      <c r="M1587" s="180"/>
      <c r="N1587" s="181">
        <v>4.9852000000000004E-3</v>
      </c>
      <c r="O1587" s="181" t="s">
        <v>170</v>
      </c>
      <c r="P1587" s="83" t="s">
        <v>323</v>
      </c>
      <c r="Q1587" s="177" t="s">
        <v>324</v>
      </c>
      <c r="R1587" s="83"/>
    </row>
    <row r="1588" spans="1:18">
      <c r="A1588" s="83">
        <v>80823374</v>
      </c>
      <c r="B1588" s="186" t="s">
        <v>891</v>
      </c>
      <c r="C1588" s="186" t="s">
        <v>154</v>
      </c>
      <c r="D1588" s="83" t="s">
        <v>428</v>
      </c>
      <c r="E1588" s="83" t="s">
        <v>168</v>
      </c>
      <c r="F1588" s="180">
        <v>46034</v>
      </c>
      <c r="G1588" s="83">
        <v>12</v>
      </c>
      <c r="H1588" s="180">
        <v>46021</v>
      </c>
      <c r="I1588" s="180" t="s">
        <v>202</v>
      </c>
      <c r="J1588" s="83">
        <v>3518741309</v>
      </c>
      <c r="K1588" s="180"/>
      <c r="L1588" s="180">
        <v>46021</v>
      </c>
      <c r="M1588" s="180"/>
      <c r="N1588" s="181">
        <v>5.4384000000000004E-3</v>
      </c>
      <c r="O1588" s="181" t="s">
        <v>170</v>
      </c>
      <c r="P1588" s="83" t="s">
        <v>323</v>
      </c>
      <c r="Q1588" s="177" t="s">
        <v>324</v>
      </c>
      <c r="R1588" s="83"/>
    </row>
    <row r="1589" spans="1:18">
      <c r="A1589" s="83">
        <v>80823374</v>
      </c>
      <c r="B1589" s="186" t="s">
        <v>891</v>
      </c>
      <c r="C1589" s="186" t="s">
        <v>155</v>
      </c>
      <c r="D1589" s="83" t="s">
        <v>428</v>
      </c>
      <c r="E1589" s="83" t="s">
        <v>168</v>
      </c>
      <c r="F1589" s="180">
        <v>46034</v>
      </c>
      <c r="G1589" s="83">
        <v>10</v>
      </c>
      <c r="H1589" s="180">
        <v>46021</v>
      </c>
      <c r="I1589" s="180" t="s">
        <v>202</v>
      </c>
      <c r="J1589" s="83">
        <v>3518741310</v>
      </c>
      <c r="K1589" s="180"/>
      <c r="L1589" s="180">
        <v>46021</v>
      </c>
      <c r="M1589" s="180"/>
      <c r="N1589" s="181">
        <v>4.5319999999999996E-3</v>
      </c>
      <c r="O1589" s="181" t="s">
        <v>170</v>
      </c>
      <c r="P1589" s="83" t="s">
        <v>323</v>
      </c>
      <c r="Q1589" s="177" t="s">
        <v>324</v>
      </c>
      <c r="R1589" s="83"/>
    </row>
    <row r="1590" spans="1:18">
      <c r="A1590" s="83">
        <v>80823944</v>
      </c>
      <c r="B1590" s="186" t="s">
        <v>899</v>
      </c>
      <c r="C1590" s="186" t="s">
        <v>143</v>
      </c>
      <c r="D1590" s="83" t="s">
        <v>428</v>
      </c>
      <c r="E1590" s="83" t="s">
        <v>168</v>
      </c>
      <c r="F1590" s="180">
        <v>46034</v>
      </c>
      <c r="G1590" s="83">
        <v>6</v>
      </c>
      <c r="H1590" s="180">
        <v>46021</v>
      </c>
      <c r="I1590" s="180" t="s">
        <v>202</v>
      </c>
      <c r="J1590" s="83">
        <v>3518741311</v>
      </c>
      <c r="K1590" s="180"/>
      <c r="L1590" s="180">
        <v>46021</v>
      </c>
      <c r="M1590" s="180"/>
      <c r="N1590" s="181">
        <v>5.4377999999999996E-3</v>
      </c>
      <c r="O1590" s="181" t="s">
        <v>170</v>
      </c>
      <c r="P1590" s="83" t="s">
        <v>323</v>
      </c>
      <c r="Q1590" s="177" t="s">
        <v>324</v>
      </c>
      <c r="R1590" s="83"/>
    </row>
    <row r="1591" spans="1:18">
      <c r="A1591" s="83">
        <v>80823944</v>
      </c>
      <c r="B1591" s="186" t="s">
        <v>899</v>
      </c>
      <c r="C1591" s="186" t="s">
        <v>150</v>
      </c>
      <c r="D1591" s="83" t="s">
        <v>428</v>
      </c>
      <c r="E1591" s="83" t="s">
        <v>168</v>
      </c>
      <c r="F1591" s="180">
        <v>46034</v>
      </c>
      <c r="G1591" s="83">
        <v>12</v>
      </c>
      <c r="H1591" s="180">
        <v>46021</v>
      </c>
      <c r="I1591" s="180" t="s">
        <v>202</v>
      </c>
      <c r="J1591" s="83">
        <v>3518741312</v>
      </c>
      <c r="K1591" s="180"/>
      <c r="L1591" s="180">
        <v>46021</v>
      </c>
      <c r="M1591" s="180"/>
      <c r="N1591" s="181">
        <v>1.0875599999999999E-2</v>
      </c>
      <c r="O1591" s="181" t="s">
        <v>170</v>
      </c>
      <c r="P1591" s="83" t="s">
        <v>323</v>
      </c>
      <c r="Q1591" s="177" t="s">
        <v>324</v>
      </c>
      <c r="R1591" s="83"/>
    </row>
    <row r="1592" spans="1:18">
      <c r="A1592" s="83">
        <v>80823944</v>
      </c>
      <c r="B1592" s="186" t="s">
        <v>899</v>
      </c>
      <c r="C1592" s="186" t="s">
        <v>151</v>
      </c>
      <c r="D1592" s="83" t="s">
        <v>428</v>
      </c>
      <c r="E1592" s="83" t="s">
        <v>168</v>
      </c>
      <c r="F1592" s="180">
        <v>46034</v>
      </c>
      <c r="G1592" s="83">
        <v>13</v>
      </c>
      <c r="H1592" s="180">
        <v>46021</v>
      </c>
      <c r="I1592" s="180" t="s">
        <v>202</v>
      </c>
      <c r="J1592" s="83">
        <v>3518741313</v>
      </c>
      <c r="K1592" s="180"/>
      <c r="L1592" s="180">
        <v>46021</v>
      </c>
      <c r="M1592" s="180"/>
      <c r="N1592" s="181">
        <v>1.17819E-2</v>
      </c>
      <c r="O1592" s="181" t="s">
        <v>170</v>
      </c>
      <c r="P1592" s="83" t="s">
        <v>323</v>
      </c>
      <c r="Q1592" s="177" t="s">
        <v>324</v>
      </c>
      <c r="R1592" s="83"/>
    </row>
    <row r="1593" spans="1:18">
      <c r="A1593" s="83">
        <v>80823944</v>
      </c>
      <c r="B1593" s="186" t="s">
        <v>899</v>
      </c>
      <c r="C1593" s="186" t="s">
        <v>152</v>
      </c>
      <c r="D1593" s="83" t="s">
        <v>428</v>
      </c>
      <c r="E1593" s="83" t="s">
        <v>168</v>
      </c>
      <c r="F1593" s="180">
        <v>46034</v>
      </c>
      <c r="G1593" s="83">
        <v>11</v>
      </c>
      <c r="H1593" s="180">
        <v>46021</v>
      </c>
      <c r="I1593" s="180" t="s">
        <v>202</v>
      </c>
      <c r="J1593" s="83">
        <v>3518741314</v>
      </c>
      <c r="K1593" s="180"/>
      <c r="L1593" s="180">
        <v>46021</v>
      </c>
      <c r="M1593" s="180"/>
      <c r="N1593" s="181">
        <v>9.9693000000000004E-3</v>
      </c>
      <c r="O1593" s="181" t="s">
        <v>170</v>
      </c>
      <c r="P1593" s="83" t="s">
        <v>323</v>
      </c>
      <c r="Q1593" s="177" t="s">
        <v>324</v>
      </c>
      <c r="R1593" s="83"/>
    </row>
    <row r="1594" spans="1:18">
      <c r="A1594" s="83">
        <v>80823944</v>
      </c>
      <c r="B1594" s="186" t="s">
        <v>899</v>
      </c>
      <c r="C1594" s="186" t="s">
        <v>153</v>
      </c>
      <c r="D1594" s="83" t="s">
        <v>428</v>
      </c>
      <c r="E1594" s="83" t="s">
        <v>168</v>
      </c>
      <c r="F1594" s="180">
        <v>46034</v>
      </c>
      <c r="G1594" s="83">
        <v>11</v>
      </c>
      <c r="H1594" s="180">
        <v>46021</v>
      </c>
      <c r="I1594" s="180" t="s">
        <v>202</v>
      </c>
      <c r="J1594" s="83">
        <v>3518741315</v>
      </c>
      <c r="K1594" s="180"/>
      <c r="L1594" s="180">
        <v>46021</v>
      </c>
      <c r="M1594" s="180"/>
      <c r="N1594" s="181">
        <v>9.9693000000000004E-3</v>
      </c>
      <c r="O1594" s="181" t="s">
        <v>170</v>
      </c>
      <c r="P1594" s="83" t="s">
        <v>323</v>
      </c>
      <c r="Q1594" s="177" t="s">
        <v>324</v>
      </c>
      <c r="R1594" s="83"/>
    </row>
    <row r="1595" spans="1:18">
      <c r="A1595" s="83">
        <v>80823944</v>
      </c>
      <c r="B1595" s="186" t="s">
        <v>899</v>
      </c>
      <c r="C1595" s="186" t="s">
        <v>154</v>
      </c>
      <c r="D1595" s="83" t="s">
        <v>428</v>
      </c>
      <c r="E1595" s="83" t="s">
        <v>168</v>
      </c>
      <c r="F1595" s="180">
        <v>46034</v>
      </c>
      <c r="G1595" s="83">
        <v>11</v>
      </c>
      <c r="H1595" s="180">
        <v>46021</v>
      </c>
      <c r="I1595" s="180" t="s">
        <v>202</v>
      </c>
      <c r="J1595" s="83">
        <v>3518741316</v>
      </c>
      <c r="K1595" s="180"/>
      <c r="L1595" s="180">
        <v>46021</v>
      </c>
      <c r="M1595" s="180"/>
      <c r="N1595" s="181">
        <v>9.9693000000000004E-3</v>
      </c>
      <c r="O1595" s="181" t="s">
        <v>170</v>
      </c>
      <c r="P1595" s="83" t="s">
        <v>323</v>
      </c>
      <c r="Q1595" s="177" t="s">
        <v>324</v>
      </c>
      <c r="R1595" s="83"/>
    </row>
    <row r="1596" spans="1:18">
      <c r="A1596" s="83">
        <v>80823944</v>
      </c>
      <c r="B1596" s="186" t="s">
        <v>899</v>
      </c>
      <c r="C1596" s="186" t="s">
        <v>155</v>
      </c>
      <c r="D1596" s="83" t="s">
        <v>428</v>
      </c>
      <c r="E1596" s="83" t="s">
        <v>168</v>
      </c>
      <c r="F1596" s="180">
        <v>46034</v>
      </c>
      <c r="G1596" s="83">
        <v>11</v>
      </c>
      <c r="H1596" s="180">
        <v>46021</v>
      </c>
      <c r="I1596" s="180" t="s">
        <v>202</v>
      </c>
      <c r="J1596" s="83">
        <v>3518741317</v>
      </c>
      <c r="K1596" s="180"/>
      <c r="L1596" s="180">
        <v>46021</v>
      </c>
      <c r="M1596" s="180"/>
      <c r="N1596" s="181">
        <v>9.9693000000000004E-3</v>
      </c>
      <c r="O1596" s="181" t="s">
        <v>170</v>
      </c>
      <c r="P1596" s="83" t="s">
        <v>323</v>
      </c>
      <c r="Q1596" s="177" t="s">
        <v>324</v>
      </c>
      <c r="R1596" s="83"/>
    </row>
    <row r="1597" spans="1:18">
      <c r="A1597" s="83">
        <v>80754074</v>
      </c>
      <c r="B1597" s="186" t="s">
        <v>907</v>
      </c>
      <c r="C1597" s="186" t="s">
        <v>143</v>
      </c>
      <c r="D1597" s="83" t="s">
        <v>428</v>
      </c>
      <c r="E1597" s="83" t="s">
        <v>168</v>
      </c>
      <c r="F1597" s="180">
        <v>46034</v>
      </c>
      <c r="G1597" s="83">
        <v>19</v>
      </c>
      <c r="H1597" s="180">
        <v>46021</v>
      </c>
      <c r="I1597" s="180" t="s">
        <v>202</v>
      </c>
      <c r="J1597" s="83">
        <v>3518741318</v>
      </c>
      <c r="K1597" s="180"/>
      <c r="L1597" s="180">
        <v>46021</v>
      </c>
      <c r="M1597" s="180"/>
      <c r="N1597" s="181">
        <v>3.4439400000000002E-2</v>
      </c>
      <c r="O1597" s="181" t="s">
        <v>170</v>
      </c>
      <c r="P1597" s="83" t="s">
        <v>323</v>
      </c>
      <c r="Q1597" s="177" t="s">
        <v>324</v>
      </c>
      <c r="R1597" s="83"/>
    </row>
    <row r="1598" spans="1:18">
      <c r="A1598" s="83">
        <v>80754074</v>
      </c>
      <c r="B1598" s="186" t="s">
        <v>907</v>
      </c>
      <c r="C1598" s="186" t="s">
        <v>150</v>
      </c>
      <c r="D1598" s="83" t="s">
        <v>428</v>
      </c>
      <c r="E1598" s="83" t="s">
        <v>168</v>
      </c>
      <c r="F1598" s="180">
        <v>46034</v>
      </c>
      <c r="G1598" s="83">
        <v>225</v>
      </c>
      <c r="H1598" s="180">
        <v>46021</v>
      </c>
      <c r="I1598" s="180" t="s">
        <v>202</v>
      </c>
      <c r="J1598" s="83">
        <v>3518741319</v>
      </c>
      <c r="K1598" s="180"/>
      <c r="L1598" s="180">
        <v>46021</v>
      </c>
      <c r="M1598" s="180"/>
      <c r="N1598" s="181">
        <v>0.407835</v>
      </c>
      <c r="O1598" s="181" t="s">
        <v>170</v>
      </c>
      <c r="P1598" s="83" t="s">
        <v>323</v>
      </c>
      <c r="Q1598" s="177" t="s">
        <v>324</v>
      </c>
      <c r="R1598" s="83"/>
    </row>
    <row r="1599" spans="1:18">
      <c r="A1599" s="83">
        <v>80754074</v>
      </c>
      <c r="B1599" s="186" t="s">
        <v>907</v>
      </c>
      <c r="C1599" s="186" t="s">
        <v>151</v>
      </c>
      <c r="D1599" s="83" t="s">
        <v>428</v>
      </c>
      <c r="E1599" s="83" t="s">
        <v>168</v>
      </c>
      <c r="F1599" s="180">
        <v>46034</v>
      </c>
      <c r="G1599" s="83">
        <v>212</v>
      </c>
      <c r="H1599" s="180">
        <v>46021</v>
      </c>
      <c r="I1599" s="180" t="s">
        <v>202</v>
      </c>
      <c r="J1599" s="83">
        <v>3518741320</v>
      </c>
      <c r="K1599" s="180"/>
      <c r="L1599" s="180">
        <v>46021</v>
      </c>
      <c r="M1599" s="180"/>
      <c r="N1599" s="181">
        <v>0.38427119999999998</v>
      </c>
      <c r="O1599" s="181" t="s">
        <v>170</v>
      </c>
      <c r="P1599" s="83" t="s">
        <v>323</v>
      </c>
      <c r="Q1599" s="177" t="s">
        <v>324</v>
      </c>
      <c r="R1599" s="83"/>
    </row>
    <row r="1600" spans="1:18">
      <c r="A1600" s="83">
        <v>80754074</v>
      </c>
      <c r="B1600" s="186" t="s">
        <v>907</v>
      </c>
      <c r="C1600" s="186" t="s">
        <v>152</v>
      </c>
      <c r="D1600" s="83" t="s">
        <v>428</v>
      </c>
      <c r="E1600" s="83" t="s">
        <v>168</v>
      </c>
      <c r="F1600" s="180">
        <v>46034</v>
      </c>
      <c r="G1600" s="83">
        <v>29</v>
      </c>
      <c r="H1600" s="180">
        <v>46021</v>
      </c>
      <c r="I1600" s="180" t="s">
        <v>202</v>
      </c>
      <c r="J1600" s="83">
        <v>3518741321</v>
      </c>
      <c r="K1600" s="180"/>
      <c r="L1600" s="180">
        <v>46021</v>
      </c>
      <c r="M1600" s="180"/>
      <c r="N1600" s="181">
        <v>5.2565399999999998E-2</v>
      </c>
      <c r="O1600" s="181" t="s">
        <v>170</v>
      </c>
      <c r="P1600" s="83" t="s">
        <v>323</v>
      </c>
      <c r="Q1600" s="177" t="s">
        <v>324</v>
      </c>
      <c r="R1600" s="83"/>
    </row>
    <row r="1601" spans="1:18">
      <c r="A1601" s="83">
        <v>80754074</v>
      </c>
      <c r="B1601" s="186" t="s">
        <v>907</v>
      </c>
      <c r="C1601" s="186" t="s">
        <v>153</v>
      </c>
      <c r="D1601" s="83" t="s">
        <v>428</v>
      </c>
      <c r="E1601" s="83" t="s">
        <v>168</v>
      </c>
      <c r="F1601" s="180">
        <v>46034</v>
      </c>
      <c r="G1601" s="83">
        <v>18</v>
      </c>
      <c r="H1601" s="180">
        <v>46021</v>
      </c>
      <c r="I1601" s="180" t="s">
        <v>202</v>
      </c>
      <c r="J1601" s="83">
        <v>3518741322</v>
      </c>
      <c r="K1601" s="180"/>
      <c r="L1601" s="180">
        <v>46021</v>
      </c>
      <c r="M1601" s="180"/>
      <c r="N1601" s="181">
        <v>3.2626799999999997E-2</v>
      </c>
      <c r="O1601" s="181" t="s">
        <v>170</v>
      </c>
      <c r="P1601" s="83" t="s">
        <v>323</v>
      </c>
      <c r="Q1601" s="177" t="s">
        <v>324</v>
      </c>
      <c r="R1601" s="83"/>
    </row>
    <row r="1602" spans="1:18">
      <c r="A1602" s="83">
        <v>80754074</v>
      </c>
      <c r="B1602" s="186" t="s">
        <v>907</v>
      </c>
      <c r="C1602" s="186" t="s">
        <v>154</v>
      </c>
      <c r="D1602" s="83" t="s">
        <v>428</v>
      </c>
      <c r="E1602" s="83" t="s">
        <v>168</v>
      </c>
      <c r="F1602" s="180">
        <v>46034</v>
      </c>
      <c r="G1602" s="83">
        <v>22</v>
      </c>
      <c r="H1602" s="180">
        <v>46021</v>
      </c>
      <c r="I1602" s="180" t="s">
        <v>202</v>
      </c>
      <c r="J1602" s="83">
        <v>3518741323</v>
      </c>
      <c r="K1602" s="180"/>
      <c r="L1602" s="180">
        <v>46021</v>
      </c>
      <c r="M1602" s="180"/>
      <c r="N1602" s="181">
        <v>3.9877200000000002E-2</v>
      </c>
      <c r="O1602" s="181" t="s">
        <v>170</v>
      </c>
      <c r="P1602" s="83" t="s">
        <v>323</v>
      </c>
      <c r="Q1602" s="177" t="s">
        <v>324</v>
      </c>
      <c r="R1602" s="83"/>
    </row>
    <row r="1603" spans="1:18">
      <c r="A1603" s="83">
        <v>80754074</v>
      </c>
      <c r="B1603" s="186" t="s">
        <v>907</v>
      </c>
      <c r="C1603" s="186" t="s">
        <v>155</v>
      </c>
      <c r="D1603" s="83" t="s">
        <v>428</v>
      </c>
      <c r="E1603" s="83" t="s">
        <v>168</v>
      </c>
      <c r="F1603" s="180">
        <v>46034</v>
      </c>
      <c r="G1603" s="83">
        <v>108</v>
      </c>
      <c r="H1603" s="180">
        <v>46021</v>
      </c>
      <c r="I1603" s="180" t="s">
        <v>202</v>
      </c>
      <c r="J1603" s="83">
        <v>3518741324</v>
      </c>
      <c r="K1603" s="180"/>
      <c r="L1603" s="180">
        <v>46021</v>
      </c>
      <c r="M1603" s="180"/>
      <c r="N1603" s="181">
        <v>0.19576080000000001</v>
      </c>
      <c r="O1603" s="181" t="s">
        <v>170</v>
      </c>
      <c r="P1603" s="83" t="s">
        <v>323</v>
      </c>
      <c r="Q1603" s="177" t="s">
        <v>324</v>
      </c>
      <c r="R1603" s="83"/>
    </row>
    <row r="1604" spans="1:18">
      <c r="A1604" s="83">
        <v>80754089</v>
      </c>
      <c r="B1604" s="186" t="s">
        <v>915</v>
      </c>
      <c r="C1604" s="186" t="s">
        <v>143</v>
      </c>
      <c r="D1604" s="83" t="s">
        <v>428</v>
      </c>
      <c r="E1604" s="83" t="s">
        <v>168</v>
      </c>
      <c r="F1604" s="180">
        <v>46034</v>
      </c>
      <c r="G1604" s="83">
        <v>17</v>
      </c>
      <c r="H1604" s="180">
        <v>46021</v>
      </c>
      <c r="I1604" s="180" t="s">
        <v>202</v>
      </c>
      <c r="J1604" s="83">
        <v>3518741325</v>
      </c>
      <c r="K1604" s="180"/>
      <c r="L1604" s="180">
        <v>46021</v>
      </c>
      <c r="M1604" s="180"/>
      <c r="N1604" s="181">
        <v>3.08142E-2</v>
      </c>
      <c r="O1604" s="181" t="s">
        <v>170</v>
      </c>
      <c r="P1604" s="83" t="s">
        <v>323</v>
      </c>
      <c r="Q1604" s="177" t="s">
        <v>324</v>
      </c>
      <c r="R1604" s="83"/>
    </row>
    <row r="1605" spans="1:18">
      <c r="A1605" s="83">
        <v>80754089</v>
      </c>
      <c r="B1605" s="186" t="s">
        <v>915</v>
      </c>
      <c r="C1605" s="186" t="s">
        <v>150</v>
      </c>
      <c r="D1605" s="83" t="s">
        <v>428</v>
      </c>
      <c r="E1605" s="83" t="s">
        <v>168</v>
      </c>
      <c r="F1605" s="180">
        <v>46034</v>
      </c>
      <c r="G1605" s="83">
        <v>203</v>
      </c>
      <c r="H1605" s="180">
        <v>46021</v>
      </c>
      <c r="I1605" s="180" t="s">
        <v>202</v>
      </c>
      <c r="J1605" s="83">
        <v>3518741326</v>
      </c>
      <c r="K1605" s="180"/>
      <c r="L1605" s="180">
        <v>46021</v>
      </c>
      <c r="M1605" s="180"/>
      <c r="N1605" s="181">
        <v>0.3679578</v>
      </c>
      <c r="O1605" s="181" t="s">
        <v>170</v>
      </c>
      <c r="P1605" s="83" t="s">
        <v>323</v>
      </c>
      <c r="Q1605" s="177" t="s">
        <v>324</v>
      </c>
      <c r="R1605" s="83"/>
    </row>
    <row r="1606" spans="1:18">
      <c r="A1606" s="83">
        <v>80754089</v>
      </c>
      <c r="B1606" s="186" t="s">
        <v>915</v>
      </c>
      <c r="C1606" s="186" t="s">
        <v>151</v>
      </c>
      <c r="D1606" s="83" t="s">
        <v>428</v>
      </c>
      <c r="E1606" s="83" t="s">
        <v>168</v>
      </c>
      <c r="F1606" s="180">
        <v>46034</v>
      </c>
      <c r="G1606" s="83">
        <v>207</v>
      </c>
      <c r="H1606" s="180">
        <v>46021</v>
      </c>
      <c r="I1606" s="180" t="s">
        <v>202</v>
      </c>
      <c r="J1606" s="83">
        <v>3518741327</v>
      </c>
      <c r="K1606" s="180"/>
      <c r="L1606" s="180">
        <v>46021</v>
      </c>
      <c r="M1606" s="180"/>
      <c r="N1606" s="181">
        <v>0.37520819999999999</v>
      </c>
      <c r="O1606" s="181" t="s">
        <v>170</v>
      </c>
      <c r="P1606" s="83" t="s">
        <v>323</v>
      </c>
      <c r="Q1606" s="177" t="s">
        <v>324</v>
      </c>
      <c r="R1606" s="83"/>
    </row>
    <row r="1607" spans="1:18">
      <c r="A1607" s="83">
        <v>80754089</v>
      </c>
      <c r="B1607" s="186" t="s">
        <v>915</v>
      </c>
      <c r="C1607" s="186" t="s">
        <v>152</v>
      </c>
      <c r="D1607" s="83" t="s">
        <v>428</v>
      </c>
      <c r="E1607" s="83" t="s">
        <v>168</v>
      </c>
      <c r="F1607" s="180">
        <v>46034</v>
      </c>
      <c r="G1607" s="83">
        <v>14</v>
      </c>
      <c r="H1607" s="180">
        <v>46021</v>
      </c>
      <c r="I1607" s="180" t="s">
        <v>202</v>
      </c>
      <c r="J1607" s="83">
        <v>3518741328</v>
      </c>
      <c r="K1607" s="180"/>
      <c r="L1607" s="180">
        <v>46021</v>
      </c>
      <c r="M1607" s="180"/>
      <c r="N1607" s="181">
        <v>2.53764E-2</v>
      </c>
      <c r="O1607" s="181" t="s">
        <v>170</v>
      </c>
      <c r="P1607" s="83" t="s">
        <v>323</v>
      </c>
      <c r="Q1607" s="177" t="s">
        <v>324</v>
      </c>
      <c r="R1607" s="83"/>
    </row>
    <row r="1608" spans="1:18">
      <c r="A1608" s="83">
        <v>80754089</v>
      </c>
      <c r="B1608" s="186" t="s">
        <v>915</v>
      </c>
      <c r="C1608" s="186" t="s">
        <v>153</v>
      </c>
      <c r="D1608" s="83" t="s">
        <v>428</v>
      </c>
      <c r="E1608" s="83" t="s">
        <v>168</v>
      </c>
      <c r="F1608" s="180">
        <v>46034</v>
      </c>
      <c r="G1608" s="83">
        <v>17</v>
      </c>
      <c r="H1608" s="180">
        <v>46021</v>
      </c>
      <c r="I1608" s="180" t="s">
        <v>202</v>
      </c>
      <c r="J1608" s="83">
        <v>3518741329</v>
      </c>
      <c r="K1608" s="180"/>
      <c r="L1608" s="180">
        <v>46021</v>
      </c>
      <c r="M1608" s="180"/>
      <c r="N1608" s="181">
        <v>3.08142E-2</v>
      </c>
      <c r="O1608" s="181" t="s">
        <v>170</v>
      </c>
      <c r="P1608" s="83" t="s">
        <v>323</v>
      </c>
      <c r="Q1608" s="177" t="s">
        <v>324</v>
      </c>
      <c r="R1608" s="83"/>
    </row>
    <row r="1609" spans="1:18">
      <c r="A1609" s="83">
        <v>80754089</v>
      </c>
      <c r="B1609" s="186" t="s">
        <v>915</v>
      </c>
      <c r="C1609" s="186" t="s">
        <v>154</v>
      </c>
      <c r="D1609" s="83" t="s">
        <v>428</v>
      </c>
      <c r="E1609" s="83" t="s">
        <v>168</v>
      </c>
      <c r="F1609" s="180">
        <v>46034</v>
      </c>
      <c r="G1609" s="83">
        <v>8</v>
      </c>
      <c r="H1609" s="180">
        <v>46021</v>
      </c>
      <c r="I1609" s="180" t="s">
        <v>202</v>
      </c>
      <c r="J1609" s="83">
        <v>3518741330</v>
      </c>
      <c r="K1609" s="180"/>
      <c r="L1609" s="180">
        <v>46021</v>
      </c>
      <c r="M1609" s="180"/>
      <c r="N1609" s="181">
        <v>1.4500799999999999E-2</v>
      </c>
      <c r="O1609" s="181" t="s">
        <v>170</v>
      </c>
      <c r="P1609" s="83" t="s">
        <v>323</v>
      </c>
      <c r="Q1609" s="177" t="s">
        <v>324</v>
      </c>
      <c r="R1609" s="83"/>
    </row>
    <row r="1610" spans="1:18">
      <c r="A1610" s="83">
        <v>80754089</v>
      </c>
      <c r="B1610" s="186" t="s">
        <v>915</v>
      </c>
      <c r="C1610" s="186" t="s">
        <v>155</v>
      </c>
      <c r="D1610" s="83" t="s">
        <v>428</v>
      </c>
      <c r="E1610" s="83" t="s">
        <v>168</v>
      </c>
      <c r="F1610" s="180">
        <v>46034</v>
      </c>
      <c r="G1610" s="83">
        <v>307</v>
      </c>
      <c r="H1610" s="180">
        <v>46021</v>
      </c>
      <c r="I1610" s="180" t="s">
        <v>202</v>
      </c>
      <c r="J1610" s="83">
        <v>3518741331</v>
      </c>
      <c r="K1610" s="180"/>
      <c r="L1610" s="180">
        <v>46021</v>
      </c>
      <c r="M1610" s="180"/>
      <c r="N1610" s="181">
        <v>0.55646819999999997</v>
      </c>
      <c r="O1610" s="181" t="s">
        <v>170</v>
      </c>
      <c r="P1610" s="83" t="s">
        <v>323</v>
      </c>
      <c r="Q1610" s="177" t="s">
        <v>324</v>
      </c>
      <c r="R1610" s="83"/>
    </row>
    <row r="1611" spans="1:18">
      <c r="A1611" s="83">
        <v>80769094</v>
      </c>
      <c r="B1611" s="186" t="s">
        <v>923</v>
      </c>
      <c r="C1611" s="186" t="s">
        <v>151</v>
      </c>
      <c r="D1611" s="83" t="s">
        <v>428</v>
      </c>
      <c r="E1611" s="83" t="s">
        <v>168</v>
      </c>
      <c r="F1611" s="180">
        <v>46034</v>
      </c>
      <c r="G1611" s="83">
        <v>21</v>
      </c>
      <c r="H1611" s="180">
        <v>46021</v>
      </c>
      <c r="I1611" s="180" t="s">
        <v>202</v>
      </c>
      <c r="J1611" s="83">
        <v>3518741332</v>
      </c>
      <c r="K1611" s="180"/>
      <c r="L1611" s="180">
        <v>46021</v>
      </c>
      <c r="M1611" s="180"/>
      <c r="N1611" s="181">
        <v>9.5172E-3</v>
      </c>
      <c r="O1611" s="181" t="s">
        <v>170</v>
      </c>
      <c r="P1611" s="83" t="s">
        <v>323</v>
      </c>
      <c r="Q1611" s="177" t="s">
        <v>324</v>
      </c>
      <c r="R1611" s="83"/>
    </row>
    <row r="1612" spans="1:18">
      <c r="A1612" s="83">
        <v>80769094</v>
      </c>
      <c r="B1612" s="186" t="s">
        <v>923</v>
      </c>
      <c r="C1612" s="186" t="s">
        <v>153</v>
      </c>
      <c r="D1612" s="83" t="s">
        <v>428</v>
      </c>
      <c r="E1612" s="83" t="s">
        <v>168</v>
      </c>
      <c r="F1612" s="180">
        <v>46034</v>
      </c>
      <c r="G1612" s="83">
        <v>11</v>
      </c>
      <c r="H1612" s="180">
        <v>46021</v>
      </c>
      <c r="I1612" s="180" t="s">
        <v>202</v>
      </c>
      <c r="J1612" s="83">
        <v>3518741333</v>
      </c>
      <c r="K1612" s="180"/>
      <c r="L1612" s="180">
        <v>46021</v>
      </c>
      <c r="M1612" s="180"/>
      <c r="N1612" s="181">
        <v>4.9852000000000004E-3</v>
      </c>
      <c r="O1612" s="181" t="s">
        <v>170</v>
      </c>
      <c r="P1612" s="83" t="s">
        <v>323</v>
      </c>
      <c r="Q1612" s="177" t="s">
        <v>324</v>
      </c>
      <c r="R1612" s="83"/>
    </row>
    <row r="1613" spans="1:18">
      <c r="A1613" s="83">
        <v>80769094</v>
      </c>
      <c r="B1613" s="186" t="s">
        <v>923</v>
      </c>
      <c r="C1613" s="186" t="s">
        <v>154</v>
      </c>
      <c r="D1613" s="83" t="s">
        <v>428</v>
      </c>
      <c r="E1613" s="83" t="s">
        <v>168</v>
      </c>
      <c r="F1613" s="180">
        <v>46034</v>
      </c>
      <c r="G1613" s="83">
        <v>11</v>
      </c>
      <c r="H1613" s="180">
        <v>46021</v>
      </c>
      <c r="I1613" s="180" t="s">
        <v>202</v>
      </c>
      <c r="J1613" s="83">
        <v>3518741334</v>
      </c>
      <c r="K1613" s="180"/>
      <c r="L1613" s="180">
        <v>46021</v>
      </c>
      <c r="M1613" s="180"/>
      <c r="N1613" s="181">
        <v>4.9852000000000004E-3</v>
      </c>
      <c r="O1613" s="181" t="s">
        <v>170</v>
      </c>
      <c r="P1613" s="83" t="s">
        <v>323</v>
      </c>
      <c r="Q1613" s="177" t="s">
        <v>324</v>
      </c>
      <c r="R1613" s="83"/>
    </row>
    <row r="1614" spans="1:18">
      <c r="A1614" s="83">
        <v>80769094</v>
      </c>
      <c r="B1614" s="186" t="s">
        <v>923</v>
      </c>
      <c r="C1614" s="186" t="s">
        <v>155</v>
      </c>
      <c r="D1614" s="83" t="s">
        <v>428</v>
      </c>
      <c r="E1614" s="83" t="s">
        <v>168</v>
      </c>
      <c r="F1614" s="180">
        <v>46034</v>
      </c>
      <c r="G1614" s="83">
        <v>1</v>
      </c>
      <c r="H1614" s="180">
        <v>46021</v>
      </c>
      <c r="I1614" s="180" t="s">
        <v>202</v>
      </c>
      <c r="J1614" s="83">
        <v>3518741335</v>
      </c>
      <c r="K1614" s="180"/>
      <c r="L1614" s="180">
        <v>46021</v>
      </c>
      <c r="M1614" s="180"/>
      <c r="N1614" s="181">
        <v>4.5320000000000001E-4</v>
      </c>
      <c r="O1614" s="181" t="s">
        <v>170</v>
      </c>
      <c r="P1614" s="83" t="s">
        <v>323</v>
      </c>
      <c r="Q1614" s="177" t="s">
        <v>324</v>
      </c>
      <c r="R1614" s="83"/>
    </row>
    <row r="1615" spans="1:18">
      <c r="A1615" s="83">
        <v>80883604</v>
      </c>
      <c r="B1615" s="186" t="s">
        <v>928</v>
      </c>
      <c r="C1615" s="186" t="s">
        <v>143</v>
      </c>
      <c r="D1615" s="83" t="s">
        <v>428</v>
      </c>
      <c r="E1615" s="83" t="s">
        <v>168</v>
      </c>
      <c r="F1615" s="180">
        <v>46034</v>
      </c>
      <c r="G1615" s="83">
        <v>2</v>
      </c>
      <c r="H1615" s="180">
        <v>46021</v>
      </c>
      <c r="I1615" s="180" t="s">
        <v>202</v>
      </c>
      <c r="J1615" s="83">
        <v>3518741336</v>
      </c>
      <c r="K1615" s="180"/>
      <c r="L1615" s="180">
        <v>46021</v>
      </c>
      <c r="M1615" s="180"/>
      <c r="N1615" s="181">
        <v>1.867E-3</v>
      </c>
      <c r="O1615" s="181" t="s">
        <v>170</v>
      </c>
      <c r="P1615" s="83" t="s">
        <v>323</v>
      </c>
      <c r="Q1615" s="177" t="s">
        <v>324</v>
      </c>
      <c r="R1615" s="83"/>
    </row>
    <row r="1616" spans="1:18">
      <c r="A1616" s="83">
        <v>80883604</v>
      </c>
      <c r="B1616" s="186" t="s">
        <v>928</v>
      </c>
      <c r="C1616" s="186" t="s">
        <v>150</v>
      </c>
      <c r="D1616" s="83" t="s">
        <v>428</v>
      </c>
      <c r="E1616" s="83" t="s">
        <v>168</v>
      </c>
      <c r="F1616" s="180">
        <v>46034</v>
      </c>
      <c r="G1616" s="83">
        <v>34</v>
      </c>
      <c r="H1616" s="180">
        <v>46021</v>
      </c>
      <c r="I1616" s="180" t="s">
        <v>202</v>
      </c>
      <c r="J1616" s="83">
        <v>3518741337</v>
      </c>
      <c r="K1616" s="180"/>
      <c r="L1616" s="180">
        <v>46021</v>
      </c>
      <c r="M1616" s="180"/>
      <c r="N1616" s="181">
        <v>3.1739000000000003E-2</v>
      </c>
      <c r="O1616" s="181" t="s">
        <v>170</v>
      </c>
      <c r="P1616" s="83" t="s">
        <v>323</v>
      </c>
      <c r="Q1616" s="177" t="s">
        <v>324</v>
      </c>
      <c r="R1616" s="83"/>
    </row>
    <row r="1617" spans="1:18">
      <c r="A1617" s="83">
        <v>80883604</v>
      </c>
      <c r="B1617" s="186" t="s">
        <v>928</v>
      </c>
      <c r="C1617" s="186" t="s">
        <v>151</v>
      </c>
      <c r="D1617" s="83" t="s">
        <v>428</v>
      </c>
      <c r="E1617" s="83" t="s">
        <v>168</v>
      </c>
      <c r="F1617" s="180">
        <v>46034</v>
      </c>
      <c r="G1617" s="83">
        <v>48</v>
      </c>
      <c r="H1617" s="180">
        <v>46021</v>
      </c>
      <c r="I1617" s="180" t="s">
        <v>202</v>
      </c>
      <c r="J1617" s="83">
        <v>3518741338</v>
      </c>
      <c r="K1617" s="180"/>
      <c r="L1617" s="180">
        <v>46021</v>
      </c>
      <c r="M1617" s="180"/>
      <c r="N1617" s="181">
        <v>4.4808000000000001E-2</v>
      </c>
      <c r="O1617" s="181" t="s">
        <v>170</v>
      </c>
      <c r="P1617" s="83" t="s">
        <v>323</v>
      </c>
      <c r="Q1617" s="177" t="s">
        <v>324</v>
      </c>
      <c r="R1617" s="83"/>
    </row>
    <row r="1618" spans="1:18">
      <c r="A1618" s="83">
        <v>80883604</v>
      </c>
      <c r="B1618" s="186" t="s">
        <v>928</v>
      </c>
      <c r="C1618" s="186" t="s">
        <v>152</v>
      </c>
      <c r="D1618" s="83" t="s">
        <v>428</v>
      </c>
      <c r="E1618" s="83" t="s">
        <v>168</v>
      </c>
      <c r="F1618" s="180">
        <v>46034</v>
      </c>
      <c r="G1618" s="83">
        <v>10</v>
      </c>
      <c r="H1618" s="180">
        <v>46021</v>
      </c>
      <c r="I1618" s="180" t="s">
        <v>202</v>
      </c>
      <c r="J1618" s="83">
        <v>3518741339</v>
      </c>
      <c r="K1618" s="180"/>
      <c r="L1618" s="180">
        <v>46021</v>
      </c>
      <c r="M1618" s="180"/>
      <c r="N1618" s="181">
        <v>9.3349999999999995E-3</v>
      </c>
      <c r="O1618" s="181" t="s">
        <v>170</v>
      </c>
      <c r="P1618" s="83" t="s">
        <v>323</v>
      </c>
      <c r="Q1618" s="177" t="s">
        <v>324</v>
      </c>
      <c r="R1618" s="83"/>
    </row>
    <row r="1619" spans="1:18">
      <c r="A1619" s="83">
        <v>80883604</v>
      </c>
      <c r="B1619" s="186" t="s">
        <v>928</v>
      </c>
      <c r="C1619" s="186" t="s">
        <v>153</v>
      </c>
      <c r="D1619" s="83" t="s">
        <v>428</v>
      </c>
      <c r="E1619" s="83" t="s">
        <v>168</v>
      </c>
      <c r="F1619" s="180">
        <v>46034</v>
      </c>
      <c r="G1619" s="83">
        <v>2</v>
      </c>
      <c r="H1619" s="180">
        <v>46021</v>
      </c>
      <c r="I1619" s="180" t="s">
        <v>202</v>
      </c>
      <c r="J1619" s="83">
        <v>3518741340</v>
      </c>
      <c r="K1619" s="180"/>
      <c r="L1619" s="180">
        <v>46021</v>
      </c>
      <c r="M1619" s="180"/>
      <c r="N1619" s="181">
        <v>1.867E-3</v>
      </c>
      <c r="O1619" s="181" t="s">
        <v>170</v>
      </c>
      <c r="P1619" s="83" t="s">
        <v>323</v>
      </c>
      <c r="Q1619" s="177" t="s">
        <v>324</v>
      </c>
      <c r="R1619" s="83"/>
    </row>
    <row r="1620" spans="1:18">
      <c r="A1620" s="83">
        <v>80883604</v>
      </c>
      <c r="B1620" s="186" t="s">
        <v>928</v>
      </c>
      <c r="C1620" s="186" t="s">
        <v>154</v>
      </c>
      <c r="D1620" s="83" t="s">
        <v>428</v>
      </c>
      <c r="E1620" s="83" t="s">
        <v>168</v>
      </c>
      <c r="F1620" s="180">
        <v>46034</v>
      </c>
      <c r="G1620" s="83">
        <v>5</v>
      </c>
      <c r="H1620" s="180">
        <v>46021</v>
      </c>
      <c r="I1620" s="180" t="s">
        <v>202</v>
      </c>
      <c r="J1620" s="83">
        <v>3518741341</v>
      </c>
      <c r="K1620" s="180"/>
      <c r="L1620" s="180">
        <v>46021</v>
      </c>
      <c r="M1620" s="180"/>
      <c r="N1620" s="181">
        <v>4.6674999999999998E-3</v>
      </c>
      <c r="O1620" s="181" t="s">
        <v>170</v>
      </c>
      <c r="P1620" s="83" t="s">
        <v>323</v>
      </c>
      <c r="Q1620" s="177" t="s">
        <v>324</v>
      </c>
      <c r="R1620" s="83"/>
    </row>
    <row r="1621" spans="1:18">
      <c r="A1621" s="83">
        <v>80883604</v>
      </c>
      <c r="B1621" s="186" t="s">
        <v>928</v>
      </c>
      <c r="C1621" s="186" t="s">
        <v>155</v>
      </c>
      <c r="D1621" s="83" t="s">
        <v>428</v>
      </c>
      <c r="E1621" s="83" t="s">
        <v>168</v>
      </c>
      <c r="F1621" s="180">
        <v>46034</v>
      </c>
      <c r="G1621" s="83">
        <v>28</v>
      </c>
      <c r="H1621" s="180">
        <v>46021</v>
      </c>
      <c r="I1621" s="180" t="s">
        <v>202</v>
      </c>
      <c r="J1621" s="83">
        <v>3518741342</v>
      </c>
      <c r="K1621" s="180"/>
      <c r="L1621" s="180">
        <v>46021</v>
      </c>
      <c r="M1621" s="180"/>
      <c r="N1621" s="181">
        <v>2.6138000000000002E-2</v>
      </c>
      <c r="O1621" s="181" t="s">
        <v>170</v>
      </c>
      <c r="P1621" s="83" t="s">
        <v>323</v>
      </c>
      <c r="Q1621" s="177" t="s">
        <v>324</v>
      </c>
      <c r="R1621" s="83"/>
    </row>
    <row r="1622" spans="1:18">
      <c r="A1622" s="83">
        <v>80883602</v>
      </c>
      <c r="B1622" s="186" t="s">
        <v>936</v>
      </c>
      <c r="C1622" s="186" t="s">
        <v>143</v>
      </c>
      <c r="D1622" s="83" t="s">
        <v>428</v>
      </c>
      <c r="E1622" s="83" t="s">
        <v>168</v>
      </c>
      <c r="F1622" s="180">
        <v>46034</v>
      </c>
      <c r="G1622" s="83">
        <v>51</v>
      </c>
      <c r="H1622" s="180">
        <v>46021</v>
      </c>
      <c r="I1622" s="180" t="s">
        <v>202</v>
      </c>
      <c r="J1622" s="83">
        <v>3518741343</v>
      </c>
      <c r="K1622" s="180"/>
      <c r="L1622" s="180">
        <v>46021</v>
      </c>
      <c r="M1622" s="180"/>
      <c r="N1622" s="181">
        <v>9.24426E-2</v>
      </c>
      <c r="O1622" s="181" t="s">
        <v>170</v>
      </c>
      <c r="P1622" s="83" t="s">
        <v>323</v>
      </c>
      <c r="Q1622" s="177" t="s">
        <v>324</v>
      </c>
      <c r="R1622" s="83"/>
    </row>
    <row r="1623" spans="1:18">
      <c r="A1623" s="83">
        <v>80883602</v>
      </c>
      <c r="B1623" s="186" t="s">
        <v>936</v>
      </c>
      <c r="C1623" s="186" t="s">
        <v>150</v>
      </c>
      <c r="D1623" s="83" t="s">
        <v>428</v>
      </c>
      <c r="E1623" s="83" t="s">
        <v>168</v>
      </c>
      <c r="F1623" s="180">
        <v>46034</v>
      </c>
      <c r="G1623" s="83">
        <v>649</v>
      </c>
      <c r="H1623" s="180">
        <v>46021</v>
      </c>
      <c r="I1623" s="180" t="s">
        <v>202</v>
      </c>
      <c r="J1623" s="83">
        <v>3518741344</v>
      </c>
      <c r="K1623" s="180"/>
      <c r="L1623" s="180">
        <v>46021</v>
      </c>
      <c r="M1623" s="180"/>
      <c r="N1623" s="181">
        <v>1.1763774</v>
      </c>
      <c r="O1623" s="181" t="s">
        <v>170</v>
      </c>
      <c r="P1623" s="83" t="s">
        <v>323</v>
      </c>
      <c r="Q1623" s="177" t="s">
        <v>324</v>
      </c>
      <c r="R1623" s="83"/>
    </row>
    <row r="1624" spans="1:18">
      <c r="A1624" s="83">
        <v>80883602</v>
      </c>
      <c r="B1624" s="186" t="s">
        <v>936</v>
      </c>
      <c r="C1624" s="186" t="s">
        <v>151</v>
      </c>
      <c r="D1624" s="83" t="s">
        <v>428</v>
      </c>
      <c r="E1624" s="83" t="s">
        <v>168</v>
      </c>
      <c r="F1624" s="180">
        <v>46034</v>
      </c>
      <c r="G1624" s="83">
        <v>425</v>
      </c>
      <c r="H1624" s="180">
        <v>46021</v>
      </c>
      <c r="I1624" s="180" t="s">
        <v>202</v>
      </c>
      <c r="J1624" s="83">
        <v>3518741345</v>
      </c>
      <c r="K1624" s="180"/>
      <c r="L1624" s="180">
        <v>46021</v>
      </c>
      <c r="M1624" s="180"/>
      <c r="N1624" s="181">
        <v>0.77035500000000001</v>
      </c>
      <c r="O1624" s="181" t="s">
        <v>170</v>
      </c>
      <c r="P1624" s="83" t="s">
        <v>323</v>
      </c>
      <c r="Q1624" s="177" t="s">
        <v>324</v>
      </c>
      <c r="R1624" s="83"/>
    </row>
    <row r="1625" spans="1:18">
      <c r="A1625" s="83">
        <v>80883602</v>
      </c>
      <c r="B1625" s="186" t="s">
        <v>936</v>
      </c>
      <c r="C1625" s="186" t="s">
        <v>152</v>
      </c>
      <c r="D1625" s="83" t="s">
        <v>428</v>
      </c>
      <c r="E1625" s="83" t="s">
        <v>168</v>
      </c>
      <c r="F1625" s="180">
        <v>46034</v>
      </c>
      <c r="G1625" s="83">
        <v>51</v>
      </c>
      <c r="H1625" s="180">
        <v>46021</v>
      </c>
      <c r="I1625" s="180" t="s">
        <v>202</v>
      </c>
      <c r="J1625" s="83">
        <v>3518741346</v>
      </c>
      <c r="K1625" s="180"/>
      <c r="L1625" s="180">
        <v>46021</v>
      </c>
      <c r="M1625" s="180"/>
      <c r="N1625" s="181">
        <v>9.24426E-2</v>
      </c>
      <c r="O1625" s="181" t="s">
        <v>170</v>
      </c>
      <c r="P1625" s="83" t="s">
        <v>323</v>
      </c>
      <c r="Q1625" s="177" t="s">
        <v>324</v>
      </c>
      <c r="R1625" s="83"/>
    </row>
    <row r="1626" spans="1:18">
      <c r="A1626" s="83">
        <v>80883602</v>
      </c>
      <c r="B1626" s="186" t="s">
        <v>936</v>
      </c>
      <c r="C1626" s="186" t="s">
        <v>153</v>
      </c>
      <c r="D1626" s="83" t="s">
        <v>428</v>
      </c>
      <c r="E1626" s="83" t="s">
        <v>168</v>
      </c>
      <c r="F1626" s="180">
        <v>46034</v>
      </c>
      <c r="G1626" s="83">
        <v>39</v>
      </c>
      <c r="H1626" s="180">
        <v>46021</v>
      </c>
      <c r="I1626" s="180" t="s">
        <v>202</v>
      </c>
      <c r="J1626" s="83">
        <v>3518741347</v>
      </c>
      <c r="K1626" s="180"/>
      <c r="L1626" s="180">
        <v>46021</v>
      </c>
      <c r="M1626" s="180"/>
      <c r="N1626" s="181">
        <v>7.0691400000000001E-2</v>
      </c>
      <c r="O1626" s="181" t="s">
        <v>170</v>
      </c>
      <c r="P1626" s="83" t="s">
        <v>323</v>
      </c>
      <c r="Q1626" s="177" t="s">
        <v>324</v>
      </c>
      <c r="R1626" s="83"/>
    </row>
    <row r="1627" spans="1:18">
      <c r="A1627" s="83">
        <v>80883602</v>
      </c>
      <c r="B1627" s="186" t="s">
        <v>936</v>
      </c>
      <c r="C1627" s="186" t="s">
        <v>154</v>
      </c>
      <c r="D1627" s="83" t="s">
        <v>428</v>
      </c>
      <c r="E1627" s="83" t="s">
        <v>168</v>
      </c>
      <c r="F1627" s="180">
        <v>46034</v>
      </c>
      <c r="G1627" s="83">
        <v>33</v>
      </c>
      <c r="H1627" s="180">
        <v>46021</v>
      </c>
      <c r="I1627" s="180" t="s">
        <v>202</v>
      </c>
      <c r="J1627" s="83">
        <v>3518741348</v>
      </c>
      <c r="K1627" s="180"/>
      <c r="L1627" s="180">
        <v>46021</v>
      </c>
      <c r="M1627" s="180"/>
      <c r="N1627" s="181">
        <v>5.9815800000000002E-2</v>
      </c>
      <c r="O1627" s="181" t="s">
        <v>170</v>
      </c>
      <c r="P1627" s="83" t="s">
        <v>323</v>
      </c>
      <c r="Q1627" s="177" t="s">
        <v>324</v>
      </c>
      <c r="R1627" s="83"/>
    </row>
    <row r="1628" spans="1:18">
      <c r="A1628" s="83">
        <v>80883602</v>
      </c>
      <c r="B1628" s="186" t="s">
        <v>936</v>
      </c>
      <c r="C1628" s="186" t="s">
        <v>155</v>
      </c>
      <c r="D1628" s="83" t="s">
        <v>428</v>
      </c>
      <c r="E1628" s="83" t="s">
        <v>168</v>
      </c>
      <c r="F1628" s="180">
        <v>46034</v>
      </c>
      <c r="G1628" s="83">
        <v>267</v>
      </c>
      <c r="H1628" s="180">
        <v>46021</v>
      </c>
      <c r="I1628" s="180" t="s">
        <v>202</v>
      </c>
      <c r="J1628" s="83">
        <v>3518741349</v>
      </c>
      <c r="K1628" s="180"/>
      <c r="L1628" s="180">
        <v>46021</v>
      </c>
      <c r="M1628" s="180"/>
      <c r="N1628" s="181">
        <v>0.48396420000000001</v>
      </c>
      <c r="O1628" s="181" t="s">
        <v>170</v>
      </c>
      <c r="P1628" s="83" t="s">
        <v>323</v>
      </c>
      <c r="Q1628" s="177" t="s">
        <v>324</v>
      </c>
      <c r="R1628" s="83"/>
    </row>
    <row r="1629" spans="1:18">
      <c r="A1629" s="83">
        <v>80881081</v>
      </c>
      <c r="B1629" s="186" t="s">
        <v>944</v>
      </c>
      <c r="C1629" s="186" t="s">
        <v>143</v>
      </c>
      <c r="D1629" s="83" t="s">
        <v>428</v>
      </c>
      <c r="E1629" s="83" t="s">
        <v>168</v>
      </c>
      <c r="F1629" s="180">
        <v>46034</v>
      </c>
      <c r="G1629" s="83">
        <v>2</v>
      </c>
      <c r="H1629" s="180">
        <v>46021</v>
      </c>
      <c r="I1629" s="180" t="s">
        <v>202</v>
      </c>
      <c r="J1629" s="83">
        <v>3518741350</v>
      </c>
      <c r="K1629" s="180"/>
      <c r="L1629" s="180">
        <v>46021</v>
      </c>
      <c r="M1629" s="180"/>
      <c r="N1629" s="181">
        <v>1.867E-3</v>
      </c>
      <c r="O1629" s="181" t="s">
        <v>170</v>
      </c>
      <c r="P1629" s="83" t="s">
        <v>323</v>
      </c>
      <c r="Q1629" s="177" t="s">
        <v>324</v>
      </c>
      <c r="R1629" s="83"/>
    </row>
    <row r="1630" spans="1:18">
      <c r="A1630" s="83">
        <v>80881081</v>
      </c>
      <c r="B1630" s="186" t="s">
        <v>944</v>
      </c>
      <c r="C1630" s="186" t="s">
        <v>150</v>
      </c>
      <c r="D1630" s="83" t="s">
        <v>428</v>
      </c>
      <c r="E1630" s="83" t="s">
        <v>168</v>
      </c>
      <c r="F1630" s="180">
        <v>46034</v>
      </c>
      <c r="G1630" s="83">
        <v>29</v>
      </c>
      <c r="H1630" s="180">
        <v>46021</v>
      </c>
      <c r="I1630" s="180" t="s">
        <v>202</v>
      </c>
      <c r="J1630" s="83">
        <v>3518741351</v>
      </c>
      <c r="K1630" s="180"/>
      <c r="L1630" s="180">
        <v>46021</v>
      </c>
      <c r="M1630" s="180"/>
      <c r="N1630" s="181">
        <v>2.7071499999999998E-2</v>
      </c>
      <c r="O1630" s="181" t="s">
        <v>170</v>
      </c>
      <c r="P1630" s="83" t="s">
        <v>323</v>
      </c>
      <c r="Q1630" s="177" t="s">
        <v>324</v>
      </c>
      <c r="R1630" s="83"/>
    </row>
    <row r="1631" spans="1:18">
      <c r="A1631" s="83">
        <v>80881081</v>
      </c>
      <c r="B1631" s="186" t="s">
        <v>944</v>
      </c>
      <c r="C1631" s="186" t="s">
        <v>151</v>
      </c>
      <c r="D1631" s="83" t="s">
        <v>428</v>
      </c>
      <c r="E1631" s="83" t="s">
        <v>168</v>
      </c>
      <c r="F1631" s="180">
        <v>46034</v>
      </c>
      <c r="G1631" s="83">
        <v>31</v>
      </c>
      <c r="H1631" s="180">
        <v>46021</v>
      </c>
      <c r="I1631" s="180" t="s">
        <v>202</v>
      </c>
      <c r="J1631" s="83">
        <v>3518741352</v>
      </c>
      <c r="K1631" s="180"/>
      <c r="L1631" s="180">
        <v>46021</v>
      </c>
      <c r="M1631" s="180"/>
      <c r="N1631" s="181">
        <v>2.8938499999999999E-2</v>
      </c>
      <c r="O1631" s="181" t="s">
        <v>170</v>
      </c>
      <c r="P1631" s="83" t="s">
        <v>323</v>
      </c>
      <c r="Q1631" s="177" t="s">
        <v>324</v>
      </c>
      <c r="R1631" s="83"/>
    </row>
    <row r="1632" spans="1:18">
      <c r="A1632" s="83">
        <v>80881081</v>
      </c>
      <c r="B1632" s="186" t="s">
        <v>944</v>
      </c>
      <c r="C1632" s="186" t="s">
        <v>152</v>
      </c>
      <c r="D1632" s="83" t="s">
        <v>428</v>
      </c>
      <c r="E1632" s="83" t="s">
        <v>168</v>
      </c>
      <c r="F1632" s="180">
        <v>46034</v>
      </c>
      <c r="G1632" s="83">
        <v>8</v>
      </c>
      <c r="H1632" s="180">
        <v>46021</v>
      </c>
      <c r="I1632" s="180" t="s">
        <v>202</v>
      </c>
      <c r="J1632" s="83">
        <v>3518741353</v>
      </c>
      <c r="K1632" s="180"/>
      <c r="L1632" s="180">
        <v>46021</v>
      </c>
      <c r="M1632" s="180"/>
      <c r="N1632" s="181">
        <v>7.4679999999999998E-3</v>
      </c>
      <c r="O1632" s="181" t="s">
        <v>170</v>
      </c>
      <c r="P1632" s="83" t="s">
        <v>323</v>
      </c>
      <c r="Q1632" s="177" t="s">
        <v>324</v>
      </c>
      <c r="R1632" s="83"/>
    </row>
    <row r="1633" spans="1:18">
      <c r="A1633" s="83">
        <v>80881081</v>
      </c>
      <c r="B1633" s="186" t="s">
        <v>944</v>
      </c>
      <c r="C1633" s="186" t="s">
        <v>153</v>
      </c>
      <c r="D1633" s="83" t="s">
        <v>428</v>
      </c>
      <c r="E1633" s="83" t="s">
        <v>168</v>
      </c>
      <c r="F1633" s="180">
        <v>46034</v>
      </c>
      <c r="G1633" s="83">
        <v>2</v>
      </c>
      <c r="H1633" s="180">
        <v>46021</v>
      </c>
      <c r="I1633" s="180" t="s">
        <v>202</v>
      </c>
      <c r="J1633" s="83">
        <v>3518741354</v>
      </c>
      <c r="K1633" s="180"/>
      <c r="L1633" s="180">
        <v>46021</v>
      </c>
      <c r="M1633" s="180"/>
      <c r="N1633" s="181">
        <v>1.867E-3</v>
      </c>
      <c r="O1633" s="181" t="s">
        <v>170</v>
      </c>
      <c r="P1633" s="83" t="s">
        <v>323</v>
      </c>
      <c r="Q1633" s="177" t="s">
        <v>324</v>
      </c>
      <c r="R1633" s="83"/>
    </row>
    <row r="1634" spans="1:18">
      <c r="A1634" s="83">
        <v>80881081</v>
      </c>
      <c r="B1634" s="186" t="s">
        <v>944</v>
      </c>
      <c r="C1634" s="186" t="s">
        <v>154</v>
      </c>
      <c r="D1634" s="83" t="s">
        <v>428</v>
      </c>
      <c r="E1634" s="83" t="s">
        <v>168</v>
      </c>
      <c r="F1634" s="180">
        <v>46034</v>
      </c>
      <c r="G1634" s="83">
        <v>4</v>
      </c>
      <c r="H1634" s="180">
        <v>46021</v>
      </c>
      <c r="I1634" s="180" t="s">
        <v>202</v>
      </c>
      <c r="J1634" s="83">
        <v>3518741355</v>
      </c>
      <c r="K1634" s="180"/>
      <c r="L1634" s="180">
        <v>46021</v>
      </c>
      <c r="M1634" s="180"/>
      <c r="N1634" s="181">
        <v>3.7339999999999999E-3</v>
      </c>
      <c r="O1634" s="181" t="s">
        <v>170</v>
      </c>
      <c r="P1634" s="83" t="s">
        <v>323</v>
      </c>
      <c r="Q1634" s="177" t="s">
        <v>324</v>
      </c>
      <c r="R1634" s="83"/>
    </row>
    <row r="1635" spans="1:18">
      <c r="A1635" s="83">
        <v>80881081</v>
      </c>
      <c r="B1635" s="186" t="s">
        <v>944</v>
      </c>
      <c r="C1635" s="186" t="s">
        <v>155</v>
      </c>
      <c r="D1635" s="83" t="s">
        <v>428</v>
      </c>
      <c r="E1635" s="83" t="s">
        <v>168</v>
      </c>
      <c r="F1635" s="180">
        <v>46034</v>
      </c>
      <c r="G1635" s="83">
        <v>17</v>
      </c>
      <c r="H1635" s="180">
        <v>46021</v>
      </c>
      <c r="I1635" s="180" t="s">
        <v>202</v>
      </c>
      <c r="J1635" s="83">
        <v>3518741356</v>
      </c>
      <c r="K1635" s="180"/>
      <c r="L1635" s="180">
        <v>46021</v>
      </c>
      <c r="M1635" s="180"/>
      <c r="N1635" s="181">
        <v>1.5869500000000002E-2</v>
      </c>
      <c r="O1635" s="181" t="s">
        <v>170</v>
      </c>
      <c r="P1635" s="83" t="s">
        <v>323</v>
      </c>
      <c r="Q1635" s="177" t="s">
        <v>324</v>
      </c>
      <c r="R1635" s="83"/>
    </row>
    <row r="1636" spans="1:18">
      <c r="A1636" s="83">
        <v>80820470</v>
      </c>
      <c r="B1636" s="186" t="s">
        <v>952</v>
      </c>
      <c r="C1636" s="186" t="s">
        <v>143</v>
      </c>
      <c r="D1636" s="83" t="s">
        <v>428</v>
      </c>
      <c r="E1636" s="83" t="s">
        <v>168</v>
      </c>
      <c r="F1636" s="180">
        <v>46034</v>
      </c>
      <c r="G1636" s="83">
        <v>57</v>
      </c>
      <c r="H1636" s="180">
        <v>46021</v>
      </c>
      <c r="I1636" s="180" t="s">
        <v>202</v>
      </c>
      <c r="J1636" s="83">
        <v>3518741357</v>
      </c>
      <c r="K1636" s="180"/>
      <c r="L1636" s="180">
        <v>46021</v>
      </c>
      <c r="M1636" s="180"/>
      <c r="N1636" s="181">
        <v>0.1033182</v>
      </c>
      <c r="O1636" s="181" t="s">
        <v>170</v>
      </c>
      <c r="P1636" s="83" t="s">
        <v>323</v>
      </c>
      <c r="Q1636" s="177" t="s">
        <v>324</v>
      </c>
      <c r="R1636" s="83"/>
    </row>
    <row r="1637" spans="1:18">
      <c r="A1637" s="83">
        <v>80820470</v>
      </c>
      <c r="B1637" s="186" t="s">
        <v>952</v>
      </c>
      <c r="C1637" s="186" t="s">
        <v>150</v>
      </c>
      <c r="D1637" s="83" t="s">
        <v>428</v>
      </c>
      <c r="E1637" s="83" t="s">
        <v>168</v>
      </c>
      <c r="F1637" s="180">
        <v>46034</v>
      </c>
      <c r="G1637" s="83">
        <v>699</v>
      </c>
      <c r="H1637" s="180">
        <v>46021</v>
      </c>
      <c r="I1637" s="180" t="s">
        <v>202</v>
      </c>
      <c r="J1637" s="83">
        <v>3518741358</v>
      </c>
      <c r="K1637" s="180"/>
      <c r="L1637" s="180">
        <v>46021</v>
      </c>
      <c r="M1637" s="180"/>
      <c r="N1637" s="181">
        <v>1.2670074</v>
      </c>
      <c r="O1637" s="181" t="s">
        <v>170</v>
      </c>
      <c r="P1637" s="83" t="s">
        <v>323</v>
      </c>
      <c r="Q1637" s="177" t="s">
        <v>324</v>
      </c>
      <c r="R1637" s="83"/>
    </row>
    <row r="1638" spans="1:18">
      <c r="A1638" s="83">
        <v>80820470</v>
      </c>
      <c r="B1638" s="186" t="s">
        <v>952</v>
      </c>
      <c r="C1638" s="186" t="s">
        <v>151</v>
      </c>
      <c r="D1638" s="83" t="s">
        <v>428</v>
      </c>
      <c r="E1638" s="83" t="s">
        <v>168</v>
      </c>
      <c r="F1638" s="180">
        <v>46034</v>
      </c>
      <c r="G1638" s="83">
        <v>529</v>
      </c>
      <c r="H1638" s="180">
        <v>46021</v>
      </c>
      <c r="I1638" s="180" t="s">
        <v>202</v>
      </c>
      <c r="J1638" s="83">
        <v>3518741359</v>
      </c>
      <c r="K1638" s="180"/>
      <c r="L1638" s="180">
        <v>46021</v>
      </c>
      <c r="M1638" s="180"/>
      <c r="N1638" s="181">
        <v>0.95886539999999998</v>
      </c>
      <c r="O1638" s="181" t="s">
        <v>170</v>
      </c>
      <c r="P1638" s="83" t="s">
        <v>323</v>
      </c>
      <c r="Q1638" s="177" t="s">
        <v>324</v>
      </c>
      <c r="R1638" s="83"/>
    </row>
    <row r="1639" spans="1:18">
      <c r="A1639" s="83">
        <v>80820470</v>
      </c>
      <c r="B1639" s="186" t="s">
        <v>952</v>
      </c>
      <c r="C1639" s="186" t="s">
        <v>152</v>
      </c>
      <c r="D1639" s="83" t="s">
        <v>428</v>
      </c>
      <c r="E1639" s="83" t="s">
        <v>168</v>
      </c>
      <c r="F1639" s="180">
        <v>46034</v>
      </c>
      <c r="G1639" s="83">
        <v>94</v>
      </c>
      <c r="H1639" s="180">
        <v>46021</v>
      </c>
      <c r="I1639" s="180" t="s">
        <v>202</v>
      </c>
      <c r="J1639" s="83">
        <v>3518741360</v>
      </c>
      <c r="K1639" s="180"/>
      <c r="L1639" s="180">
        <v>46021</v>
      </c>
      <c r="M1639" s="180"/>
      <c r="N1639" s="181">
        <v>0.17038439999999999</v>
      </c>
      <c r="O1639" s="181" t="s">
        <v>170</v>
      </c>
      <c r="P1639" s="83" t="s">
        <v>323</v>
      </c>
      <c r="Q1639" s="177" t="s">
        <v>324</v>
      </c>
      <c r="R1639" s="83"/>
    </row>
    <row r="1640" spans="1:18">
      <c r="A1640" s="83">
        <v>80820470</v>
      </c>
      <c r="B1640" s="186" t="s">
        <v>952</v>
      </c>
      <c r="C1640" s="186" t="s">
        <v>153</v>
      </c>
      <c r="D1640" s="83" t="s">
        <v>428</v>
      </c>
      <c r="E1640" s="83" t="s">
        <v>168</v>
      </c>
      <c r="F1640" s="180">
        <v>46034</v>
      </c>
      <c r="G1640" s="83">
        <v>47</v>
      </c>
      <c r="H1640" s="180">
        <v>46021</v>
      </c>
      <c r="I1640" s="180" t="s">
        <v>202</v>
      </c>
      <c r="J1640" s="83">
        <v>3518741361</v>
      </c>
      <c r="K1640" s="180"/>
      <c r="L1640" s="180">
        <v>46021</v>
      </c>
      <c r="M1640" s="180"/>
      <c r="N1640" s="181">
        <v>8.5192199999999996E-2</v>
      </c>
      <c r="O1640" s="181" t="s">
        <v>170</v>
      </c>
      <c r="P1640" s="83" t="s">
        <v>323</v>
      </c>
      <c r="Q1640" s="177" t="s">
        <v>324</v>
      </c>
      <c r="R1640" s="83"/>
    </row>
    <row r="1641" spans="1:18">
      <c r="A1641" s="83">
        <v>80820470</v>
      </c>
      <c r="B1641" s="186" t="s">
        <v>952</v>
      </c>
      <c r="C1641" s="186" t="s">
        <v>154</v>
      </c>
      <c r="D1641" s="83" t="s">
        <v>428</v>
      </c>
      <c r="E1641" s="83" t="s">
        <v>168</v>
      </c>
      <c r="F1641" s="180">
        <v>46034</v>
      </c>
      <c r="G1641" s="83">
        <v>52</v>
      </c>
      <c r="H1641" s="180">
        <v>46021</v>
      </c>
      <c r="I1641" s="180" t="s">
        <v>202</v>
      </c>
      <c r="J1641" s="83">
        <v>3518741362</v>
      </c>
      <c r="K1641" s="180"/>
      <c r="L1641" s="180">
        <v>46021</v>
      </c>
      <c r="M1641" s="180"/>
      <c r="N1641" s="181">
        <v>9.4255199999999997E-2</v>
      </c>
      <c r="O1641" s="181" t="s">
        <v>170</v>
      </c>
      <c r="P1641" s="83" t="s">
        <v>323</v>
      </c>
      <c r="Q1641" s="177" t="s">
        <v>324</v>
      </c>
      <c r="R1641" s="83"/>
    </row>
    <row r="1642" spans="1:18">
      <c r="A1642" s="83">
        <v>80820470</v>
      </c>
      <c r="B1642" s="186" t="s">
        <v>952</v>
      </c>
      <c r="C1642" s="186" t="s">
        <v>155</v>
      </c>
      <c r="D1642" s="83" t="s">
        <v>428</v>
      </c>
      <c r="E1642" s="83" t="s">
        <v>168</v>
      </c>
      <c r="F1642" s="180">
        <v>46034</v>
      </c>
      <c r="G1642" s="83">
        <v>251</v>
      </c>
      <c r="H1642" s="180">
        <v>46021</v>
      </c>
      <c r="I1642" s="180" t="s">
        <v>202</v>
      </c>
      <c r="J1642" s="83">
        <v>3518741363</v>
      </c>
      <c r="K1642" s="180"/>
      <c r="L1642" s="180">
        <v>46021</v>
      </c>
      <c r="M1642" s="180"/>
      <c r="N1642" s="181">
        <v>0.45496259999999999</v>
      </c>
      <c r="O1642" s="181" t="s">
        <v>170</v>
      </c>
      <c r="P1642" s="83" t="s">
        <v>323</v>
      </c>
      <c r="Q1642" s="177" t="s">
        <v>324</v>
      </c>
      <c r="R1642" s="83"/>
    </row>
    <row r="1643" spans="1:18">
      <c r="A1643" s="83">
        <v>80829598</v>
      </c>
      <c r="B1643" s="186" t="s">
        <v>960</v>
      </c>
      <c r="C1643" s="186" t="s">
        <v>143</v>
      </c>
      <c r="D1643" s="83" t="s">
        <v>428</v>
      </c>
      <c r="E1643" s="83" t="s">
        <v>168</v>
      </c>
      <c r="F1643" s="180">
        <v>46034</v>
      </c>
      <c r="G1643" s="83">
        <v>27</v>
      </c>
      <c r="H1643" s="180">
        <v>46021</v>
      </c>
      <c r="I1643" s="180" t="s">
        <v>202</v>
      </c>
      <c r="J1643" s="83">
        <v>3518741364</v>
      </c>
      <c r="K1643" s="180"/>
      <c r="L1643" s="180">
        <v>46021</v>
      </c>
      <c r="M1643" s="180"/>
      <c r="N1643" s="181">
        <v>4.8940200000000003E-2</v>
      </c>
      <c r="O1643" s="181" t="s">
        <v>170</v>
      </c>
      <c r="P1643" s="83" t="s">
        <v>323</v>
      </c>
      <c r="Q1643" s="177" t="s">
        <v>324</v>
      </c>
      <c r="R1643" s="83"/>
    </row>
    <row r="1644" spans="1:18">
      <c r="A1644" s="83">
        <v>80829598</v>
      </c>
      <c r="B1644" s="186" t="s">
        <v>960</v>
      </c>
      <c r="C1644" s="186" t="s">
        <v>150</v>
      </c>
      <c r="D1644" s="83" t="s">
        <v>428</v>
      </c>
      <c r="E1644" s="83" t="s">
        <v>168</v>
      </c>
      <c r="F1644" s="180">
        <v>46034</v>
      </c>
      <c r="G1644" s="83">
        <v>378</v>
      </c>
      <c r="H1644" s="180">
        <v>46021</v>
      </c>
      <c r="I1644" s="180" t="s">
        <v>202</v>
      </c>
      <c r="J1644" s="83">
        <v>3518741365</v>
      </c>
      <c r="K1644" s="180"/>
      <c r="L1644" s="180">
        <v>46021</v>
      </c>
      <c r="M1644" s="180"/>
      <c r="N1644" s="181">
        <v>0.68516279999999996</v>
      </c>
      <c r="O1644" s="181" t="s">
        <v>170</v>
      </c>
      <c r="P1644" s="83" t="s">
        <v>323</v>
      </c>
      <c r="Q1644" s="177" t="s">
        <v>324</v>
      </c>
      <c r="R1644" s="83"/>
    </row>
    <row r="1645" spans="1:18">
      <c r="A1645" s="83">
        <v>80829598</v>
      </c>
      <c r="B1645" s="186" t="s">
        <v>960</v>
      </c>
      <c r="C1645" s="186" t="s">
        <v>151</v>
      </c>
      <c r="D1645" s="83" t="s">
        <v>428</v>
      </c>
      <c r="E1645" s="83" t="s">
        <v>168</v>
      </c>
      <c r="F1645" s="180">
        <v>46034</v>
      </c>
      <c r="G1645" s="83">
        <v>374</v>
      </c>
      <c r="H1645" s="180">
        <v>46021</v>
      </c>
      <c r="I1645" s="180" t="s">
        <v>202</v>
      </c>
      <c r="J1645" s="83">
        <v>3518741366</v>
      </c>
      <c r="K1645" s="180"/>
      <c r="L1645" s="180">
        <v>46021</v>
      </c>
      <c r="M1645" s="180"/>
      <c r="N1645" s="181">
        <v>0.67791239999999997</v>
      </c>
      <c r="O1645" s="181" t="s">
        <v>170</v>
      </c>
      <c r="P1645" s="83" t="s">
        <v>323</v>
      </c>
      <c r="Q1645" s="177" t="s">
        <v>324</v>
      </c>
      <c r="R1645" s="83"/>
    </row>
    <row r="1646" spans="1:18">
      <c r="A1646" s="83">
        <v>80829598</v>
      </c>
      <c r="B1646" s="186" t="s">
        <v>960</v>
      </c>
      <c r="C1646" s="186" t="s">
        <v>152</v>
      </c>
      <c r="D1646" s="83" t="s">
        <v>428</v>
      </c>
      <c r="E1646" s="83" t="s">
        <v>168</v>
      </c>
      <c r="F1646" s="180">
        <v>46034</v>
      </c>
      <c r="G1646" s="83">
        <v>56</v>
      </c>
      <c r="H1646" s="180">
        <v>46021</v>
      </c>
      <c r="I1646" s="180" t="s">
        <v>202</v>
      </c>
      <c r="J1646" s="83">
        <v>3518741367</v>
      </c>
      <c r="K1646" s="180"/>
      <c r="L1646" s="180">
        <v>46021</v>
      </c>
      <c r="M1646" s="180"/>
      <c r="N1646" s="181">
        <v>0.1015056</v>
      </c>
      <c r="O1646" s="181" t="s">
        <v>170</v>
      </c>
      <c r="P1646" s="83" t="s">
        <v>323</v>
      </c>
      <c r="Q1646" s="177" t="s">
        <v>324</v>
      </c>
      <c r="R1646" s="83"/>
    </row>
    <row r="1647" spans="1:18">
      <c r="A1647" s="83">
        <v>80829598</v>
      </c>
      <c r="B1647" s="186" t="s">
        <v>960</v>
      </c>
      <c r="C1647" s="186" t="s">
        <v>153</v>
      </c>
      <c r="D1647" s="83" t="s">
        <v>428</v>
      </c>
      <c r="E1647" s="83" t="s">
        <v>168</v>
      </c>
      <c r="F1647" s="180">
        <v>46034</v>
      </c>
      <c r="G1647" s="83">
        <v>7</v>
      </c>
      <c r="H1647" s="180">
        <v>46021</v>
      </c>
      <c r="I1647" s="180" t="s">
        <v>202</v>
      </c>
      <c r="J1647" s="83">
        <v>3518741368</v>
      </c>
      <c r="K1647" s="180"/>
      <c r="L1647" s="180">
        <v>46021</v>
      </c>
      <c r="M1647" s="180"/>
      <c r="N1647" s="181">
        <v>1.26882E-2</v>
      </c>
      <c r="O1647" s="181" t="s">
        <v>170</v>
      </c>
      <c r="P1647" s="83" t="s">
        <v>323</v>
      </c>
      <c r="Q1647" s="177" t="s">
        <v>324</v>
      </c>
      <c r="R1647" s="83"/>
    </row>
    <row r="1648" spans="1:18">
      <c r="A1648" s="83">
        <v>80829598</v>
      </c>
      <c r="B1648" s="186" t="s">
        <v>960</v>
      </c>
      <c r="C1648" s="186" t="s">
        <v>154</v>
      </c>
      <c r="D1648" s="83" t="s">
        <v>428</v>
      </c>
      <c r="E1648" s="83" t="s">
        <v>168</v>
      </c>
      <c r="F1648" s="180">
        <v>46034</v>
      </c>
      <c r="G1648" s="83">
        <v>26</v>
      </c>
      <c r="H1648" s="180">
        <v>46021</v>
      </c>
      <c r="I1648" s="180" t="s">
        <v>202</v>
      </c>
      <c r="J1648" s="83">
        <v>3518741369</v>
      </c>
      <c r="K1648" s="180"/>
      <c r="L1648" s="180">
        <v>46021</v>
      </c>
      <c r="M1648" s="180"/>
      <c r="N1648" s="181">
        <v>4.7127599999999999E-2</v>
      </c>
      <c r="O1648" s="181" t="s">
        <v>170</v>
      </c>
      <c r="P1648" s="83" t="s">
        <v>323</v>
      </c>
      <c r="Q1648" s="177" t="s">
        <v>324</v>
      </c>
      <c r="R1648" s="83"/>
    </row>
    <row r="1649" spans="1:18">
      <c r="A1649" s="83">
        <v>80829598</v>
      </c>
      <c r="B1649" s="186" t="s">
        <v>960</v>
      </c>
      <c r="C1649" s="186" t="s">
        <v>155</v>
      </c>
      <c r="D1649" s="83" t="s">
        <v>428</v>
      </c>
      <c r="E1649" s="83" t="s">
        <v>168</v>
      </c>
      <c r="F1649" s="180">
        <v>46034</v>
      </c>
      <c r="G1649" s="83">
        <v>513</v>
      </c>
      <c r="H1649" s="180">
        <v>46021</v>
      </c>
      <c r="I1649" s="180" t="s">
        <v>202</v>
      </c>
      <c r="J1649" s="83">
        <v>3518741370</v>
      </c>
      <c r="K1649" s="180"/>
      <c r="L1649" s="180">
        <v>46021</v>
      </c>
      <c r="M1649" s="180"/>
      <c r="N1649" s="181">
        <v>0.92986380000000002</v>
      </c>
      <c r="O1649" s="181" t="s">
        <v>170</v>
      </c>
      <c r="P1649" s="83" t="s">
        <v>323</v>
      </c>
      <c r="Q1649" s="177" t="s">
        <v>324</v>
      </c>
      <c r="R1649" s="83"/>
    </row>
    <row r="1650" spans="1:18">
      <c r="A1650" s="83">
        <v>80833448</v>
      </c>
      <c r="B1650" s="186" t="s">
        <v>968</v>
      </c>
      <c r="C1650" s="186" t="s">
        <v>143</v>
      </c>
      <c r="D1650" s="83" t="s">
        <v>428</v>
      </c>
      <c r="E1650" s="83" t="s">
        <v>168</v>
      </c>
      <c r="F1650" s="180">
        <v>46034</v>
      </c>
      <c r="G1650" s="83">
        <v>5</v>
      </c>
      <c r="H1650" s="180">
        <v>46021</v>
      </c>
      <c r="I1650" s="180" t="s">
        <v>202</v>
      </c>
      <c r="J1650" s="83">
        <v>3518741371</v>
      </c>
      <c r="K1650" s="180"/>
      <c r="L1650" s="180">
        <v>46021</v>
      </c>
      <c r="M1650" s="180"/>
      <c r="N1650" s="181">
        <v>2.2659999999999998E-3</v>
      </c>
      <c r="O1650" s="181" t="s">
        <v>170</v>
      </c>
      <c r="P1650" s="83" t="s">
        <v>323</v>
      </c>
      <c r="Q1650" s="177" t="s">
        <v>324</v>
      </c>
      <c r="R1650" s="83"/>
    </row>
    <row r="1651" spans="1:18">
      <c r="A1651" s="83">
        <v>80833448</v>
      </c>
      <c r="B1651" s="186" t="s">
        <v>968</v>
      </c>
      <c r="C1651" s="186" t="s">
        <v>150</v>
      </c>
      <c r="D1651" s="83" t="s">
        <v>428</v>
      </c>
      <c r="E1651" s="83" t="s">
        <v>168</v>
      </c>
      <c r="F1651" s="180">
        <v>46034</v>
      </c>
      <c r="G1651" s="83">
        <v>33</v>
      </c>
      <c r="H1651" s="180">
        <v>46021</v>
      </c>
      <c r="I1651" s="180" t="s">
        <v>202</v>
      </c>
      <c r="J1651" s="83">
        <v>3518741372</v>
      </c>
      <c r="K1651" s="180"/>
      <c r="L1651" s="180">
        <v>46021</v>
      </c>
      <c r="M1651" s="180"/>
      <c r="N1651" s="181">
        <v>1.4955599999999999E-2</v>
      </c>
      <c r="O1651" s="181" t="s">
        <v>170</v>
      </c>
      <c r="P1651" s="83" t="s">
        <v>323</v>
      </c>
      <c r="Q1651" s="177" t="s">
        <v>324</v>
      </c>
      <c r="R1651" s="83"/>
    </row>
    <row r="1652" spans="1:18">
      <c r="A1652" s="83">
        <v>80833448</v>
      </c>
      <c r="B1652" s="186" t="s">
        <v>968</v>
      </c>
      <c r="C1652" s="186" t="s">
        <v>153</v>
      </c>
      <c r="D1652" s="83" t="s">
        <v>428</v>
      </c>
      <c r="E1652" s="83" t="s">
        <v>168</v>
      </c>
      <c r="F1652" s="180">
        <v>46034</v>
      </c>
      <c r="G1652" s="83">
        <v>2</v>
      </c>
      <c r="H1652" s="180">
        <v>46021</v>
      </c>
      <c r="I1652" s="180" t="s">
        <v>202</v>
      </c>
      <c r="J1652" s="83">
        <v>3518741373</v>
      </c>
      <c r="K1652" s="180"/>
      <c r="L1652" s="180">
        <v>46021</v>
      </c>
      <c r="M1652" s="180"/>
      <c r="N1652" s="181">
        <v>9.0640000000000002E-4</v>
      </c>
      <c r="O1652" s="181" t="s">
        <v>170</v>
      </c>
      <c r="P1652" s="83" t="s">
        <v>323</v>
      </c>
      <c r="Q1652" s="177" t="s">
        <v>324</v>
      </c>
      <c r="R1652" s="83"/>
    </row>
    <row r="1653" spans="1:18">
      <c r="A1653" s="83">
        <v>80833448</v>
      </c>
      <c r="B1653" s="186" t="s">
        <v>968</v>
      </c>
      <c r="C1653" s="186" t="s">
        <v>155</v>
      </c>
      <c r="D1653" s="83" t="s">
        <v>428</v>
      </c>
      <c r="E1653" s="83" t="s">
        <v>168</v>
      </c>
      <c r="F1653" s="180">
        <v>46034</v>
      </c>
      <c r="G1653" s="83">
        <v>19</v>
      </c>
      <c r="H1653" s="180">
        <v>46021</v>
      </c>
      <c r="I1653" s="180" t="s">
        <v>202</v>
      </c>
      <c r="J1653" s="83">
        <v>3518741374</v>
      </c>
      <c r="K1653" s="180"/>
      <c r="L1653" s="180">
        <v>46021</v>
      </c>
      <c r="M1653" s="180"/>
      <c r="N1653" s="181">
        <v>8.6108000000000001E-3</v>
      </c>
      <c r="O1653" s="181" t="s">
        <v>170</v>
      </c>
      <c r="P1653" s="83" t="s">
        <v>323</v>
      </c>
      <c r="Q1653" s="177" t="s">
        <v>324</v>
      </c>
      <c r="R1653" s="83"/>
    </row>
    <row r="1654" spans="1:18">
      <c r="A1654" s="83">
        <v>80880191</v>
      </c>
      <c r="B1654" s="186" t="s">
        <v>973</v>
      </c>
      <c r="C1654" s="186" t="s">
        <v>143</v>
      </c>
      <c r="D1654" s="83" t="s">
        <v>428</v>
      </c>
      <c r="E1654" s="83" t="s">
        <v>168</v>
      </c>
      <c r="F1654" s="180">
        <v>46034</v>
      </c>
      <c r="G1654" s="83">
        <v>152</v>
      </c>
      <c r="H1654" s="180">
        <v>46021</v>
      </c>
      <c r="I1654" s="180" t="s">
        <v>202</v>
      </c>
      <c r="J1654" s="83">
        <v>3518741375</v>
      </c>
      <c r="K1654" s="180"/>
      <c r="L1654" s="180">
        <v>46021</v>
      </c>
      <c r="M1654" s="180"/>
      <c r="N1654" s="181">
        <v>0.27551520000000002</v>
      </c>
      <c r="O1654" s="181" t="s">
        <v>170</v>
      </c>
      <c r="P1654" s="83" t="s">
        <v>323</v>
      </c>
      <c r="Q1654" s="177" t="s">
        <v>324</v>
      </c>
      <c r="R1654" s="83"/>
    </row>
    <row r="1655" spans="1:18">
      <c r="A1655" s="83">
        <v>80880191</v>
      </c>
      <c r="B1655" s="186" t="s">
        <v>973</v>
      </c>
      <c r="C1655" s="186" t="s">
        <v>150</v>
      </c>
      <c r="D1655" s="83" t="s">
        <v>428</v>
      </c>
      <c r="E1655" s="83" t="s">
        <v>168</v>
      </c>
      <c r="F1655" s="180">
        <v>46034</v>
      </c>
      <c r="G1655" s="83">
        <v>1931</v>
      </c>
      <c r="H1655" s="180">
        <v>46021</v>
      </c>
      <c r="I1655" s="180" t="s">
        <v>202</v>
      </c>
      <c r="J1655" s="83">
        <v>3518741376</v>
      </c>
      <c r="K1655" s="180"/>
      <c r="L1655" s="180">
        <v>46021</v>
      </c>
      <c r="M1655" s="180"/>
      <c r="N1655" s="181">
        <v>3.5001305999999999</v>
      </c>
      <c r="O1655" s="181" t="s">
        <v>170</v>
      </c>
      <c r="P1655" s="83" t="s">
        <v>323</v>
      </c>
      <c r="Q1655" s="177" t="s">
        <v>324</v>
      </c>
      <c r="R1655" s="83"/>
    </row>
    <row r="1656" spans="1:18">
      <c r="A1656" s="83">
        <v>80880191</v>
      </c>
      <c r="B1656" s="186" t="s">
        <v>973</v>
      </c>
      <c r="C1656" s="186" t="s">
        <v>151</v>
      </c>
      <c r="D1656" s="83" t="s">
        <v>428</v>
      </c>
      <c r="E1656" s="83" t="s">
        <v>168</v>
      </c>
      <c r="F1656" s="180">
        <v>46034</v>
      </c>
      <c r="G1656" s="83">
        <v>2137</v>
      </c>
      <c r="H1656" s="180">
        <v>46021</v>
      </c>
      <c r="I1656" s="180" t="s">
        <v>202</v>
      </c>
      <c r="J1656" s="83">
        <v>3518741377</v>
      </c>
      <c r="K1656" s="180"/>
      <c r="L1656" s="180">
        <v>46021</v>
      </c>
      <c r="M1656" s="180"/>
      <c r="N1656" s="181">
        <v>3.8735262000000001</v>
      </c>
      <c r="O1656" s="181" t="s">
        <v>170</v>
      </c>
      <c r="P1656" s="83" t="s">
        <v>323</v>
      </c>
      <c r="Q1656" s="177" t="s">
        <v>324</v>
      </c>
      <c r="R1656" s="83"/>
    </row>
    <row r="1657" spans="1:18">
      <c r="A1657" s="83">
        <v>80880191</v>
      </c>
      <c r="B1657" s="186" t="s">
        <v>973</v>
      </c>
      <c r="C1657" s="186" t="s">
        <v>152</v>
      </c>
      <c r="D1657" s="83" t="s">
        <v>428</v>
      </c>
      <c r="E1657" s="83" t="s">
        <v>168</v>
      </c>
      <c r="F1657" s="180">
        <v>46034</v>
      </c>
      <c r="G1657" s="83">
        <v>271</v>
      </c>
      <c r="H1657" s="180">
        <v>46021</v>
      </c>
      <c r="I1657" s="180" t="s">
        <v>202</v>
      </c>
      <c r="J1657" s="83">
        <v>3518741378</v>
      </c>
      <c r="K1657" s="180"/>
      <c r="L1657" s="180">
        <v>46021</v>
      </c>
      <c r="M1657" s="180"/>
      <c r="N1657" s="181">
        <v>0.4912146</v>
      </c>
      <c r="O1657" s="181" t="s">
        <v>170</v>
      </c>
      <c r="P1657" s="83" t="s">
        <v>323</v>
      </c>
      <c r="Q1657" s="177" t="s">
        <v>324</v>
      </c>
      <c r="R1657" s="83"/>
    </row>
    <row r="1658" spans="1:18">
      <c r="A1658" s="83">
        <v>80880191</v>
      </c>
      <c r="B1658" s="186" t="s">
        <v>973</v>
      </c>
      <c r="C1658" s="186" t="s">
        <v>153</v>
      </c>
      <c r="D1658" s="83" t="s">
        <v>428</v>
      </c>
      <c r="E1658" s="83" t="s">
        <v>168</v>
      </c>
      <c r="F1658" s="180">
        <v>46034</v>
      </c>
      <c r="G1658" s="83">
        <v>103</v>
      </c>
      <c r="H1658" s="180">
        <v>46021</v>
      </c>
      <c r="I1658" s="180" t="s">
        <v>202</v>
      </c>
      <c r="J1658" s="83">
        <v>3518741379</v>
      </c>
      <c r="K1658" s="180"/>
      <c r="L1658" s="180">
        <v>46021</v>
      </c>
      <c r="M1658" s="180"/>
      <c r="N1658" s="181">
        <v>0.1866978</v>
      </c>
      <c r="O1658" s="181" t="s">
        <v>170</v>
      </c>
      <c r="P1658" s="83" t="s">
        <v>323</v>
      </c>
      <c r="Q1658" s="177" t="s">
        <v>324</v>
      </c>
      <c r="R1658" s="83"/>
    </row>
    <row r="1659" spans="1:18">
      <c r="A1659" s="83">
        <v>80880191</v>
      </c>
      <c r="B1659" s="186" t="s">
        <v>973</v>
      </c>
      <c r="C1659" s="186" t="s">
        <v>154</v>
      </c>
      <c r="D1659" s="83" t="s">
        <v>428</v>
      </c>
      <c r="E1659" s="83" t="s">
        <v>168</v>
      </c>
      <c r="F1659" s="180">
        <v>46034</v>
      </c>
      <c r="G1659" s="83">
        <v>111</v>
      </c>
      <c r="H1659" s="180">
        <v>46021</v>
      </c>
      <c r="I1659" s="180" t="s">
        <v>202</v>
      </c>
      <c r="J1659" s="83">
        <v>3518741380</v>
      </c>
      <c r="K1659" s="180"/>
      <c r="L1659" s="180">
        <v>46021</v>
      </c>
      <c r="M1659" s="180"/>
      <c r="N1659" s="181">
        <v>0.20119860000000001</v>
      </c>
      <c r="O1659" s="181" t="s">
        <v>170</v>
      </c>
      <c r="P1659" s="83" t="s">
        <v>323</v>
      </c>
      <c r="Q1659" s="177" t="s">
        <v>324</v>
      </c>
      <c r="R1659" s="83"/>
    </row>
    <row r="1660" spans="1:18">
      <c r="A1660" s="83">
        <v>80880191</v>
      </c>
      <c r="B1660" s="186" t="s">
        <v>973</v>
      </c>
      <c r="C1660" s="186" t="s">
        <v>155</v>
      </c>
      <c r="D1660" s="83" t="s">
        <v>428</v>
      </c>
      <c r="E1660" s="83" t="s">
        <v>168</v>
      </c>
      <c r="F1660" s="180">
        <v>46034</v>
      </c>
      <c r="G1660" s="83">
        <v>1539</v>
      </c>
      <c r="H1660" s="180">
        <v>46021</v>
      </c>
      <c r="I1660" s="180" t="s">
        <v>202</v>
      </c>
      <c r="J1660" s="83">
        <v>3518741381</v>
      </c>
      <c r="K1660" s="180"/>
      <c r="L1660" s="180">
        <v>46021</v>
      </c>
      <c r="M1660" s="180"/>
      <c r="N1660" s="181">
        <v>2.7895913999999999</v>
      </c>
      <c r="O1660" s="181" t="s">
        <v>170</v>
      </c>
      <c r="P1660" s="83" t="s">
        <v>323</v>
      </c>
      <c r="Q1660" s="177" t="s">
        <v>324</v>
      </c>
      <c r="R1660" s="83"/>
    </row>
    <row r="1661" spans="1:18">
      <c r="A1661" s="83">
        <v>80881081</v>
      </c>
      <c r="B1661" s="186" t="s">
        <v>944</v>
      </c>
      <c r="C1661" s="186" t="s">
        <v>143</v>
      </c>
      <c r="D1661" s="83" t="s">
        <v>428</v>
      </c>
      <c r="E1661" s="83" t="s">
        <v>168</v>
      </c>
      <c r="F1661" s="180">
        <v>46034</v>
      </c>
      <c r="G1661" s="83">
        <v>28</v>
      </c>
      <c r="H1661" s="180">
        <v>46021</v>
      </c>
      <c r="I1661" s="180" t="s">
        <v>202</v>
      </c>
      <c r="J1661" s="83">
        <v>3518741382</v>
      </c>
      <c r="K1661" s="180"/>
      <c r="L1661" s="180">
        <v>46021</v>
      </c>
      <c r="M1661" s="180"/>
      <c r="N1661" s="181">
        <v>2.6138000000000002E-2</v>
      </c>
      <c r="O1661" s="181" t="s">
        <v>170</v>
      </c>
      <c r="P1661" s="83" t="s">
        <v>323</v>
      </c>
      <c r="Q1661" s="177" t="s">
        <v>324</v>
      </c>
      <c r="R1661" s="83"/>
    </row>
    <row r="1662" spans="1:18">
      <c r="A1662" s="83">
        <v>80881081</v>
      </c>
      <c r="B1662" s="186" t="s">
        <v>944</v>
      </c>
      <c r="C1662" s="186" t="s">
        <v>150</v>
      </c>
      <c r="D1662" s="83" t="s">
        <v>428</v>
      </c>
      <c r="E1662" s="83" t="s">
        <v>168</v>
      </c>
      <c r="F1662" s="180">
        <v>46034</v>
      </c>
      <c r="G1662" s="83">
        <v>373</v>
      </c>
      <c r="H1662" s="180">
        <v>46021</v>
      </c>
      <c r="I1662" s="180" t="s">
        <v>202</v>
      </c>
      <c r="J1662" s="83">
        <v>3518741383</v>
      </c>
      <c r="K1662" s="180"/>
      <c r="L1662" s="180">
        <v>46021</v>
      </c>
      <c r="M1662" s="180"/>
      <c r="N1662" s="181">
        <v>0.34819549999999999</v>
      </c>
      <c r="O1662" s="181" t="s">
        <v>170</v>
      </c>
      <c r="P1662" s="83" t="s">
        <v>323</v>
      </c>
      <c r="Q1662" s="177" t="s">
        <v>324</v>
      </c>
      <c r="R1662" s="83"/>
    </row>
    <row r="1663" spans="1:18">
      <c r="A1663" s="83">
        <v>80881081</v>
      </c>
      <c r="B1663" s="186" t="s">
        <v>944</v>
      </c>
      <c r="C1663" s="186" t="s">
        <v>151</v>
      </c>
      <c r="D1663" s="83" t="s">
        <v>428</v>
      </c>
      <c r="E1663" s="83" t="s">
        <v>168</v>
      </c>
      <c r="F1663" s="180">
        <v>46034</v>
      </c>
      <c r="G1663" s="83">
        <v>400</v>
      </c>
      <c r="H1663" s="180">
        <v>46021</v>
      </c>
      <c r="I1663" s="180" t="s">
        <v>202</v>
      </c>
      <c r="J1663" s="83">
        <v>3518741384</v>
      </c>
      <c r="K1663" s="180"/>
      <c r="L1663" s="180">
        <v>46021</v>
      </c>
      <c r="M1663" s="180"/>
      <c r="N1663" s="181">
        <v>0.37340000000000001</v>
      </c>
      <c r="O1663" s="181" t="s">
        <v>170</v>
      </c>
      <c r="P1663" s="83" t="s">
        <v>323</v>
      </c>
      <c r="Q1663" s="177" t="s">
        <v>324</v>
      </c>
      <c r="R1663" s="83"/>
    </row>
    <row r="1664" spans="1:18">
      <c r="A1664" s="83">
        <v>80881081</v>
      </c>
      <c r="B1664" s="186" t="s">
        <v>944</v>
      </c>
      <c r="C1664" s="186" t="s">
        <v>152</v>
      </c>
      <c r="D1664" s="83" t="s">
        <v>428</v>
      </c>
      <c r="E1664" s="83" t="s">
        <v>168</v>
      </c>
      <c r="F1664" s="180">
        <v>46034</v>
      </c>
      <c r="G1664" s="83">
        <v>104</v>
      </c>
      <c r="H1664" s="180">
        <v>46021</v>
      </c>
      <c r="I1664" s="180" t="s">
        <v>202</v>
      </c>
      <c r="J1664" s="83">
        <v>3518741385</v>
      </c>
      <c r="K1664" s="180"/>
      <c r="L1664" s="180">
        <v>46021</v>
      </c>
      <c r="M1664" s="180"/>
      <c r="N1664" s="181">
        <v>9.7084000000000004E-2</v>
      </c>
      <c r="O1664" s="181" t="s">
        <v>170</v>
      </c>
      <c r="P1664" s="83" t="s">
        <v>323</v>
      </c>
      <c r="Q1664" s="177" t="s">
        <v>324</v>
      </c>
      <c r="R1664" s="83"/>
    </row>
    <row r="1665" spans="1:18">
      <c r="A1665" s="83">
        <v>80881081</v>
      </c>
      <c r="B1665" s="186" t="s">
        <v>944</v>
      </c>
      <c r="C1665" s="186" t="s">
        <v>153</v>
      </c>
      <c r="D1665" s="83" t="s">
        <v>428</v>
      </c>
      <c r="E1665" s="83" t="s">
        <v>168</v>
      </c>
      <c r="F1665" s="180">
        <v>46034</v>
      </c>
      <c r="G1665" s="83">
        <v>25</v>
      </c>
      <c r="H1665" s="180">
        <v>46021</v>
      </c>
      <c r="I1665" s="180" t="s">
        <v>202</v>
      </c>
      <c r="J1665" s="83">
        <v>3518741386</v>
      </c>
      <c r="K1665" s="180"/>
      <c r="L1665" s="180">
        <v>46021</v>
      </c>
      <c r="M1665" s="180"/>
      <c r="N1665" s="181">
        <v>2.3337500000000001E-2</v>
      </c>
      <c r="O1665" s="181" t="s">
        <v>170</v>
      </c>
      <c r="P1665" s="83" t="s">
        <v>323</v>
      </c>
      <c r="Q1665" s="177" t="s">
        <v>324</v>
      </c>
      <c r="R1665" s="83"/>
    </row>
    <row r="1666" spans="1:18">
      <c r="A1666" s="83">
        <v>80881081</v>
      </c>
      <c r="B1666" s="186" t="s">
        <v>944</v>
      </c>
      <c r="C1666" s="186" t="s">
        <v>154</v>
      </c>
      <c r="D1666" s="83" t="s">
        <v>428</v>
      </c>
      <c r="E1666" s="83" t="s">
        <v>168</v>
      </c>
      <c r="F1666" s="180">
        <v>46034</v>
      </c>
      <c r="G1666" s="83">
        <v>36</v>
      </c>
      <c r="H1666" s="180">
        <v>46021</v>
      </c>
      <c r="I1666" s="180" t="s">
        <v>202</v>
      </c>
      <c r="J1666" s="83">
        <v>3518741387</v>
      </c>
      <c r="K1666" s="180"/>
      <c r="L1666" s="180">
        <v>46021</v>
      </c>
      <c r="M1666" s="180"/>
      <c r="N1666" s="181">
        <v>3.3605999999999997E-2</v>
      </c>
      <c r="O1666" s="181" t="s">
        <v>170</v>
      </c>
      <c r="P1666" s="83" t="s">
        <v>323</v>
      </c>
      <c r="Q1666" s="177" t="s">
        <v>324</v>
      </c>
      <c r="R1666" s="83"/>
    </row>
    <row r="1667" spans="1:18">
      <c r="A1667" s="83">
        <v>80881081</v>
      </c>
      <c r="B1667" s="186" t="s">
        <v>944</v>
      </c>
      <c r="C1667" s="186" t="s">
        <v>155</v>
      </c>
      <c r="D1667" s="83" t="s">
        <v>428</v>
      </c>
      <c r="E1667" s="83" t="s">
        <v>168</v>
      </c>
      <c r="F1667" s="180">
        <v>46034</v>
      </c>
      <c r="G1667" s="83">
        <v>206</v>
      </c>
      <c r="H1667" s="180">
        <v>46021</v>
      </c>
      <c r="I1667" s="180" t="s">
        <v>202</v>
      </c>
      <c r="J1667" s="83">
        <v>3518741388</v>
      </c>
      <c r="K1667" s="180"/>
      <c r="L1667" s="180">
        <v>46021</v>
      </c>
      <c r="M1667" s="180"/>
      <c r="N1667" s="181">
        <v>0.192301</v>
      </c>
      <c r="O1667" s="181" t="s">
        <v>170</v>
      </c>
      <c r="P1667" s="83" t="s">
        <v>323</v>
      </c>
      <c r="Q1667" s="177" t="s">
        <v>324</v>
      </c>
      <c r="R1667" s="83"/>
    </row>
    <row r="1668" spans="1:18">
      <c r="A1668" s="83">
        <v>80883602</v>
      </c>
      <c r="B1668" s="186" t="s">
        <v>936</v>
      </c>
      <c r="C1668" s="186" t="s">
        <v>143</v>
      </c>
      <c r="D1668" s="83" t="s">
        <v>428</v>
      </c>
      <c r="E1668" s="83" t="s">
        <v>168</v>
      </c>
      <c r="F1668" s="180">
        <v>46034</v>
      </c>
      <c r="G1668" s="83">
        <v>19</v>
      </c>
      <c r="H1668" s="180">
        <v>46021</v>
      </c>
      <c r="I1668" s="180" t="s">
        <v>202</v>
      </c>
      <c r="J1668" s="83">
        <v>3518741389</v>
      </c>
      <c r="K1668" s="180"/>
      <c r="L1668" s="180">
        <v>46021</v>
      </c>
      <c r="M1668" s="180"/>
      <c r="N1668" s="181">
        <v>3.4439400000000002E-2</v>
      </c>
      <c r="O1668" s="181" t="s">
        <v>170</v>
      </c>
      <c r="P1668" s="83" t="s">
        <v>323</v>
      </c>
      <c r="Q1668" s="177" t="s">
        <v>324</v>
      </c>
      <c r="R1668" s="83"/>
    </row>
    <row r="1669" spans="1:18">
      <c r="A1669" s="83">
        <v>80883602</v>
      </c>
      <c r="B1669" s="186" t="s">
        <v>936</v>
      </c>
      <c r="C1669" s="186" t="s">
        <v>150</v>
      </c>
      <c r="D1669" s="83" t="s">
        <v>428</v>
      </c>
      <c r="E1669" s="83" t="s">
        <v>168</v>
      </c>
      <c r="F1669" s="180">
        <v>46034</v>
      </c>
      <c r="G1669" s="83">
        <v>234</v>
      </c>
      <c r="H1669" s="180">
        <v>46021</v>
      </c>
      <c r="I1669" s="180" t="s">
        <v>202</v>
      </c>
      <c r="J1669" s="83">
        <v>3518741390</v>
      </c>
      <c r="K1669" s="180"/>
      <c r="L1669" s="180">
        <v>46021</v>
      </c>
      <c r="M1669" s="180"/>
      <c r="N1669" s="181">
        <v>0.42414839999999998</v>
      </c>
      <c r="O1669" s="181" t="s">
        <v>170</v>
      </c>
      <c r="P1669" s="83" t="s">
        <v>323</v>
      </c>
      <c r="Q1669" s="177" t="s">
        <v>324</v>
      </c>
      <c r="R1669" s="83"/>
    </row>
    <row r="1670" spans="1:18">
      <c r="A1670" s="83">
        <v>80883602</v>
      </c>
      <c r="B1670" s="186" t="s">
        <v>936</v>
      </c>
      <c r="C1670" s="186" t="s">
        <v>151</v>
      </c>
      <c r="D1670" s="83" t="s">
        <v>428</v>
      </c>
      <c r="E1670" s="83" t="s">
        <v>168</v>
      </c>
      <c r="F1670" s="180">
        <v>46034</v>
      </c>
      <c r="G1670" s="83">
        <v>153</v>
      </c>
      <c r="H1670" s="180">
        <v>46021</v>
      </c>
      <c r="I1670" s="180" t="s">
        <v>202</v>
      </c>
      <c r="J1670" s="83">
        <v>3518741391</v>
      </c>
      <c r="K1670" s="180"/>
      <c r="L1670" s="180">
        <v>46021</v>
      </c>
      <c r="M1670" s="180"/>
      <c r="N1670" s="181">
        <v>0.27732780000000001</v>
      </c>
      <c r="O1670" s="181" t="s">
        <v>170</v>
      </c>
      <c r="P1670" s="83" t="s">
        <v>323</v>
      </c>
      <c r="Q1670" s="177" t="s">
        <v>324</v>
      </c>
      <c r="R1670" s="83"/>
    </row>
    <row r="1671" spans="1:18">
      <c r="A1671" s="83">
        <v>80883602</v>
      </c>
      <c r="B1671" s="186" t="s">
        <v>936</v>
      </c>
      <c r="C1671" s="186" t="s">
        <v>152</v>
      </c>
      <c r="D1671" s="83" t="s">
        <v>428</v>
      </c>
      <c r="E1671" s="83" t="s">
        <v>168</v>
      </c>
      <c r="F1671" s="180">
        <v>46034</v>
      </c>
      <c r="G1671" s="83">
        <v>14</v>
      </c>
      <c r="H1671" s="180">
        <v>46021</v>
      </c>
      <c r="I1671" s="180" t="s">
        <v>202</v>
      </c>
      <c r="J1671" s="83">
        <v>3518741393</v>
      </c>
      <c r="K1671" s="180"/>
      <c r="L1671" s="180">
        <v>46021</v>
      </c>
      <c r="M1671" s="180"/>
      <c r="N1671" s="181">
        <v>2.53764E-2</v>
      </c>
      <c r="O1671" s="181" t="s">
        <v>170</v>
      </c>
      <c r="P1671" s="83" t="s">
        <v>323</v>
      </c>
      <c r="Q1671" s="177" t="s">
        <v>324</v>
      </c>
      <c r="R1671" s="83"/>
    </row>
    <row r="1672" spans="1:18">
      <c r="A1672" s="83">
        <v>80883602</v>
      </c>
      <c r="B1672" s="186" t="s">
        <v>936</v>
      </c>
      <c r="C1672" s="186" t="s">
        <v>153</v>
      </c>
      <c r="D1672" s="83" t="s">
        <v>428</v>
      </c>
      <c r="E1672" s="83" t="s">
        <v>168</v>
      </c>
      <c r="F1672" s="180">
        <v>46034</v>
      </c>
      <c r="G1672" s="83">
        <v>15</v>
      </c>
      <c r="H1672" s="180">
        <v>46021</v>
      </c>
      <c r="I1672" s="180" t="s">
        <v>202</v>
      </c>
      <c r="J1672" s="83">
        <v>3518741394</v>
      </c>
      <c r="K1672" s="180"/>
      <c r="L1672" s="180">
        <v>46021</v>
      </c>
      <c r="M1672" s="180"/>
      <c r="N1672" s="181">
        <v>2.7189000000000001E-2</v>
      </c>
      <c r="O1672" s="181" t="s">
        <v>170</v>
      </c>
      <c r="P1672" s="83" t="s">
        <v>323</v>
      </c>
      <c r="Q1672" s="177" t="s">
        <v>324</v>
      </c>
      <c r="R1672" s="83"/>
    </row>
    <row r="1673" spans="1:18">
      <c r="A1673" s="83">
        <v>80883602</v>
      </c>
      <c r="B1673" s="186" t="s">
        <v>936</v>
      </c>
      <c r="C1673" s="186" t="s">
        <v>154</v>
      </c>
      <c r="D1673" s="83" t="s">
        <v>428</v>
      </c>
      <c r="E1673" s="83" t="s">
        <v>168</v>
      </c>
      <c r="F1673" s="180">
        <v>46034</v>
      </c>
      <c r="G1673" s="83">
        <v>12</v>
      </c>
      <c r="H1673" s="180">
        <v>46021</v>
      </c>
      <c r="I1673" s="180" t="s">
        <v>202</v>
      </c>
      <c r="J1673" s="83">
        <v>3518741395</v>
      </c>
      <c r="K1673" s="180"/>
      <c r="L1673" s="180">
        <v>46021</v>
      </c>
      <c r="M1673" s="180"/>
      <c r="N1673" s="181">
        <v>2.1751199999999998E-2</v>
      </c>
      <c r="O1673" s="181" t="s">
        <v>170</v>
      </c>
      <c r="P1673" s="83" t="s">
        <v>323</v>
      </c>
      <c r="Q1673" s="177" t="s">
        <v>324</v>
      </c>
      <c r="R1673" s="83"/>
    </row>
    <row r="1674" spans="1:18">
      <c r="A1674" s="83">
        <v>80883602</v>
      </c>
      <c r="B1674" s="186" t="s">
        <v>936</v>
      </c>
      <c r="C1674" s="186" t="s">
        <v>155</v>
      </c>
      <c r="D1674" s="83" t="s">
        <v>428</v>
      </c>
      <c r="E1674" s="83" t="s">
        <v>168</v>
      </c>
      <c r="F1674" s="180">
        <v>46034</v>
      </c>
      <c r="G1674" s="83">
        <v>91</v>
      </c>
      <c r="H1674" s="180">
        <v>46021</v>
      </c>
      <c r="I1674" s="180" t="s">
        <v>202</v>
      </c>
      <c r="J1674" s="83">
        <v>3518741396</v>
      </c>
      <c r="K1674" s="180"/>
      <c r="L1674" s="180">
        <v>46021</v>
      </c>
      <c r="M1674" s="180"/>
      <c r="N1674" s="181">
        <v>0.1649466</v>
      </c>
      <c r="O1674" s="181" t="s">
        <v>170</v>
      </c>
      <c r="P1674" s="83" t="s">
        <v>323</v>
      </c>
      <c r="Q1674" s="177" t="s">
        <v>324</v>
      </c>
      <c r="R1674" s="83"/>
    </row>
    <row r="1675" spans="1:18">
      <c r="A1675" s="83">
        <v>80883604</v>
      </c>
      <c r="B1675" s="186" t="s">
        <v>928</v>
      </c>
      <c r="C1675" s="186" t="s">
        <v>143</v>
      </c>
      <c r="D1675" s="83" t="s">
        <v>428</v>
      </c>
      <c r="E1675" s="83" t="s">
        <v>168</v>
      </c>
      <c r="F1675" s="180">
        <v>46034</v>
      </c>
      <c r="G1675" s="83">
        <v>50</v>
      </c>
      <c r="H1675" s="180">
        <v>46021</v>
      </c>
      <c r="I1675" s="180" t="s">
        <v>202</v>
      </c>
      <c r="J1675" s="83">
        <v>3518741397</v>
      </c>
      <c r="K1675" s="180"/>
      <c r="L1675" s="180">
        <v>46021</v>
      </c>
      <c r="M1675" s="180"/>
      <c r="N1675" s="181">
        <v>4.6675000000000001E-2</v>
      </c>
      <c r="O1675" s="181" t="s">
        <v>170</v>
      </c>
      <c r="P1675" s="83" t="s">
        <v>323</v>
      </c>
      <c r="Q1675" s="177" t="s">
        <v>324</v>
      </c>
      <c r="R1675" s="83"/>
    </row>
    <row r="1676" spans="1:18">
      <c r="A1676" s="83">
        <v>80883604</v>
      </c>
      <c r="B1676" s="186" t="s">
        <v>928</v>
      </c>
      <c r="C1676" s="186" t="s">
        <v>150</v>
      </c>
      <c r="D1676" s="83" t="s">
        <v>428</v>
      </c>
      <c r="E1676" s="83" t="s">
        <v>168</v>
      </c>
      <c r="F1676" s="180">
        <v>46034</v>
      </c>
      <c r="G1676" s="83">
        <v>461</v>
      </c>
      <c r="H1676" s="180">
        <v>46021</v>
      </c>
      <c r="I1676" s="180" t="s">
        <v>202</v>
      </c>
      <c r="J1676" s="83">
        <v>3518741398</v>
      </c>
      <c r="K1676" s="180"/>
      <c r="L1676" s="180">
        <v>46021</v>
      </c>
      <c r="M1676" s="180"/>
      <c r="N1676" s="181">
        <v>0.43034349999999999</v>
      </c>
      <c r="O1676" s="181" t="s">
        <v>170</v>
      </c>
      <c r="P1676" s="83" t="s">
        <v>323</v>
      </c>
      <c r="Q1676" s="177" t="s">
        <v>324</v>
      </c>
      <c r="R1676" s="83"/>
    </row>
    <row r="1677" spans="1:18">
      <c r="A1677" s="83">
        <v>80883604</v>
      </c>
      <c r="B1677" s="186" t="s">
        <v>928</v>
      </c>
      <c r="C1677" s="186" t="s">
        <v>151</v>
      </c>
      <c r="D1677" s="83" t="s">
        <v>428</v>
      </c>
      <c r="E1677" s="83" t="s">
        <v>168</v>
      </c>
      <c r="F1677" s="180">
        <v>46034</v>
      </c>
      <c r="G1677" s="83">
        <v>611</v>
      </c>
      <c r="H1677" s="180">
        <v>46021</v>
      </c>
      <c r="I1677" s="180" t="s">
        <v>202</v>
      </c>
      <c r="J1677" s="83">
        <v>3518741400</v>
      </c>
      <c r="K1677" s="180"/>
      <c r="L1677" s="180">
        <v>46021</v>
      </c>
      <c r="M1677" s="180"/>
      <c r="N1677" s="181">
        <v>0.57036849999999994</v>
      </c>
      <c r="O1677" s="181" t="s">
        <v>170</v>
      </c>
      <c r="P1677" s="83" t="s">
        <v>323</v>
      </c>
      <c r="Q1677" s="177" t="s">
        <v>324</v>
      </c>
      <c r="R1677" s="83"/>
    </row>
    <row r="1678" spans="1:18">
      <c r="A1678" s="83">
        <v>80883604</v>
      </c>
      <c r="B1678" s="186" t="s">
        <v>928</v>
      </c>
      <c r="C1678" s="186" t="s">
        <v>152</v>
      </c>
      <c r="D1678" s="83" t="s">
        <v>428</v>
      </c>
      <c r="E1678" s="83" t="s">
        <v>168</v>
      </c>
      <c r="F1678" s="180">
        <v>46034</v>
      </c>
      <c r="G1678" s="83">
        <v>131</v>
      </c>
      <c r="H1678" s="180">
        <v>46021</v>
      </c>
      <c r="I1678" s="180" t="s">
        <v>202</v>
      </c>
      <c r="J1678" s="83">
        <v>3518741401</v>
      </c>
      <c r="K1678" s="180"/>
      <c r="L1678" s="180">
        <v>46021</v>
      </c>
      <c r="M1678" s="180"/>
      <c r="N1678" s="181">
        <v>0.12228849999999999</v>
      </c>
      <c r="O1678" s="181" t="s">
        <v>170</v>
      </c>
      <c r="P1678" s="83" t="s">
        <v>323</v>
      </c>
      <c r="Q1678" s="177" t="s">
        <v>324</v>
      </c>
      <c r="R1678" s="83"/>
    </row>
    <row r="1679" spans="1:18">
      <c r="A1679" s="83">
        <v>80883604</v>
      </c>
      <c r="B1679" s="186" t="s">
        <v>928</v>
      </c>
      <c r="C1679" s="186" t="s">
        <v>153</v>
      </c>
      <c r="D1679" s="83" t="s">
        <v>428</v>
      </c>
      <c r="E1679" s="83" t="s">
        <v>168</v>
      </c>
      <c r="F1679" s="180">
        <v>46034</v>
      </c>
      <c r="G1679" s="83">
        <v>46</v>
      </c>
      <c r="H1679" s="180">
        <v>46021</v>
      </c>
      <c r="I1679" s="180" t="s">
        <v>202</v>
      </c>
      <c r="J1679" s="83">
        <v>3518741402</v>
      </c>
      <c r="K1679" s="180"/>
      <c r="L1679" s="180">
        <v>46021</v>
      </c>
      <c r="M1679" s="180"/>
      <c r="N1679" s="181">
        <v>4.2941E-2</v>
      </c>
      <c r="O1679" s="181" t="s">
        <v>170</v>
      </c>
      <c r="P1679" s="83" t="s">
        <v>323</v>
      </c>
      <c r="Q1679" s="177" t="s">
        <v>324</v>
      </c>
      <c r="R1679" s="83"/>
    </row>
    <row r="1680" spans="1:18">
      <c r="A1680" s="83">
        <v>80883604</v>
      </c>
      <c r="B1680" s="186" t="s">
        <v>928</v>
      </c>
      <c r="C1680" s="186" t="s">
        <v>154</v>
      </c>
      <c r="D1680" s="83" t="s">
        <v>428</v>
      </c>
      <c r="E1680" s="83" t="s">
        <v>168</v>
      </c>
      <c r="F1680" s="180">
        <v>46034</v>
      </c>
      <c r="G1680" s="83">
        <v>62</v>
      </c>
      <c r="H1680" s="180">
        <v>46021</v>
      </c>
      <c r="I1680" s="180" t="s">
        <v>202</v>
      </c>
      <c r="J1680" s="83">
        <v>3518741403</v>
      </c>
      <c r="K1680" s="180"/>
      <c r="L1680" s="180">
        <v>46021</v>
      </c>
      <c r="M1680" s="180"/>
      <c r="N1680" s="181">
        <v>5.7876999999999998E-2</v>
      </c>
      <c r="O1680" s="181" t="s">
        <v>170</v>
      </c>
      <c r="P1680" s="83" t="s">
        <v>323</v>
      </c>
      <c r="Q1680" s="177" t="s">
        <v>324</v>
      </c>
      <c r="R1680" s="83"/>
    </row>
    <row r="1681" spans="1:18">
      <c r="A1681" s="83">
        <v>80883604</v>
      </c>
      <c r="B1681" s="186" t="s">
        <v>928</v>
      </c>
      <c r="C1681" s="186" t="s">
        <v>155</v>
      </c>
      <c r="D1681" s="83" t="s">
        <v>428</v>
      </c>
      <c r="E1681" s="83" t="s">
        <v>168</v>
      </c>
      <c r="F1681" s="180">
        <v>46034</v>
      </c>
      <c r="G1681" s="83">
        <v>343</v>
      </c>
      <c r="H1681" s="180">
        <v>46021</v>
      </c>
      <c r="I1681" s="180" t="s">
        <v>202</v>
      </c>
      <c r="J1681" s="83">
        <v>3518741404</v>
      </c>
      <c r="K1681" s="180"/>
      <c r="L1681" s="180">
        <v>46021</v>
      </c>
      <c r="M1681" s="180"/>
      <c r="N1681" s="181">
        <v>0.32019049999999999</v>
      </c>
      <c r="O1681" s="181" t="s">
        <v>170</v>
      </c>
      <c r="P1681" s="83" t="s">
        <v>323</v>
      </c>
      <c r="Q1681" s="177" t="s">
        <v>324</v>
      </c>
      <c r="R1681" s="83"/>
    </row>
    <row r="1682" spans="1:18">
      <c r="A1682" s="83">
        <v>80754073</v>
      </c>
      <c r="B1682" s="186" t="s">
        <v>1002</v>
      </c>
      <c r="C1682" s="186" t="s">
        <v>143</v>
      </c>
      <c r="D1682" s="83" t="s">
        <v>428</v>
      </c>
      <c r="E1682" s="83" t="s">
        <v>168</v>
      </c>
      <c r="F1682" s="180">
        <v>46034</v>
      </c>
      <c r="G1682" s="83">
        <v>33</v>
      </c>
      <c r="H1682" s="180">
        <v>46021</v>
      </c>
      <c r="I1682" s="180" t="s">
        <v>202</v>
      </c>
      <c r="J1682" s="83">
        <v>3518741405</v>
      </c>
      <c r="K1682" s="180"/>
      <c r="L1682" s="180">
        <v>46021</v>
      </c>
      <c r="M1682" s="180"/>
      <c r="N1682" s="181">
        <v>5.9815800000000002E-2</v>
      </c>
      <c r="O1682" s="181" t="s">
        <v>170</v>
      </c>
      <c r="P1682" s="83" t="s">
        <v>323</v>
      </c>
      <c r="Q1682" s="177" t="s">
        <v>324</v>
      </c>
      <c r="R1682" s="83"/>
    </row>
    <row r="1683" spans="1:18">
      <c r="A1683" s="83">
        <v>80754073</v>
      </c>
      <c r="B1683" s="186" t="s">
        <v>1002</v>
      </c>
      <c r="C1683" s="186" t="s">
        <v>150</v>
      </c>
      <c r="D1683" s="83" t="s">
        <v>428</v>
      </c>
      <c r="E1683" s="83" t="s">
        <v>168</v>
      </c>
      <c r="F1683" s="180">
        <v>46034</v>
      </c>
      <c r="G1683" s="83">
        <v>324</v>
      </c>
      <c r="H1683" s="180">
        <v>46021</v>
      </c>
      <c r="I1683" s="180" t="s">
        <v>202</v>
      </c>
      <c r="J1683" s="83">
        <v>3518741407</v>
      </c>
      <c r="K1683" s="180"/>
      <c r="L1683" s="180">
        <v>46021</v>
      </c>
      <c r="M1683" s="180"/>
      <c r="N1683" s="181">
        <v>0.58728239999999998</v>
      </c>
      <c r="O1683" s="181" t="s">
        <v>170</v>
      </c>
      <c r="P1683" s="83" t="s">
        <v>323</v>
      </c>
      <c r="Q1683" s="177" t="s">
        <v>324</v>
      </c>
      <c r="R1683" s="83"/>
    </row>
    <row r="1684" spans="1:18">
      <c r="A1684" s="83">
        <v>80754073</v>
      </c>
      <c r="B1684" s="186" t="s">
        <v>1002</v>
      </c>
      <c r="C1684" s="186" t="s">
        <v>151</v>
      </c>
      <c r="D1684" s="83" t="s">
        <v>428</v>
      </c>
      <c r="E1684" s="83" t="s">
        <v>168</v>
      </c>
      <c r="F1684" s="180">
        <v>46034</v>
      </c>
      <c r="G1684" s="83">
        <v>279</v>
      </c>
      <c r="H1684" s="180">
        <v>46021</v>
      </c>
      <c r="I1684" s="180" t="s">
        <v>202</v>
      </c>
      <c r="J1684" s="83">
        <v>3518741408</v>
      </c>
      <c r="K1684" s="180"/>
      <c r="L1684" s="180">
        <v>46021</v>
      </c>
      <c r="M1684" s="180"/>
      <c r="N1684" s="181">
        <v>0.50571540000000004</v>
      </c>
      <c r="O1684" s="181" t="s">
        <v>170</v>
      </c>
      <c r="P1684" s="83" t="s">
        <v>323</v>
      </c>
      <c r="Q1684" s="177" t="s">
        <v>324</v>
      </c>
      <c r="R1684" s="83"/>
    </row>
    <row r="1685" spans="1:18">
      <c r="A1685" s="83">
        <v>80754073</v>
      </c>
      <c r="B1685" s="186" t="s">
        <v>1002</v>
      </c>
      <c r="C1685" s="186" t="s">
        <v>152</v>
      </c>
      <c r="D1685" s="83" t="s">
        <v>428</v>
      </c>
      <c r="E1685" s="83" t="s">
        <v>168</v>
      </c>
      <c r="F1685" s="180">
        <v>46034</v>
      </c>
      <c r="G1685" s="83">
        <v>72</v>
      </c>
      <c r="H1685" s="180">
        <v>46021</v>
      </c>
      <c r="I1685" s="180" t="s">
        <v>202</v>
      </c>
      <c r="J1685" s="83">
        <v>3518741409</v>
      </c>
      <c r="K1685" s="180"/>
      <c r="L1685" s="180">
        <v>46021</v>
      </c>
      <c r="M1685" s="180"/>
      <c r="N1685" s="181">
        <v>0.13050719999999999</v>
      </c>
      <c r="O1685" s="181" t="s">
        <v>170</v>
      </c>
      <c r="P1685" s="83" t="s">
        <v>323</v>
      </c>
      <c r="Q1685" s="177" t="s">
        <v>324</v>
      </c>
      <c r="R1685" s="83"/>
    </row>
    <row r="1686" spans="1:18">
      <c r="A1686" s="83">
        <v>80754073</v>
      </c>
      <c r="B1686" s="186" t="s">
        <v>1002</v>
      </c>
      <c r="C1686" s="186" t="s">
        <v>153</v>
      </c>
      <c r="D1686" s="83" t="s">
        <v>428</v>
      </c>
      <c r="E1686" s="83" t="s">
        <v>168</v>
      </c>
      <c r="F1686" s="180">
        <v>46034</v>
      </c>
      <c r="G1686" s="83">
        <v>16</v>
      </c>
      <c r="H1686" s="180">
        <v>46021</v>
      </c>
      <c r="I1686" s="180" t="s">
        <v>202</v>
      </c>
      <c r="J1686" s="83">
        <v>3518741410</v>
      </c>
      <c r="K1686" s="180"/>
      <c r="L1686" s="180">
        <v>46021</v>
      </c>
      <c r="M1686" s="180"/>
      <c r="N1686" s="181">
        <v>2.9001599999999999E-2</v>
      </c>
      <c r="O1686" s="181" t="s">
        <v>170</v>
      </c>
      <c r="P1686" s="83" t="s">
        <v>323</v>
      </c>
      <c r="Q1686" s="177" t="s">
        <v>324</v>
      </c>
      <c r="R1686" s="83"/>
    </row>
    <row r="1687" spans="1:18">
      <c r="A1687" s="83">
        <v>80754073</v>
      </c>
      <c r="B1687" s="186" t="s">
        <v>1002</v>
      </c>
      <c r="C1687" s="186" t="s">
        <v>154</v>
      </c>
      <c r="D1687" s="83" t="s">
        <v>428</v>
      </c>
      <c r="E1687" s="83" t="s">
        <v>168</v>
      </c>
      <c r="F1687" s="180">
        <v>46034</v>
      </c>
      <c r="G1687" s="83">
        <v>25</v>
      </c>
      <c r="H1687" s="180">
        <v>46021</v>
      </c>
      <c r="I1687" s="180" t="s">
        <v>202</v>
      </c>
      <c r="J1687" s="83">
        <v>3518741411</v>
      </c>
      <c r="K1687" s="180"/>
      <c r="L1687" s="180">
        <v>46021</v>
      </c>
      <c r="M1687" s="180"/>
      <c r="N1687" s="181">
        <v>4.5315000000000001E-2</v>
      </c>
      <c r="O1687" s="181" t="s">
        <v>170</v>
      </c>
      <c r="P1687" s="83" t="s">
        <v>323</v>
      </c>
      <c r="Q1687" s="177" t="s">
        <v>324</v>
      </c>
      <c r="R1687" s="83"/>
    </row>
    <row r="1688" spans="1:18">
      <c r="A1688" s="83">
        <v>80754073</v>
      </c>
      <c r="B1688" s="186" t="s">
        <v>1002</v>
      </c>
      <c r="C1688" s="186" t="s">
        <v>155</v>
      </c>
      <c r="D1688" s="83" t="s">
        <v>428</v>
      </c>
      <c r="E1688" s="83" t="s">
        <v>168</v>
      </c>
      <c r="F1688" s="180">
        <v>46034</v>
      </c>
      <c r="G1688" s="83">
        <v>255</v>
      </c>
      <c r="H1688" s="180">
        <v>46021</v>
      </c>
      <c r="I1688" s="180" t="s">
        <v>202</v>
      </c>
      <c r="J1688" s="83">
        <v>3518741413</v>
      </c>
      <c r="K1688" s="180"/>
      <c r="L1688" s="180">
        <v>46021</v>
      </c>
      <c r="M1688" s="180"/>
      <c r="N1688" s="181">
        <v>0.46221299999999998</v>
      </c>
      <c r="O1688" s="181" t="s">
        <v>170</v>
      </c>
      <c r="P1688" s="83" t="s">
        <v>323</v>
      </c>
      <c r="Q1688" s="177" t="s">
        <v>324</v>
      </c>
      <c r="R1688" s="83"/>
    </row>
    <row r="1689" spans="1:18">
      <c r="A1689" s="83">
        <v>80754088</v>
      </c>
      <c r="B1689" s="186" t="s">
        <v>1010</v>
      </c>
      <c r="C1689" s="186" t="s">
        <v>143</v>
      </c>
      <c r="D1689" s="83" t="s">
        <v>428</v>
      </c>
      <c r="E1689" s="83" t="s">
        <v>168</v>
      </c>
      <c r="F1689" s="180">
        <v>46034</v>
      </c>
      <c r="G1689" s="83">
        <v>10</v>
      </c>
      <c r="H1689" s="180">
        <v>46021</v>
      </c>
      <c r="I1689" s="180" t="s">
        <v>202</v>
      </c>
      <c r="J1689" s="83">
        <v>3518741414</v>
      </c>
      <c r="K1689" s="180"/>
      <c r="L1689" s="180">
        <v>46021</v>
      </c>
      <c r="M1689" s="180"/>
      <c r="N1689" s="181">
        <v>1.8126E-2</v>
      </c>
      <c r="O1689" s="181" t="s">
        <v>170</v>
      </c>
      <c r="P1689" s="83" t="s">
        <v>323</v>
      </c>
      <c r="Q1689" s="177" t="s">
        <v>324</v>
      </c>
      <c r="R1689" s="83"/>
    </row>
    <row r="1690" spans="1:18">
      <c r="A1690" s="83">
        <v>80754088</v>
      </c>
      <c r="B1690" s="186" t="s">
        <v>1010</v>
      </c>
      <c r="C1690" s="186" t="s">
        <v>150</v>
      </c>
      <c r="D1690" s="83" t="s">
        <v>428</v>
      </c>
      <c r="E1690" s="83" t="s">
        <v>168</v>
      </c>
      <c r="F1690" s="180">
        <v>46034</v>
      </c>
      <c r="G1690" s="83">
        <v>383</v>
      </c>
      <c r="H1690" s="180">
        <v>46021</v>
      </c>
      <c r="I1690" s="180" t="s">
        <v>202</v>
      </c>
      <c r="J1690" s="83">
        <v>3518741415</v>
      </c>
      <c r="K1690" s="180"/>
      <c r="L1690" s="180">
        <v>46021</v>
      </c>
      <c r="M1690" s="180"/>
      <c r="N1690" s="181">
        <v>0.6942258</v>
      </c>
      <c r="O1690" s="181" t="s">
        <v>170</v>
      </c>
      <c r="P1690" s="83" t="s">
        <v>323</v>
      </c>
      <c r="Q1690" s="177" t="s">
        <v>324</v>
      </c>
      <c r="R1690" s="83"/>
    </row>
    <row r="1691" spans="1:18">
      <c r="A1691" s="83">
        <v>80754088</v>
      </c>
      <c r="B1691" s="186" t="s">
        <v>1010</v>
      </c>
      <c r="C1691" s="186" t="s">
        <v>151</v>
      </c>
      <c r="D1691" s="83" t="s">
        <v>428</v>
      </c>
      <c r="E1691" s="83" t="s">
        <v>168</v>
      </c>
      <c r="F1691" s="180">
        <v>46034</v>
      </c>
      <c r="G1691" s="83">
        <v>315</v>
      </c>
      <c r="H1691" s="180">
        <v>46021</v>
      </c>
      <c r="I1691" s="180" t="s">
        <v>202</v>
      </c>
      <c r="J1691" s="83">
        <v>3518741416</v>
      </c>
      <c r="K1691" s="180"/>
      <c r="L1691" s="180">
        <v>46021</v>
      </c>
      <c r="M1691" s="180"/>
      <c r="N1691" s="181">
        <v>0.57096899999999995</v>
      </c>
      <c r="O1691" s="181" t="s">
        <v>170</v>
      </c>
      <c r="P1691" s="83" t="s">
        <v>323</v>
      </c>
      <c r="Q1691" s="177" t="s">
        <v>324</v>
      </c>
      <c r="R1691" s="83"/>
    </row>
    <row r="1692" spans="1:18">
      <c r="A1692" s="83">
        <v>80754088</v>
      </c>
      <c r="B1692" s="186" t="s">
        <v>1010</v>
      </c>
      <c r="C1692" s="186" t="s">
        <v>152</v>
      </c>
      <c r="D1692" s="83" t="s">
        <v>428</v>
      </c>
      <c r="E1692" s="83" t="s">
        <v>168</v>
      </c>
      <c r="F1692" s="180">
        <v>46034</v>
      </c>
      <c r="G1692" s="83">
        <v>45</v>
      </c>
      <c r="H1692" s="180">
        <v>46021</v>
      </c>
      <c r="I1692" s="180" t="s">
        <v>202</v>
      </c>
      <c r="J1692" s="83">
        <v>3518741417</v>
      </c>
      <c r="K1692" s="180"/>
      <c r="L1692" s="180">
        <v>46021</v>
      </c>
      <c r="M1692" s="180"/>
      <c r="N1692" s="181">
        <v>8.1567000000000001E-2</v>
      </c>
      <c r="O1692" s="181" t="s">
        <v>170</v>
      </c>
      <c r="P1692" s="83" t="s">
        <v>323</v>
      </c>
      <c r="Q1692" s="177" t="s">
        <v>324</v>
      </c>
      <c r="R1692" s="83"/>
    </row>
    <row r="1693" spans="1:18">
      <c r="A1693" s="83">
        <v>80754088</v>
      </c>
      <c r="B1693" s="186" t="s">
        <v>1010</v>
      </c>
      <c r="C1693" s="186" t="s">
        <v>153</v>
      </c>
      <c r="D1693" s="83" t="s">
        <v>428</v>
      </c>
      <c r="E1693" s="83" t="s">
        <v>168</v>
      </c>
      <c r="F1693" s="180">
        <v>46034</v>
      </c>
      <c r="G1693" s="83">
        <v>19</v>
      </c>
      <c r="H1693" s="180">
        <v>46021</v>
      </c>
      <c r="I1693" s="180" t="s">
        <v>202</v>
      </c>
      <c r="J1693" s="83">
        <v>3518741418</v>
      </c>
      <c r="K1693" s="180"/>
      <c r="L1693" s="180">
        <v>46021</v>
      </c>
      <c r="M1693" s="180"/>
      <c r="N1693" s="181">
        <v>3.4439400000000002E-2</v>
      </c>
      <c r="O1693" s="181" t="s">
        <v>170</v>
      </c>
      <c r="P1693" s="83" t="s">
        <v>323</v>
      </c>
      <c r="Q1693" s="177" t="s">
        <v>324</v>
      </c>
      <c r="R1693" s="83"/>
    </row>
    <row r="1694" spans="1:18">
      <c r="A1694" s="83">
        <v>80754088</v>
      </c>
      <c r="B1694" s="186" t="s">
        <v>1010</v>
      </c>
      <c r="C1694" s="186" t="s">
        <v>154</v>
      </c>
      <c r="D1694" s="83" t="s">
        <v>428</v>
      </c>
      <c r="E1694" s="83" t="s">
        <v>168</v>
      </c>
      <c r="F1694" s="180">
        <v>46034</v>
      </c>
      <c r="G1694" s="83">
        <v>15</v>
      </c>
      <c r="H1694" s="180">
        <v>46021</v>
      </c>
      <c r="I1694" s="180" t="s">
        <v>202</v>
      </c>
      <c r="J1694" s="83">
        <v>3518741419</v>
      </c>
      <c r="K1694" s="180"/>
      <c r="L1694" s="180">
        <v>46021</v>
      </c>
      <c r="M1694" s="180"/>
      <c r="N1694" s="181">
        <v>2.7189000000000001E-2</v>
      </c>
      <c r="O1694" s="181" t="s">
        <v>170</v>
      </c>
      <c r="P1694" s="83" t="s">
        <v>323</v>
      </c>
      <c r="Q1694" s="177" t="s">
        <v>324</v>
      </c>
      <c r="R1694" s="83"/>
    </row>
    <row r="1695" spans="1:18">
      <c r="A1695" s="83">
        <v>80754088</v>
      </c>
      <c r="B1695" s="186" t="s">
        <v>1010</v>
      </c>
      <c r="C1695" s="186" t="s">
        <v>155</v>
      </c>
      <c r="D1695" s="83" t="s">
        <v>428</v>
      </c>
      <c r="E1695" s="83" t="s">
        <v>168</v>
      </c>
      <c r="F1695" s="180">
        <v>46034</v>
      </c>
      <c r="G1695" s="83">
        <v>266</v>
      </c>
      <c r="H1695" s="180">
        <v>46021</v>
      </c>
      <c r="I1695" s="180" t="s">
        <v>202</v>
      </c>
      <c r="J1695" s="83">
        <v>3518741420</v>
      </c>
      <c r="K1695" s="180"/>
      <c r="L1695" s="180">
        <v>46021</v>
      </c>
      <c r="M1695" s="180"/>
      <c r="N1695" s="181">
        <v>0.48215160000000001</v>
      </c>
      <c r="O1695" s="181" t="s">
        <v>170</v>
      </c>
      <c r="P1695" s="83" t="s">
        <v>323</v>
      </c>
      <c r="Q1695" s="177" t="s">
        <v>324</v>
      </c>
      <c r="R1695" s="83"/>
    </row>
    <row r="1696" spans="1:18">
      <c r="A1696" s="83">
        <v>80883614</v>
      </c>
      <c r="B1696" s="186" t="s">
        <v>1018</v>
      </c>
      <c r="C1696" s="186" t="s">
        <v>143</v>
      </c>
      <c r="D1696" s="83" t="s">
        <v>428</v>
      </c>
      <c r="E1696" s="83" t="s">
        <v>168</v>
      </c>
      <c r="F1696" s="180">
        <v>46034</v>
      </c>
      <c r="G1696" s="83">
        <v>152</v>
      </c>
      <c r="H1696" s="180">
        <v>46021</v>
      </c>
      <c r="I1696" s="180" t="s">
        <v>202</v>
      </c>
      <c r="J1696" s="83">
        <v>3518741421</v>
      </c>
      <c r="K1696" s="180"/>
      <c r="L1696" s="180">
        <v>46021</v>
      </c>
      <c r="M1696" s="180"/>
      <c r="N1696" s="181">
        <v>0.27551520000000002</v>
      </c>
      <c r="O1696" s="181" t="s">
        <v>170</v>
      </c>
      <c r="P1696" s="83" t="s">
        <v>323</v>
      </c>
      <c r="Q1696" s="177" t="s">
        <v>324</v>
      </c>
      <c r="R1696" s="83"/>
    </row>
    <row r="1697" spans="1:18">
      <c r="A1697" s="83">
        <v>80883614</v>
      </c>
      <c r="B1697" s="186" t="s">
        <v>1018</v>
      </c>
      <c r="C1697" s="186" t="s">
        <v>150</v>
      </c>
      <c r="D1697" s="83" t="s">
        <v>428</v>
      </c>
      <c r="E1697" s="83" t="s">
        <v>168</v>
      </c>
      <c r="F1697" s="180">
        <v>46034</v>
      </c>
      <c r="G1697" s="83">
        <v>963</v>
      </c>
      <c r="H1697" s="180">
        <v>46021</v>
      </c>
      <c r="I1697" s="180" t="s">
        <v>202</v>
      </c>
      <c r="J1697" s="83">
        <v>3518741422</v>
      </c>
      <c r="K1697" s="180"/>
      <c r="L1697" s="180">
        <v>46021</v>
      </c>
      <c r="M1697" s="180"/>
      <c r="N1697" s="181">
        <v>1.7455338</v>
      </c>
      <c r="O1697" s="181" t="s">
        <v>170</v>
      </c>
      <c r="P1697" s="83" t="s">
        <v>323</v>
      </c>
      <c r="Q1697" s="177" t="s">
        <v>324</v>
      </c>
      <c r="R1697" s="83"/>
    </row>
    <row r="1698" spans="1:18">
      <c r="A1698" s="83">
        <v>80883614</v>
      </c>
      <c r="B1698" s="186" t="s">
        <v>1018</v>
      </c>
      <c r="C1698" s="186" t="s">
        <v>151</v>
      </c>
      <c r="D1698" s="83" t="s">
        <v>428</v>
      </c>
      <c r="E1698" s="83" t="s">
        <v>168</v>
      </c>
      <c r="F1698" s="180">
        <v>46034</v>
      </c>
      <c r="G1698" s="83">
        <v>959</v>
      </c>
      <c r="H1698" s="180">
        <v>46021</v>
      </c>
      <c r="I1698" s="180" t="s">
        <v>202</v>
      </c>
      <c r="J1698" s="83">
        <v>3518741424</v>
      </c>
      <c r="K1698" s="180"/>
      <c r="L1698" s="180">
        <v>46021</v>
      </c>
      <c r="M1698" s="180"/>
      <c r="N1698" s="181">
        <v>1.7382834</v>
      </c>
      <c r="O1698" s="181" t="s">
        <v>170</v>
      </c>
      <c r="P1698" s="83" t="s">
        <v>323</v>
      </c>
      <c r="Q1698" s="177" t="s">
        <v>324</v>
      </c>
      <c r="R1698" s="83"/>
    </row>
    <row r="1699" spans="1:18">
      <c r="A1699" s="83">
        <v>80883614</v>
      </c>
      <c r="B1699" s="186" t="s">
        <v>1018</v>
      </c>
      <c r="C1699" s="186" t="s">
        <v>152</v>
      </c>
      <c r="D1699" s="83" t="s">
        <v>428</v>
      </c>
      <c r="E1699" s="83" t="s">
        <v>168</v>
      </c>
      <c r="F1699" s="180">
        <v>46034</v>
      </c>
      <c r="G1699" s="83">
        <v>128</v>
      </c>
      <c r="H1699" s="180">
        <v>46021</v>
      </c>
      <c r="I1699" s="180" t="s">
        <v>202</v>
      </c>
      <c r="J1699" s="83">
        <v>3518741425</v>
      </c>
      <c r="K1699" s="180"/>
      <c r="L1699" s="180">
        <v>46021</v>
      </c>
      <c r="M1699" s="180"/>
      <c r="N1699" s="181">
        <v>0.23201279999999999</v>
      </c>
      <c r="O1699" s="181" t="s">
        <v>170</v>
      </c>
      <c r="P1699" s="83" t="s">
        <v>323</v>
      </c>
      <c r="Q1699" s="177" t="s">
        <v>324</v>
      </c>
      <c r="R1699" s="83"/>
    </row>
    <row r="1700" spans="1:18">
      <c r="A1700" s="83">
        <v>80883614</v>
      </c>
      <c r="B1700" s="186" t="s">
        <v>1018</v>
      </c>
      <c r="C1700" s="186" t="s">
        <v>153</v>
      </c>
      <c r="D1700" s="83" t="s">
        <v>428</v>
      </c>
      <c r="E1700" s="83" t="s">
        <v>168</v>
      </c>
      <c r="F1700" s="180">
        <v>46034</v>
      </c>
      <c r="G1700" s="83">
        <v>68</v>
      </c>
      <c r="H1700" s="180">
        <v>46021</v>
      </c>
      <c r="I1700" s="180" t="s">
        <v>202</v>
      </c>
      <c r="J1700" s="83">
        <v>3518741426</v>
      </c>
      <c r="K1700" s="180"/>
      <c r="L1700" s="180">
        <v>46021</v>
      </c>
      <c r="M1700" s="180"/>
      <c r="N1700" s="181">
        <v>0.1232568</v>
      </c>
      <c r="O1700" s="181" t="s">
        <v>170</v>
      </c>
      <c r="P1700" s="83" t="s">
        <v>323</v>
      </c>
      <c r="Q1700" s="177" t="s">
        <v>324</v>
      </c>
      <c r="R1700" s="83"/>
    </row>
    <row r="1701" spans="1:18">
      <c r="A1701" s="83">
        <v>80883614</v>
      </c>
      <c r="B1701" s="186" t="s">
        <v>1018</v>
      </c>
      <c r="C1701" s="186" t="s">
        <v>154</v>
      </c>
      <c r="D1701" s="83" t="s">
        <v>428</v>
      </c>
      <c r="E1701" s="83" t="s">
        <v>168</v>
      </c>
      <c r="F1701" s="180">
        <v>46034</v>
      </c>
      <c r="G1701" s="83">
        <v>74</v>
      </c>
      <c r="H1701" s="180">
        <v>46021</v>
      </c>
      <c r="I1701" s="180" t="s">
        <v>202</v>
      </c>
      <c r="J1701" s="83">
        <v>3518741427</v>
      </c>
      <c r="K1701" s="180"/>
      <c r="L1701" s="180">
        <v>46021</v>
      </c>
      <c r="M1701" s="180"/>
      <c r="N1701" s="181">
        <v>0.13413240000000001</v>
      </c>
      <c r="O1701" s="181" t="s">
        <v>170</v>
      </c>
      <c r="P1701" s="83" t="s">
        <v>323</v>
      </c>
      <c r="Q1701" s="177" t="s">
        <v>324</v>
      </c>
      <c r="R1701" s="83"/>
    </row>
    <row r="1702" spans="1:18">
      <c r="A1702" s="83">
        <v>80883614</v>
      </c>
      <c r="B1702" s="186" t="s">
        <v>1018</v>
      </c>
      <c r="C1702" s="186" t="s">
        <v>155</v>
      </c>
      <c r="D1702" s="83" t="s">
        <v>428</v>
      </c>
      <c r="E1702" s="83" t="s">
        <v>168</v>
      </c>
      <c r="F1702" s="180">
        <v>46034</v>
      </c>
      <c r="G1702" s="83">
        <v>573</v>
      </c>
      <c r="H1702" s="180">
        <v>46021</v>
      </c>
      <c r="I1702" s="180" t="s">
        <v>202</v>
      </c>
      <c r="J1702" s="83">
        <v>3518741428</v>
      </c>
      <c r="K1702" s="180"/>
      <c r="L1702" s="180">
        <v>46021</v>
      </c>
      <c r="M1702" s="180"/>
      <c r="N1702" s="181">
        <v>1.0386198</v>
      </c>
      <c r="O1702" s="181" t="s">
        <v>170</v>
      </c>
      <c r="P1702" s="83" t="s">
        <v>323</v>
      </c>
      <c r="Q1702" s="177" t="s">
        <v>324</v>
      </c>
      <c r="R1702" s="83"/>
    </row>
    <row r="1703" spans="1:18">
      <c r="A1703" s="83">
        <v>80883596</v>
      </c>
      <c r="B1703" s="186" t="s">
        <v>1026</v>
      </c>
      <c r="C1703" s="186" t="s">
        <v>143</v>
      </c>
      <c r="D1703" s="83" t="s">
        <v>428</v>
      </c>
      <c r="E1703" s="83" t="s">
        <v>168</v>
      </c>
      <c r="F1703" s="180">
        <v>46034</v>
      </c>
      <c r="G1703" s="83">
        <v>89</v>
      </c>
      <c r="H1703" s="180">
        <v>46021</v>
      </c>
      <c r="I1703" s="180" t="s">
        <v>202</v>
      </c>
      <c r="J1703" s="83">
        <v>3518741429</v>
      </c>
      <c r="K1703" s="180"/>
      <c r="L1703" s="180">
        <v>46021</v>
      </c>
      <c r="M1703" s="180"/>
      <c r="N1703" s="181">
        <v>8.3081500000000003E-2</v>
      </c>
      <c r="O1703" s="181" t="s">
        <v>170</v>
      </c>
      <c r="P1703" s="83" t="s">
        <v>323</v>
      </c>
      <c r="Q1703" s="177" t="s">
        <v>324</v>
      </c>
      <c r="R1703" s="83"/>
    </row>
    <row r="1704" spans="1:18">
      <c r="A1704" s="83">
        <v>80883596</v>
      </c>
      <c r="B1704" s="186" t="s">
        <v>1026</v>
      </c>
      <c r="C1704" s="186" t="s">
        <v>150</v>
      </c>
      <c r="D1704" s="83" t="s">
        <v>428</v>
      </c>
      <c r="E1704" s="83" t="s">
        <v>168</v>
      </c>
      <c r="F1704" s="180">
        <v>46034</v>
      </c>
      <c r="G1704" s="83">
        <v>337</v>
      </c>
      <c r="H1704" s="180">
        <v>46021</v>
      </c>
      <c r="I1704" s="180" t="s">
        <v>202</v>
      </c>
      <c r="J1704" s="83">
        <v>3518741430</v>
      </c>
      <c r="K1704" s="180"/>
      <c r="L1704" s="180">
        <v>46021</v>
      </c>
      <c r="M1704" s="180"/>
      <c r="N1704" s="181">
        <v>0.31458950000000002</v>
      </c>
      <c r="O1704" s="181" t="s">
        <v>170</v>
      </c>
      <c r="P1704" s="83" t="s">
        <v>323</v>
      </c>
      <c r="Q1704" s="177" t="s">
        <v>324</v>
      </c>
      <c r="R1704" s="83"/>
    </row>
    <row r="1705" spans="1:18">
      <c r="A1705" s="83">
        <v>80883596</v>
      </c>
      <c r="B1705" s="186" t="s">
        <v>1026</v>
      </c>
      <c r="C1705" s="186" t="s">
        <v>151</v>
      </c>
      <c r="D1705" s="83" t="s">
        <v>428</v>
      </c>
      <c r="E1705" s="83" t="s">
        <v>168</v>
      </c>
      <c r="F1705" s="180">
        <v>46034</v>
      </c>
      <c r="G1705" s="83">
        <v>634</v>
      </c>
      <c r="H1705" s="180">
        <v>46021</v>
      </c>
      <c r="I1705" s="180" t="s">
        <v>202</v>
      </c>
      <c r="J1705" s="83">
        <v>3518741431</v>
      </c>
      <c r="K1705" s="180"/>
      <c r="L1705" s="180">
        <v>46021</v>
      </c>
      <c r="M1705" s="180"/>
      <c r="N1705" s="181">
        <v>0.591839</v>
      </c>
      <c r="O1705" s="181" t="s">
        <v>170</v>
      </c>
      <c r="P1705" s="83" t="s">
        <v>323</v>
      </c>
      <c r="Q1705" s="177" t="s">
        <v>324</v>
      </c>
      <c r="R1705" s="83"/>
    </row>
    <row r="1706" spans="1:18">
      <c r="A1706" s="83">
        <v>80883596</v>
      </c>
      <c r="B1706" s="186" t="s">
        <v>1026</v>
      </c>
      <c r="C1706" s="186" t="s">
        <v>152</v>
      </c>
      <c r="D1706" s="83" t="s">
        <v>428</v>
      </c>
      <c r="E1706" s="83" t="s">
        <v>168</v>
      </c>
      <c r="F1706" s="180">
        <v>46034</v>
      </c>
      <c r="G1706" s="83">
        <v>186</v>
      </c>
      <c r="H1706" s="180">
        <v>46021</v>
      </c>
      <c r="I1706" s="180" t="s">
        <v>202</v>
      </c>
      <c r="J1706" s="83">
        <v>3518741432</v>
      </c>
      <c r="K1706" s="180"/>
      <c r="L1706" s="180">
        <v>46021</v>
      </c>
      <c r="M1706" s="180"/>
      <c r="N1706" s="181">
        <v>0.17363100000000001</v>
      </c>
      <c r="O1706" s="181" t="s">
        <v>170</v>
      </c>
      <c r="P1706" s="83" t="s">
        <v>323</v>
      </c>
      <c r="Q1706" s="177" t="s">
        <v>324</v>
      </c>
      <c r="R1706" s="83"/>
    </row>
    <row r="1707" spans="1:18">
      <c r="A1707" s="83">
        <v>80883596</v>
      </c>
      <c r="B1707" s="186" t="s">
        <v>1026</v>
      </c>
      <c r="C1707" s="186" t="s">
        <v>153</v>
      </c>
      <c r="D1707" s="83" t="s">
        <v>428</v>
      </c>
      <c r="E1707" s="83" t="s">
        <v>168</v>
      </c>
      <c r="F1707" s="180">
        <v>46034</v>
      </c>
      <c r="G1707" s="83">
        <v>27</v>
      </c>
      <c r="H1707" s="180">
        <v>46021</v>
      </c>
      <c r="I1707" s="180" t="s">
        <v>202</v>
      </c>
      <c r="J1707" s="83">
        <v>3518741433</v>
      </c>
      <c r="K1707" s="180"/>
      <c r="L1707" s="180">
        <v>46021</v>
      </c>
      <c r="M1707" s="180"/>
      <c r="N1707" s="181">
        <v>2.5204500000000001E-2</v>
      </c>
      <c r="O1707" s="181" t="s">
        <v>170</v>
      </c>
      <c r="P1707" s="83" t="s">
        <v>323</v>
      </c>
      <c r="Q1707" s="177" t="s">
        <v>324</v>
      </c>
      <c r="R1707" s="83"/>
    </row>
    <row r="1708" spans="1:18">
      <c r="A1708" s="83">
        <v>80883596</v>
      </c>
      <c r="B1708" s="186" t="s">
        <v>1026</v>
      </c>
      <c r="C1708" s="186" t="s">
        <v>154</v>
      </c>
      <c r="D1708" s="83" t="s">
        <v>428</v>
      </c>
      <c r="E1708" s="83" t="s">
        <v>168</v>
      </c>
      <c r="F1708" s="180">
        <v>46034</v>
      </c>
      <c r="G1708" s="83">
        <v>43</v>
      </c>
      <c r="H1708" s="180">
        <v>46021</v>
      </c>
      <c r="I1708" s="180" t="s">
        <v>202</v>
      </c>
      <c r="J1708" s="83">
        <v>3518741434</v>
      </c>
      <c r="K1708" s="180"/>
      <c r="L1708" s="180">
        <v>46021</v>
      </c>
      <c r="M1708" s="180"/>
      <c r="N1708" s="181">
        <v>4.0140500000000003E-2</v>
      </c>
      <c r="O1708" s="181" t="s">
        <v>170</v>
      </c>
      <c r="P1708" s="83" t="s">
        <v>323</v>
      </c>
      <c r="Q1708" s="177" t="s">
        <v>324</v>
      </c>
      <c r="R1708" s="83"/>
    </row>
    <row r="1709" spans="1:18">
      <c r="A1709" s="83">
        <v>80883596</v>
      </c>
      <c r="B1709" s="186" t="s">
        <v>1026</v>
      </c>
      <c r="C1709" s="186" t="s">
        <v>155</v>
      </c>
      <c r="D1709" s="83" t="s">
        <v>428</v>
      </c>
      <c r="E1709" s="83" t="s">
        <v>168</v>
      </c>
      <c r="F1709" s="180">
        <v>46034</v>
      </c>
      <c r="G1709" s="83">
        <v>237</v>
      </c>
      <c r="H1709" s="180">
        <v>46021</v>
      </c>
      <c r="I1709" s="180" t="s">
        <v>202</v>
      </c>
      <c r="J1709" s="83">
        <v>3518741435</v>
      </c>
      <c r="K1709" s="180"/>
      <c r="L1709" s="180">
        <v>46021</v>
      </c>
      <c r="M1709" s="180"/>
      <c r="N1709" s="181">
        <v>0.22123950000000001</v>
      </c>
      <c r="O1709" s="181" t="s">
        <v>170</v>
      </c>
      <c r="P1709" s="83" t="s">
        <v>323</v>
      </c>
      <c r="Q1709" s="177" t="s">
        <v>324</v>
      </c>
      <c r="R1709" s="83"/>
    </row>
    <row r="1710" spans="1:18">
      <c r="A1710" s="83">
        <v>80820464</v>
      </c>
      <c r="B1710" s="186" t="s">
        <v>1034</v>
      </c>
      <c r="C1710" s="186" t="s">
        <v>143</v>
      </c>
      <c r="D1710" s="83" t="s">
        <v>428</v>
      </c>
      <c r="E1710" s="83" t="s">
        <v>168</v>
      </c>
      <c r="F1710" s="180">
        <v>46034</v>
      </c>
      <c r="G1710" s="83">
        <v>122</v>
      </c>
      <c r="H1710" s="180">
        <v>46021</v>
      </c>
      <c r="I1710" s="180" t="s">
        <v>202</v>
      </c>
      <c r="J1710" s="83">
        <v>3518741436</v>
      </c>
      <c r="K1710" s="180"/>
      <c r="L1710" s="180">
        <v>46021</v>
      </c>
      <c r="M1710" s="180"/>
      <c r="N1710" s="181">
        <v>0.22113720000000001</v>
      </c>
      <c r="O1710" s="181" t="s">
        <v>170</v>
      </c>
      <c r="P1710" s="83" t="s">
        <v>323</v>
      </c>
      <c r="Q1710" s="177" t="s">
        <v>324</v>
      </c>
      <c r="R1710" s="83"/>
    </row>
    <row r="1711" spans="1:18">
      <c r="A1711" s="83">
        <v>80820464</v>
      </c>
      <c r="B1711" s="186" t="s">
        <v>1034</v>
      </c>
      <c r="C1711" s="186" t="s">
        <v>150</v>
      </c>
      <c r="D1711" s="83" t="s">
        <v>428</v>
      </c>
      <c r="E1711" s="83" t="s">
        <v>168</v>
      </c>
      <c r="F1711" s="180">
        <v>46034</v>
      </c>
      <c r="G1711" s="83">
        <v>882</v>
      </c>
      <c r="H1711" s="180">
        <v>46021</v>
      </c>
      <c r="I1711" s="180" t="s">
        <v>202</v>
      </c>
      <c r="J1711" s="83">
        <v>3518741437</v>
      </c>
      <c r="K1711" s="180"/>
      <c r="L1711" s="180">
        <v>46021</v>
      </c>
      <c r="M1711" s="180"/>
      <c r="N1711" s="181">
        <v>1.5987131999999999</v>
      </c>
      <c r="O1711" s="181" t="s">
        <v>170</v>
      </c>
      <c r="P1711" s="83" t="s">
        <v>323</v>
      </c>
      <c r="Q1711" s="177" t="s">
        <v>324</v>
      </c>
      <c r="R1711" s="83"/>
    </row>
    <row r="1712" spans="1:18">
      <c r="A1712" s="83">
        <v>80820464</v>
      </c>
      <c r="B1712" s="186" t="s">
        <v>1034</v>
      </c>
      <c r="C1712" s="186" t="s">
        <v>151</v>
      </c>
      <c r="D1712" s="83" t="s">
        <v>428</v>
      </c>
      <c r="E1712" s="83" t="s">
        <v>168</v>
      </c>
      <c r="F1712" s="180">
        <v>46034</v>
      </c>
      <c r="G1712" s="83">
        <v>892</v>
      </c>
      <c r="H1712" s="180">
        <v>46021</v>
      </c>
      <c r="I1712" s="180" t="s">
        <v>202</v>
      </c>
      <c r="J1712" s="83">
        <v>3518741438</v>
      </c>
      <c r="K1712" s="180"/>
      <c r="L1712" s="180">
        <v>46021</v>
      </c>
      <c r="M1712" s="180"/>
      <c r="N1712" s="181">
        <v>1.6168392</v>
      </c>
      <c r="O1712" s="181" t="s">
        <v>170</v>
      </c>
      <c r="P1712" s="83" t="s">
        <v>323</v>
      </c>
      <c r="Q1712" s="177" t="s">
        <v>324</v>
      </c>
      <c r="R1712" s="83"/>
    </row>
    <row r="1713" spans="1:18">
      <c r="A1713" s="83">
        <v>80820464</v>
      </c>
      <c r="B1713" s="186" t="s">
        <v>1034</v>
      </c>
      <c r="C1713" s="186" t="s">
        <v>152</v>
      </c>
      <c r="D1713" s="83" t="s">
        <v>428</v>
      </c>
      <c r="E1713" s="83" t="s">
        <v>168</v>
      </c>
      <c r="F1713" s="180">
        <v>46034</v>
      </c>
      <c r="G1713" s="83">
        <v>126</v>
      </c>
      <c r="H1713" s="180">
        <v>46021</v>
      </c>
      <c r="I1713" s="180" t="s">
        <v>202</v>
      </c>
      <c r="J1713" s="83">
        <v>3518741440</v>
      </c>
      <c r="K1713" s="180"/>
      <c r="L1713" s="180">
        <v>46021</v>
      </c>
      <c r="M1713" s="180"/>
      <c r="N1713" s="181">
        <v>0.2283876</v>
      </c>
      <c r="O1713" s="181" t="s">
        <v>170</v>
      </c>
      <c r="P1713" s="83" t="s">
        <v>323</v>
      </c>
      <c r="Q1713" s="177" t="s">
        <v>324</v>
      </c>
      <c r="R1713" s="83"/>
    </row>
    <row r="1714" spans="1:18">
      <c r="A1714" s="83">
        <v>80820464</v>
      </c>
      <c r="B1714" s="186" t="s">
        <v>1034</v>
      </c>
      <c r="C1714" s="186" t="s">
        <v>153</v>
      </c>
      <c r="D1714" s="83" t="s">
        <v>428</v>
      </c>
      <c r="E1714" s="83" t="s">
        <v>168</v>
      </c>
      <c r="F1714" s="180">
        <v>46034</v>
      </c>
      <c r="G1714" s="83">
        <v>18</v>
      </c>
      <c r="H1714" s="180">
        <v>46021</v>
      </c>
      <c r="I1714" s="180" t="s">
        <v>202</v>
      </c>
      <c r="J1714" s="83">
        <v>3518741441</v>
      </c>
      <c r="K1714" s="180"/>
      <c r="L1714" s="180">
        <v>46021</v>
      </c>
      <c r="M1714" s="180"/>
      <c r="N1714" s="181">
        <v>3.2626799999999997E-2</v>
      </c>
      <c r="O1714" s="181" t="s">
        <v>170</v>
      </c>
      <c r="P1714" s="83" t="s">
        <v>323</v>
      </c>
      <c r="Q1714" s="177" t="s">
        <v>324</v>
      </c>
      <c r="R1714" s="83"/>
    </row>
    <row r="1715" spans="1:18">
      <c r="A1715" s="83">
        <v>80820464</v>
      </c>
      <c r="B1715" s="186" t="s">
        <v>1034</v>
      </c>
      <c r="C1715" s="186" t="s">
        <v>154</v>
      </c>
      <c r="D1715" s="83" t="s">
        <v>428</v>
      </c>
      <c r="E1715" s="83" t="s">
        <v>168</v>
      </c>
      <c r="F1715" s="180">
        <v>46034</v>
      </c>
      <c r="G1715" s="83">
        <v>119</v>
      </c>
      <c r="H1715" s="180">
        <v>46021</v>
      </c>
      <c r="I1715" s="180" t="s">
        <v>202</v>
      </c>
      <c r="J1715" s="83">
        <v>3518741442</v>
      </c>
      <c r="K1715" s="180"/>
      <c r="L1715" s="180">
        <v>46021</v>
      </c>
      <c r="M1715" s="180"/>
      <c r="N1715" s="181">
        <v>0.21569940000000001</v>
      </c>
      <c r="O1715" s="181" t="s">
        <v>170</v>
      </c>
      <c r="P1715" s="83" t="s">
        <v>323</v>
      </c>
      <c r="Q1715" s="177" t="s">
        <v>324</v>
      </c>
      <c r="R1715" s="83"/>
    </row>
    <row r="1716" spans="1:18">
      <c r="A1716" s="83">
        <v>80820464</v>
      </c>
      <c r="B1716" s="186" t="s">
        <v>1034</v>
      </c>
      <c r="C1716" s="186" t="s">
        <v>155</v>
      </c>
      <c r="D1716" s="83" t="s">
        <v>428</v>
      </c>
      <c r="E1716" s="83" t="s">
        <v>168</v>
      </c>
      <c r="F1716" s="180">
        <v>46034</v>
      </c>
      <c r="G1716" s="83">
        <v>291</v>
      </c>
      <c r="H1716" s="180">
        <v>46021</v>
      </c>
      <c r="I1716" s="180" t="s">
        <v>202</v>
      </c>
      <c r="J1716" s="83">
        <v>3518741443</v>
      </c>
      <c r="K1716" s="180"/>
      <c r="L1716" s="180">
        <v>46021</v>
      </c>
      <c r="M1716" s="180"/>
      <c r="N1716" s="181">
        <v>0.52746660000000001</v>
      </c>
      <c r="O1716" s="181" t="s">
        <v>170</v>
      </c>
      <c r="P1716" s="83" t="s">
        <v>323</v>
      </c>
      <c r="Q1716" s="177" t="s">
        <v>324</v>
      </c>
      <c r="R1716" s="83"/>
    </row>
    <row r="1717" spans="1:18">
      <c r="A1717" s="83">
        <v>80881082</v>
      </c>
      <c r="B1717" s="186" t="s">
        <v>1042</v>
      </c>
      <c r="C1717" s="186" t="s">
        <v>143</v>
      </c>
      <c r="D1717" s="83" t="s">
        <v>428</v>
      </c>
      <c r="E1717" s="83" t="s">
        <v>168</v>
      </c>
      <c r="F1717" s="180">
        <v>46034</v>
      </c>
      <c r="G1717" s="83">
        <v>29</v>
      </c>
      <c r="H1717" s="180">
        <v>46021</v>
      </c>
      <c r="I1717" s="180" t="s">
        <v>202</v>
      </c>
      <c r="J1717" s="83">
        <v>3518741444</v>
      </c>
      <c r="K1717" s="180"/>
      <c r="L1717" s="180">
        <v>46021</v>
      </c>
      <c r="M1717" s="180"/>
      <c r="N1717" s="181">
        <v>2.7071499999999998E-2</v>
      </c>
      <c r="O1717" s="181" t="s">
        <v>170</v>
      </c>
      <c r="P1717" s="83" t="s">
        <v>323</v>
      </c>
      <c r="Q1717" s="177" t="s">
        <v>324</v>
      </c>
      <c r="R1717" s="83"/>
    </row>
    <row r="1718" spans="1:18">
      <c r="A1718" s="83">
        <v>80881082</v>
      </c>
      <c r="B1718" s="186" t="s">
        <v>1042</v>
      </c>
      <c r="C1718" s="186" t="s">
        <v>150</v>
      </c>
      <c r="D1718" s="83" t="s">
        <v>428</v>
      </c>
      <c r="E1718" s="83" t="s">
        <v>168</v>
      </c>
      <c r="F1718" s="180">
        <v>46034</v>
      </c>
      <c r="G1718" s="83">
        <v>155</v>
      </c>
      <c r="H1718" s="180">
        <v>46021</v>
      </c>
      <c r="I1718" s="180" t="s">
        <v>202</v>
      </c>
      <c r="J1718" s="83">
        <v>3518741445</v>
      </c>
      <c r="K1718" s="180"/>
      <c r="L1718" s="180">
        <v>46021</v>
      </c>
      <c r="M1718" s="180"/>
      <c r="N1718" s="181">
        <v>0.1446925</v>
      </c>
      <c r="O1718" s="181" t="s">
        <v>170</v>
      </c>
      <c r="P1718" s="83" t="s">
        <v>323</v>
      </c>
      <c r="Q1718" s="177" t="s">
        <v>324</v>
      </c>
      <c r="R1718" s="83"/>
    </row>
    <row r="1719" spans="1:18">
      <c r="A1719" s="83">
        <v>80881082</v>
      </c>
      <c r="B1719" s="186" t="s">
        <v>1042</v>
      </c>
      <c r="C1719" s="186" t="s">
        <v>151</v>
      </c>
      <c r="D1719" s="83" t="s">
        <v>428</v>
      </c>
      <c r="E1719" s="83" t="s">
        <v>168</v>
      </c>
      <c r="F1719" s="180">
        <v>46034</v>
      </c>
      <c r="G1719" s="83">
        <v>164</v>
      </c>
      <c r="H1719" s="180">
        <v>46021</v>
      </c>
      <c r="I1719" s="180" t="s">
        <v>202</v>
      </c>
      <c r="J1719" s="83">
        <v>3518741446</v>
      </c>
      <c r="K1719" s="180"/>
      <c r="L1719" s="180">
        <v>46021</v>
      </c>
      <c r="M1719" s="180"/>
      <c r="N1719" s="181">
        <v>0.15309400000000001</v>
      </c>
      <c r="O1719" s="181" t="s">
        <v>170</v>
      </c>
      <c r="P1719" s="83" t="s">
        <v>323</v>
      </c>
      <c r="Q1719" s="177" t="s">
        <v>324</v>
      </c>
      <c r="R1719" s="83"/>
    </row>
    <row r="1720" spans="1:18">
      <c r="A1720" s="83">
        <v>80881082</v>
      </c>
      <c r="B1720" s="186" t="s">
        <v>1042</v>
      </c>
      <c r="C1720" s="186" t="s">
        <v>152</v>
      </c>
      <c r="D1720" s="83" t="s">
        <v>428</v>
      </c>
      <c r="E1720" s="83" t="s">
        <v>168</v>
      </c>
      <c r="F1720" s="180">
        <v>46034</v>
      </c>
      <c r="G1720" s="83">
        <v>50</v>
      </c>
      <c r="H1720" s="180">
        <v>46021</v>
      </c>
      <c r="I1720" s="180" t="s">
        <v>202</v>
      </c>
      <c r="J1720" s="83">
        <v>3518741447</v>
      </c>
      <c r="K1720" s="180"/>
      <c r="L1720" s="180">
        <v>46021</v>
      </c>
      <c r="M1720" s="180"/>
      <c r="N1720" s="181">
        <v>4.6675000000000001E-2</v>
      </c>
      <c r="O1720" s="181" t="s">
        <v>170</v>
      </c>
      <c r="P1720" s="83" t="s">
        <v>323</v>
      </c>
      <c r="Q1720" s="177" t="s">
        <v>324</v>
      </c>
      <c r="R1720" s="83"/>
    </row>
    <row r="1721" spans="1:18">
      <c r="A1721" s="83">
        <v>80881082</v>
      </c>
      <c r="B1721" s="186" t="s">
        <v>1042</v>
      </c>
      <c r="C1721" s="186" t="s">
        <v>153</v>
      </c>
      <c r="D1721" s="83" t="s">
        <v>428</v>
      </c>
      <c r="E1721" s="83" t="s">
        <v>168</v>
      </c>
      <c r="F1721" s="180">
        <v>46034</v>
      </c>
      <c r="G1721" s="83">
        <v>19</v>
      </c>
      <c r="H1721" s="180">
        <v>46021</v>
      </c>
      <c r="I1721" s="180" t="s">
        <v>202</v>
      </c>
      <c r="J1721" s="83">
        <v>3518741448</v>
      </c>
      <c r="K1721" s="180"/>
      <c r="L1721" s="180">
        <v>46021</v>
      </c>
      <c r="M1721" s="180"/>
      <c r="N1721" s="181">
        <v>1.7736499999999999E-2</v>
      </c>
      <c r="O1721" s="181" t="s">
        <v>170</v>
      </c>
      <c r="P1721" s="83" t="s">
        <v>323</v>
      </c>
      <c r="Q1721" s="177" t="s">
        <v>324</v>
      </c>
      <c r="R1721" s="83"/>
    </row>
    <row r="1722" spans="1:18">
      <c r="A1722" s="83">
        <v>80881082</v>
      </c>
      <c r="B1722" s="186" t="s">
        <v>1042</v>
      </c>
      <c r="C1722" s="186" t="s">
        <v>154</v>
      </c>
      <c r="D1722" s="83" t="s">
        <v>428</v>
      </c>
      <c r="E1722" s="83" t="s">
        <v>168</v>
      </c>
      <c r="F1722" s="180">
        <v>46034</v>
      </c>
      <c r="G1722" s="83">
        <v>19</v>
      </c>
      <c r="H1722" s="180">
        <v>46021</v>
      </c>
      <c r="I1722" s="180" t="s">
        <v>202</v>
      </c>
      <c r="J1722" s="83">
        <v>3518741449</v>
      </c>
      <c r="K1722" s="180"/>
      <c r="L1722" s="180">
        <v>46021</v>
      </c>
      <c r="M1722" s="180"/>
      <c r="N1722" s="181">
        <v>1.7736499999999999E-2</v>
      </c>
      <c r="O1722" s="181" t="s">
        <v>170</v>
      </c>
      <c r="P1722" s="83" t="s">
        <v>323</v>
      </c>
      <c r="Q1722" s="177" t="s">
        <v>324</v>
      </c>
      <c r="R1722" s="83"/>
    </row>
    <row r="1723" spans="1:18">
      <c r="A1723" s="83">
        <v>80881082</v>
      </c>
      <c r="B1723" s="186" t="s">
        <v>1042</v>
      </c>
      <c r="C1723" s="186" t="s">
        <v>155</v>
      </c>
      <c r="D1723" s="83" t="s">
        <v>428</v>
      </c>
      <c r="E1723" s="83" t="s">
        <v>168</v>
      </c>
      <c r="F1723" s="180">
        <v>46034</v>
      </c>
      <c r="G1723" s="83">
        <v>90</v>
      </c>
      <c r="H1723" s="180">
        <v>46021</v>
      </c>
      <c r="I1723" s="180" t="s">
        <v>202</v>
      </c>
      <c r="J1723" s="83">
        <v>3518741451</v>
      </c>
      <c r="K1723" s="180"/>
      <c r="L1723" s="180">
        <v>46021</v>
      </c>
      <c r="M1723" s="180"/>
      <c r="N1723" s="181">
        <v>8.4015000000000006E-2</v>
      </c>
      <c r="O1723" s="181" t="s">
        <v>170</v>
      </c>
      <c r="P1723" s="83" t="s">
        <v>323</v>
      </c>
      <c r="Q1723" s="177" t="s">
        <v>324</v>
      </c>
      <c r="R1723" s="83"/>
    </row>
    <row r="1724" spans="1:18">
      <c r="A1724" s="83">
        <v>80883599</v>
      </c>
      <c r="B1724" s="186" t="s">
        <v>1050</v>
      </c>
      <c r="C1724" s="186" t="s">
        <v>143</v>
      </c>
      <c r="D1724" s="83" t="s">
        <v>428</v>
      </c>
      <c r="E1724" s="83" t="s">
        <v>168</v>
      </c>
      <c r="F1724" s="180">
        <v>46034</v>
      </c>
      <c r="G1724" s="83">
        <v>9</v>
      </c>
      <c r="H1724" s="180">
        <v>46021</v>
      </c>
      <c r="I1724" s="180" t="s">
        <v>202</v>
      </c>
      <c r="J1724" s="83">
        <v>3518741452</v>
      </c>
      <c r="K1724" s="180"/>
      <c r="L1724" s="180">
        <v>46021</v>
      </c>
      <c r="M1724" s="180"/>
      <c r="N1724" s="181">
        <v>1.6313399999999999E-2</v>
      </c>
      <c r="O1724" s="181" t="s">
        <v>170</v>
      </c>
      <c r="P1724" s="83" t="s">
        <v>323</v>
      </c>
      <c r="Q1724" s="177" t="s">
        <v>324</v>
      </c>
      <c r="R1724" s="83"/>
    </row>
    <row r="1725" spans="1:18">
      <c r="A1725" s="83">
        <v>80883599</v>
      </c>
      <c r="B1725" s="186" t="s">
        <v>1050</v>
      </c>
      <c r="C1725" s="186" t="s">
        <v>150</v>
      </c>
      <c r="D1725" s="83" t="s">
        <v>428</v>
      </c>
      <c r="E1725" s="83" t="s">
        <v>168</v>
      </c>
      <c r="F1725" s="180">
        <v>46034</v>
      </c>
      <c r="G1725" s="83">
        <v>41</v>
      </c>
      <c r="H1725" s="180">
        <v>46021</v>
      </c>
      <c r="I1725" s="180" t="s">
        <v>202</v>
      </c>
      <c r="J1725" s="83">
        <v>3518741453</v>
      </c>
      <c r="K1725" s="180"/>
      <c r="L1725" s="180">
        <v>46021</v>
      </c>
      <c r="M1725" s="180"/>
      <c r="N1725" s="181">
        <v>7.4316599999999997E-2</v>
      </c>
      <c r="O1725" s="181" t="s">
        <v>170</v>
      </c>
      <c r="P1725" s="83" t="s">
        <v>323</v>
      </c>
      <c r="Q1725" s="177" t="s">
        <v>324</v>
      </c>
      <c r="R1725" s="83"/>
    </row>
    <row r="1726" spans="1:18">
      <c r="A1726" s="83">
        <v>80883599</v>
      </c>
      <c r="B1726" s="186" t="s">
        <v>1050</v>
      </c>
      <c r="C1726" s="186" t="s">
        <v>151</v>
      </c>
      <c r="D1726" s="83" t="s">
        <v>428</v>
      </c>
      <c r="E1726" s="83" t="s">
        <v>168</v>
      </c>
      <c r="F1726" s="180">
        <v>46034</v>
      </c>
      <c r="G1726" s="83">
        <v>40</v>
      </c>
      <c r="H1726" s="180">
        <v>46021</v>
      </c>
      <c r="I1726" s="180" t="s">
        <v>202</v>
      </c>
      <c r="J1726" s="83">
        <v>3518741454</v>
      </c>
      <c r="K1726" s="180"/>
      <c r="L1726" s="180">
        <v>46021</v>
      </c>
      <c r="M1726" s="180"/>
      <c r="N1726" s="181">
        <v>7.2503999999999999E-2</v>
      </c>
      <c r="O1726" s="181" t="s">
        <v>170</v>
      </c>
      <c r="P1726" s="83" t="s">
        <v>323</v>
      </c>
      <c r="Q1726" s="177" t="s">
        <v>324</v>
      </c>
      <c r="R1726" s="83"/>
    </row>
    <row r="1727" spans="1:18">
      <c r="A1727" s="83">
        <v>80883599</v>
      </c>
      <c r="B1727" s="186" t="s">
        <v>1050</v>
      </c>
      <c r="C1727" s="186" t="s">
        <v>152</v>
      </c>
      <c r="D1727" s="83" t="s">
        <v>428</v>
      </c>
      <c r="E1727" s="83" t="s">
        <v>168</v>
      </c>
      <c r="F1727" s="180">
        <v>46034</v>
      </c>
      <c r="G1727" s="83">
        <v>8</v>
      </c>
      <c r="H1727" s="180">
        <v>46021</v>
      </c>
      <c r="I1727" s="180" t="s">
        <v>202</v>
      </c>
      <c r="J1727" s="83">
        <v>3518741455</v>
      </c>
      <c r="K1727" s="180"/>
      <c r="L1727" s="180">
        <v>46021</v>
      </c>
      <c r="M1727" s="180"/>
      <c r="N1727" s="181">
        <v>1.4500799999999999E-2</v>
      </c>
      <c r="O1727" s="181" t="s">
        <v>170</v>
      </c>
      <c r="P1727" s="83" t="s">
        <v>323</v>
      </c>
      <c r="Q1727" s="177" t="s">
        <v>324</v>
      </c>
      <c r="R1727" s="83"/>
    </row>
    <row r="1728" spans="1:18">
      <c r="A1728" s="83">
        <v>80883599</v>
      </c>
      <c r="B1728" s="186" t="s">
        <v>1050</v>
      </c>
      <c r="C1728" s="186" t="s">
        <v>153</v>
      </c>
      <c r="D1728" s="83" t="s">
        <v>428</v>
      </c>
      <c r="E1728" s="83" t="s">
        <v>168</v>
      </c>
      <c r="F1728" s="180">
        <v>46034</v>
      </c>
      <c r="G1728" s="83">
        <v>6</v>
      </c>
      <c r="H1728" s="180">
        <v>46021</v>
      </c>
      <c r="I1728" s="180" t="s">
        <v>202</v>
      </c>
      <c r="J1728" s="83">
        <v>3518741456</v>
      </c>
      <c r="K1728" s="180"/>
      <c r="L1728" s="180">
        <v>46021</v>
      </c>
      <c r="M1728" s="180"/>
      <c r="N1728" s="181">
        <v>1.0875599999999999E-2</v>
      </c>
      <c r="O1728" s="181" t="s">
        <v>170</v>
      </c>
      <c r="P1728" s="83" t="s">
        <v>323</v>
      </c>
      <c r="Q1728" s="177" t="s">
        <v>324</v>
      </c>
      <c r="R1728" s="83"/>
    </row>
    <row r="1729" spans="1:18">
      <c r="A1729" s="83">
        <v>80883599</v>
      </c>
      <c r="B1729" s="186" t="s">
        <v>1050</v>
      </c>
      <c r="C1729" s="186" t="s">
        <v>154</v>
      </c>
      <c r="D1729" s="83" t="s">
        <v>428</v>
      </c>
      <c r="E1729" s="83" t="s">
        <v>168</v>
      </c>
      <c r="F1729" s="180">
        <v>46034</v>
      </c>
      <c r="G1729" s="83">
        <v>3</v>
      </c>
      <c r="H1729" s="180">
        <v>46021</v>
      </c>
      <c r="I1729" s="180" t="s">
        <v>202</v>
      </c>
      <c r="J1729" s="83">
        <v>3518741457</v>
      </c>
      <c r="K1729" s="180"/>
      <c r="L1729" s="180">
        <v>46021</v>
      </c>
      <c r="M1729" s="180"/>
      <c r="N1729" s="181">
        <v>5.4377999999999996E-3</v>
      </c>
      <c r="O1729" s="181" t="s">
        <v>170</v>
      </c>
      <c r="P1729" s="83" t="s">
        <v>323</v>
      </c>
      <c r="Q1729" s="177" t="s">
        <v>324</v>
      </c>
      <c r="R1729" s="83"/>
    </row>
    <row r="1730" spans="1:18">
      <c r="A1730" s="83">
        <v>80883599</v>
      </c>
      <c r="B1730" s="186" t="s">
        <v>1050</v>
      </c>
      <c r="C1730" s="186" t="s">
        <v>155</v>
      </c>
      <c r="D1730" s="83" t="s">
        <v>428</v>
      </c>
      <c r="E1730" s="83" t="s">
        <v>168</v>
      </c>
      <c r="F1730" s="180">
        <v>46034</v>
      </c>
      <c r="G1730" s="83">
        <v>39</v>
      </c>
      <c r="H1730" s="180">
        <v>46021</v>
      </c>
      <c r="I1730" s="180" t="s">
        <v>202</v>
      </c>
      <c r="J1730" s="83">
        <v>3518741458</v>
      </c>
      <c r="K1730" s="180"/>
      <c r="L1730" s="180">
        <v>46021</v>
      </c>
      <c r="M1730" s="180"/>
      <c r="N1730" s="181">
        <v>7.0691400000000001E-2</v>
      </c>
      <c r="O1730" s="181" t="s">
        <v>170</v>
      </c>
      <c r="P1730" s="83" t="s">
        <v>323</v>
      </c>
      <c r="Q1730" s="177" t="s">
        <v>324</v>
      </c>
      <c r="R1730" s="83"/>
    </row>
    <row r="1731" spans="1:18">
      <c r="A1731" s="83">
        <v>80883613</v>
      </c>
      <c r="B1731" s="186" t="s">
        <v>1058</v>
      </c>
      <c r="C1731" s="186" t="s">
        <v>143</v>
      </c>
      <c r="D1731" s="83" t="s">
        <v>428</v>
      </c>
      <c r="E1731" s="83" t="s">
        <v>168</v>
      </c>
      <c r="F1731" s="180">
        <v>46034</v>
      </c>
      <c r="G1731" s="83">
        <v>40</v>
      </c>
      <c r="H1731" s="180">
        <v>46021</v>
      </c>
      <c r="I1731" s="180" t="s">
        <v>202</v>
      </c>
      <c r="J1731" s="83">
        <v>3518741459</v>
      </c>
      <c r="K1731" s="180"/>
      <c r="L1731" s="180">
        <v>46021</v>
      </c>
      <c r="M1731" s="180"/>
      <c r="N1731" s="181">
        <v>7.2503999999999999E-2</v>
      </c>
      <c r="O1731" s="181" t="s">
        <v>170</v>
      </c>
      <c r="P1731" s="83" t="s">
        <v>323</v>
      </c>
      <c r="Q1731" s="177" t="s">
        <v>324</v>
      </c>
      <c r="R1731" s="83"/>
    </row>
    <row r="1732" spans="1:18">
      <c r="A1732" s="83">
        <v>80883613</v>
      </c>
      <c r="B1732" s="186" t="s">
        <v>1058</v>
      </c>
      <c r="C1732" s="186" t="s">
        <v>150</v>
      </c>
      <c r="D1732" s="83" t="s">
        <v>428</v>
      </c>
      <c r="E1732" s="83" t="s">
        <v>168</v>
      </c>
      <c r="F1732" s="180">
        <v>46034</v>
      </c>
      <c r="G1732" s="83">
        <v>144</v>
      </c>
      <c r="H1732" s="180">
        <v>46021</v>
      </c>
      <c r="I1732" s="180" t="s">
        <v>202</v>
      </c>
      <c r="J1732" s="83">
        <v>3518741460</v>
      </c>
      <c r="K1732" s="180"/>
      <c r="L1732" s="180">
        <v>46021</v>
      </c>
      <c r="M1732" s="180"/>
      <c r="N1732" s="181">
        <v>0.26101439999999998</v>
      </c>
      <c r="O1732" s="181" t="s">
        <v>170</v>
      </c>
      <c r="P1732" s="83" t="s">
        <v>323</v>
      </c>
      <c r="Q1732" s="177" t="s">
        <v>324</v>
      </c>
      <c r="R1732" s="83"/>
    </row>
    <row r="1733" spans="1:18">
      <c r="A1733" s="83">
        <v>80883613</v>
      </c>
      <c r="B1733" s="186" t="s">
        <v>1058</v>
      </c>
      <c r="C1733" s="186" t="s">
        <v>151</v>
      </c>
      <c r="D1733" s="83" t="s">
        <v>428</v>
      </c>
      <c r="E1733" s="83" t="s">
        <v>168</v>
      </c>
      <c r="F1733" s="180">
        <v>46034</v>
      </c>
      <c r="G1733" s="83">
        <v>176</v>
      </c>
      <c r="H1733" s="180">
        <v>46021</v>
      </c>
      <c r="I1733" s="180" t="s">
        <v>202</v>
      </c>
      <c r="J1733" s="83">
        <v>3518741461</v>
      </c>
      <c r="K1733" s="180"/>
      <c r="L1733" s="180">
        <v>46021</v>
      </c>
      <c r="M1733" s="180"/>
      <c r="N1733" s="181">
        <v>0.31901760000000001</v>
      </c>
      <c r="O1733" s="181" t="s">
        <v>170</v>
      </c>
      <c r="P1733" s="83" t="s">
        <v>323</v>
      </c>
      <c r="Q1733" s="177" t="s">
        <v>324</v>
      </c>
      <c r="R1733" s="83"/>
    </row>
    <row r="1734" spans="1:18">
      <c r="A1734" s="83">
        <v>80883613</v>
      </c>
      <c r="B1734" s="186" t="s">
        <v>1058</v>
      </c>
      <c r="C1734" s="186" t="s">
        <v>152</v>
      </c>
      <c r="D1734" s="83" t="s">
        <v>428</v>
      </c>
      <c r="E1734" s="83" t="s">
        <v>168</v>
      </c>
      <c r="F1734" s="180">
        <v>46034</v>
      </c>
      <c r="G1734" s="83">
        <v>35</v>
      </c>
      <c r="H1734" s="180">
        <v>46021</v>
      </c>
      <c r="I1734" s="180" t="s">
        <v>202</v>
      </c>
      <c r="J1734" s="83">
        <v>3518741462</v>
      </c>
      <c r="K1734" s="180"/>
      <c r="L1734" s="180">
        <v>46021</v>
      </c>
      <c r="M1734" s="180"/>
      <c r="N1734" s="181">
        <v>6.3440999999999997E-2</v>
      </c>
      <c r="O1734" s="181" t="s">
        <v>170</v>
      </c>
      <c r="P1734" s="83" t="s">
        <v>323</v>
      </c>
      <c r="Q1734" s="177" t="s">
        <v>324</v>
      </c>
      <c r="R1734" s="83"/>
    </row>
    <row r="1735" spans="1:18">
      <c r="A1735" s="83">
        <v>80883613</v>
      </c>
      <c r="B1735" s="186" t="s">
        <v>1058</v>
      </c>
      <c r="C1735" s="186" t="s">
        <v>153</v>
      </c>
      <c r="D1735" s="83" t="s">
        <v>428</v>
      </c>
      <c r="E1735" s="83" t="s">
        <v>168</v>
      </c>
      <c r="F1735" s="180">
        <v>46034</v>
      </c>
      <c r="G1735" s="83">
        <v>24</v>
      </c>
      <c r="H1735" s="180">
        <v>46021</v>
      </c>
      <c r="I1735" s="180" t="s">
        <v>202</v>
      </c>
      <c r="J1735" s="83">
        <v>3518741463</v>
      </c>
      <c r="K1735" s="180"/>
      <c r="L1735" s="180">
        <v>46021</v>
      </c>
      <c r="M1735" s="180"/>
      <c r="N1735" s="181">
        <v>4.3502399999999997E-2</v>
      </c>
      <c r="O1735" s="181" t="s">
        <v>170</v>
      </c>
      <c r="P1735" s="83" t="s">
        <v>323</v>
      </c>
      <c r="Q1735" s="177" t="s">
        <v>324</v>
      </c>
      <c r="R1735" s="83"/>
    </row>
    <row r="1736" spans="1:18">
      <c r="A1736" s="83">
        <v>80883613</v>
      </c>
      <c r="B1736" s="186" t="s">
        <v>1058</v>
      </c>
      <c r="C1736" s="186" t="s">
        <v>154</v>
      </c>
      <c r="D1736" s="83" t="s">
        <v>428</v>
      </c>
      <c r="E1736" s="83" t="s">
        <v>168</v>
      </c>
      <c r="F1736" s="180">
        <v>46034</v>
      </c>
      <c r="G1736" s="83">
        <v>12</v>
      </c>
      <c r="H1736" s="180">
        <v>46021</v>
      </c>
      <c r="I1736" s="180" t="s">
        <v>202</v>
      </c>
      <c r="J1736" s="83">
        <v>3518741464</v>
      </c>
      <c r="K1736" s="180"/>
      <c r="L1736" s="180">
        <v>46021</v>
      </c>
      <c r="M1736" s="180"/>
      <c r="N1736" s="181">
        <v>2.1751199999999998E-2</v>
      </c>
      <c r="O1736" s="181" t="s">
        <v>170</v>
      </c>
      <c r="P1736" s="83" t="s">
        <v>323</v>
      </c>
      <c r="Q1736" s="177" t="s">
        <v>324</v>
      </c>
      <c r="R1736" s="83"/>
    </row>
    <row r="1737" spans="1:18">
      <c r="A1737" s="83">
        <v>80883613</v>
      </c>
      <c r="B1737" s="186" t="s">
        <v>1058</v>
      </c>
      <c r="C1737" s="186" t="s">
        <v>155</v>
      </c>
      <c r="D1737" s="83" t="s">
        <v>428</v>
      </c>
      <c r="E1737" s="83" t="s">
        <v>168</v>
      </c>
      <c r="F1737" s="180">
        <v>46034</v>
      </c>
      <c r="G1737" s="83">
        <v>99</v>
      </c>
      <c r="H1737" s="180">
        <v>46021</v>
      </c>
      <c r="I1737" s="180" t="s">
        <v>202</v>
      </c>
      <c r="J1737" s="83">
        <v>3518741466</v>
      </c>
      <c r="K1737" s="180"/>
      <c r="L1737" s="180">
        <v>46021</v>
      </c>
      <c r="M1737" s="180"/>
      <c r="N1737" s="181">
        <v>0.17944740000000001</v>
      </c>
      <c r="O1737" s="181" t="s">
        <v>170</v>
      </c>
      <c r="P1737" s="83" t="s">
        <v>323</v>
      </c>
      <c r="Q1737" s="177" t="s">
        <v>324</v>
      </c>
      <c r="R1737" s="83"/>
    </row>
    <row r="1738" spans="1:18">
      <c r="A1738" s="83">
        <v>80829597</v>
      </c>
      <c r="B1738" s="186" t="s">
        <v>1066</v>
      </c>
      <c r="C1738" s="186" t="s">
        <v>143</v>
      </c>
      <c r="D1738" s="83" t="s">
        <v>428</v>
      </c>
      <c r="E1738" s="83" t="s">
        <v>168</v>
      </c>
      <c r="F1738" s="180">
        <v>46034</v>
      </c>
      <c r="G1738" s="83">
        <v>43</v>
      </c>
      <c r="H1738" s="180">
        <v>46021</v>
      </c>
      <c r="I1738" s="180" t="s">
        <v>202</v>
      </c>
      <c r="J1738" s="83">
        <v>3518741467</v>
      </c>
      <c r="K1738" s="180"/>
      <c r="L1738" s="180">
        <v>46021</v>
      </c>
      <c r="M1738" s="180"/>
      <c r="N1738" s="181">
        <v>7.7941800000000006E-2</v>
      </c>
      <c r="O1738" s="181" t="s">
        <v>170</v>
      </c>
      <c r="P1738" s="83" t="s">
        <v>323</v>
      </c>
      <c r="Q1738" s="177" t="s">
        <v>324</v>
      </c>
      <c r="R1738" s="83"/>
    </row>
    <row r="1739" spans="1:18">
      <c r="A1739" s="83">
        <v>80829597</v>
      </c>
      <c r="B1739" s="186" t="s">
        <v>1066</v>
      </c>
      <c r="C1739" s="186" t="s">
        <v>150</v>
      </c>
      <c r="D1739" s="83" t="s">
        <v>428</v>
      </c>
      <c r="E1739" s="83" t="s">
        <v>168</v>
      </c>
      <c r="F1739" s="180">
        <v>46034</v>
      </c>
      <c r="G1739" s="83">
        <v>413</v>
      </c>
      <c r="H1739" s="180">
        <v>46021</v>
      </c>
      <c r="I1739" s="180" t="s">
        <v>202</v>
      </c>
      <c r="J1739" s="83">
        <v>3518741468</v>
      </c>
      <c r="K1739" s="180"/>
      <c r="L1739" s="180">
        <v>46021</v>
      </c>
      <c r="M1739" s="180"/>
      <c r="N1739" s="181">
        <v>0.74860380000000004</v>
      </c>
      <c r="O1739" s="181" t="s">
        <v>170</v>
      </c>
      <c r="P1739" s="83" t="s">
        <v>323</v>
      </c>
      <c r="Q1739" s="177" t="s">
        <v>324</v>
      </c>
      <c r="R1739" s="83"/>
    </row>
    <row r="1740" spans="1:18">
      <c r="A1740" s="83">
        <v>80829597</v>
      </c>
      <c r="B1740" s="186" t="s">
        <v>1066</v>
      </c>
      <c r="C1740" s="186" t="s">
        <v>151</v>
      </c>
      <c r="D1740" s="83" t="s">
        <v>428</v>
      </c>
      <c r="E1740" s="83" t="s">
        <v>168</v>
      </c>
      <c r="F1740" s="180">
        <v>46034</v>
      </c>
      <c r="G1740" s="83">
        <v>554</v>
      </c>
      <c r="H1740" s="180">
        <v>46021</v>
      </c>
      <c r="I1740" s="180" t="s">
        <v>202</v>
      </c>
      <c r="J1740" s="83">
        <v>3518741469</v>
      </c>
      <c r="K1740" s="180"/>
      <c r="L1740" s="180">
        <v>46021</v>
      </c>
      <c r="M1740" s="180"/>
      <c r="N1740" s="181">
        <v>1.0041804000000001</v>
      </c>
      <c r="O1740" s="181" t="s">
        <v>170</v>
      </c>
      <c r="P1740" s="83" t="s">
        <v>323</v>
      </c>
      <c r="Q1740" s="177" t="s">
        <v>324</v>
      </c>
      <c r="R1740" s="83"/>
    </row>
    <row r="1741" spans="1:18">
      <c r="A1741" s="83">
        <v>80829597</v>
      </c>
      <c r="B1741" s="186" t="s">
        <v>1066</v>
      </c>
      <c r="C1741" s="186" t="s">
        <v>152</v>
      </c>
      <c r="D1741" s="83" t="s">
        <v>428</v>
      </c>
      <c r="E1741" s="83" t="s">
        <v>168</v>
      </c>
      <c r="F1741" s="180">
        <v>46034</v>
      </c>
      <c r="G1741" s="83">
        <v>112</v>
      </c>
      <c r="H1741" s="180">
        <v>46021</v>
      </c>
      <c r="I1741" s="180" t="s">
        <v>202</v>
      </c>
      <c r="J1741" s="83">
        <v>3518741470</v>
      </c>
      <c r="K1741" s="180"/>
      <c r="L1741" s="180">
        <v>46021</v>
      </c>
      <c r="M1741" s="180"/>
      <c r="N1741" s="181">
        <v>0.2030112</v>
      </c>
      <c r="O1741" s="181" t="s">
        <v>170</v>
      </c>
      <c r="P1741" s="83" t="s">
        <v>323</v>
      </c>
      <c r="Q1741" s="177" t="s">
        <v>324</v>
      </c>
      <c r="R1741" s="83"/>
    </row>
    <row r="1742" spans="1:18">
      <c r="A1742" s="83">
        <v>80829597</v>
      </c>
      <c r="B1742" s="186" t="s">
        <v>1066</v>
      </c>
      <c r="C1742" s="186" t="s">
        <v>153</v>
      </c>
      <c r="D1742" s="83" t="s">
        <v>428</v>
      </c>
      <c r="E1742" s="83" t="s">
        <v>168</v>
      </c>
      <c r="F1742" s="180">
        <v>46034</v>
      </c>
      <c r="G1742" s="83">
        <v>30</v>
      </c>
      <c r="H1742" s="180">
        <v>46021</v>
      </c>
      <c r="I1742" s="180" t="s">
        <v>202</v>
      </c>
      <c r="J1742" s="83">
        <v>3518741471</v>
      </c>
      <c r="K1742" s="180"/>
      <c r="L1742" s="180">
        <v>46021</v>
      </c>
      <c r="M1742" s="180"/>
      <c r="N1742" s="181">
        <v>5.4378000000000003E-2</v>
      </c>
      <c r="O1742" s="181" t="s">
        <v>170</v>
      </c>
      <c r="P1742" s="83" t="s">
        <v>323</v>
      </c>
      <c r="Q1742" s="177" t="s">
        <v>324</v>
      </c>
      <c r="R1742" s="83"/>
    </row>
    <row r="1743" spans="1:18">
      <c r="A1743" s="83">
        <v>80829597</v>
      </c>
      <c r="B1743" s="186" t="s">
        <v>1066</v>
      </c>
      <c r="C1743" s="186" t="s">
        <v>154</v>
      </c>
      <c r="D1743" s="83" t="s">
        <v>428</v>
      </c>
      <c r="E1743" s="83" t="s">
        <v>168</v>
      </c>
      <c r="F1743" s="180">
        <v>46034</v>
      </c>
      <c r="G1743" s="83">
        <v>38</v>
      </c>
      <c r="H1743" s="180">
        <v>46021</v>
      </c>
      <c r="I1743" s="180" t="s">
        <v>202</v>
      </c>
      <c r="J1743" s="83">
        <v>3518741472</v>
      </c>
      <c r="K1743" s="180"/>
      <c r="L1743" s="180">
        <v>46021</v>
      </c>
      <c r="M1743" s="180"/>
      <c r="N1743" s="181">
        <v>6.8878800000000004E-2</v>
      </c>
      <c r="O1743" s="181" t="s">
        <v>170</v>
      </c>
      <c r="P1743" s="83" t="s">
        <v>323</v>
      </c>
      <c r="Q1743" s="177" t="s">
        <v>324</v>
      </c>
      <c r="R1743" s="83"/>
    </row>
    <row r="1744" spans="1:18">
      <c r="A1744" s="83">
        <v>80829597</v>
      </c>
      <c r="B1744" s="186" t="s">
        <v>1066</v>
      </c>
      <c r="C1744" s="186" t="s">
        <v>155</v>
      </c>
      <c r="D1744" s="83" t="s">
        <v>428</v>
      </c>
      <c r="E1744" s="83" t="s">
        <v>168</v>
      </c>
      <c r="F1744" s="180">
        <v>46034</v>
      </c>
      <c r="G1744" s="83">
        <v>877</v>
      </c>
      <c r="H1744" s="180">
        <v>46021</v>
      </c>
      <c r="I1744" s="180" t="s">
        <v>202</v>
      </c>
      <c r="J1744" s="83">
        <v>3518741473</v>
      </c>
      <c r="K1744" s="180"/>
      <c r="L1744" s="180">
        <v>46021</v>
      </c>
      <c r="M1744" s="180"/>
      <c r="N1744" s="181">
        <v>1.5896501999999999</v>
      </c>
      <c r="O1744" s="181" t="s">
        <v>170</v>
      </c>
      <c r="P1744" s="83" t="s">
        <v>323</v>
      </c>
      <c r="Q1744" s="177" t="s">
        <v>324</v>
      </c>
      <c r="R1744" s="83"/>
    </row>
    <row r="1745" spans="1:18">
      <c r="A1745" s="83">
        <v>80833447</v>
      </c>
      <c r="B1745" s="186" t="s">
        <v>1074</v>
      </c>
      <c r="C1745" s="186" t="s">
        <v>143</v>
      </c>
      <c r="D1745" s="83" t="s">
        <v>428</v>
      </c>
      <c r="E1745" s="83" t="s">
        <v>168</v>
      </c>
      <c r="F1745" s="180">
        <v>46034</v>
      </c>
      <c r="G1745" s="83">
        <v>13</v>
      </c>
      <c r="H1745" s="180">
        <v>46021</v>
      </c>
      <c r="I1745" s="180" t="s">
        <v>202</v>
      </c>
      <c r="J1745" s="83">
        <v>3518741474</v>
      </c>
      <c r="K1745" s="180"/>
      <c r="L1745" s="180">
        <v>46021</v>
      </c>
      <c r="M1745" s="180"/>
      <c r="N1745" s="181">
        <v>1.17819E-2</v>
      </c>
      <c r="O1745" s="181" t="s">
        <v>170</v>
      </c>
      <c r="P1745" s="83" t="s">
        <v>323</v>
      </c>
      <c r="Q1745" s="177" t="s">
        <v>324</v>
      </c>
      <c r="R1745" s="83"/>
    </row>
    <row r="1746" spans="1:18">
      <c r="A1746" s="83">
        <v>80833447</v>
      </c>
      <c r="B1746" s="186" t="s">
        <v>1074</v>
      </c>
      <c r="C1746" s="186" t="s">
        <v>150</v>
      </c>
      <c r="D1746" s="83" t="s">
        <v>428</v>
      </c>
      <c r="E1746" s="83" t="s">
        <v>168</v>
      </c>
      <c r="F1746" s="180">
        <v>46034</v>
      </c>
      <c r="G1746" s="83">
        <v>21</v>
      </c>
      <c r="H1746" s="180">
        <v>46021</v>
      </c>
      <c r="I1746" s="180" t="s">
        <v>202</v>
      </c>
      <c r="J1746" s="83">
        <v>3518741475</v>
      </c>
      <c r="K1746" s="180"/>
      <c r="L1746" s="180">
        <v>46021</v>
      </c>
      <c r="M1746" s="180"/>
      <c r="N1746" s="181">
        <v>1.9032299999999999E-2</v>
      </c>
      <c r="O1746" s="181" t="s">
        <v>170</v>
      </c>
      <c r="P1746" s="83" t="s">
        <v>323</v>
      </c>
      <c r="Q1746" s="177" t="s">
        <v>324</v>
      </c>
      <c r="R1746" s="83"/>
    </row>
    <row r="1747" spans="1:18">
      <c r="A1747" s="83">
        <v>80833447</v>
      </c>
      <c r="B1747" s="186" t="s">
        <v>1074</v>
      </c>
      <c r="C1747" s="186" t="s">
        <v>151</v>
      </c>
      <c r="D1747" s="83" t="s">
        <v>428</v>
      </c>
      <c r="E1747" s="83" t="s">
        <v>168</v>
      </c>
      <c r="F1747" s="180">
        <v>46034</v>
      </c>
      <c r="G1747" s="83">
        <v>17</v>
      </c>
      <c r="H1747" s="180">
        <v>46021</v>
      </c>
      <c r="I1747" s="180" t="s">
        <v>202</v>
      </c>
      <c r="J1747" s="83">
        <v>3518741476</v>
      </c>
      <c r="K1747" s="180"/>
      <c r="L1747" s="180">
        <v>46021</v>
      </c>
      <c r="M1747" s="180"/>
      <c r="N1747" s="181">
        <v>1.54071E-2</v>
      </c>
      <c r="O1747" s="181" t="s">
        <v>170</v>
      </c>
      <c r="P1747" s="83" t="s">
        <v>323</v>
      </c>
      <c r="Q1747" s="177" t="s">
        <v>324</v>
      </c>
      <c r="R1747" s="83"/>
    </row>
    <row r="1748" spans="1:18">
      <c r="A1748" s="83">
        <v>80833447</v>
      </c>
      <c r="B1748" s="186" t="s">
        <v>1074</v>
      </c>
      <c r="C1748" s="186" t="s">
        <v>152</v>
      </c>
      <c r="D1748" s="83" t="s">
        <v>428</v>
      </c>
      <c r="E1748" s="83" t="s">
        <v>168</v>
      </c>
      <c r="F1748" s="180">
        <v>46034</v>
      </c>
      <c r="G1748" s="83">
        <v>14</v>
      </c>
      <c r="H1748" s="180">
        <v>46021</v>
      </c>
      <c r="I1748" s="180" t="s">
        <v>202</v>
      </c>
      <c r="J1748" s="83">
        <v>3518741478</v>
      </c>
      <c r="K1748" s="180"/>
      <c r="L1748" s="180">
        <v>46021</v>
      </c>
      <c r="M1748" s="180"/>
      <c r="N1748" s="181">
        <v>1.26882E-2</v>
      </c>
      <c r="O1748" s="181" t="s">
        <v>170</v>
      </c>
      <c r="P1748" s="83" t="s">
        <v>323</v>
      </c>
      <c r="Q1748" s="177" t="s">
        <v>324</v>
      </c>
      <c r="R1748" s="83"/>
    </row>
    <row r="1749" spans="1:18">
      <c r="A1749" s="83">
        <v>80833447</v>
      </c>
      <c r="B1749" s="186" t="s">
        <v>1074</v>
      </c>
      <c r="C1749" s="186" t="s">
        <v>153</v>
      </c>
      <c r="D1749" s="83" t="s">
        <v>428</v>
      </c>
      <c r="E1749" s="83" t="s">
        <v>168</v>
      </c>
      <c r="F1749" s="180">
        <v>46034</v>
      </c>
      <c r="G1749" s="83">
        <v>12</v>
      </c>
      <c r="H1749" s="180">
        <v>46021</v>
      </c>
      <c r="I1749" s="180" t="s">
        <v>202</v>
      </c>
      <c r="J1749" s="83">
        <v>3518741479</v>
      </c>
      <c r="K1749" s="180"/>
      <c r="L1749" s="180">
        <v>46021</v>
      </c>
      <c r="M1749" s="180"/>
      <c r="N1749" s="181">
        <v>1.0875599999999999E-2</v>
      </c>
      <c r="O1749" s="181" t="s">
        <v>170</v>
      </c>
      <c r="P1749" s="83" t="s">
        <v>323</v>
      </c>
      <c r="Q1749" s="177" t="s">
        <v>324</v>
      </c>
      <c r="R1749" s="83"/>
    </row>
    <row r="1750" spans="1:18">
      <c r="A1750" s="83">
        <v>80833447</v>
      </c>
      <c r="B1750" s="186" t="s">
        <v>1074</v>
      </c>
      <c r="C1750" s="186" t="s">
        <v>154</v>
      </c>
      <c r="D1750" s="83" t="s">
        <v>428</v>
      </c>
      <c r="E1750" s="83" t="s">
        <v>168</v>
      </c>
      <c r="F1750" s="180">
        <v>46034</v>
      </c>
      <c r="G1750" s="83">
        <v>13</v>
      </c>
      <c r="H1750" s="180">
        <v>46021</v>
      </c>
      <c r="I1750" s="180" t="s">
        <v>202</v>
      </c>
      <c r="J1750" s="83">
        <v>3518741480</v>
      </c>
      <c r="K1750" s="180"/>
      <c r="L1750" s="180">
        <v>46021</v>
      </c>
      <c r="M1750" s="180"/>
      <c r="N1750" s="181">
        <v>1.17819E-2</v>
      </c>
      <c r="O1750" s="181" t="s">
        <v>170</v>
      </c>
      <c r="P1750" s="83" t="s">
        <v>323</v>
      </c>
      <c r="Q1750" s="177" t="s">
        <v>324</v>
      </c>
      <c r="R1750" s="83"/>
    </row>
    <row r="1751" spans="1:18">
      <c r="A1751" s="83">
        <v>80833447</v>
      </c>
      <c r="B1751" s="186" t="s">
        <v>1074</v>
      </c>
      <c r="C1751" s="186" t="s">
        <v>155</v>
      </c>
      <c r="D1751" s="83" t="s">
        <v>428</v>
      </c>
      <c r="E1751" s="83" t="s">
        <v>168</v>
      </c>
      <c r="F1751" s="180">
        <v>46034</v>
      </c>
      <c r="G1751" s="83">
        <v>21</v>
      </c>
      <c r="H1751" s="180">
        <v>46021</v>
      </c>
      <c r="I1751" s="180" t="s">
        <v>202</v>
      </c>
      <c r="J1751" s="83">
        <v>3518741481</v>
      </c>
      <c r="K1751" s="180"/>
      <c r="L1751" s="180">
        <v>46021</v>
      </c>
      <c r="M1751" s="180"/>
      <c r="N1751" s="181">
        <v>1.9032299999999999E-2</v>
      </c>
      <c r="O1751" s="181" t="s">
        <v>170</v>
      </c>
      <c r="P1751" s="83" t="s">
        <v>323</v>
      </c>
      <c r="Q1751" s="177" t="s">
        <v>324</v>
      </c>
      <c r="R1751" s="83"/>
    </row>
    <row r="1752" spans="1:18">
      <c r="A1752" s="83">
        <v>80880197</v>
      </c>
      <c r="B1752" s="186" t="s">
        <v>1082</v>
      </c>
      <c r="C1752" s="186" t="s">
        <v>143</v>
      </c>
      <c r="D1752" s="83" t="s">
        <v>428</v>
      </c>
      <c r="E1752" s="83" t="s">
        <v>168</v>
      </c>
      <c r="F1752" s="180">
        <v>46034</v>
      </c>
      <c r="G1752" s="83">
        <v>315</v>
      </c>
      <c r="H1752" s="180">
        <v>46021</v>
      </c>
      <c r="I1752" s="180" t="s">
        <v>202</v>
      </c>
      <c r="J1752" s="83">
        <v>3518741482</v>
      </c>
      <c r="K1752" s="180"/>
      <c r="L1752" s="180">
        <v>46021</v>
      </c>
      <c r="M1752" s="180"/>
      <c r="N1752" s="181">
        <v>0.57096899999999995</v>
      </c>
      <c r="O1752" s="181" t="s">
        <v>170</v>
      </c>
      <c r="P1752" s="83" t="s">
        <v>323</v>
      </c>
      <c r="Q1752" s="177" t="s">
        <v>324</v>
      </c>
      <c r="R1752" s="83"/>
    </row>
    <row r="1753" spans="1:18">
      <c r="A1753" s="83">
        <v>80880197</v>
      </c>
      <c r="B1753" s="186" t="s">
        <v>1082</v>
      </c>
      <c r="C1753" s="186" t="s">
        <v>150</v>
      </c>
      <c r="D1753" s="83" t="s">
        <v>428</v>
      </c>
      <c r="E1753" s="83" t="s">
        <v>168</v>
      </c>
      <c r="F1753" s="180">
        <v>46034</v>
      </c>
      <c r="G1753" s="83">
        <v>1848</v>
      </c>
      <c r="H1753" s="180">
        <v>46021</v>
      </c>
      <c r="I1753" s="180" t="s">
        <v>202</v>
      </c>
      <c r="J1753" s="83">
        <v>3518741483</v>
      </c>
      <c r="K1753" s="180"/>
      <c r="L1753" s="180">
        <v>46021</v>
      </c>
      <c r="M1753" s="180"/>
      <c r="N1753" s="181">
        <v>3.3496847999999999</v>
      </c>
      <c r="O1753" s="181" t="s">
        <v>170</v>
      </c>
      <c r="P1753" s="83" t="s">
        <v>323</v>
      </c>
      <c r="Q1753" s="177" t="s">
        <v>324</v>
      </c>
      <c r="R1753" s="83"/>
    </row>
    <row r="1754" spans="1:18">
      <c r="A1754" s="83">
        <v>80880197</v>
      </c>
      <c r="B1754" s="186" t="s">
        <v>1082</v>
      </c>
      <c r="C1754" s="186" t="s">
        <v>151</v>
      </c>
      <c r="D1754" s="83" t="s">
        <v>428</v>
      </c>
      <c r="E1754" s="83" t="s">
        <v>168</v>
      </c>
      <c r="F1754" s="180">
        <v>46034</v>
      </c>
      <c r="G1754" s="83">
        <v>2512</v>
      </c>
      <c r="H1754" s="180">
        <v>46021</v>
      </c>
      <c r="I1754" s="180" t="s">
        <v>202</v>
      </c>
      <c r="J1754" s="83">
        <v>3518741484</v>
      </c>
      <c r="K1754" s="180"/>
      <c r="L1754" s="180">
        <v>46021</v>
      </c>
      <c r="M1754" s="180"/>
      <c r="N1754" s="181">
        <v>4.5532512000000001</v>
      </c>
      <c r="O1754" s="181" t="s">
        <v>170</v>
      </c>
      <c r="P1754" s="83" t="s">
        <v>323</v>
      </c>
      <c r="Q1754" s="177" t="s">
        <v>324</v>
      </c>
      <c r="R1754" s="83"/>
    </row>
    <row r="1755" spans="1:18">
      <c r="A1755" s="83">
        <v>80880197</v>
      </c>
      <c r="B1755" s="186" t="s">
        <v>1082</v>
      </c>
      <c r="C1755" s="186" t="s">
        <v>152</v>
      </c>
      <c r="D1755" s="83" t="s">
        <v>428</v>
      </c>
      <c r="E1755" s="83" t="s">
        <v>168</v>
      </c>
      <c r="F1755" s="180">
        <v>46034</v>
      </c>
      <c r="G1755" s="83">
        <v>420</v>
      </c>
      <c r="H1755" s="180">
        <v>46021</v>
      </c>
      <c r="I1755" s="180" t="s">
        <v>202</v>
      </c>
      <c r="J1755" s="83">
        <v>3518741485</v>
      </c>
      <c r="K1755" s="180"/>
      <c r="L1755" s="180">
        <v>46021</v>
      </c>
      <c r="M1755" s="180"/>
      <c r="N1755" s="181">
        <v>0.76129199999999997</v>
      </c>
      <c r="O1755" s="181" t="s">
        <v>170</v>
      </c>
      <c r="P1755" s="83" t="s">
        <v>323</v>
      </c>
      <c r="Q1755" s="177" t="s">
        <v>324</v>
      </c>
      <c r="R1755" s="83"/>
    </row>
    <row r="1756" spans="1:18">
      <c r="A1756" s="83">
        <v>80880197</v>
      </c>
      <c r="B1756" s="186" t="s">
        <v>1082</v>
      </c>
      <c r="C1756" s="186" t="s">
        <v>153</v>
      </c>
      <c r="D1756" s="83" t="s">
        <v>428</v>
      </c>
      <c r="E1756" s="83" t="s">
        <v>168</v>
      </c>
      <c r="F1756" s="180">
        <v>46034</v>
      </c>
      <c r="G1756" s="83">
        <v>216</v>
      </c>
      <c r="H1756" s="180">
        <v>46021</v>
      </c>
      <c r="I1756" s="180" t="s">
        <v>202</v>
      </c>
      <c r="J1756" s="83">
        <v>3518741486</v>
      </c>
      <c r="K1756" s="180"/>
      <c r="L1756" s="180">
        <v>46021</v>
      </c>
      <c r="M1756" s="180"/>
      <c r="N1756" s="181">
        <v>0.39152160000000003</v>
      </c>
      <c r="O1756" s="181" t="s">
        <v>170</v>
      </c>
      <c r="P1756" s="83" t="s">
        <v>323</v>
      </c>
      <c r="Q1756" s="177" t="s">
        <v>324</v>
      </c>
      <c r="R1756" s="83"/>
    </row>
    <row r="1757" spans="1:18">
      <c r="A1757" s="83">
        <v>80880197</v>
      </c>
      <c r="B1757" s="186" t="s">
        <v>1082</v>
      </c>
      <c r="C1757" s="186" t="s">
        <v>154</v>
      </c>
      <c r="D1757" s="83" t="s">
        <v>428</v>
      </c>
      <c r="E1757" s="83" t="s">
        <v>168</v>
      </c>
      <c r="F1757" s="180">
        <v>46034</v>
      </c>
      <c r="G1757" s="83">
        <v>156</v>
      </c>
      <c r="H1757" s="180">
        <v>46021</v>
      </c>
      <c r="I1757" s="180" t="s">
        <v>202</v>
      </c>
      <c r="J1757" s="83">
        <v>3518741487</v>
      </c>
      <c r="K1757" s="180"/>
      <c r="L1757" s="180">
        <v>46021</v>
      </c>
      <c r="M1757" s="180"/>
      <c r="N1757" s="181">
        <v>0.28276560000000001</v>
      </c>
      <c r="O1757" s="181" t="s">
        <v>170</v>
      </c>
      <c r="P1757" s="83" t="s">
        <v>323</v>
      </c>
      <c r="Q1757" s="177" t="s">
        <v>324</v>
      </c>
      <c r="R1757" s="83"/>
    </row>
    <row r="1758" spans="1:18">
      <c r="A1758" s="83">
        <v>80880197</v>
      </c>
      <c r="B1758" s="186" t="s">
        <v>1082</v>
      </c>
      <c r="C1758" s="186" t="s">
        <v>155</v>
      </c>
      <c r="D1758" s="83" t="s">
        <v>428</v>
      </c>
      <c r="E1758" s="83" t="s">
        <v>168</v>
      </c>
      <c r="F1758" s="180">
        <v>46034</v>
      </c>
      <c r="G1758" s="83">
        <v>1725</v>
      </c>
      <c r="H1758" s="180">
        <v>46021</v>
      </c>
      <c r="I1758" s="180" t="s">
        <v>202</v>
      </c>
      <c r="J1758" s="83">
        <v>3518741488</v>
      </c>
      <c r="K1758" s="180"/>
      <c r="L1758" s="180">
        <v>46021</v>
      </c>
      <c r="M1758" s="180"/>
      <c r="N1758" s="181">
        <v>3.126735</v>
      </c>
      <c r="O1758" s="181" t="s">
        <v>170</v>
      </c>
      <c r="P1758" s="83" t="s">
        <v>323</v>
      </c>
      <c r="Q1758" s="177" t="s">
        <v>324</v>
      </c>
      <c r="R1758" s="83"/>
    </row>
    <row r="1759" spans="1:18">
      <c r="A1759" s="83">
        <v>80881082</v>
      </c>
      <c r="B1759" s="186" t="s">
        <v>1042</v>
      </c>
      <c r="C1759" s="186" t="s">
        <v>143</v>
      </c>
      <c r="D1759" s="83" t="s">
        <v>428</v>
      </c>
      <c r="E1759" s="83" t="s">
        <v>168</v>
      </c>
      <c r="F1759" s="180">
        <v>46034</v>
      </c>
      <c r="G1759" s="83">
        <v>70</v>
      </c>
      <c r="H1759" s="180">
        <v>46021</v>
      </c>
      <c r="I1759" s="180" t="s">
        <v>202</v>
      </c>
      <c r="J1759" s="83">
        <v>3518741489</v>
      </c>
      <c r="K1759" s="180"/>
      <c r="L1759" s="180">
        <v>46021</v>
      </c>
      <c r="M1759" s="180"/>
      <c r="N1759" s="181">
        <v>6.5345E-2</v>
      </c>
      <c r="O1759" s="181" t="s">
        <v>170</v>
      </c>
      <c r="P1759" s="83" t="s">
        <v>323</v>
      </c>
      <c r="Q1759" s="177" t="s">
        <v>324</v>
      </c>
      <c r="R1759" s="83"/>
    </row>
    <row r="1760" spans="1:18">
      <c r="A1760" s="83">
        <v>80881082</v>
      </c>
      <c r="B1760" s="186" t="s">
        <v>1042</v>
      </c>
      <c r="C1760" s="186" t="s">
        <v>150</v>
      </c>
      <c r="D1760" s="83" t="s">
        <v>428</v>
      </c>
      <c r="E1760" s="83" t="s">
        <v>168</v>
      </c>
      <c r="F1760" s="180">
        <v>46034</v>
      </c>
      <c r="G1760" s="83">
        <v>356</v>
      </c>
      <c r="H1760" s="180">
        <v>46021</v>
      </c>
      <c r="I1760" s="180" t="s">
        <v>202</v>
      </c>
      <c r="J1760" s="83">
        <v>3518741491</v>
      </c>
      <c r="K1760" s="180"/>
      <c r="L1760" s="180">
        <v>46021</v>
      </c>
      <c r="M1760" s="180"/>
      <c r="N1760" s="181">
        <v>0.33232600000000001</v>
      </c>
      <c r="O1760" s="181" t="s">
        <v>170</v>
      </c>
      <c r="P1760" s="83" t="s">
        <v>323</v>
      </c>
      <c r="Q1760" s="177" t="s">
        <v>324</v>
      </c>
      <c r="R1760" s="83"/>
    </row>
    <row r="1761" spans="1:18">
      <c r="A1761" s="83">
        <v>80881082</v>
      </c>
      <c r="B1761" s="186" t="s">
        <v>1042</v>
      </c>
      <c r="C1761" s="186" t="s">
        <v>151</v>
      </c>
      <c r="D1761" s="83" t="s">
        <v>428</v>
      </c>
      <c r="E1761" s="83" t="s">
        <v>168</v>
      </c>
      <c r="F1761" s="180">
        <v>46034</v>
      </c>
      <c r="G1761" s="83">
        <v>375</v>
      </c>
      <c r="H1761" s="180">
        <v>46021</v>
      </c>
      <c r="I1761" s="180" t="s">
        <v>202</v>
      </c>
      <c r="J1761" s="83">
        <v>3518741492</v>
      </c>
      <c r="K1761" s="180"/>
      <c r="L1761" s="180">
        <v>46021</v>
      </c>
      <c r="M1761" s="180"/>
      <c r="N1761" s="181">
        <v>0.3500625</v>
      </c>
      <c r="O1761" s="181" t="s">
        <v>170</v>
      </c>
      <c r="P1761" s="83" t="s">
        <v>323</v>
      </c>
      <c r="Q1761" s="177" t="s">
        <v>324</v>
      </c>
      <c r="R1761" s="83"/>
    </row>
    <row r="1762" spans="1:18">
      <c r="A1762" s="83">
        <v>80881082</v>
      </c>
      <c r="B1762" s="186" t="s">
        <v>1042</v>
      </c>
      <c r="C1762" s="186" t="s">
        <v>152</v>
      </c>
      <c r="D1762" s="83" t="s">
        <v>428</v>
      </c>
      <c r="E1762" s="83" t="s">
        <v>168</v>
      </c>
      <c r="F1762" s="180">
        <v>46034</v>
      </c>
      <c r="G1762" s="83">
        <v>104</v>
      </c>
      <c r="H1762" s="180">
        <v>46021</v>
      </c>
      <c r="I1762" s="180" t="s">
        <v>202</v>
      </c>
      <c r="J1762" s="83">
        <v>3518741493</v>
      </c>
      <c r="K1762" s="180"/>
      <c r="L1762" s="180">
        <v>46021</v>
      </c>
      <c r="M1762" s="180"/>
      <c r="N1762" s="181">
        <v>9.7084000000000004E-2</v>
      </c>
      <c r="O1762" s="181" t="s">
        <v>170</v>
      </c>
      <c r="P1762" s="83" t="s">
        <v>323</v>
      </c>
      <c r="Q1762" s="177" t="s">
        <v>324</v>
      </c>
      <c r="R1762" s="83"/>
    </row>
    <row r="1763" spans="1:18">
      <c r="A1763" s="83">
        <v>80881082</v>
      </c>
      <c r="B1763" s="186" t="s">
        <v>1042</v>
      </c>
      <c r="C1763" s="186" t="s">
        <v>153</v>
      </c>
      <c r="D1763" s="83" t="s">
        <v>428</v>
      </c>
      <c r="E1763" s="83" t="s">
        <v>168</v>
      </c>
      <c r="F1763" s="180">
        <v>46034</v>
      </c>
      <c r="G1763" s="83">
        <v>47</v>
      </c>
      <c r="H1763" s="180">
        <v>46021</v>
      </c>
      <c r="I1763" s="180" t="s">
        <v>202</v>
      </c>
      <c r="J1763" s="83">
        <v>3518741494</v>
      </c>
      <c r="K1763" s="180"/>
      <c r="L1763" s="180">
        <v>46021</v>
      </c>
      <c r="M1763" s="180"/>
      <c r="N1763" s="181">
        <v>4.3874499999999997E-2</v>
      </c>
      <c r="O1763" s="181" t="s">
        <v>170</v>
      </c>
      <c r="P1763" s="83" t="s">
        <v>323</v>
      </c>
      <c r="Q1763" s="177" t="s">
        <v>324</v>
      </c>
      <c r="R1763" s="83"/>
    </row>
    <row r="1764" spans="1:18">
      <c r="A1764" s="83">
        <v>80881082</v>
      </c>
      <c r="B1764" s="186" t="s">
        <v>1042</v>
      </c>
      <c r="C1764" s="186" t="s">
        <v>154</v>
      </c>
      <c r="D1764" s="83" t="s">
        <v>428</v>
      </c>
      <c r="E1764" s="83" t="s">
        <v>168</v>
      </c>
      <c r="F1764" s="180">
        <v>46034</v>
      </c>
      <c r="G1764" s="83">
        <v>43</v>
      </c>
      <c r="H1764" s="180">
        <v>46021</v>
      </c>
      <c r="I1764" s="180" t="s">
        <v>202</v>
      </c>
      <c r="J1764" s="83">
        <v>3518741495</v>
      </c>
      <c r="K1764" s="180"/>
      <c r="L1764" s="180">
        <v>46021</v>
      </c>
      <c r="M1764" s="180"/>
      <c r="N1764" s="181">
        <v>4.0140500000000003E-2</v>
      </c>
      <c r="O1764" s="181" t="s">
        <v>170</v>
      </c>
      <c r="P1764" s="83" t="s">
        <v>323</v>
      </c>
      <c r="Q1764" s="177" t="s">
        <v>324</v>
      </c>
      <c r="R1764" s="83"/>
    </row>
    <row r="1765" spans="1:18">
      <c r="A1765" s="83">
        <v>80881082</v>
      </c>
      <c r="B1765" s="186" t="s">
        <v>1042</v>
      </c>
      <c r="C1765" s="186" t="s">
        <v>155</v>
      </c>
      <c r="D1765" s="83" t="s">
        <v>428</v>
      </c>
      <c r="E1765" s="83" t="s">
        <v>168</v>
      </c>
      <c r="F1765" s="180">
        <v>46034</v>
      </c>
      <c r="G1765" s="83">
        <v>192</v>
      </c>
      <c r="H1765" s="180">
        <v>46021</v>
      </c>
      <c r="I1765" s="180" t="s">
        <v>202</v>
      </c>
      <c r="J1765" s="83">
        <v>3518741496</v>
      </c>
      <c r="K1765" s="180"/>
      <c r="L1765" s="180">
        <v>46021</v>
      </c>
      <c r="M1765" s="180"/>
      <c r="N1765" s="181">
        <v>0.179232</v>
      </c>
      <c r="O1765" s="181" t="s">
        <v>170</v>
      </c>
      <c r="P1765" s="83" t="s">
        <v>323</v>
      </c>
      <c r="Q1765" s="177" t="s">
        <v>324</v>
      </c>
      <c r="R1765" s="83"/>
    </row>
    <row r="1766" spans="1:18">
      <c r="A1766" s="83">
        <v>80883596</v>
      </c>
      <c r="B1766" s="186" t="s">
        <v>1026</v>
      </c>
      <c r="C1766" s="186" t="s">
        <v>143</v>
      </c>
      <c r="D1766" s="83" t="s">
        <v>428</v>
      </c>
      <c r="E1766" s="83" t="s">
        <v>168</v>
      </c>
      <c r="F1766" s="180">
        <v>46034</v>
      </c>
      <c r="G1766" s="83">
        <v>86</v>
      </c>
      <c r="H1766" s="180">
        <v>46021</v>
      </c>
      <c r="I1766" s="180" t="s">
        <v>202</v>
      </c>
      <c r="J1766" s="83">
        <v>3518741497</v>
      </c>
      <c r="K1766" s="180"/>
      <c r="L1766" s="180">
        <v>46021</v>
      </c>
      <c r="M1766" s="180"/>
      <c r="N1766" s="181">
        <v>8.0281000000000005E-2</v>
      </c>
      <c r="O1766" s="181" t="s">
        <v>170</v>
      </c>
      <c r="P1766" s="83" t="s">
        <v>323</v>
      </c>
      <c r="Q1766" s="177" t="s">
        <v>324</v>
      </c>
      <c r="R1766" s="83"/>
    </row>
    <row r="1767" spans="1:18">
      <c r="A1767" s="83">
        <v>80883596</v>
      </c>
      <c r="B1767" s="186" t="s">
        <v>1026</v>
      </c>
      <c r="C1767" s="186" t="s">
        <v>150</v>
      </c>
      <c r="D1767" s="83" t="s">
        <v>428</v>
      </c>
      <c r="E1767" s="83" t="s">
        <v>168</v>
      </c>
      <c r="F1767" s="180">
        <v>46034</v>
      </c>
      <c r="G1767" s="83">
        <v>310</v>
      </c>
      <c r="H1767" s="180">
        <v>46021</v>
      </c>
      <c r="I1767" s="180" t="s">
        <v>202</v>
      </c>
      <c r="J1767" s="83">
        <v>3518741498</v>
      </c>
      <c r="K1767" s="180"/>
      <c r="L1767" s="180">
        <v>46021</v>
      </c>
      <c r="M1767" s="180"/>
      <c r="N1767" s="181">
        <v>0.289385</v>
      </c>
      <c r="O1767" s="181" t="s">
        <v>170</v>
      </c>
      <c r="P1767" s="83" t="s">
        <v>323</v>
      </c>
      <c r="Q1767" s="177" t="s">
        <v>324</v>
      </c>
      <c r="R1767" s="83"/>
    </row>
    <row r="1768" spans="1:18">
      <c r="A1768" s="83">
        <v>80883596</v>
      </c>
      <c r="B1768" s="186" t="s">
        <v>1026</v>
      </c>
      <c r="C1768" s="186" t="s">
        <v>151</v>
      </c>
      <c r="D1768" s="83" t="s">
        <v>428</v>
      </c>
      <c r="E1768" s="83" t="s">
        <v>168</v>
      </c>
      <c r="F1768" s="180">
        <v>46034</v>
      </c>
      <c r="G1768" s="83">
        <v>532</v>
      </c>
      <c r="H1768" s="180">
        <v>46021</v>
      </c>
      <c r="I1768" s="180" t="s">
        <v>202</v>
      </c>
      <c r="J1768" s="83">
        <v>3518741499</v>
      </c>
      <c r="K1768" s="180"/>
      <c r="L1768" s="180">
        <v>46021</v>
      </c>
      <c r="M1768" s="180"/>
      <c r="N1768" s="181">
        <v>0.49662200000000001</v>
      </c>
      <c r="O1768" s="181" t="s">
        <v>170</v>
      </c>
      <c r="P1768" s="83" t="s">
        <v>323</v>
      </c>
      <c r="Q1768" s="177" t="s">
        <v>324</v>
      </c>
      <c r="R1768" s="83"/>
    </row>
    <row r="1769" spans="1:18">
      <c r="A1769" s="83">
        <v>80883596</v>
      </c>
      <c r="B1769" s="186" t="s">
        <v>1026</v>
      </c>
      <c r="C1769" s="186" t="s">
        <v>152</v>
      </c>
      <c r="D1769" s="83" t="s">
        <v>428</v>
      </c>
      <c r="E1769" s="83" t="s">
        <v>168</v>
      </c>
      <c r="F1769" s="180">
        <v>46034</v>
      </c>
      <c r="G1769" s="83">
        <v>134</v>
      </c>
      <c r="H1769" s="180">
        <v>46021</v>
      </c>
      <c r="I1769" s="180" t="s">
        <v>202</v>
      </c>
      <c r="J1769" s="83">
        <v>3518741500</v>
      </c>
      <c r="K1769" s="180"/>
      <c r="L1769" s="180">
        <v>46021</v>
      </c>
      <c r="M1769" s="180"/>
      <c r="N1769" s="181">
        <v>0.12508900000000001</v>
      </c>
      <c r="O1769" s="181" t="s">
        <v>170</v>
      </c>
      <c r="P1769" s="83" t="s">
        <v>323</v>
      </c>
      <c r="Q1769" s="177" t="s">
        <v>324</v>
      </c>
      <c r="R1769" s="83"/>
    </row>
    <row r="1770" spans="1:18">
      <c r="A1770" s="83">
        <v>80883596</v>
      </c>
      <c r="B1770" s="186" t="s">
        <v>1026</v>
      </c>
      <c r="C1770" s="186" t="s">
        <v>153</v>
      </c>
      <c r="D1770" s="83" t="s">
        <v>428</v>
      </c>
      <c r="E1770" s="83" t="s">
        <v>168</v>
      </c>
      <c r="F1770" s="180">
        <v>46034</v>
      </c>
      <c r="G1770" s="83">
        <v>27</v>
      </c>
      <c r="H1770" s="180">
        <v>46021</v>
      </c>
      <c r="I1770" s="180" t="s">
        <v>202</v>
      </c>
      <c r="J1770" s="83">
        <v>3518741501</v>
      </c>
      <c r="K1770" s="180"/>
      <c r="L1770" s="180">
        <v>46021</v>
      </c>
      <c r="M1770" s="180"/>
      <c r="N1770" s="181">
        <v>2.5204500000000001E-2</v>
      </c>
      <c r="O1770" s="181" t="s">
        <v>170</v>
      </c>
      <c r="P1770" s="83" t="s">
        <v>323</v>
      </c>
      <c r="Q1770" s="177" t="s">
        <v>324</v>
      </c>
      <c r="R1770" s="83"/>
    </row>
    <row r="1771" spans="1:18">
      <c r="A1771" s="83">
        <v>80883596</v>
      </c>
      <c r="B1771" s="186" t="s">
        <v>1026</v>
      </c>
      <c r="C1771" s="186" t="s">
        <v>154</v>
      </c>
      <c r="D1771" s="83" t="s">
        <v>428</v>
      </c>
      <c r="E1771" s="83" t="s">
        <v>168</v>
      </c>
      <c r="F1771" s="180">
        <v>46034</v>
      </c>
      <c r="G1771" s="83">
        <v>39</v>
      </c>
      <c r="H1771" s="180">
        <v>46021</v>
      </c>
      <c r="I1771" s="180" t="s">
        <v>202</v>
      </c>
      <c r="J1771" s="83">
        <v>3518741503</v>
      </c>
      <c r="K1771" s="180"/>
      <c r="L1771" s="180">
        <v>46021</v>
      </c>
      <c r="M1771" s="180"/>
      <c r="N1771" s="181">
        <v>3.6406500000000001E-2</v>
      </c>
      <c r="O1771" s="181" t="s">
        <v>170</v>
      </c>
      <c r="P1771" s="83" t="s">
        <v>323</v>
      </c>
      <c r="Q1771" s="177" t="s">
        <v>324</v>
      </c>
      <c r="R1771" s="83"/>
    </row>
    <row r="1772" spans="1:18">
      <c r="A1772" s="83">
        <v>80883596</v>
      </c>
      <c r="B1772" s="186" t="s">
        <v>1026</v>
      </c>
      <c r="C1772" s="186" t="s">
        <v>155</v>
      </c>
      <c r="D1772" s="83" t="s">
        <v>428</v>
      </c>
      <c r="E1772" s="83" t="s">
        <v>168</v>
      </c>
      <c r="F1772" s="180">
        <v>46034</v>
      </c>
      <c r="G1772" s="83">
        <v>197</v>
      </c>
      <c r="H1772" s="180">
        <v>46021</v>
      </c>
      <c r="I1772" s="180" t="s">
        <v>202</v>
      </c>
      <c r="J1772" s="83">
        <v>3518741504</v>
      </c>
      <c r="K1772" s="180"/>
      <c r="L1772" s="180">
        <v>46021</v>
      </c>
      <c r="M1772" s="180"/>
      <c r="N1772" s="181">
        <v>0.18389949999999999</v>
      </c>
      <c r="O1772" s="181" t="s">
        <v>170</v>
      </c>
      <c r="P1772" s="83" t="s">
        <v>323</v>
      </c>
      <c r="Q1772" s="177" t="s">
        <v>324</v>
      </c>
      <c r="R1772" s="83"/>
    </row>
    <row r="1773" spans="1:18">
      <c r="A1773" s="83">
        <v>80883599</v>
      </c>
      <c r="B1773" s="186" t="s">
        <v>1050</v>
      </c>
      <c r="C1773" s="186" t="s">
        <v>143</v>
      </c>
      <c r="D1773" s="83" t="s">
        <v>428</v>
      </c>
      <c r="E1773" s="83" t="s">
        <v>168</v>
      </c>
      <c r="F1773" s="180">
        <v>46034</v>
      </c>
      <c r="G1773" s="83">
        <v>110</v>
      </c>
      <c r="H1773" s="180">
        <v>46021</v>
      </c>
      <c r="I1773" s="180" t="s">
        <v>202</v>
      </c>
      <c r="J1773" s="83">
        <v>3518741505</v>
      </c>
      <c r="K1773" s="180"/>
      <c r="L1773" s="180">
        <v>46021</v>
      </c>
      <c r="M1773" s="180"/>
      <c r="N1773" s="181">
        <v>0.19938600000000001</v>
      </c>
      <c r="O1773" s="181" t="s">
        <v>170</v>
      </c>
      <c r="P1773" s="83" t="s">
        <v>323</v>
      </c>
      <c r="Q1773" s="177" t="s">
        <v>324</v>
      </c>
      <c r="R1773" s="83"/>
    </row>
    <row r="1774" spans="1:18">
      <c r="A1774" s="83">
        <v>80883599</v>
      </c>
      <c r="B1774" s="186" t="s">
        <v>1050</v>
      </c>
      <c r="C1774" s="186" t="s">
        <v>150</v>
      </c>
      <c r="D1774" s="83" t="s">
        <v>428</v>
      </c>
      <c r="E1774" s="83" t="s">
        <v>168</v>
      </c>
      <c r="F1774" s="180">
        <v>46034</v>
      </c>
      <c r="G1774" s="83">
        <v>500</v>
      </c>
      <c r="H1774" s="180">
        <v>46021</v>
      </c>
      <c r="I1774" s="180" t="s">
        <v>202</v>
      </c>
      <c r="J1774" s="83">
        <v>3518741506</v>
      </c>
      <c r="K1774" s="180"/>
      <c r="L1774" s="180">
        <v>46021</v>
      </c>
      <c r="M1774" s="180"/>
      <c r="N1774" s="181">
        <v>0.90629999999999999</v>
      </c>
      <c r="O1774" s="181" t="s">
        <v>170</v>
      </c>
      <c r="P1774" s="83" t="s">
        <v>323</v>
      </c>
      <c r="Q1774" s="177" t="s">
        <v>324</v>
      </c>
      <c r="R1774" s="83"/>
    </row>
    <row r="1775" spans="1:18">
      <c r="A1775" s="83">
        <v>80883599</v>
      </c>
      <c r="B1775" s="186" t="s">
        <v>1050</v>
      </c>
      <c r="C1775" s="186" t="s">
        <v>151</v>
      </c>
      <c r="D1775" s="83" t="s">
        <v>428</v>
      </c>
      <c r="E1775" s="83" t="s">
        <v>168</v>
      </c>
      <c r="F1775" s="180">
        <v>46034</v>
      </c>
      <c r="G1775" s="83">
        <v>492</v>
      </c>
      <c r="H1775" s="180">
        <v>46021</v>
      </c>
      <c r="I1775" s="180" t="s">
        <v>202</v>
      </c>
      <c r="J1775" s="83">
        <v>3518741507</v>
      </c>
      <c r="K1775" s="180"/>
      <c r="L1775" s="180">
        <v>46021</v>
      </c>
      <c r="M1775" s="180"/>
      <c r="N1775" s="181">
        <v>0.89179920000000001</v>
      </c>
      <c r="O1775" s="181" t="s">
        <v>170</v>
      </c>
      <c r="P1775" s="83" t="s">
        <v>323</v>
      </c>
      <c r="Q1775" s="177" t="s">
        <v>324</v>
      </c>
      <c r="R1775" s="83"/>
    </row>
    <row r="1776" spans="1:18">
      <c r="A1776" s="83">
        <v>80883599</v>
      </c>
      <c r="B1776" s="186" t="s">
        <v>1050</v>
      </c>
      <c r="C1776" s="186" t="s">
        <v>152</v>
      </c>
      <c r="D1776" s="83" t="s">
        <v>428</v>
      </c>
      <c r="E1776" s="83" t="s">
        <v>168</v>
      </c>
      <c r="F1776" s="180">
        <v>46034</v>
      </c>
      <c r="G1776" s="83">
        <v>84</v>
      </c>
      <c r="H1776" s="180">
        <v>46021</v>
      </c>
      <c r="I1776" s="180" t="s">
        <v>202</v>
      </c>
      <c r="J1776" s="83">
        <v>3518741508</v>
      </c>
      <c r="K1776" s="180"/>
      <c r="L1776" s="180">
        <v>46021</v>
      </c>
      <c r="M1776" s="180"/>
      <c r="N1776" s="181">
        <v>0.15225839999999999</v>
      </c>
      <c r="O1776" s="181" t="s">
        <v>170</v>
      </c>
      <c r="P1776" s="83" t="s">
        <v>323</v>
      </c>
      <c r="Q1776" s="177" t="s">
        <v>324</v>
      </c>
      <c r="R1776" s="83"/>
    </row>
    <row r="1777" spans="1:18">
      <c r="A1777" s="83">
        <v>80883599</v>
      </c>
      <c r="B1777" s="186" t="s">
        <v>1050</v>
      </c>
      <c r="C1777" s="186" t="s">
        <v>153</v>
      </c>
      <c r="D1777" s="83" t="s">
        <v>428</v>
      </c>
      <c r="E1777" s="83" t="s">
        <v>168</v>
      </c>
      <c r="F1777" s="180">
        <v>46034</v>
      </c>
      <c r="G1777" s="83">
        <v>66</v>
      </c>
      <c r="H1777" s="180">
        <v>46021</v>
      </c>
      <c r="I1777" s="180" t="s">
        <v>202</v>
      </c>
      <c r="J1777" s="83">
        <v>3518741509</v>
      </c>
      <c r="K1777" s="180"/>
      <c r="L1777" s="180">
        <v>46021</v>
      </c>
      <c r="M1777" s="180"/>
      <c r="N1777" s="181">
        <v>0.1196316</v>
      </c>
      <c r="O1777" s="181" t="s">
        <v>170</v>
      </c>
      <c r="P1777" s="83" t="s">
        <v>323</v>
      </c>
      <c r="Q1777" s="177" t="s">
        <v>324</v>
      </c>
      <c r="R1777" s="83"/>
    </row>
    <row r="1778" spans="1:18">
      <c r="A1778" s="83">
        <v>80883599</v>
      </c>
      <c r="B1778" s="186" t="s">
        <v>1050</v>
      </c>
      <c r="C1778" s="186" t="s">
        <v>154</v>
      </c>
      <c r="D1778" s="83" t="s">
        <v>428</v>
      </c>
      <c r="E1778" s="83" t="s">
        <v>168</v>
      </c>
      <c r="F1778" s="180">
        <v>46034</v>
      </c>
      <c r="G1778" s="83">
        <v>32</v>
      </c>
      <c r="H1778" s="180">
        <v>46021</v>
      </c>
      <c r="I1778" s="180" t="s">
        <v>202</v>
      </c>
      <c r="J1778" s="83">
        <v>3518741510</v>
      </c>
      <c r="K1778" s="180"/>
      <c r="L1778" s="180">
        <v>46021</v>
      </c>
      <c r="M1778" s="180"/>
      <c r="N1778" s="181">
        <v>5.8003199999999998E-2</v>
      </c>
      <c r="O1778" s="181" t="s">
        <v>170</v>
      </c>
      <c r="P1778" s="83" t="s">
        <v>323</v>
      </c>
      <c r="Q1778" s="177" t="s">
        <v>324</v>
      </c>
      <c r="R1778" s="83"/>
    </row>
    <row r="1779" spans="1:18">
      <c r="A1779" s="83">
        <v>80883599</v>
      </c>
      <c r="B1779" s="186" t="s">
        <v>1050</v>
      </c>
      <c r="C1779" s="186" t="s">
        <v>155</v>
      </c>
      <c r="D1779" s="83" t="s">
        <v>428</v>
      </c>
      <c r="E1779" s="83" t="s">
        <v>168</v>
      </c>
      <c r="F1779" s="180">
        <v>46034</v>
      </c>
      <c r="G1779" s="83">
        <v>438</v>
      </c>
      <c r="H1779" s="180">
        <v>46021</v>
      </c>
      <c r="I1779" s="180" t="s">
        <v>202</v>
      </c>
      <c r="J1779" s="83">
        <v>3518741511</v>
      </c>
      <c r="K1779" s="180"/>
      <c r="L1779" s="180">
        <v>46021</v>
      </c>
      <c r="M1779" s="180"/>
      <c r="N1779" s="181">
        <v>0.79391880000000004</v>
      </c>
      <c r="O1779" s="181" t="s">
        <v>170</v>
      </c>
      <c r="P1779" s="83" t="s">
        <v>323</v>
      </c>
      <c r="Q1779" s="177" t="s">
        <v>324</v>
      </c>
      <c r="R1779" s="83"/>
    </row>
    <row r="1780" spans="1:18">
      <c r="A1780" s="83">
        <v>80883613</v>
      </c>
      <c r="B1780" s="186" t="s">
        <v>1058</v>
      </c>
      <c r="C1780" s="186" t="s">
        <v>143</v>
      </c>
      <c r="D1780" s="83" t="s">
        <v>428</v>
      </c>
      <c r="E1780" s="83" t="s">
        <v>168</v>
      </c>
      <c r="F1780" s="180">
        <v>46034</v>
      </c>
      <c r="G1780" s="83">
        <v>104</v>
      </c>
      <c r="H1780" s="180">
        <v>46021</v>
      </c>
      <c r="I1780" s="180" t="s">
        <v>202</v>
      </c>
      <c r="J1780" s="83">
        <v>3518741512</v>
      </c>
      <c r="K1780" s="180"/>
      <c r="L1780" s="180">
        <v>46021</v>
      </c>
      <c r="M1780" s="180"/>
      <c r="N1780" s="181">
        <v>0.18851039999999999</v>
      </c>
      <c r="O1780" s="181" t="s">
        <v>170</v>
      </c>
      <c r="P1780" s="83" t="s">
        <v>323</v>
      </c>
      <c r="Q1780" s="177" t="s">
        <v>324</v>
      </c>
      <c r="R1780" s="83"/>
    </row>
    <row r="1781" spans="1:18">
      <c r="A1781" s="83">
        <v>80883613</v>
      </c>
      <c r="B1781" s="186" t="s">
        <v>1058</v>
      </c>
      <c r="C1781" s="186" t="s">
        <v>150</v>
      </c>
      <c r="D1781" s="83" t="s">
        <v>428</v>
      </c>
      <c r="E1781" s="83" t="s">
        <v>168</v>
      </c>
      <c r="F1781" s="180">
        <v>46034</v>
      </c>
      <c r="G1781" s="83">
        <v>376</v>
      </c>
      <c r="H1781" s="180">
        <v>46021</v>
      </c>
      <c r="I1781" s="180" t="s">
        <v>202</v>
      </c>
      <c r="J1781" s="83">
        <v>3518741513</v>
      </c>
      <c r="K1781" s="180"/>
      <c r="L1781" s="180">
        <v>46021</v>
      </c>
      <c r="M1781" s="180"/>
      <c r="N1781" s="181">
        <v>0.68153759999999997</v>
      </c>
      <c r="O1781" s="181" t="s">
        <v>170</v>
      </c>
      <c r="P1781" s="83" t="s">
        <v>323</v>
      </c>
      <c r="Q1781" s="177" t="s">
        <v>324</v>
      </c>
      <c r="R1781" s="83"/>
    </row>
    <row r="1782" spans="1:18">
      <c r="A1782" s="83">
        <v>80883613</v>
      </c>
      <c r="B1782" s="186" t="s">
        <v>1058</v>
      </c>
      <c r="C1782" s="186" t="s">
        <v>151</v>
      </c>
      <c r="D1782" s="83" t="s">
        <v>428</v>
      </c>
      <c r="E1782" s="83" t="s">
        <v>168</v>
      </c>
      <c r="F1782" s="180">
        <v>46034</v>
      </c>
      <c r="G1782" s="83">
        <v>461</v>
      </c>
      <c r="H1782" s="180">
        <v>46021</v>
      </c>
      <c r="I1782" s="180" t="s">
        <v>202</v>
      </c>
      <c r="J1782" s="83">
        <v>3518741514</v>
      </c>
      <c r="K1782" s="180"/>
      <c r="L1782" s="180">
        <v>46021</v>
      </c>
      <c r="M1782" s="180"/>
      <c r="N1782" s="181">
        <v>0.83560860000000003</v>
      </c>
      <c r="O1782" s="181" t="s">
        <v>170</v>
      </c>
      <c r="P1782" s="83" t="s">
        <v>323</v>
      </c>
      <c r="Q1782" s="177" t="s">
        <v>324</v>
      </c>
      <c r="R1782" s="83"/>
    </row>
    <row r="1783" spans="1:18">
      <c r="A1783" s="83">
        <v>80883613</v>
      </c>
      <c r="B1783" s="186" t="s">
        <v>1058</v>
      </c>
      <c r="C1783" s="186" t="s">
        <v>152</v>
      </c>
      <c r="D1783" s="83" t="s">
        <v>428</v>
      </c>
      <c r="E1783" s="83" t="s">
        <v>168</v>
      </c>
      <c r="F1783" s="180">
        <v>46034</v>
      </c>
      <c r="G1783" s="83">
        <v>82</v>
      </c>
      <c r="H1783" s="180">
        <v>46021</v>
      </c>
      <c r="I1783" s="180" t="s">
        <v>202</v>
      </c>
      <c r="J1783" s="83">
        <v>3518741515</v>
      </c>
      <c r="K1783" s="180"/>
      <c r="L1783" s="180">
        <v>46021</v>
      </c>
      <c r="M1783" s="180"/>
      <c r="N1783" s="181">
        <v>0.14863319999999999</v>
      </c>
      <c r="O1783" s="181" t="s">
        <v>170</v>
      </c>
      <c r="P1783" s="83" t="s">
        <v>323</v>
      </c>
      <c r="Q1783" s="177" t="s">
        <v>324</v>
      </c>
      <c r="R1783" s="83"/>
    </row>
    <row r="1784" spans="1:18">
      <c r="A1784" s="83">
        <v>80883613</v>
      </c>
      <c r="B1784" s="186" t="s">
        <v>1058</v>
      </c>
      <c r="C1784" s="186" t="s">
        <v>153</v>
      </c>
      <c r="D1784" s="83" t="s">
        <v>428</v>
      </c>
      <c r="E1784" s="83" t="s">
        <v>168</v>
      </c>
      <c r="F1784" s="180">
        <v>46034</v>
      </c>
      <c r="G1784" s="83">
        <v>59</v>
      </c>
      <c r="H1784" s="180">
        <v>46021</v>
      </c>
      <c r="I1784" s="180" t="s">
        <v>202</v>
      </c>
      <c r="J1784" s="83">
        <v>3518741516</v>
      </c>
      <c r="K1784" s="180"/>
      <c r="L1784" s="180">
        <v>46021</v>
      </c>
      <c r="M1784" s="180"/>
      <c r="N1784" s="181">
        <v>0.10694339999999999</v>
      </c>
      <c r="O1784" s="181" t="s">
        <v>170</v>
      </c>
      <c r="P1784" s="83" t="s">
        <v>323</v>
      </c>
      <c r="Q1784" s="177" t="s">
        <v>324</v>
      </c>
      <c r="R1784" s="83"/>
    </row>
    <row r="1785" spans="1:18">
      <c r="A1785" s="83">
        <v>80883613</v>
      </c>
      <c r="B1785" s="186" t="s">
        <v>1058</v>
      </c>
      <c r="C1785" s="186" t="s">
        <v>154</v>
      </c>
      <c r="D1785" s="83" t="s">
        <v>428</v>
      </c>
      <c r="E1785" s="83" t="s">
        <v>168</v>
      </c>
      <c r="F1785" s="180">
        <v>46034</v>
      </c>
      <c r="G1785" s="83">
        <v>31</v>
      </c>
      <c r="H1785" s="180">
        <v>46021</v>
      </c>
      <c r="I1785" s="180" t="s">
        <v>202</v>
      </c>
      <c r="J1785" s="83">
        <v>3518741517</v>
      </c>
      <c r="K1785" s="180"/>
      <c r="L1785" s="180">
        <v>46021</v>
      </c>
      <c r="M1785" s="180"/>
      <c r="N1785" s="181">
        <v>5.61906E-2</v>
      </c>
      <c r="O1785" s="181" t="s">
        <v>170</v>
      </c>
      <c r="P1785" s="83" t="s">
        <v>323</v>
      </c>
      <c r="Q1785" s="177" t="s">
        <v>324</v>
      </c>
      <c r="R1785" s="83"/>
    </row>
    <row r="1786" spans="1:18">
      <c r="A1786" s="83">
        <v>80883613</v>
      </c>
      <c r="B1786" s="186" t="s">
        <v>1058</v>
      </c>
      <c r="C1786" s="186" t="s">
        <v>155</v>
      </c>
      <c r="D1786" s="83" t="s">
        <v>428</v>
      </c>
      <c r="E1786" s="83" t="s">
        <v>168</v>
      </c>
      <c r="F1786" s="180">
        <v>46034</v>
      </c>
      <c r="G1786" s="83">
        <v>201</v>
      </c>
      <c r="H1786" s="180">
        <v>46021</v>
      </c>
      <c r="I1786" s="180" t="s">
        <v>202</v>
      </c>
      <c r="J1786" s="83">
        <v>3518741538</v>
      </c>
      <c r="K1786" s="180"/>
      <c r="L1786" s="180">
        <v>46021</v>
      </c>
      <c r="M1786" s="180"/>
      <c r="N1786" s="181">
        <v>0.36433260000000001</v>
      </c>
      <c r="O1786" s="181" t="s">
        <v>170</v>
      </c>
      <c r="P1786" s="83" t="s">
        <v>323</v>
      </c>
      <c r="Q1786" s="177" t="s">
        <v>324</v>
      </c>
      <c r="R1786" s="83"/>
    </row>
    <row r="1787" spans="1:18">
      <c r="A1787" s="83">
        <v>80883614</v>
      </c>
      <c r="B1787" s="186" t="s">
        <v>1018</v>
      </c>
      <c r="C1787" s="186" t="s">
        <v>143</v>
      </c>
      <c r="D1787" s="83" t="s">
        <v>428</v>
      </c>
      <c r="E1787" s="83" t="s">
        <v>168</v>
      </c>
      <c r="F1787" s="180">
        <v>46034</v>
      </c>
      <c r="G1787" s="83">
        <v>51</v>
      </c>
      <c r="H1787" s="180">
        <v>46021</v>
      </c>
      <c r="I1787" s="180" t="s">
        <v>202</v>
      </c>
      <c r="J1787" s="83">
        <v>3518741539</v>
      </c>
      <c r="K1787" s="180"/>
      <c r="L1787" s="180">
        <v>46021</v>
      </c>
      <c r="M1787" s="180"/>
      <c r="N1787" s="181">
        <v>9.24426E-2</v>
      </c>
      <c r="O1787" s="181" t="s">
        <v>170</v>
      </c>
      <c r="P1787" s="83" t="s">
        <v>323</v>
      </c>
      <c r="Q1787" s="177" t="s">
        <v>324</v>
      </c>
      <c r="R1787" s="83"/>
    </row>
    <row r="1788" spans="1:18">
      <c r="A1788" s="83">
        <v>80883614</v>
      </c>
      <c r="B1788" s="186" t="s">
        <v>1018</v>
      </c>
      <c r="C1788" s="186" t="s">
        <v>150</v>
      </c>
      <c r="D1788" s="83" t="s">
        <v>428</v>
      </c>
      <c r="E1788" s="83" t="s">
        <v>168</v>
      </c>
      <c r="F1788" s="180">
        <v>46034</v>
      </c>
      <c r="G1788" s="83">
        <v>321</v>
      </c>
      <c r="H1788" s="180">
        <v>46021</v>
      </c>
      <c r="I1788" s="180" t="s">
        <v>202</v>
      </c>
      <c r="J1788" s="83">
        <v>3518741540</v>
      </c>
      <c r="K1788" s="180"/>
      <c r="L1788" s="180">
        <v>46021</v>
      </c>
      <c r="M1788" s="180"/>
      <c r="N1788" s="181">
        <v>0.58184460000000005</v>
      </c>
      <c r="O1788" s="181" t="s">
        <v>170</v>
      </c>
      <c r="P1788" s="83" t="s">
        <v>323</v>
      </c>
      <c r="Q1788" s="177" t="s">
        <v>324</v>
      </c>
      <c r="R1788" s="83"/>
    </row>
    <row r="1789" spans="1:18">
      <c r="A1789" s="83">
        <v>80883614</v>
      </c>
      <c r="B1789" s="186" t="s">
        <v>1018</v>
      </c>
      <c r="C1789" s="186" t="s">
        <v>151</v>
      </c>
      <c r="D1789" s="83" t="s">
        <v>428</v>
      </c>
      <c r="E1789" s="83" t="s">
        <v>168</v>
      </c>
      <c r="F1789" s="180">
        <v>46034</v>
      </c>
      <c r="G1789" s="83">
        <v>319</v>
      </c>
      <c r="H1789" s="180">
        <v>46021</v>
      </c>
      <c r="I1789" s="180" t="s">
        <v>202</v>
      </c>
      <c r="J1789" s="83">
        <v>3518741542</v>
      </c>
      <c r="K1789" s="180"/>
      <c r="L1789" s="180">
        <v>46021</v>
      </c>
      <c r="M1789" s="180"/>
      <c r="N1789" s="181">
        <v>0.57821940000000005</v>
      </c>
      <c r="O1789" s="181" t="s">
        <v>170</v>
      </c>
      <c r="P1789" s="83" t="s">
        <v>323</v>
      </c>
      <c r="Q1789" s="177" t="s">
        <v>324</v>
      </c>
      <c r="R1789" s="83"/>
    </row>
    <row r="1790" spans="1:18">
      <c r="A1790" s="83">
        <v>80883614</v>
      </c>
      <c r="B1790" s="186" t="s">
        <v>1018</v>
      </c>
      <c r="C1790" s="186" t="s">
        <v>152</v>
      </c>
      <c r="D1790" s="83" t="s">
        <v>428</v>
      </c>
      <c r="E1790" s="83" t="s">
        <v>168</v>
      </c>
      <c r="F1790" s="180">
        <v>46034</v>
      </c>
      <c r="G1790" s="83">
        <v>32</v>
      </c>
      <c r="H1790" s="180">
        <v>46021</v>
      </c>
      <c r="I1790" s="180" t="s">
        <v>202</v>
      </c>
      <c r="J1790" s="83">
        <v>3518741543</v>
      </c>
      <c r="K1790" s="180"/>
      <c r="L1790" s="180">
        <v>46021</v>
      </c>
      <c r="M1790" s="180"/>
      <c r="N1790" s="181">
        <v>5.8003199999999998E-2</v>
      </c>
      <c r="O1790" s="181" t="s">
        <v>170</v>
      </c>
      <c r="P1790" s="83" t="s">
        <v>323</v>
      </c>
      <c r="Q1790" s="177" t="s">
        <v>324</v>
      </c>
      <c r="R1790" s="83"/>
    </row>
    <row r="1791" spans="1:18">
      <c r="A1791" s="83">
        <v>80883614</v>
      </c>
      <c r="B1791" s="186" t="s">
        <v>1018</v>
      </c>
      <c r="C1791" s="186" t="s">
        <v>153</v>
      </c>
      <c r="D1791" s="83" t="s">
        <v>428</v>
      </c>
      <c r="E1791" s="83" t="s">
        <v>168</v>
      </c>
      <c r="F1791" s="180">
        <v>46034</v>
      </c>
      <c r="G1791" s="83">
        <v>23</v>
      </c>
      <c r="H1791" s="180">
        <v>46021</v>
      </c>
      <c r="I1791" s="180" t="s">
        <v>202</v>
      </c>
      <c r="J1791" s="83">
        <v>3518741544</v>
      </c>
      <c r="K1791" s="180"/>
      <c r="L1791" s="180">
        <v>46021</v>
      </c>
      <c r="M1791" s="180"/>
      <c r="N1791" s="181">
        <v>4.1689799999999999E-2</v>
      </c>
      <c r="O1791" s="181" t="s">
        <v>170</v>
      </c>
      <c r="P1791" s="83" t="s">
        <v>323</v>
      </c>
      <c r="Q1791" s="177" t="s">
        <v>324</v>
      </c>
      <c r="R1791" s="83"/>
    </row>
    <row r="1792" spans="1:18">
      <c r="A1792" s="83">
        <v>80883614</v>
      </c>
      <c r="B1792" s="186" t="s">
        <v>1018</v>
      </c>
      <c r="C1792" s="186" t="s">
        <v>154</v>
      </c>
      <c r="D1792" s="83" t="s">
        <v>428</v>
      </c>
      <c r="E1792" s="83" t="s">
        <v>168</v>
      </c>
      <c r="F1792" s="180">
        <v>46034</v>
      </c>
      <c r="G1792" s="83">
        <v>25</v>
      </c>
      <c r="H1792" s="180">
        <v>46021</v>
      </c>
      <c r="I1792" s="180" t="s">
        <v>202</v>
      </c>
      <c r="J1792" s="83">
        <v>3518741545</v>
      </c>
      <c r="K1792" s="180"/>
      <c r="L1792" s="180">
        <v>46021</v>
      </c>
      <c r="M1792" s="180"/>
      <c r="N1792" s="181">
        <v>4.5315000000000001E-2</v>
      </c>
      <c r="O1792" s="181" t="s">
        <v>170</v>
      </c>
      <c r="P1792" s="83" t="s">
        <v>323</v>
      </c>
      <c r="Q1792" s="177" t="s">
        <v>324</v>
      </c>
      <c r="R1792" s="83"/>
    </row>
    <row r="1793" spans="1:18">
      <c r="A1793" s="83">
        <v>80883614</v>
      </c>
      <c r="B1793" s="186" t="s">
        <v>1018</v>
      </c>
      <c r="C1793" s="186" t="s">
        <v>155</v>
      </c>
      <c r="D1793" s="83" t="s">
        <v>428</v>
      </c>
      <c r="E1793" s="83" t="s">
        <v>168</v>
      </c>
      <c r="F1793" s="180">
        <v>46034</v>
      </c>
      <c r="G1793" s="83">
        <v>183</v>
      </c>
      <c r="H1793" s="180">
        <v>46021</v>
      </c>
      <c r="I1793" s="180" t="s">
        <v>202</v>
      </c>
      <c r="J1793" s="83">
        <v>3518741546</v>
      </c>
      <c r="K1793" s="180"/>
      <c r="L1793" s="180">
        <v>46021</v>
      </c>
      <c r="M1793" s="180"/>
      <c r="N1793" s="181">
        <v>0.3317058</v>
      </c>
      <c r="O1793" s="181" t="s">
        <v>170</v>
      </c>
      <c r="P1793" s="83" t="s">
        <v>323</v>
      </c>
      <c r="Q1793" s="177" t="s">
        <v>324</v>
      </c>
      <c r="R1793" s="83"/>
    </row>
    <row r="1794" spans="1:18">
      <c r="A1794" s="83">
        <v>80754072</v>
      </c>
      <c r="B1794" s="186" t="s">
        <v>1125</v>
      </c>
      <c r="C1794" s="186" t="s">
        <v>143</v>
      </c>
      <c r="D1794" s="83" t="s">
        <v>428</v>
      </c>
      <c r="E1794" s="83" t="s">
        <v>168</v>
      </c>
      <c r="F1794" s="180">
        <v>46034</v>
      </c>
      <c r="G1794" s="83">
        <v>7</v>
      </c>
      <c r="H1794" s="180">
        <v>46021</v>
      </c>
      <c r="I1794" s="180" t="s">
        <v>202</v>
      </c>
      <c r="J1794" s="83">
        <v>3518741547</v>
      </c>
      <c r="K1794" s="180"/>
      <c r="L1794" s="180">
        <v>46021</v>
      </c>
      <c r="M1794" s="180"/>
      <c r="N1794" s="181">
        <v>2.3790200000000001E-2</v>
      </c>
      <c r="O1794" s="181" t="s">
        <v>170</v>
      </c>
      <c r="P1794" s="83" t="s">
        <v>323</v>
      </c>
      <c r="Q1794" s="177" t="s">
        <v>324</v>
      </c>
      <c r="R1794" s="83"/>
    </row>
    <row r="1795" spans="1:18">
      <c r="A1795" s="83">
        <v>80754072</v>
      </c>
      <c r="B1795" s="186" t="s">
        <v>1125</v>
      </c>
      <c r="C1795" s="186" t="s">
        <v>150</v>
      </c>
      <c r="D1795" s="83" t="s">
        <v>428</v>
      </c>
      <c r="E1795" s="83" t="s">
        <v>168</v>
      </c>
      <c r="F1795" s="180">
        <v>46034</v>
      </c>
      <c r="G1795" s="83">
        <v>67</v>
      </c>
      <c r="H1795" s="180">
        <v>46021</v>
      </c>
      <c r="I1795" s="180" t="s">
        <v>202</v>
      </c>
      <c r="J1795" s="83">
        <v>3518741548</v>
      </c>
      <c r="K1795" s="180"/>
      <c r="L1795" s="180">
        <v>46021</v>
      </c>
      <c r="M1795" s="180"/>
      <c r="N1795" s="181">
        <v>0.2277062</v>
      </c>
      <c r="O1795" s="181" t="s">
        <v>170</v>
      </c>
      <c r="P1795" s="83" t="s">
        <v>323</v>
      </c>
      <c r="Q1795" s="177" t="s">
        <v>324</v>
      </c>
      <c r="R1795" s="83"/>
    </row>
    <row r="1796" spans="1:18">
      <c r="A1796" s="83">
        <v>80754072</v>
      </c>
      <c r="B1796" s="186" t="s">
        <v>1125</v>
      </c>
      <c r="C1796" s="186" t="s">
        <v>151</v>
      </c>
      <c r="D1796" s="83" t="s">
        <v>428</v>
      </c>
      <c r="E1796" s="83" t="s">
        <v>168</v>
      </c>
      <c r="F1796" s="180">
        <v>46034</v>
      </c>
      <c r="G1796" s="83">
        <v>191</v>
      </c>
      <c r="H1796" s="180">
        <v>46021</v>
      </c>
      <c r="I1796" s="180" t="s">
        <v>202</v>
      </c>
      <c r="J1796" s="83">
        <v>3518741549</v>
      </c>
      <c r="K1796" s="180"/>
      <c r="L1796" s="180">
        <v>46021</v>
      </c>
      <c r="M1796" s="180"/>
      <c r="N1796" s="181">
        <v>0.64913259999999995</v>
      </c>
      <c r="O1796" s="181" t="s">
        <v>170</v>
      </c>
      <c r="P1796" s="83" t="s">
        <v>323</v>
      </c>
      <c r="Q1796" s="177" t="s">
        <v>324</v>
      </c>
      <c r="R1796" s="83"/>
    </row>
    <row r="1797" spans="1:18">
      <c r="A1797" s="83">
        <v>80754072</v>
      </c>
      <c r="B1797" s="186" t="s">
        <v>1125</v>
      </c>
      <c r="C1797" s="186" t="s">
        <v>152</v>
      </c>
      <c r="D1797" s="83" t="s">
        <v>428</v>
      </c>
      <c r="E1797" s="83" t="s">
        <v>168</v>
      </c>
      <c r="F1797" s="180">
        <v>46034</v>
      </c>
      <c r="G1797" s="83">
        <v>37</v>
      </c>
      <c r="H1797" s="180">
        <v>46021</v>
      </c>
      <c r="I1797" s="180" t="s">
        <v>202</v>
      </c>
      <c r="J1797" s="83">
        <v>3518741550</v>
      </c>
      <c r="K1797" s="180"/>
      <c r="L1797" s="180">
        <v>46021</v>
      </c>
      <c r="M1797" s="180"/>
      <c r="N1797" s="181">
        <v>0.1257482</v>
      </c>
      <c r="O1797" s="181" t="s">
        <v>170</v>
      </c>
      <c r="P1797" s="83" t="s">
        <v>323</v>
      </c>
      <c r="Q1797" s="177" t="s">
        <v>324</v>
      </c>
      <c r="R1797" s="83"/>
    </row>
    <row r="1798" spans="1:18">
      <c r="A1798" s="83">
        <v>80754072</v>
      </c>
      <c r="B1798" s="186" t="s">
        <v>1125</v>
      </c>
      <c r="C1798" s="186" t="s">
        <v>153</v>
      </c>
      <c r="D1798" s="83" t="s">
        <v>428</v>
      </c>
      <c r="E1798" s="83" t="s">
        <v>168</v>
      </c>
      <c r="F1798" s="180">
        <v>46034</v>
      </c>
      <c r="G1798" s="83">
        <v>8</v>
      </c>
      <c r="H1798" s="180">
        <v>46021</v>
      </c>
      <c r="I1798" s="180" t="s">
        <v>202</v>
      </c>
      <c r="J1798" s="83">
        <v>3518741551</v>
      </c>
      <c r="K1798" s="180"/>
      <c r="L1798" s="180">
        <v>46021</v>
      </c>
      <c r="M1798" s="180"/>
      <c r="N1798" s="181">
        <v>2.7188799999999999E-2</v>
      </c>
      <c r="O1798" s="181" t="s">
        <v>170</v>
      </c>
      <c r="P1798" s="83" t="s">
        <v>323</v>
      </c>
      <c r="Q1798" s="177" t="s">
        <v>324</v>
      </c>
      <c r="R1798" s="83"/>
    </row>
    <row r="1799" spans="1:18">
      <c r="A1799" s="83">
        <v>80754072</v>
      </c>
      <c r="B1799" s="186" t="s">
        <v>1125</v>
      </c>
      <c r="C1799" s="186" t="s">
        <v>154</v>
      </c>
      <c r="D1799" s="83" t="s">
        <v>428</v>
      </c>
      <c r="E1799" s="83" t="s">
        <v>168</v>
      </c>
      <c r="F1799" s="180">
        <v>46034</v>
      </c>
      <c r="G1799" s="83">
        <v>9</v>
      </c>
      <c r="H1799" s="180">
        <v>46021</v>
      </c>
      <c r="I1799" s="180" t="s">
        <v>202</v>
      </c>
      <c r="J1799" s="83">
        <v>3518741552</v>
      </c>
      <c r="K1799" s="180"/>
      <c r="L1799" s="180">
        <v>46021</v>
      </c>
      <c r="M1799" s="180"/>
      <c r="N1799" s="181">
        <v>3.0587400000000001E-2</v>
      </c>
      <c r="O1799" s="181" t="s">
        <v>170</v>
      </c>
      <c r="P1799" s="83" t="s">
        <v>323</v>
      </c>
      <c r="Q1799" s="177" t="s">
        <v>324</v>
      </c>
      <c r="R1799" s="83"/>
    </row>
    <row r="1800" spans="1:18">
      <c r="A1800" s="83">
        <v>80754072</v>
      </c>
      <c r="B1800" s="186" t="s">
        <v>1125</v>
      </c>
      <c r="C1800" s="186" t="s">
        <v>155</v>
      </c>
      <c r="D1800" s="83" t="s">
        <v>428</v>
      </c>
      <c r="E1800" s="83" t="s">
        <v>168</v>
      </c>
      <c r="F1800" s="180">
        <v>46034</v>
      </c>
      <c r="G1800" s="83">
        <v>252</v>
      </c>
      <c r="H1800" s="180">
        <v>46021</v>
      </c>
      <c r="I1800" s="180" t="s">
        <v>202</v>
      </c>
      <c r="J1800" s="83">
        <v>3518741553</v>
      </c>
      <c r="K1800" s="180"/>
      <c r="L1800" s="180">
        <v>46021</v>
      </c>
      <c r="M1800" s="180"/>
      <c r="N1800" s="181">
        <v>0.85644719999999996</v>
      </c>
      <c r="O1800" s="181" t="s">
        <v>170</v>
      </c>
      <c r="P1800" s="83" t="s">
        <v>323</v>
      </c>
      <c r="Q1800" s="177" t="s">
        <v>324</v>
      </c>
      <c r="R1800" s="83"/>
    </row>
    <row r="1801" spans="1:18">
      <c r="A1801" s="83">
        <v>80754087</v>
      </c>
      <c r="B1801" s="186" t="s">
        <v>1133</v>
      </c>
      <c r="C1801" s="186" t="s">
        <v>143</v>
      </c>
      <c r="D1801" s="83" t="s">
        <v>428</v>
      </c>
      <c r="E1801" s="83" t="s">
        <v>168</v>
      </c>
      <c r="F1801" s="180">
        <v>46034</v>
      </c>
      <c r="G1801" s="83">
        <v>15</v>
      </c>
      <c r="H1801" s="180">
        <v>46021</v>
      </c>
      <c r="I1801" s="180" t="s">
        <v>202</v>
      </c>
      <c r="J1801" s="83">
        <v>3518741554</v>
      </c>
      <c r="K1801" s="180"/>
      <c r="L1801" s="180">
        <v>46021</v>
      </c>
      <c r="M1801" s="180"/>
      <c r="N1801" s="181">
        <v>5.0978999999999997E-2</v>
      </c>
      <c r="O1801" s="181" t="s">
        <v>170</v>
      </c>
      <c r="P1801" s="83" t="s">
        <v>323</v>
      </c>
      <c r="Q1801" s="177" t="s">
        <v>324</v>
      </c>
      <c r="R1801" s="83"/>
    </row>
    <row r="1802" spans="1:18">
      <c r="A1802" s="83">
        <v>80754087</v>
      </c>
      <c r="B1802" s="186" t="s">
        <v>1133</v>
      </c>
      <c r="C1802" s="186" t="s">
        <v>150</v>
      </c>
      <c r="D1802" s="83" t="s">
        <v>428</v>
      </c>
      <c r="E1802" s="83" t="s">
        <v>168</v>
      </c>
      <c r="F1802" s="180">
        <v>46034</v>
      </c>
      <c r="G1802" s="83">
        <v>56</v>
      </c>
      <c r="H1802" s="180">
        <v>46021</v>
      </c>
      <c r="I1802" s="180" t="s">
        <v>202</v>
      </c>
      <c r="J1802" s="83">
        <v>3518741555</v>
      </c>
      <c r="K1802" s="180"/>
      <c r="L1802" s="180">
        <v>46021</v>
      </c>
      <c r="M1802" s="180"/>
      <c r="N1802" s="181">
        <v>0.19032160000000001</v>
      </c>
      <c r="O1802" s="181" t="s">
        <v>170</v>
      </c>
      <c r="P1802" s="83" t="s">
        <v>323</v>
      </c>
      <c r="Q1802" s="177" t="s">
        <v>324</v>
      </c>
      <c r="R1802" s="83"/>
    </row>
    <row r="1803" spans="1:18">
      <c r="A1803" s="83">
        <v>80754087</v>
      </c>
      <c r="B1803" s="186" t="s">
        <v>1133</v>
      </c>
      <c r="C1803" s="186" t="s">
        <v>151</v>
      </c>
      <c r="D1803" s="83" t="s">
        <v>428</v>
      </c>
      <c r="E1803" s="83" t="s">
        <v>168</v>
      </c>
      <c r="F1803" s="180">
        <v>46034</v>
      </c>
      <c r="G1803" s="83">
        <v>241</v>
      </c>
      <c r="H1803" s="180">
        <v>46021</v>
      </c>
      <c r="I1803" s="180" t="s">
        <v>202</v>
      </c>
      <c r="J1803" s="83">
        <v>3518741556</v>
      </c>
      <c r="K1803" s="180"/>
      <c r="L1803" s="180">
        <v>46021</v>
      </c>
      <c r="M1803" s="180"/>
      <c r="N1803" s="181">
        <v>0.81906259999999997</v>
      </c>
      <c r="O1803" s="181" t="s">
        <v>170</v>
      </c>
      <c r="P1803" s="83" t="s">
        <v>323</v>
      </c>
      <c r="Q1803" s="177" t="s">
        <v>324</v>
      </c>
      <c r="R1803" s="83"/>
    </row>
    <row r="1804" spans="1:18">
      <c r="A1804" s="83">
        <v>80754087</v>
      </c>
      <c r="B1804" s="186" t="s">
        <v>1133</v>
      </c>
      <c r="C1804" s="186" t="s">
        <v>152</v>
      </c>
      <c r="D1804" s="83" t="s">
        <v>428</v>
      </c>
      <c r="E1804" s="83" t="s">
        <v>168</v>
      </c>
      <c r="F1804" s="180">
        <v>46034</v>
      </c>
      <c r="G1804" s="83">
        <v>18</v>
      </c>
      <c r="H1804" s="180">
        <v>46021</v>
      </c>
      <c r="I1804" s="180" t="s">
        <v>202</v>
      </c>
      <c r="J1804" s="83">
        <v>3518741557</v>
      </c>
      <c r="K1804" s="180"/>
      <c r="L1804" s="180">
        <v>46021</v>
      </c>
      <c r="M1804" s="180"/>
      <c r="N1804" s="181">
        <v>6.1174800000000001E-2</v>
      </c>
      <c r="O1804" s="181" t="s">
        <v>170</v>
      </c>
      <c r="P1804" s="83" t="s">
        <v>323</v>
      </c>
      <c r="Q1804" s="177" t="s">
        <v>324</v>
      </c>
      <c r="R1804" s="83"/>
    </row>
    <row r="1805" spans="1:18">
      <c r="A1805" s="83">
        <v>80754087</v>
      </c>
      <c r="B1805" s="186" t="s">
        <v>1133</v>
      </c>
      <c r="C1805" s="186" t="s">
        <v>153</v>
      </c>
      <c r="D1805" s="83" t="s">
        <v>428</v>
      </c>
      <c r="E1805" s="83" t="s">
        <v>168</v>
      </c>
      <c r="F1805" s="180">
        <v>46034</v>
      </c>
      <c r="G1805" s="83">
        <v>8</v>
      </c>
      <c r="H1805" s="180">
        <v>46021</v>
      </c>
      <c r="I1805" s="180" t="s">
        <v>202</v>
      </c>
      <c r="J1805" s="83">
        <v>3518741558</v>
      </c>
      <c r="K1805" s="180"/>
      <c r="L1805" s="180">
        <v>46021</v>
      </c>
      <c r="M1805" s="180"/>
      <c r="N1805" s="181">
        <v>2.7188799999999999E-2</v>
      </c>
      <c r="O1805" s="181" t="s">
        <v>170</v>
      </c>
      <c r="P1805" s="83" t="s">
        <v>323</v>
      </c>
      <c r="Q1805" s="177" t="s">
        <v>324</v>
      </c>
      <c r="R1805" s="83"/>
    </row>
    <row r="1806" spans="1:18">
      <c r="A1806" s="83">
        <v>80754087</v>
      </c>
      <c r="B1806" s="186" t="s">
        <v>1133</v>
      </c>
      <c r="C1806" s="186" t="s">
        <v>154</v>
      </c>
      <c r="D1806" s="83" t="s">
        <v>428</v>
      </c>
      <c r="E1806" s="83" t="s">
        <v>168</v>
      </c>
      <c r="F1806" s="180">
        <v>46034</v>
      </c>
      <c r="G1806" s="83">
        <v>7</v>
      </c>
      <c r="H1806" s="180">
        <v>46021</v>
      </c>
      <c r="I1806" s="180" t="s">
        <v>202</v>
      </c>
      <c r="J1806" s="83">
        <v>3518741559</v>
      </c>
      <c r="K1806" s="180"/>
      <c r="L1806" s="180">
        <v>46021</v>
      </c>
      <c r="M1806" s="180"/>
      <c r="N1806" s="181">
        <v>2.3790200000000001E-2</v>
      </c>
      <c r="O1806" s="181" t="s">
        <v>170</v>
      </c>
      <c r="P1806" s="83" t="s">
        <v>323</v>
      </c>
      <c r="Q1806" s="177" t="s">
        <v>324</v>
      </c>
      <c r="R1806" s="83"/>
    </row>
    <row r="1807" spans="1:18">
      <c r="A1807" s="83">
        <v>80754087</v>
      </c>
      <c r="B1807" s="186" t="s">
        <v>1133</v>
      </c>
      <c r="C1807" s="186" t="s">
        <v>155</v>
      </c>
      <c r="D1807" s="83" t="s">
        <v>428</v>
      </c>
      <c r="E1807" s="83" t="s">
        <v>168</v>
      </c>
      <c r="F1807" s="180">
        <v>46034</v>
      </c>
      <c r="G1807" s="83">
        <v>425</v>
      </c>
      <c r="H1807" s="180">
        <v>46021</v>
      </c>
      <c r="I1807" s="180" t="s">
        <v>202</v>
      </c>
      <c r="J1807" s="83">
        <v>3518741560</v>
      </c>
      <c r="K1807" s="180"/>
      <c r="L1807" s="180">
        <v>46021</v>
      </c>
      <c r="M1807" s="180"/>
      <c r="N1807" s="181">
        <v>1.4444049999999999</v>
      </c>
      <c r="O1807" s="181" t="s">
        <v>170</v>
      </c>
      <c r="P1807" s="83" t="s">
        <v>323</v>
      </c>
      <c r="Q1807" s="177" t="s">
        <v>324</v>
      </c>
      <c r="R1807" s="83"/>
    </row>
    <row r="1808" spans="1:18">
      <c r="A1808" s="83">
        <v>80883615</v>
      </c>
      <c r="B1808" s="186" t="s">
        <v>1141</v>
      </c>
      <c r="C1808" s="186" t="s">
        <v>143</v>
      </c>
      <c r="D1808" s="83" t="s">
        <v>428</v>
      </c>
      <c r="E1808" s="83" t="s">
        <v>168</v>
      </c>
      <c r="F1808" s="180">
        <v>46034</v>
      </c>
      <c r="G1808" s="83">
        <v>98</v>
      </c>
      <c r="H1808" s="180">
        <v>46021</v>
      </c>
      <c r="I1808" s="180" t="s">
        <v>202</v>
      </c>
      <c r="J1808" s="83">
        <v>3518741561</v>
      </c>
      <c r="K1808" s="180"/>
      <c r="L1808" s="180">
        <v>46021</v>
      </c>
      <c r="M1808" s="180"/>
      <c r="N1808" s="181">
        <v>0.33306279999999999</v>
      </c>
      <c r="O1808" s="181" t="s">
        <v>170</v>
      </c>
      <c r="P1808" s="83" t="s">
        <v>323</v>
      </c>
      <c r="Q1808" s="177" t="s">
        <v>324</v>
      </c>
      <c r="R1808" s="83"/>
    </row>
    <row r="1809" spans="1:18">
      <c r="A1809" s="83">
        <v>80883615</v>
      </c>
      <c r="B1809" s="186" t="s">
        <v>1141</v>
      </c>
      <c r="C1809" s="186" t="s">
        <v>150</v>
      </c>
      <c r="D1809" s="83" t="s">
        <v>428</v>
      </c>
      <c r="E1809" s="83" t="s">
        <v>168</v>
      </c>
      <c r="F1809" s="180">
        <v>46034</v>
      </c>
      <c r="G1809" s="83">
        <v>804</v>
      </c>
      <c r="H1809" s="180">
        <v>46021</v>
      </c>
      <c r="I1809" s="180" t="s">
        <v>202</v>
      </c>
      <c r="J1809" s="83">
        <v>3518741562</v>
      </c>
      <c r="K1809" s="180"/>
      <c r="L1809" s="180">
        <v>46021</v>
      </c>
      <c r="M1809" s="180"/>
      <c r="N1809" s="181">
        <v>2.7324744000000001</v>
      </c>
      <c r="O1809" s="181" t="s">
        <v>170</v>
      </c>
      <c r="P1809" s="83" t="s">
        <v>323</v>
      </c>
      <c r="Q1809" s="177" t="s">
        <v>324</v>
      </c>
      <c r="R1809" s="83"/>
    </row>
    <row r="1810" spans="1:18">
      <c r="A1810" s="83">
        <v>80883615</v>
      </c>
      <c r="B1810" s="186" t="s">
        <v>1141</v>
      </c>
      <c r="C1810" s="186" t="s">
        <v>151</v>
      </c>
      <c r="D1810" s="83" t="s">
        <v>428</v>
      </c>
      <c r="E1810" s="83" t="s">
        <v>168</v>
      </c>
      <c r="F1810" s="180">
        <v>46034</v>
      </c>
      <c r="G1810" s="83">
        <v>1513</v>
      </c>
      <c r="H1810" s="180">
        <v>46021</v>
      </c>
      <c r="I1810" s="180" t="s">
        <v>202</v>
      </c>
      <c r="J1810" s="83">
        <v>3518741563</v>
      </c>
      <c r="K1810" s="180"/>
      <c r="L1810" s="180">
        <v>46021</v>
      </c>
      <c r="M1810" s="180"/>
      <c r="N1810" s="181">
        <v>5.1420817999999997</v>
      </c>
      <c r="O1810" s="181" t="s">
        <v>170</v>
      </c>
      <c r="P1810" s="83" t="s">
        <v>323</v>
      </c>
      <c r="Q1810" s="177" t="s">
        <v>324</v>
      </c>
      <c r="R1810" s="83"/>
    </row>
    <row r="1811" spans="1:18">
      <c r="A1811" s="83">
        <v>80883615</v>
      </c>
      <c r="B1811" s="186" t="s">
        <v>1141</v>
      </c>
      <c r="C1811" s="186" t="s">
        <v>152</v>
      </c>
      <c r="D1811" s="83" t="s">
        <v>428</v>
      </c>
      <c r="E1811" s="83" t="s">
        <v>168</v>
      </c>
      <c r="F1811" s="180">
        <v>46034</v>
      </c>
      <c r="G1811" s="83">
        <v>146</v>
      </c>
      <c r="H1811" s="180">
        <v>46021</v>
      </c>
      <c r="I1811" s="180" t="s">
        <v>202</v>
      </c>
      <c r="J1811" s="83">
        <v>3518741564</v>
      </c>
      <c r="K1811" s="180"/>
      <c r="L1811" s="180">
        <v>46021</v>
      </c>
      <c r="M1811" s="180"/>
      <c r="N1811" s="181">
        <v>0.49619560000000001</v>
      </c>
      <c r="O1811" s="181" t="s">
        <v>170</v>
      </c>
      <c r="P1811" s="83" t="s">
        <v>323</v>
      </c>
      <c r="Q1811" s="177" t="s">
        <v>324</v>
      </c>
      <c r="R1811" s="83"/>
    </row>
    <row r="1812" spans="1:18">
      <c r="A1812" s="83">
        <v>80883615</v>
      </c>
      <c r="B1812" s="186" t="s">
        <v>1141</v>
      </c>
      <c r="C1812" s="186" t="s">
        <v>153</v>
      </c>
      <c r="D1812" s="83" t="s">
        <v>428</v>
      </c>
      <c r="E1812" s="83" t="s">
        <v>168</v>
      </c>
      <c r="F1812" s="180">
        <v>46034</v>
      </c>
      <c r="G1812" s="83">
        <v>68</v>
      </c>
      <c r="H1812" s="180">
        <v>46021</v>
      </c>
      <c r="I1812" s="180" t="s">
        <v>202</v>
      </c>
      <c r="J1812" s="83">
        <v>3518741565</v>
      </c>
      <c r="K1812" s="180"/>
      <c r="L1812" s="180">
        <v>46021</v>
      </c>
      <c r="M1812" s="180"/>
      <c r="N1812" s="181">
        <v>0.2311048</v>
      </c>
      <c r="O1812" s="181" t="s">
        <v>170</v>
      </c>
      <c r="P1812" s="83" t="s">
        <v>323</v>
      </c>
      <c r="Q1812" s="177" t="s">
        <v>324</v>
      </c>
      <c r="R1812" s="83"/>
    </row>
    <row r="1813" spans="1:18">
      <c r="A1813" s="83">
        <v>80883615</v>
      </c>
      <c r="B1813" s="186" t="s">
        <v>1141</v>
      </c>
      <c r="C1813" s="186" t="s">
        <v>154</v>
      </c>
      <c r="D1813" s="83" t="s">
        <v>428</v>
      </c>
      <c r="E1813" s="83" t="s">
        <v>168</v>
      </c>
      <c r="F1813" s="180">
        <v>46034</v>
      </c>
      <c r="G1813" s="83">
        <v>67</v>
      </c>
      <c r="H1813" s="180">
        <v>46021</v>
      </c>
      <c r="I1813" s="180" t="s">
        <v>202</v>
      </c>
      <c r="J1813" s="83">
        <v>3518741566</v>
      </c>
      <c r="K1813" s="180"/>
      <c r="L1813" s="180">
        <v>46021</v>
      </c>
      <c r="M1813" s="180"/>
      <c r="N1813" s="181">
        <v>0.2277062</v>
      </c>
      <c r="O1813" s="181" t="s">
        <v>170</v>
      </c>
      <c r="P1813" s="83" t="s">
        <v>323</v>
      </c>
      <c r="Q1813" s="177" t="s">
        <v>324</v>
      </c>
      <c r="R1813" s="83"/>
    </row>
    <row r="1814" spans="1:18">
      <c r="A1814" s="83">
        <v>80883615</v>
      </c>
      <c r="B1814" s="186" t="s">
        <v>1141</v>
      </c>
      <c r="C1814" s="186" t="s">
        <v>155</v>
      </c>
      <c r="D1814" s="83" t="s">
        <v>428</v>
      </c>
      <c r="E1814" s="83" t="s">
        <v>168</v>
      </c>
      <c r="F1814" s="180">
        <v>46034</v>
      </c>
      <c r="G1814" s="83">
        <v>1384</v>
      </c>
      <c r="H1814" s="180">
        <v>46021</v>
      </c>
      <c r="I1814" s="180" t="s">
        <v>202</v>
      </c>
      <c r="J1814" s="83">
        <v>3518741567</v>
      </c>
      <c r="K1814" s="180"/>
      <c r="L1814" s="180">
        <v>46021</v>
      </c>
      <c r="M1814" s="180"/>
      <c r="N1814" s="181">
        <v>4.7036623999999998</v>
      </c>
      <c r="O1814" s="181" t="s">
        <v>170</v>
      </c>
      <c r="P1814" s="83" t="s">
        <v>323</v>
      </c>
      <c r="Q1814" s="177" t="s">
        <v>324</v>
      </c>
      <c r="R1814" s="83"/>
    </row>
    <row r="1815" spans="1:18">
      <c r="A1815" s="83">
        <v>80880192</v>
      </c>
      <c r="B1815" s="186" t="s">
        <v>1149</v>
      </c>
      <c r="C1815" s="186" t="s">
        <v>143</v>
      </c>
      <c r="D1815" s="83" t="s">
        <v>428</v>
      </c>
      <c r="E1815" s="83" t="s">
        <v>168</v>
      </c>
      <c r="F1815" s="180">
        <v>46034</v>
      </c>
      <c r="G1815" s="83">
        <v>27</v>
      </c>
      <c r="H1815" s="180">
        <v>46021</v>
      </c>
      <c r="I1815" s="180" t="s">
        <v>202</v>
      </c>
      <c r="J1815" s="83">
        <v>3518741568</v>
      </c>
      <c r="K1815" s="180"/>
      <c r="L1815" s="180">
        <v>46021</v>
      </c>
      <c r="M1815" s="180"/>
      <c r="N1815" s="181">
        <v>9.1762200000000002E-2</v>
      </c>
      <c r="O1815" s="181" t="s">
        <v>170</v>
      </c>
      <c r="P1815" s="83" t="s">
        <v>323</v>
      </c>
      <c r="Q1815" s="177" t="s">
        <v>324</v>
      </c>
      <c r="R1815" s="83"/>
    </row>
    <row r="1816" spans="1:18">
      <c r="A1816" s="83">
        <v>80880192</v>
      </c>
      <c r="B1816" s="186" t="s">
        <v>1149</v>
      </c>
      <c r="C1816" s="186" t="s">
        <v>150</v>
      </c>
      <c r="D1816" s="83" t="s">
        <v>428</v>
      </c>
      <c r="E1816" s="83" t="s">
        <v>168</v>
      </c>
      <c r="F1816" s="180">
        <v>46034</v>
      </c>
      <c r="G1816" s="83">
        <v>141</v>
      </c>
      <c r="H1816" s="180">
        <v>46021</v>
      </c>
      <c r="I1816" s="180" t="s">
        <v>202</v>
      </c>
      <c r="J1816" s="83">
        <v>3518741569</v>
      </c>
      <c r="K1816" s="180"/>
      <c r="L1816" s="180">
        <v>46021</v>
      </c>
      <c r="M1816" s="180"/>
      <c r="N1816" s="181">
        <v>0.47920259999999998</v>
      </c>
      <c r="O1816" s="181" t="s">
        <v>170</v>
      </c>
      <c r="P1816" s="83" t="s">
        <v>323</v>
      </c>
      <c r="Q1816" s="177" t="s">
        <v>324</v>
      </c>
      <c r="R1816" s="83"/>
    </row>
    <row r="1817" spans="1:18">
      <c r="A1817" s="83">
        <v>80880192</v>
      </c>
      <c r="B1817" s="186" t="s">
        <v>1149</v>
      </c>
      <c r="C1817" s="186" t="s">
        <v>151</v>
      </c>
      <c r="D1817" s="83" t="s">
        <v>428</v>
      </c>
      <c r="E1817" s="83" t="s">
        <v>168</v>
      </c>
      <c r="F1817" s="180">
        <v>46034</v>
      </c>
      <c r="G1817" s="83">
        <v>412</v>
      </c>
      <c r="H1817" s="180">
        <v>46021</v>
      </c>
      <c r="I1817" s="180" t="s">
        <v>202</v>
      </c>
      <c r="J1817" s="83">
        <v>3518741570</v>
      </c>
      <c r="K1817" s="180"/>
      <c r="L1817" s="180">
        <v>46021</v>
      </c>
      <c r="M1817" s="180"/>
      <c r="N1817" s="181">
        <v>1.4002231999999999</v>
      </c>
      <c r="O1817" s="181" t="s">
        <v>170</v>
      </c>
      <c r="P1817" s="83" t="s">
        <v>323</v>
      </c>
      <c r="Q1817" s="177" t="s">
        <v>324</v>
      </c>
      <c r="R1817" s="83"/>
    </row>
    <row r="1818" spans="1:18">
      <c r="A1818" s="83">
        <v>80880192</v>
      </c>
      <c r="B1818" s="186" t="s">
        <v>1149</v>
      </c>
      <c r="C1818" s="186" t="s">
        <v>152</v>
      </c>
      <c r="D1818" s="83" t="s">
        <v>428</v>
      </c>
      <c r="E1818" s="83" t="s">
        <v>168</v>
      </c>
      <c r="F1818" s="180">
        <v>46034</v>
      </c>
      <c r="G1818" s="83">
        <v>55</v>
      </c>
      <c r="H1818" s="180">
        <v>46021</v>
      </c>
      <c r="I1818" s="180" t="s">
        <v>202</v>
      </c>
      <c r="J1818" s="83">
        <v>3518741571</v>
      </c>
      <c r="K1818" s="180"/>
      <c r="L1818" s="180">
        <v>46021</v>
      </c>
      <c r="M1818" s="180"/>
      <c r="N1818" s="181">
        <v>0.18692300000000001</v>
      </c>
      <c r="O1818" s="181" t="s">
        <v>170</v>
      </c>
      <c r="P1818" s="83" t="s">
        <v>323</v>
      </c>
      <c r="Q1818" s="177" t="s">
        <v>324</v>
      </c>
      <c r="R1818" s="83"/>
    </row>
    <row r="1819" spans="1:18">
      <c r="A1819" s="83">
        <v>80880192</v>
      </c>
      <c r="B1819" s="186" t="s">
        <v>1149</v>
      </c>
      <c r="C1819" s="186" t="s">
        <v>153</v>
      </c>
      <c r="D1819" s="83" t="s">
        <v>428</v>
      </c>
      <c r="E1819" s="83" t="s">
        <v>168</v>
      </c>
      <c r="F1819" s="180">
        <v>46034</v>
      </c>
      <c r="G1819" s="83">
        <v>17</v>
      </c>
      <c r="H1819" s="180">
        <v>46021</v>
      </c>
      <c r="I1819" s="180" t="s">
        <v>202</v>
      </c>
      <c r="J1819" s="83">
        <v>3518741572</v>
      </c>
      <c r="K1819" s="180"/>
      <c r="L1819" s="180">
        <v>46021</v>
      </c>
      <c r="M1819" s="180"/>
      <c r="N1819" s="181">
        <v>5.77762E-2</v>
      </c>
      <c r="O1819" s="181" t="s">
        <v>170</v>
      </c>
      <c r="P1819" s="83" t="s">
        <v>323</v>
      </c>
      <c r="Q1819" s="177" t="s">
        <v>324</v>
      </c>
      <c r="R1819" s="83"/>
    </row>
    <row r="1820" spans="1:18">
      <c r="A1820" s="83">
        <v>80880192</v>
      </c>
      <c r="B1820" s="186" t="s">
        <v>1149</v>
      </c>
      <c r="C1820" s="186" t="s">
        <v>154</v>
      </c>
      <c r="D1820" s="83" t="s">
        <v>428</v>
      </c>
      <c r="E1820" s="83" t="s">
        <v>168</v>
      </c>
      <c r="F1820" s="180">
        <v>46034</v>
      </c>
      <c r="G1820" s="83">
        <v>15</v>
      </c>
      <c r="H1820" s="180">
        <v>46021</v>
      </c>
      <c r="I1820" s="180" t="s">
        <v>202</v>
      </c>
      <c r="J1820" s="83">
        <v>3518741573</v>
      </c>
      <c r="K1820" s="180"/>
      <c r="L1820" s="180">
        <v>46021</v>
      </c>
      <c r="M1820" s="180"/>
      <c r="N1820" s="181">
        <v>5.0978999999999997E-2</v>
      </c>
      <c r="O1820" s="181" t="s">
        <v>170</v>
      </c>
      <c r="P1820" s="83" t="s">
        <v>323</v>
      </c>
      <c r="Q1820" s="177" t="s">
        <v>324</v>
      </c>
      <c r="R1820" s="83"/>
    </row>
    <row r="1821" spans="1:18">
      <c r="A1821" s="83">
        <v>80880192</v>
      </c>
      <c r="B1821" s="186" t="s">
        <v>1149</v>
      </c>
      <c r="C1821" s="186" t="s">
        <v>155</v>
      </c>
      <c r="D1821" s="83" t="s">
        <v>428</v>
      </c>
      <c r="E1821" s="83" t="s">
        <v>168</v>
      </c>
      <c r="F1821" s="180">
        <v>46034</v>
      </c>
      <c r="G1821" s="83">
        <v>369</v>
      </c>
      <c r="H1821" s="180">
        <v>46021</v>
      </c>
      <c r="I1821" s="180" t="s">
        <v>202</v>
      </c>
      <c r="J1821" s="83">
        <v>3518741574</v>
      </c>
      <c r="K1821" s="180"/>
      <c r="L1821" s="180">
        <v>46021</v>
      </c>
      <c r="M1821" s="180"/>
      <c r="N1821" s="181">
        <v>1.2540834000000001</v>
      </c>
      <c r="O1821" s="181" t="s">
        <v>170</v>
      </c>
      <c r="P1821" s="83" t="s">
        <v>323</v>
      </c>
      <c r="Q1821" s="177" t="s">
        <v>324</v>
      </c>
      <c r="R1821" s="83"/>
    </row>
    <row r="1822" spans="1:18">
      <c r="A1822" s="83">
        <v>80820463</v>
      </c>
      <c r="B1822" s="186" t="s">
        <v>1157</v>
      </c>
      <c r="C1822" s="186" t="s">
        <v>143</v>
      </c>
      <c r="D1822" s="83" t="s">
        <v>428</v>
      </c>
      <c r="E1822" s="83" t="s">
        <v>168</v>
      </c>
      <c r="F1822" s="180">
        <v>46034</v>
      </c>
      <c r="G1822" s="83">
        <v>52</v>
      </c>
      <c r="H1822" s="180">
        <v>46021</v>
      </c>
      <c r="I1822" s="180" t="s">
        <v>202</v>
      </c>
      <c r="J1822" s="83">
        <v>3518741575</v>
      </c>
      <c r="K1822" s="180"/>
      <c r="L1822" s="180">
        <v>46021</v>
      </c>
      <c r="M1822" s="180"/>
      <c r="N1822" s="181">
        <v>0.1767272</v>
      </c>
      <c r="O1822" s="181" t="s">
        <v>170</v>
      </c>
      <c r="P1822" s="83" t="s">
        <v>323</v>
      </c>
      <c r="Q1822" s="177" t="s">
        <v>324</v>
      </c>
      <c r="R1822" s="83"/>
    </row>
    <row r="1823" spans="1:18">
      <c r="A1823" s="83">
        <v>80820463</v>
      </c>
      <c r="B1823" s="186" t="s">
        <v>1157</v>
      </c>
      <c r="C1823" s="186" t="s">
        <v>150</v>
      </c>
      <c r="D1823" s="83" t="s">
        <v>428</v>
      </c>
      <c r="E1823" s="83" t="s">
        <v>168</v>
      </c>
      <c r="F1823" s="180">
        <v>46034</v>
      </c>
      <c r="G1823" s="83">
        <v>277</v>
      </c>
      <c r="H1823" s="180">
        <v>46021</v>
      </c>
      <c r="I1823" s="180" t="s">
        <v>202</v>
      </c>
      <c r="J1823" s="83">
        <v>3518741576</v>
      </c>
      <c r="K1823" s="180"/>
      <c r="L1823" s="180">
        <v>46021</v>
      </c>
      <c r="M1823" s="180"/>
      <c r="N1823" s="181">
        <v>0.94141220000000003</v>
      </c>
      <c r="O1823" s="181" t="s">
        <v>170</v>
      </c>
      <c r="P1823" s="83" t="s">
        <v>323</v>
      </c>
      <c r="Q1823" s="177" t="s">
        <v>324</v>
      </c>
      <c r="R1823" s="83"/>
    </row>
    <row r="1824" spans="1:18">
      <c r="A1824" s="83">
        <v>80820463</v>
      </c>
      <c r="B1824" s="186" t="s">
        <v>1157</v>
      </c>
      <c r="C1824" s="186" t="s">
        <v>151</v>
      </c>
      <c r="D1824" s="83" t="s">
        <v>428</v>
      </c>
      <c r="E1824" s="83" t="s">
        <v>168</v>
      </c>
      <c r="F1824" s="180">
        <v>46034</v>
      </c>
      <c r="G1824" s="83">
        <v>712</v>
      </c>
      <c r="H1824" s="180">
        <v>46021</v>
      </c>
      <c r="I1824" s="180" t="s">
        <v>202</v>
      </c>
      <c r="J1824" s="83">
        <v>3518741577</v>
      </c>
      <c r="K1824" s="180"/>
      <c r="L1824" s="180">
        <v>46021</v>
      </c>
      <c r="M1824" s="180"/>
      <c r="N1824" s="181">
        <v>2.4198032</v>
      </c>
      <c r="O1824" s="181" t="s">
        <v>170</v>
      </c>
      <c r="P1824" s="83" t="s">
        <v>323</v>
      </c>
      <c r="Q1824" s="177" t="s">
        <v>324</v>
      </c>
      <c r="R1824" s="83"/>
    </row>
    <row r="1825" spans="1:18">
      <c r="A1825" s="83">
        <v>80820463</v>
      </c>
      <c r="B1825" s="186" t="s">
        <v>1157</v>
      </c>
      <c r="C1825" s="186" t="s">
        <v>152</v>
      </c>
      <c r="D1825" s="83" t="s">
        <v>428</v>
      </c>
      <c r="E1825" s="83" t="s">
        <v>168</v>
      </c>
      <c r="F1825" s="180">
        <v>46034</v>
      </c>
      <c r="G1825" s="83">
        <v>100</v>
      </c>
      <c r="H1825" s="180">
        <v>46021</v>
      </c>
      <c r="I1825" s="180" t="s">
        <v>202</v>
      </c>
      <c r="J1825" s="83">
        <v>3518741578</v>
      </c>
      <c r="K1825" s="180"/>
      <c r="L1825" s="180">
        <v>46021</v>
      </c>
      <c r="M1825" s="180"/>
      <c r="N1825" s="181">
        <v>0.33986</v>
      </c>
      <c r="O1825" s="181" t="s">
        <v>170</v>
      </c>
      <c r="P1825" s="83" t="s">
        <v>323</v>
      </c>
      <c r="Q1825" s="177" t="s">
        <v>324</v>
      </c>
      <c r="R1825" s="83"/>
    </row>
    <row r="1826" spans="1:18">
      <c r="A1826" s="83">
        <v>80820463</v>
      </c>
      <c r="B1826" s="186" t="s">
        <v>1157</v>
      </c>
      <c r="C1826" s="186" t="s">
        <v>153</v>
      </c>
      <c r="D1826" s="83" t="s">
        <v>428</v>
      </c>
      <c r="E1826" s="83" t="s">
        <v>168</v>
      </c>
      <c r="F1826" s="180">
        <v>46034</v>
      </c>
      <c r="G1826" s="83">
        <v>28</v>
      </c>
      <c r="H1826" s="180">
        <v>46021</v>
      </c>
      <c r="I1826" s="180" t="s">
        <v>202</v>
      </c>
      <c r="J1826" s="83">
        <v>3518741579</v>
      </c>
      <c r="K1826" s="180"/>
      <c r="L1826" s="180">
        <v>46021</v>
      </c>
      <c r="M1826" s="180"/>
      <c r="N1826" s="181">
        <v>9.5160800000000004E-2</v>
      </c>
      <c r="O1826" s="181" t="s">
        <v>170</v>
      </c>
      <c r="P1826" s="83" t="s">
        <v>323</v>
      </c>
      <c r="Q1826" s="177" t="s">
        <v>324</v>
      </c>
      <c r="R1826" s="83"/>
    </row>
    <row r="1827" spans="1:18">
      <c r="A1827" s="83">
        <v>80820463</v>
      </c>
      <c r="B1827" s="186" t="s">
        <v>1157</v>
      </c>
      <c r="C1827" s="186" t="s">
        <v>154</v>
      </c>
      <c r="D1827" s="83" t="s">
        <v>428</v>
      </c>
      <c r="E1827" s="83" t="s">
        <v>168</v>
      </c>
      <c r="F1827" s="180">
        <v>46034</v>
      </c>
      <c r="G1827" s="83">
        <v>22</v>
      </c>
      <c r="H1827" s="180">
        <v>46021</v>
      </c>
      <c r="I1827" s="180" t="s">
        <v>202</v>
      </c>
      <c r="J1827" s="83">
        <v>3518741580</v>
      </c>
      <c r="K1827" s="180"/>
      <c r="L1827" s="180">
        <v>46021</v>
      </c>
      <c r="M1827" s="180"/>
      <c r="N1827" s="181">
        <v>7.4769199999999994E-2</v>
      </c>
      <c r="O1827" s="181" t="s">
        <v>170</v>
      </c>
      <c r="P1827" s="83" t="s">
        <v>323</v>
      </c>
      <c r="Q1827" s="177" t="s">
        <v>324</v>
      </c>
      <c r="R1827" s="83"/>
    </row>
    <row r="1828" spans="1:18">
      <c r="A1828" s="83">
        <v>80820463</v>
      </c>
      <c r="B1828" s="186" t="s">
        <v>1157</v>
      </c>
      <c r="C1828" s="186" t="s">
        <v>155</v>
      </c>
      <c r="D1828" s="83" t="s">
        <v>428</v>
      </c>
      <c r="E1828" s="83" t="s">
        <v>168</v>
      </c>
      <c r="F1828" s="180">
        <v>46034</v>
      </c>
      <c r="G1828" s="83">
        <v>580</v>
      </c>
      <c r="H1828" s="180">
        <v>46021</v>
      </c>
      <c r="I1828" s="180" t="s">
        <v>202</v>
      </c>
      <c r="J1828" s="83">
        <v>3518741581</v>
      </c>
      <c r="K1828" s="180"/>
      <c r="L1828" s="180">
        <v>46021</v>
      </c>
      <c r="M1828" s="180"/>
      <c r="N1828" s="181">
        <v>1.9711879999999999</v>
      </c>
      <c r="O1828" s="181" t="s">
        <v>170</v>
      </c>
      <c r="P1828" s="83" t="s">
        <v>323</v>
      </c>
      <c r="Q1828" s="177" t="s">
        <v>324</v>
      </c>
      <c r="R1828" s="83"/>
    </row>
    <row r="1829" spans="1:18">
      <c r="A1829" s="83">
        <v>80883616</v>
      </c>
      <c r="B1829" s="186" t="s">
        <v>1165</v>
      </c>
      <c r="C1829" s="186" t="s">
        <v>143</v>
      </c>
      <c r="D1829" s="83" t="s">
        <v>428</v>
      </c>
      <c r="E1829" s="83" t="s">
        <v>168</v>
      </c>
      <c r="F1829" s="180">
        <v>46034</v>
      </c>
      <c r="G1829" s="83">
        <v>33</v>
      </c>
      <c r="H1829" s="180">
        <v>46021</v>
      </c>
      <c r="I1829" s="180" t="s">
        <v>202</v>
      </c>
      <c r="J1829" s="83">
        <v>3518741582</v>
      </c>
      <c r="K1829" s="180"/>
      <c r="L1829" s="180">
        <v>46021</v>
      </c>
      <c r="M1829" s="180"/>
      <c r="N1829" s="181">
        <v>5.7759900000000003E-2</v>
      </c>
      <c r="O1829" s="181" t="s">
        <v>170</v>
      </c>
      <c r="P1829" s="83" t="s">
        <v>323</v>
      </c>
      <c r="Q1829" s="177" t="s">
        <v>324</v>
      </c>
      <c r="R1829" s="83"/>
    </row>
    <row r="1830" spans="1:18">
      <c r="A1830" s="83">
        <v>80883616</v>
      </c>
      <c r="B1830" s="186" t="s">
        <v>1165</v>
      </c>
      <c r="C1830" s="186" t="s">
        <v>150</v>
      </c>
      <c r="D1830" s="83" t="s">
        <v>428</v>
      </c>
      <c r="E1830" s="83" t="s">
        <v>168</v>
      </c>
      <c r="F1830" s="180">
        <v>46034</v>
      </c>
      <c r="G1830" s="83">
        <v>144</v>
      </c>
      <c r="H1830" s="180">
        <v>46021</v>
      </c>
      <c r="I1830" s="180" t="s">
        <v>202</v>
      </c>
      <c r="J1830" s="83">
        <v>3518741583</v>
      </c>
      <c r="K1830" s="180"/>
      <c r="L1830" s="180">
        <v>46021</v>
      </c>
      <c r="M1830" s="180"/>
      <c r="N1830" s="181">
        <v>0.25204320000000002</v>
      </c>
      <c r="O1830" s="181" t="s">
        <v>170</v>
      </c>
      <c r="P1830" s="83" t="s">
        <v>323</v>
      </c>
      <c r="Q1830" s="177" t="s">
        <v>324</v>
      </c>
      <c r="R1830" s="83"/>
    </row>
    <row r="1831" spans="1:18">
      <c r="A1831" s="83">
        <v>80883616</v>
      </c>
      <c r="B1831" s="186" t="s">
        <v>1165</v>
      </c>
      <c r="C1831" s="186" t="s">
        <v>151</v>
      </c>
      <c r="D1831" s="83" t="s">
        <v>428</v>
      </c>
      <c r="E1831" s="83" t="s">
        <v>168</v>
      </c>
      <c r="F1831" s="180">
        <v>46034</v>
      </c>
      <c r="G1831" s="83">
        <v>241</v>
      </c>
      <c r="H1831" s="180">
        <v>46021</v>
      </c>
      <c r="I1831" s="180" t="s">
        <v>202</v>
      </c>
      <c r="J1831" s="83">
        <v>3518741584</v>
      </c>
      <c r="K1831" s="180"/>
      <c r="L1831" s="180">
        <v>46021</v>
      </c>
      <c r="M1831" s="180"/>
      <c r="N1831" s="181">
        <v>0.42182229999999998</v>
      </c>
      <c r="O1831" s="181" t="s">
        <v>170</v>
      </c>
      <c r="P1831" s="83" t="s">
        <v>323</v>
      </c>
      <c r="Q1831" s="177" t="s">
        <v>324</v>
      </c>
      <c r="R1831" s="83"/>
    </row>
    <row r="1832" spans="1:18">
      <c r="A1832" s="83">
        <v>80883616</v>
      </c>
      <c r="B1832" s="186" t="s">
        <v>1165</v>
      </c>
      <c r="C1832" s="186" t="s">
        <v>152</v>
      </c>
      <c r="D1832" s="83" t="s">
        <v>428</v>
      </c>
      <c r="E1832" s="83" t="s">
        <v>168</v>
      </c>
      <c r="F1832" s="180">
        <v>46034</v>
      </c>
      <c r="G1832" s="83">
        <v>24</v>
      </c>
      <c r="H1832" s="180">
        <v>46021</v>
      </c>
      <c r="I1832" s="180" t="s">
        <v>202</v>
      </c>
      <c r="J1832" s="83">
        <v>3518741585</v>
      </c>
      <c r="K1832" s="180"/>
      <c r="L1832" s="180">
        <v>46021</v>
      </c>
      <c r="M1832" s="180"/>
      <c r="N1832" s="181">
        <v>4.2007200000000001E-2</v>
      </c>
      <c r="O1832" s="181" t="s">
        <v>170</v>
      </c>
      <c r="P1832" s="83" t="s">
        <v>323</v>
      </c>
      <c r="Q1832" s="177" t="s">
        <v>324</v>
      </c>
      <c r="R1832" s="83"/>
    </row>
    <row r="1833" spans="1:18">
      <c r="A1833" s="83">
        <v>80883616</v>
      </c>
      <c r="B1833" s="186" t="s">
        <v>1165</v>
      </c>
      <c r="C1833" s="186" t="s">
        <v>153</v>
      </c>
      <c r="D1833" s="83" t="s">
        <v>428</v>
      </c>
      <c r="E1833" s="83" t="s">
        <v>168</v>
      </c>
      <c r="F1833" s="180">
        <v>46034</v>
      </c>
      <c r="G1833" s="83">
        <v>18</v>
      </c>
      <c r="H1833" s="180">
        <v>46021</v>
      </c>
      <c r="I1833" s="180" t="s">
        <v>202</v>
      </c>
      <c r="J1833" s="83">
        <v>3518741586</v>
      </c>
      <c r="K1833" s="180"/>
      <c r="L1833" s="180">
        <v>46021</v>
      </c>
      <c r="M1833" s="180"/>
      <c r="N1833" s="181">
        <v>3.1505400000000003E-2</v>
      </c>
      <c r="O1833" s="181" t="s">
        <v>170</v>
      </c>
      <c r="P1833" s="83" t="s">
        <v>323</v>
      </c>
      <c r="Q1833" s="177" t="s">
        <v>324</v>
      </c>
      <c r="R1833" s="83"/>
    </row>
    <row r="1834" spans="1:18">
      <c r="A1834" s="83">
        <v>80883616</v>
      </c>
      <c r="B1834" s="186" t="s">
        <v>1165</v>
      </c>
      <c r="C1834" s="186" t="s">
        <v>154</v>
      </c>
      <c r="D1834" s="83" t="s">
        <v>428</v>
      </c>
      <c r="E1834" s="83" t="s">
        <v>168</v>
      </c>
      <c r="F1834" s="180">
        <v>46034</v>
      </c>
      <c r="G1834" s="83">
        <v>12</v>
      </c>
      <c r="H1834" s="180">
        <v>46021</v>
      </c>
      <c r="I1834" s="180" t="s">
        <v>202</v>
      </c>
      <c r="J1834" s="83">
        <v>3518741587</v>
      </c>
      <c r="K1834" s="180"/>
      <c r="L1834" s="180">
        <v>46021</v>
      </c>
      <c r="M1834" s="180"/>
      <c r="N1834" s="181">
        <v>2.1003600000000001E-2</v>
      </c>
      <c r="O1834" s="181" t="s">
        <v>170</v>
      </c>
      <c r="P1834" s="83" t="s">
        <v>323</v>
      </c>
      <c r="Q1834" s="177" t="s">
        <v>324</v>
      </c>
      <c r="R1834" s="83"/>
    </row>
    <row r="1835" spans="1:18">
      <c r="A1835" s="83">
        <v>80883616</v>
      </c>
      <c r="B1835" s="186" t="s">
        <v>1165</v>
      </c>
      <c r="C1835" s="186" t="s">
        <v>155</v>
      </c>
      <c r="D1835" s="83" t="s">
        <v>428</v>
      </c>
      <c r="E1835" s="83" t="s">
        <v>168</v>
      </c>
      <c r="F1835" s="180">
        <v>46034</v>
      </c>
      <c r="G1835" s="83">
        <v>68</v>
      </c>
      <c r="H1835" s="180">
        <v>46021</v>
      </c>
      <c r="I1835" s="180" t="s">
        <v>202</v>
      </c>
      <c r="J1835" s="83">
        <v>3518741588</v>
      </c>
      <c r="K1835" s="180"/>
      <c r="L1835" s="180">
        <v>46021</v>
      </c>
      <c r="M1835" s="180"/>
      <c r="N1835" s="181">
        <v>0.1190204</v>
      </c>
      <c r="O1835" s="181" t="s">
        <v>170</v>
      </c>
      <c r="P1835" s="83" t="s">
        <v>323</v>
      </c>
      <c r="Q1835" s="177" t="s">
        <v>324</v>
      </c>
      <c r="R1835" s="83"/>
    </row>
    <row r="1836" spans="1:18">
      <c r="A1836" s="83">
        <v>80883611</v>
      </c>
      <c r="B1836" s="186" t="s">
        <v>1173</v>
      </c>
      <c r="C1836" s="186" t="s">
        <v>143</v>
      </c>
      <c r="D1836" s="83" t="s">
        <v>428</v>
      </c>
      <c r="E1836" s="83" t="s">
        <v>168</v>
      </c>
      <c r="F1836" s="180">
        <v>46034</v>
      </c>
      <c r="G1836" s="83">
        <v>75</v>
      </c>
      <c r="H1836" s="180">
        <v>46021</v>
      </c>
      <c r="I1836" s="180" t="s">
        <v>202</v>
      </c>
      <c r="J1836" s="83">
        <v>3518741589</v>
      </c>
      <c r="K1836" s="180"/>
      <c r="L1836" s="180">
        <v>46021</v>
      </c>
      <c r="M1836" s="180"/>
      <c r="N1836" s="181">
        <v>0.25489499999999998</v>
      </c>
      <c r="O1836" s="181" t="s">
        <v>170</v>
      </c>
      <c r="P1836" s="83" t="s">
        <v>323</v>
      </c>
      <c r="Q1836" s="177" t="s">
        <v>324</v>
      </c>
      <c r="R1836" s="83"/>
    </row>
    <row r="1837" spans="1:18">
      <c r="A1837" s="83">
        <v>80883611</v>
      </c>
      <c r="B1837" s="186" t="s">
        <v>1173</v>
      </c>
      <c r="C1837" s="186" t="s">
        <v>150</v>
      </c>
      <c r="D1837" s="83" t="s">
        <v>428</v>
      </c>
      <c r="E1837" s="83" t="s">
        <v>168</v>
      </c>
      <c r="F1837" s="180">
        <v>46034</v>
      </c>
      <c r="G1837" s="83">
        <v>338</v>
      </c>
      <c r="H1837" s="180">
        <v>46021</v>
      </c>
      <c r="I1837" s="180" t="s">
        <v>202</v>
      </c>
      <c r="J1837" s="83">
        <v>3518741590</v>
      </c>
      <c r="K1837" s="180"/>
      <c r="L1837" s="180">
        <v>46021</v>
      </c>
      <c r="M1837" s="180"/>
      <c r="N1837" s="181">
        <v>1.1487267999999999</v>
      </c>
      <c r="O1837" s="181" t="s">
        <v>170</v>
      </c>
      <c r="P1837" s="83" t="s">
        <v>323</v>
      </c>
      <c r="Q1837" s="177" t="s">
        <v>324</v>
      </c>
      <c r="R1837" s="83"/>
    </row>
    <row r="1838" spans="1:18">
      <c r="A1838" s="83">
        <v>80883611</v>
      </c>
      <c r="B1838" s="186" t="s">
        <v>1173</v>
      </c>
      <c r="C1838" s="186" t="s">
        <v>151</v>
      </c>
      <c r="D1838" s="83" t="s">
        <v>428</v>
      </c>
      <c r="E1838" s="83" t="s">
        <v>168</v>
      </c>
      <c r="F1838" s="180">
        <v>46034</v>
      </c>
      <c r="G1838" s="83">
        <v>563</v>
      </c>
      <c r="H1838" s="180">
        <v>46021</v>
      </c>
      <c r="I1838" s="180" t="s">
        <v>202</v>
      </c>
      <c r="J1838" s="83">
        <v>3518741591</v>
      </c>
      <c r="K1838" s="180"/>
      <c r="L1838" s="180">
        <v>46021</v>
      </c>
      <c r="M1838" s="180"/>
      <c r="N1838" s="181">
        <v>1.9134118</v>
      </c>
      <c r="O1838" s="181" t="s">
        <v>170</v>
      </c>
      <c r="P1838" s="83" t="s">
        <v>323</v>
      </c>
      <c r="Q1838" s="177" t="s">
        <v>324</v>
      </c>
      <c r="R1838" s="83"/>
    </row>
    <row r="1839" spans="1:18">
      <c r="A1839" s="83">
        <v>80883611</v>
      </c>
      <c r="B1839" s="186" t="s">
        <v>1173</v>
      </c>
      <c r="C1839" s="186" t="s">
        <v>152</v>
      </c>
      <c r="D1839" s="83" t="s">
        <v>428</v>
      </c>
      <c r="E1839" s="83" t="s">
        <v>168</v>
      </c>
      <c r="F1839" s="180">
        <v>46034</v>
      </c>
      <c r="G1839" s="83">
        <v>75</v>
      </c>
      <c r="H1839" s="180">
        <v>46021</v>
      </c>
      <c r="I1839" s="180" t="s">
        <v>202</v>
      </c>
      <c r="J1839" s="83">
        <v>3518741592</v>
      </c>
      <c r="K1839" s="180"/>
      <c r="L1839" s="180">
        <v>46021</v>
      </c>
      <c r="M1839" s="180"/>
      <c r="N1839" s="181">
        <v>0.25489499999999998</v>
      </c>
      <c r="O1839" s="181" t="s">
        <v>170</v>
      </c>
      <c r="P1839" s="83" t="s">
        <v>323</v>
      </c>
      <c r="Q1839" s="177" t="s">
        <v>324</v>
      </c>
      <c r="R1839" s="83"/>
    </row>
    <row r="1840" spans="1:18">
      <c r="A1840" s="83">
        <v>80883611</v>
      </c>
      <c r="B1840" s="186" t="s">
        <v>1173</v>
      </c>
      <c r="C1840" s="186" t="s">
        <v>153</v>
      </c>
      <c r="D1840" s="83" t="s">
        <v>428</v>
      </c>
      <c r="E1840" s="83" t="s">
        <v>168</v>
      </c>
      <c r="F1840" s="180">
        <v>46034</v>
      </c>
      <c r="G1840" s="83">
        <v>21</v>
      </c>
      <c r="H1840" s="180">
        <v>46021</v>
      </c>
      <c r="I1840" s="180" t="s">
        <v>202</v>
      </c>
      <c r="J1840" s="83">
        <v>3518741593</v>
      </c>
      <c r="K1840" s="180"/>
      <c r="L1840" s="180">
        <v>46021</v>
      </c>
      <c r="M1840" s="180"/>
      <c r="N1840" s="181">
        <v>7.1370600000000006E-2</v>
      </c>
      <c r="O1840" s="181" t="s">
        <v>170</v>
      </c>
      <c r="P1840" s="83" t="s">
        <v>323</v>
      </c>
      <c r="Q1840" s="177" t="s">
        <v>324</v>
      </c>
      <c r="R1840" s="83"/>
    </row>
    <row r="1841" spans="1:18">
      <c r="A1841" s="83">
        <v>80883611</v>
      </c>
      <c r="B1841" s="186" t="s">
        <v>1173</v>
      </c>
      <c r="C1841" s="186" t="s">
        <v>154</v>
      </c>
      <c r="D1841" s="83" t="s">
        <v>428</v>
      </c>
      <c r="E1841" s="83" t="s">
        <v>168</v>
      </c>
      <c r="F1841" s="180">
        <v>46034</v>
      </c>
      <c r="G1841" s="83">
        <v>24</v>
      </c>
      <c r="H1841" s="180">
        <v>46021</v>
      </c>
      <c r="I1841" s="180" t="s">
        <v>202</v>
      </c>
      <c r="J1841" s="83">
        <v>3518741594</v>
      </c>
      <c r="K1841" s="180"/>
      <c r="L1841" s="180">
        <v>46021</v>
      </c>
      <c r="M1841" s="180"/>
      <c r="N1841" s="181">
        <v>8.1566399999999997E-2</v>
      </c>
      <c r="O1841" s="181" t="s">
        <v>170</v>
      </c>
      <c r="P1841" s="83" t="s">
        <v>323</v>
      </c>
      <c r="Q1841" s="177" t="s">
        <v>324</v>
      </c>
      <c r="R1841" s="83"/>
    </row>
    <row r="1842" spans="1:18">
      <c r="A1842" s="83">
        <v>80883611</v>
      </c>
      <c r="B1842" s="186" t="s">
        <v>1173</v>
      </c>
      <c r="C1842" s="186" t="s">
        <v>155</v>
      </c>
      <c r="D1842" s="83" t="s">
        <v>428</v>
      </c>
      <c r="E1842" s="83" t="s">
        <v>168</v>
      </c>
      <c r="F1842" s="180">
        <v>46034</v>
      </c>
      <c r="G1842" s="83">
        <v>328</v>
      </c>
      <c r="H1842" s="180">
        <v>46021</v>
      </c>
      <c r="I1842" s="180" t="s">
        <v>202</v>
      </c>
      <c r="J1842" s="83">
        <v>3518741595</v>
      </c>
      <c r="K1842" s="180"/>
      <c r="L1842" s="180">
        <v>46021</v>
      </c>
      <c r="M1842" s="180"/>
      <c r="N1842" s="181">
        <v>1.1147408000000001</v>
      </c>
      <c r="O1842" s="181" t="s">
        <v>170</v>
      </c>
      <c r="P1842" s="83" t="s">
        <v>323</v>
      </c>
      <c r="Q1842" s="177" t="s">
        <v>324</v>
      </c>
      <c r="R1842" s="83"/>
    </row>
    <row r="1843" spans="1:18">
      <c r="A1843" s="83">
        <v>80883592</v>
      </c>
      <c r="B1843" s="186" t="s">
        <v>1181</v>
      </c>
      <c r="C1843" s="186" t="s">
        <v>143</v>
      </c>
      <c r="D1843" s="83" t="s">
        <v>428</v>
      </c>
      <c r="E1843" s="83" t="s">
        <v>168</v>
      </c>
      <c r="F1843" s="180">
        <v>46034</v>
      </c>
      <c r="G1843" s="83">
        <v>9</v>
      </c>
      <c r="H1843" s="180">
        <v>46021</v>
      </c>
      <c r="I1843" s="180" t="s">
        <v>202</v>
      </c>
      <c r="J1843" s="83">
        <v>3518741596</v>
      </c>
      <c r="K1843" s="180"/>
      <c r="L1843" s="180">
        <v>46021</v>
      </c>
      <c r="M1843" s="180"/>
      <c r="N1843" s="181">
        <v>3.0587400000000001E-2</v>
      </c>
      <c r="O1843" s="181" t="s">
        <v>170</v>
      </c>
      <c r="P1843" s="83" t="s">
        <v>323</v>
      </c>
      <c r="Q1843" s="177" t="s">
        <v>324</v>
      </c>
      <c r="R1843" s="83"/>
    </row>
    <row r="1844" spans="1:18">
      <c r="A1844" s="83">
        <v>80883592</v>
      </c>
      <c r="B1844" s="186" t="s">
        <v>1181</v>
      </c>
      <c r="C1844" s="186" t="s">
        <v>150</v>
      </c>
      <c r="D1844" s="83" t="s">
        <v>428</v>
      </c>
      <c r="E1844" s="83" t="s">
        <v>168</v>
      </c>
      <c r="F1844" s="180">
        <v>46034</v>
      </c>
      <c r="G1844" s="83">
        <v>52</v>
      </c>
      <c r="H1844" s="180">
        <v>46021</v>
      </c>
      <c r="I1844" s="180" t="s">
        <v>202</v>
      </c>
      <c r="J1844" s="83">
        <v>3518741597</v>
      </c>
      <c r="K1844" s="180"/>
      <c r="L1844" s="180">
        <v>46021</v>
      </c>
      <c r="M1844" s="180"/>
      <c r="N1844" s="181">
        <v>0.1767272</v>
      </c>
      <c r="O1844" s="181" t="s">
        <v>170</v>
      </c>
      <c r="P1844" s="83" t="s">
        <v>323</v>
      </c>
      <c r="Q1844" s="177" t="s">
        <v>324</v>
      </c>
      <c r="R1844" s="83"/>
    </row>
    <row r="1845" spans="1:18">
      <c r="A1845" s="83">
        <v>80883592</v>
      </c>
      <c r="B1845" s="186" t="s">
        <v>1181</v>
      </c>
      <c r="C1845" s="186" t="s">
        <v>151</v>
      </c>
      <c r="D1845" s="83" t="s">
        <v>428</v>
      </c>
      <c r="E1845" s="83" t="s">
        <v>168</v>
      </c>
      <c r="F1845" s="180">
        <v>46034</v>
      </c>
      <c r="G1845" s="83">
        <v>108</v>
      </c>
      <c r="H1845" s="180">
        <v>46021</v>
      </c>
      <c r="I1845" s="180" t="s">
        <v>202</v>
      </c>
      <c r="J1845" s="83">
        <v>3518741598</v>
      </c>
      <c r="K1845" s="180"/>
      <c r="L1845" s="180">
        <v>46021</v>
      </c>
      <c r="M1845" s="180"/>
      <c r="N1845" s="181">
        <v>0.36704880000000001</v>
      </c>
      <c r="O1845" s="181" t="s">
        <v>170</v>
      </c>
      <c r="P1845" s="83" t="s">
        <v>323</v>
      </c>
      <c r="Q1845" s="177" t="s">
        <v>324</v>
      </c>
      <c r="R1845" s="83"/>
    </row>
    <row r="1846" spans="1:18">
      <c r="A1846" s="83">
        <v>80883592</v>
      </c>
      <c r="B1846" s="186" t="s">
        <v>1181</v>
      </c>
      <c r="C1846" s="186" t="s">
        <v>152</v>
      </c>
      <c r="D1846" s="83" t="s">
        <v>428</v>
      </c>
      <c r="E1846" s="83" t="s">
        <v>168</v>
      </c>
      <c r="F1846" s="180">
        <v>46034</v>
      </c>
      <c r="G1846" s="83">
        <v>13</v>
      </c>
      <c r="H1846" s="180">
        <v>46021</v>
      </c>
      <c r="I1846" s="180" t="s">
        <v>202</v>
      </c>
      <c r="J1846" s="83">
        <v>3518741599</v>
      </c>
      <c r="K1846" s="180"/>
      <c r="L1846" s="180">
        <v>46021</v>
      </c>
      <c r="M1846" s="180"/>
      <c r="N1846" s="181">
        <v>4.41818E-2</v>
      </c>
      <c r="O1846" s="181" t="s">
        <v>170</v>
      </c>
      <c r="P1846" s="83" t="s">
        <v>323</v>
      </c>
      <c r="Q1846" s="177" t="s">
        <v>324</v>
      </c>
      <c r="R1846" s="83"/>
    </row>
    <row r="1847" spans="1:18">
      <c r="A1847" s="83">
        <v>80883592</v>
      </c>
      <c r="B1847" s="186" t="s">
        <v>1181</v>
      </c>
      <c r="C1847" s="186" t="s">
        <v>153</v>
      </c>
      <c r="D1847" s="83" t="s">
        <v>428</v>
      </c>
      <c r="E1847" s="83" t="s">
        <v>168</v>
      </c>
      <c r="F1847" s="180">
        <v>46034</v>
      </c>
      <c r="G1847" s="83">
        <v>3</v>
      </c>
      <c r="H1847" s="180">
        <v>46021</v>
      </c>
      <c r="I1847" s="180" t="s">
        <v>202</v>
      </c>
      <c r="J1847" s="83">
        <v>3518741600</v>
      </c>
      <c r="K1847" s="180"/>
      <c r="L1847" s="180">
        <v>46021</v>
      </c>
      <c r="M1847" s="180"/>
      <c r="N1847" s="181">
        <v>1.01958E-2</v>
      </c>
      <c r="O1847" s="181" t="s">
        <v>170</v>
      </c>
      <c r="P1847" s="83" t="s">
        <v>323</v>
      </c>
      <c r="Q1847" s="177" t="s">
        <v>324</v>
      </c>
      <c r="R1847" s="83"/>
    </row>
    <row r="1848" spans="1:18">
      <c r="A1848" s="83">
        <v>80883592</v>
      </c>
      <c r="B1848" s="186" t="s">
        <v>1181</v>
      </c>
      <c r="C1848" s="186" t="s">
        <v>154</v>
      </c>
      <c r="D1848" s="83" t="s">
        <v>428</v>
      </c>
      <c r="E1848" s="83" t="s">
        <v>168</v>
      </c>
      <c r="F1848" s="180">
        <v>46034</v>
      </c>
      <c r="G1848" s="83">
        <v>2</v>
      </c>
      <c r="H1848" s="180">
        <v>46021</v>
      </c>
      <c r="I1848" s="180" t="s">
        <v>202</v>
      </c>
      <c r="J1848" s="83">
        <v>3518741601</v>
      </c>
      <c r="K1848" s="180"/>
      <c r="L1848" s="180">
        <v>46021</v>
      </c>
      <c r="M1848" s="180"/>
      <c r="N1848" s="181">
        <v>6.7971999999999998E-3</v>
      </c>
      <c r="O1848" s="181" t="s">
        <v>170</v>
      </c>
      <c r="P1848" s="83" t="s">
        <v>323</v>
      </c>
      <c r="Q1848" s="177" t="s">
        <v>324</v>
      </c>
      <c r="R1848" s="83"/>
    </row>
    <row r="1849" spans="1:18">
      <c r="A1849" s="83">
        <v>80883592</v>
      </c>
      <c r="B1849" s="186" t="s">
        <v>1181</v>
      </c>
      <c r="C1849" s="186" t="s">
        <v>155</v>
      </c>
      <c r="D1849" s="83" t="s">
        <v>428</v>
      </c>
      <c r="E1849" s="83" t="s">
        <v>168</v>
      </c>
      <c r="F1849" s="180">
        <v>46034</v>
      </c>
      <c r="G1849" s="83">
        <v>74</v>
      </c>
      <c r="H1849" s="180">
        <v>46021</v>
      </c>
      <c r="I1849" s="180" t="s">
        <v>202</v>
      </c>
      <c r="J1849" s="83">
        <v>3518741602</v>
      </c>
      <c r="K1849" s="180"/>
      <c r="L1849" s="180">
        <v>46021</v>
      </c>
      <c r="M1849" s="180"/>
      <c r="N1849" s="181">
        <v>0.25149640000000001</v>
      </c>
      <c r="O1849" s="181" t="s">
        <v>170</v>
      </c>
      <c r="P1849" s="83" t="s">
        <v>323</v>
      </c>
      <c r="Q1849" s="177" t="s">
        <v>324</v>
      </c>
      <c r="R1849" s="83"/>
    </row>
    <row r="1850" spans="1:18">
      <c r="A1850" s="83">
        <v>80829594</v>
      </c>
      <c r="B1850" s="186" t="s">
        <v>1189</v>
      </c>
      <c r="C1850" s="186" t="s">
        <v>143</v>
      </c>
      <c r="D1850" s="83" t="s">
        <v>428</v>
      </c>
      <c r="E1850" s="83" t="s">
        <v>168</v>
      </c>
      <c r="F1850" s="180">
        <v>46034</v>
      </c>
      <c r="G1850" s="83">
        <v>16</v>
      </c>
      <c r="H1850" s="180">
        <v>46021</v>
      </c>
      <c r="I1850" s="180" t="s">
        <v>202</v>
      </c>
      <c r="J1850" s="83">
        <v>3518741603</v>
      </c>
      <c r="K1850" s="180"/>
      <c r="L1850" s="180">
        <v>46021</v>
      </c>
      <c r="M1850" s="180"/>
      <c r="N1850" s="181">
        <v>5.4377599999999998E-2</v>
      </c>
      <c r="O1850" s="181" t="s">
        <v>170</v>
      </c>
      <c r="P1850" s="83" t="s">
        <v>323</v>
      </c>
      <c r="Q1850" s="177" t="s">
        <v>324</v>
      </c>
      <c r="R1850" s="83"/>
    </row>
    <row r="1851" spans="1:18">
      <c r="A1851" s="83">
        <v>80829594</v>
      </c>
      <c r="B1851" s="186" t="s">
        <v>1189</v>
      </c>
      <c r="C1851" s="186" t="s">
        <v>150</v>
      </c>
      <c r="D1851" s="83" t="s">
        <v>428</v>
      </c>
      <c r="E1851" s="83" t="s">
        <v>168</v>
      </c>
      <c r="F1851" s="180">
        <v>46034</v>
      </c>
      <c r="G1851" s="83">
        <v>69</v>
      </c>
      <c r="H1851" s="180">
        <v>46021</v>
      </c>
      <c r="I1851" s="180" t="s">
        <v>202</v>
      </c>
      <c r="J1851" s="83">
        <v>3518741604</v>
      </c>
      <c r="K1851" s="180"/>
      <c r="L1851" s="180">
        <v>46021</v>
      </c>
      <c r="M1851" s="180"/>
      <c r="N1851" s="181">
        <v>0.2345034</v>
      </c>
      <c r="O1851" s="181" t="s">
        <v>170</v>
      </c>
      <c r="P1851" s="83" t="s">
        <v>323</v>
      </c>
      <c r="Q1851" s="177" t="s">
        <v>324</v>
      </c>
      <c r="R1851" s="83"/>
    </row>
    <row r="1852" spans="1:18">
      <c r="A1852" s="83">
        <v>80829594</v>
      </c>
      <c r="B1852" s="186" t="s">
        <v>1189</v>
      </c>
      <c r="C1852" s="186" t="s">
        <v>151</v>
      </c>
      <c r="D1852" s="83" t="s">
        <v>428</v>
      </c>
      <c r="E1852" s="83" t="s">
        <v>168</v>
      </c>
      <c r="F1852" s="180">
        <v>46034</v>
      </c>
      <c r="G1852" s="83">
        <v>275</v>
      </c>
      <c r="H1852" s="180">
        <v>46021</v>
      </c>
      <c r="I1852" s="180" t="s">
        <v>202</v>
      </c>
      <c r="J1852" s="83">
        <v>3518741605</v>
      </c>
      <c r="K1852" s="180"/>
      <c r="L1852" s="180">
        <v>46021</v>
      </c>
      <c r="M1852" s="180"/>
      <c r="N1852" s="181">
        <v>0.93461499999999997</v>
      </c>
      <c r="O1852" s="181" t="s">
        <v>170</v>
      </c>
      <c r="P1852" s="83" t="s">
        <v>323</v>
      </c>
      <c r="Q1852" s="177" t="s">
        <v>324</v>
      </c>
      <c r="R1852" s="83"/>
    </row>
    <row r="1853" spans="1:18">
      <c r="A1853" s="83">
        <v>80829594</v>
      </c>
      <c r="B1853" s="186" t="s">
        <v>1189</v>
      </c>
      <c r="C1853" s="186" t="s">
        <v>152</v>
      </c>
      <c r="D1853" s="83" t="s">
        <v>428</v>
      </c>
      <c r="E1853" s="83" t="s">
        <v>168</v>
      </c>
      <c r="F1853" s="180">
        <v>46034</v>
      </c>
      <c r="G1853" s="83">
        <v>37</v>
      </c>
      <c r="H1853" s="180">
        <v>46021</v>
      </c>
      <c r="I1853" s="180" t="s">
        <v>202</v>
      </c>
      <c r="J1853" s="83">
        <v>3518741606</v>
      </c>
      <c r="K1853" s="180"/>
      <c r="L1853" s="180">
        <v>46021</v>
      </c>
      <c r="M1853" s="180"/>
      <c r="N1853" s="181">
        <v>0.1257482</v>
      </c>
      <c r="O1853" s="181" t="s">
        <v>170</v>
      </c>
      <c r="P1853" s="83" t="s">
        <v>323</v>
      </c>
      <c r="Q1853" s="177" t="s">
        <v>324</v>
      </c>
      <c r="R1853" s="83"/>
    </row>
    <row r="1854" spans="1:18">
      <c r="A1854" s="83">
        <v>80829594</v>
      </c>
      <c r="B1854" s="186" t="s">
        <v>1189</v>
      </c>
      <c r="C1854" s="186" t="s">
        <v>153</v>
      </c>
      <c r="D1854" s="83" t="s">
        <v>428</v>
      </c>
      <c r="E1854" s="83" t="s">
        <v>168</v>
      </c>
      <c r="F1854" s="180">
        <v>46034</v>
      </c>
      <c r="G1854" s="83">
        <v>8</v>
      </c>
      <c r="H1854" s="180">
        <v>46021</v>
      </c>
      <c r="I1854" s="180" t="s">
        <v>202</v>
      </c>
      <c r="J1854" s="83">
        <v>3518741607</v>
      </c>
      <c r="K1854" s="180"/>
      <c r="L1854" s="180">
        <v>46021</v>
      </c>
      <c r="M1854" s="180"/>
      <c r="N1854" s="181">
        <v>2.7188799999999999E-2</v>
      </c>
      <c r="O1854" s="181" t="s">
        <v>170</v>
      </c>
      <c r="P1854" s="83" t="s">
        <v>323</v>
      </c>
      <c r="Q1854" s="177" t="s">
        <v>324</v>
      </c>
      <c r="R1854" s="83"/>
    </row>
    <row r="1855" spans="1:18">
      <c r="A1855" s="83">
        <v>80829594</v>
      </c>
      <c r="B1855" s="186" t="s">
        <v>1189</v>
      </c>
      <c r="C1855" s="186" t="s">
        <v>154</v>
      </c>
      <c r="D1855" s="83" t="s">
        <v>428</v>
      </c>
      <c r="E1855" s="83" t="s">
        <v>168</v>
      </c>
      <c r="F1855" s="180">
        <v>46034</v>
      </c>
      <c r="G1855" s="83">
        <v>9</v>
      </c>
      <c r="H1855" s="180">
        <v>46021</v>
      </c>
      <c r="I1855" s="180" t="s">
        <v>202</v>
      </c>
      <c r="J1855" s="83">
        <v>3518741608</v>
      </c>
      <c r="K1855" s="180"/>
      <c r="L1855" s="180">
        <v>46021</v>
      </c>
      <c r="M1855" s="180"/>
      <c r="N1855" s="181">
        <v>3.0587400000000001E-2</v>
      </c>
      <c r="O1855" s="181" t="s">
        <v>170</v>
      </c>
      <c r="P1855" s="83" t="s">
        <v>323</v>
      </c>
      <c r="Q1855" s="177" t="s">
        <v>324</v>
      </c>
      <c r="R1855" s="83"/>
    </row>
    <row r="1856" spans="1:18">
      <c r="A1856" s="83">
        <v>80829594</v>
      </c>
      <c r="B1856" s="186" t="s">
        <v>1189</v>
      </c>
      <c r="C1856" s="186" t="s">
        <v>155</v>
      </c>
      <c r="D1856" s="83" t="s">
        <v>428</v>
      </c>
      <c r="E1856" s="83" t="s">
        <v>168</v>
      </c>
      <c r="F1856" s="180">
        <v>46034</v>
      </c>
      <c r="G1856" s="83">
        <v>668</v>
      </c>
      <c r="H1856" s="180">
        <v>46021</v>
      </c>
      <c r="I1856" s="180" t="s">
        <v>202</v>
      </c>
      <c r="J1856" s="83">
        <v>3518741609</v>
      </c>
      <c r="K1856" s="180"/>
      <c r="L1856" s="180">
        <v>46021</v>
      </c>
      <c r="M1856" s="180"/>
      <c r="N1856" s="181">
        <v>2.2702648000000001</v>
      </c>
      <c r="O1856" s="181" t="s">
        <v>170</v>
      </c>
      <c r="P1856" s="83" t="s">
        <v>323</v>
      </c>
      <c r="Q1856" s="177" t="s">
        <v>324</v>
      </c>
      <c r="R1856" s="83"/>
    </row>
    <row r="1857" spans="1:18">
      <c r="A1857" s="83">
        <v>80880192</v>
      </c>
      <c r="B1857" s="186" t="s">
        <v>1149</v>
      </c>
      <c r="C1857" s="186" t="s">
        <v>143</v>
      </c>
      <c r="D1857" s="83" t="s">
        <v>428</v>
      </c>
      <c r="E1857" s="83" t="s">
        <v>168</v>
      </c>
      <c r="F1857" s="180">
        <v>46034</v>
      </c>
      <c r="G1857" s="83">
        <v>122</v>
      </c>
      <c r="H1857" s="180">
        <v>46021</v>
      </c>
      <c r="I1857" s="180" t="s">
        <v>202</v>
      </c>
      <c r="J1857" s="83">
        <v>3518741610</v>
      </c>
      <c r="K1857" s="180"/>
      <c r="L1857" s="180">
        <v>46021</v>
      </c>
      <c r="M1857" s="180"/>
      <c r="N1857" s="181">
        <v>0.41462919999999998</v>
      </c>
      <c r="O1857" s="181" t="s">
        <v>170</v>
      </c>
      <c r="P1857" s="83" t="s">
        <v>323</v>
      </c>
      <c r="Q1857" s="177" t="s">
        <v>324</v>
      </c>
      <c r="R1857" s="83"/>
    </row>
    <row r="1858" spans="1:18">
      <c r="A1858" s="83">
        <v>80880192</v>
      </c>
      <c r="B1858" s="186" t="s">
        <v>1149</v>
      </c>
      <c r="C1858" s="186" t="s">
        <v>150</v>
      </c>
      <c r="D1858" s="83" t="s">
        <v>428</v>
      </c>
      <c r="E1858" s="83" t="s">
        <v>168</v>
      </c>
      <c r="F1858" s="180">
        <v>46034</v>
      </c>
      <c r="G1858" s="83">
        <v>925</v>
      </c>
      <c r="H1858" s="180">
        <v>46021</v>
      </c>
      <c r="I1858" s="180" t="s">
        <v>202</v>
      </c>
      <c r="J1858" s="83">
        <v>3518741611</v>
      </c>
      <c r="K1858" s="180"/>
      <c r="L1858" s="180">
        <v>46021</v>
      </c>
      <c r="M1858" s="180"/>
      <c r="N1858" s="181">
        <v>3.1437050000000002</v>
      </c>
      <c r="O1858" s="181" t="s">
        <v>170</v>
      </c>
      <c r="P1858" s="83" t="s">
        <v>323</v>
      </c>
      <c r="Q1858" s="177" t="s">
        <v>324</v>
      </c>
      <c r="R1858" s="83"/>
    </row>
    <row r="1859" spans="1:18">
      <c r="A1859" s="83">
        <v>80880192</v>
      </c>
      <c r="B1859" s="186" t="s">
        <v>1149</v>
      </c>
      <c r="C1859" s="186" t="s">
        <v>151</v>
      </c>
      <c r="D1859" s="83" t="s">
        <v>428</v>
      </c>
      <c r="E1859" s="83" t="s">
        <v>168</v>
      </c>
      <c r="F1859" s="180">
        <v>46034</v>
      </c>
      <c r="G1859" s="83">
        <v>2950</v>
      </c>
      <c r="H1859" s="180">
        <v>46021</v>
      </c>
      <c r="I1859" s="180" t="s">
        <v>202</v>
      </c>
      <c r="J1859" s="83">
        <v>3518741612</v>
      </c>
      <c r="K1859" s="180"/>
      <c r="L1859" s="180">
        <v>46021</v>
      </c>
      <c r="M1859" s="180"/>
      <c r="N1859" s="181">
        <v>10.025869999999999</v>
      </c>
      <c r="O1859" s="181" t="s">
        <v>170</v>
      </c>
      <c r="P1859" s="83" t="s">
        <v>323</v>
      </c>
      <c r="Q1859" s="177" t="s">
        <v>324</v>
      </c>
      <c r="R1859" s="83"/>
    </row>
    <row r="1860" spans="1:18">
      <c r="A1860" s="83">
        <v>80880192</v>
      </c>
      <c r="B1860" s="186" t="s">
        <v>1149</v>
      </c>
      <c r="C1860" s="186" t="s">
        <v>152</v>
      </c>
      <c r="D1860" s="83" t="s">
        <v>428</v>
      </c>
      <c r="E1860" s="83" t="s">
        <v>168</v>
      </c>
      <c r="F1860" s="180">
        <v>46034</v>
      </c>
      <c r="G1860" s="83">
        <v>355</v>
      </c>
      <c r="H1860" s="180">
        <v>46021</v>
      </c>
      <c r="I1860" s="180" t="s">
        <v>202</v>
      </c>
      <c r="J1860" s="83">
        <v>3518741613</v>
      </c>
      <c r="K1860" s="180"/>
      <c r="L1860" s="180">
        <v>46021</v>
      </c>
      <c r="M1860" s="180"/>
      <c r="N1860" s="181">
        <v>1.2065030000000001</v>
      </c>
      <c r="O1860" s="181" t="s">
        <v>170</v>
      </c>
      <c r="P1860" s="83" t="s">
        <v>323</v>
      </c>
      <c r="Q1860" s="177" t="s">
        <v>324</v>
      </c>
      <c r="R1860" s="83"/>
    </row>
    <row r="1861" spans="1:18">
      <c r="A1861" s="83">
        <v>80880192</v>
      </c>
      <c r="B1861" s="186" t="s">
        <v>1149</v>
      </c>
      <c r="C1861" s="186" t="s">
        <v>153</v>
      </c>
      <c r="D1861" s="83" t="s">
        <v>428</v>
      </c>
      <c r="E1861" s="83" t="s">
        <v>168</v>
      </c>
      <c r="F1861" s="180">
        <v>46034</v>
      </c>
      <c r="G1861" s="83">
        <v>107</v>
      </c>
      <c r="H1861" s="180">
        <v>46021</v>
      </c>
      <c r="I1861" s="180" t="s">
        <v>202</v>
      </c>
      <c r="J1861" s="83">
        <v>3518741614</v>
      </c>
      <c r="K1861" s="180"/>
      <c r="L1861" s="180">
        <v>46021</v>
      </c>
      <c r="M1861" s="180"/>
      <c r="N1861" s="181">
        <v>0.36365019999999998</v>
      </c>
      <c r="O1861" s="181" t="s">
        <v>170</v>
      </c>
      <c r="P1861" s="83" t="s">
        <v>323</v>
      </c>
      <c r="Q1861" s="177" t="s">
        <v>324</v>
      </c>
      <c r="R1861" s="83"/>
    </row>
    <row r="1862" spans="1:18">
      <c r="A1862" s="83">
        <v>80880192</v>
      </c>
      <c r="B1862" s="186" t="s">
        <v>1149</v>
      </c>
      <c r="C1862" s="186" t="s">
        <v>154</v>
      </c>
      <c r="D1862" s="83" t="s">
        <v>428</v>
      </c>
      <c r="E1862" s="83" t="s">
        <v>168</v>
      </c>
      <c r="F1862" s="180">
        <v>46034</v>
      </c>
      <c r="G1862" s="83">
        <v>117</v>
      </c>
      <c r="H1862" s="180">
        <v>46021</v>
      </c>
      <c r="I1862" s="180" t="s">
        <v>202</v>
      </c>
      <c r="J1862" s="83">
        <v>3518741615</v>
      </c>
      <c r="K1862" s="180"/>
      <c r="L1862" s="180">
        <v>46021</v>
      </c>
      <c r="M1862" s="180"/>
      <c r="N1862" s="181">
        <v>0.3976362</v>
      </c>
      <c r="O1862" s="181" t="s">
        <v>170</v>
      </c>
      <c r="P1862" s="83" t="s">
        <v>323</v>
      </c>
      <c r="Q1862" s="177" t="s">
        <v>324</v>
      </c>
      <c r="R1862" s="83"/>
    </row>
    <row r="1863" spans="1:18">
      <c r="A1863" s="83">
        <v>80880192</v>
      </c>
      <c r="B1863" s="186" t="s">
        <v>1149</v>
      </c>
      <c r="C1863" s="186" t="s">
        <v>155</v>
      </c>
      <c r="D1863" s="83" t="s">
        <v>428</v>
      </c>
      <c r="E1863" s="83" t="s">
        <v>168</v>
      </c>
      <c r="F1863" s="180">
        <v>46034</v>
      </c>
      <c r="G1863" s="83">
        <v>3064</v>
      </c>
      <c r="H1863" s="180">
        <v>46021</v>
      </c>
      <c r="I1863" s="180" t="s">
        <v>202</v>
      </c>
      <c r="J1863" s="83">
        <v>3518741616</v>
      </c>
      <c r="K1863" s="180"/>
      <c r="L1863" s="180">
        <v>46021</v>
      </c>
      <c r="M1863" s="180"/>
      <c r="N1863" s="181">
        <v>10.4133104</v>
      </c>
      <c r="O1863" s="181" t="s">
        <v>170</v>
      </c>
      <c r="P1863" s="83" t="s">
        <v>323</v>
      </c>
      <c r="Q1863" s="177" t="s">
        <v>324</v>
      </c>
      <c r="R1863" s="83"/>
    </row>
    <row r="1864" spans="1:18">
      <c r="A1864" s="83">
        <v>80883592</v>
      </c>
      <c r="B1864" s="186" t="s">
        <v>1181</v>
      </c>
      <c r="C1864" s="186" t="s">
        <v>143</v>
      </c>
      <c r="D1864" s="83" t="s">
        <v>428</v>
      </c>
      <c r="E1864" s="83" t="s">
        <v>168</v>
      </c>
      <c r="F1864" s="180">
        <v>46034</v>
      </c>
      <c r="G1864" s="83">
        <v>66</v>
      </c>
      <c r="H1864" s="180">
        <v>46021</v>
      </c>
      <c r="I1864" s="180" t="s">
        <v>202</v>
      </c>
      <c r="J1864" s="83">
        <v>3518741617</v>
      </c>
      <c r="K1864" s="180"/>
      <c r="L1864" s="180">
        <v>46021</v>
      </c>
      <c r="M1864" s="180"/>
      <c r="N1864" s="181">
        <v>0.2243076</v>
      </c>
      <c r="O1864" s="181" t="s">
        <v>170</v>
      </c>
      <c r="P1864" s="83" t="s">
        <v>323</v>
      </c>
      <c r="Q1864" s="177" t="s">
        <v>324</v>
      </c>
      <c r="R1864" s="83"/>
    </row>
    <row r="1865" spans="1:18">
      <c r="A1865" s="83">
        <v>80883592</v>
      </c>
      <c r="B1865" s="186" t="s">
        <v>1181</v>
      </c>
      <c r="C1865" s="186" t="s">
        <v>150</v>
      </c>
      <c r="D1865" s="83" t="s">
        <v>428</v>
      </c>
      <c r="E1865" s="83" t="s">
        <v>168</v>
      </c>
      <c r="F1865" s="180">
        <v>46034</v>
      </c>
      <c r="G1865" s="83">
        <v>386</v>
      </c>
      <c r="H1865" s="180">
        <v>46021</v>
      </c>
      <c r="I1865" s="180" t="s">
        <v>202</v>
      </c>
      <c r="J1865" s="83">
        <v>3518741618</v>
      </c>
      <c r="K1865" s="180"/>
      <c r="L1865" s="180">
        <v>46021</v>
      </c>
      <c r="M1865" s="180"/>
      <c r="N1865" s="181">
        <v>1.3118596</v>
      </c>
      <c r="O1865" s="181" t="s">
        <v>170</v>
      </c>
      <c r="P1865" s="83" t="s">
        <v>323</v>
      </c>
      <c r="Q1865" s="177" t="s">
        <v>324</v>
      </c>
      <c r="R1865" s="83"/>
    </row>
    <row r="1866" spans="1:18">
      <c r="A1866" s="83">
        <v>80883592</v>
      </c>
      <c r="B1866" s="186" t="s">
        <v>1181</v>
      </c>
      <c r="C1866" s="186" t="s">
        <v>151</v>
      </c>
      <c r="D1866" s="83" t="s">
        <v>428</v>
      </c>
      <c r="E1866" s="83" t="s">
        <v>168</v>
      </c>
      <c r="F1866" s="180">
        <v>46034</v>
      </c>
      <c r="G1866" s="83">
        <v>711</v>
      </c>
      <c r="H1866" s="180">
        <v>46021</v>
      </c>
      <c r="I1866" s="180" t="s">
        <v>202</v>
      </c>
      <c r="J1866" s="83">
        <v>3518741619</v>
      </c>
      <c r="K1866" s="180"/>
      <c r="L1866" s="180">
        <v>46021</v>
      </c>
      <c r="M1866" s="180"/>
      <c r="N1866" s="181">
        <v>2.4164045999999999</v>
      </c>
      <c r="O1866" s="181" t="s">
        <v>170</v>
      </c>
      <c r="P1866" s="83" t="s">
        <v>323</v>
      </c>
      <c r="Q1866" s="177" t="s">
        <v>324</v>
      </c>
      <c r="R1866" s="83"/>
    </row>
    <row r="1867" spans="1:18">
      <c r="A1867" s="83">
        <v>80883592</v>
      </c>
      <c r="B1867" s="186" t="s">
        <v>1181</v>
      </c>
      <c r="C1867" s="186" t="s">
        <v>152</v>
      </c>
      <c r="D1867" s="83" t="s">
        <v>428</v>
      </c>
      <c r="E1867" s="83" t="s">
        <v>168</v>
      </c>
      <c r="F1867" s="180">
        <v>46034</v>
      </c>
      <c r="G1867" s="83">
        <v>97</v>
      </c>
      <c r="H1867" s="180">
        <v>46021</v>
      </c>
      <c r="I1867" s="180" t="s">
        <v>202</v>
      </c>
      <c r="J1867" s="83">
        <v>3518741620</v>
      </c>
      <c r="K1867" s="180"/>
      <c r="L1867" s="180">
        <v>46021</v>
      </c>
      <c r="M1867" s="180"/>
      <c r="N1867" s="181">
        <v>0.32966420000000002</v>
      </c>
      <c r="O1867" s="181" t="s">
        <v>170</v>
      </c>
      <c r="P1867" s="83" t="s">
        <v>323</v>
      </c>
      <c r="Q1867" s="177" t="s">
        <v>324</v>
      </c>
      <c r="R1867" s="83"/>
    </row>
    <row r="1868" spans="1:18">
      <c r="A1868" s="83">
        <v>80883592</v>
      </c>
      <c r="B1868" s="186" t="s">
        <v>1181</v>
      </c>
      <c r="C1868" s="186" t="s">
        <v>153</v>
      </c>
      <c r="D1868" s="83" t="s">
        <v>428</v>
      </c>
      <c r="E1868" s="83" t="s">
        <v>168</v>
      </c>
      <c r="F1868" s="180">
        <v>46034</v>
      </c>
      <c r="G1868" s="83">
        <v>21</v>
      </c>
      <c r="H1868" s="180">
        <v>46021</v>
      </c>
      <c r="I1868" s="180" t="s">
        <v>202</v>
      </c>
      <c r="J1868" s="83">
        <v>3518741621</v>
      </c>
      <c r="K1868" s="180"/>
      <c r="L1868" s="180">
        <v>46021</v>
      </c>
      <c r="M1868" s="180"/>
      <c r="N1868" s="181">
        <v>7.1370600000000006E-2</v>
      </c>
      <c r="O1868" s="181" t="s">
        <v>170</v>
      </c>
      <c r="P1868" s="83" t="s">
        <v>323</v>
      </c>
      <c r="Q1868" s="177" t="s">
        <v>324</v>
      </c>
      <c r="R1868" s="83"/>
    </row>
    <row r="1869" spans="1:18">
      <c r="A1869" s="83">
        <v>80883592</v>
      </c>
      <c r="B1869" s="186" t="s">
        <v>1181</v>
      </c>
      <c r="C1869" s="186" t="s">
        <v>154</v>
      </c>
      <c r="D1869" s="83" t="s">
        <v>428</v>
      </c>
      <c r="E1869" s="83" t="s">
        <v>168</v>
      </c>
      <c r="F1869" s="180">
        <v>46034</v>
      </c>
      <c r="G1869" s="83">
        <v>28</v>
      </c>
      <c r="H1869" s="180">
        <v>46021</v>
      </c>
      <c r="I1869" s="180" t="s">
        <v>202</v>
      </c>
      <c r="J1869" s="83">
        <v>3518741622</v>
      </c>
      <c r="K1869" s="180"/>
      <c r="L1869" s="180">
        <v>46021</v>
      </c>
      <c r="M1869" s="180"/>
      <c r="N1869" s="181">
        <v>9.5160800000000004E-2</v>
      </c>
      <c r="O1869" s="181" t="s">
        <v>170</v>
      </c>
      <c r="P1869" s="83" t="s">
        <v>323</v>
      </c>
      <c r="Q1869" s="177" t="s">
        <v>324</v>
      </c>
      <c r="R1869" s="83"/>
    </row>
    <row r="1870" spans="1:18">
      <c r="A1870" s="83">
        <v>80883592</v>
      </c>
      <c r="B1870" s="186" t="s">
        <v>1181</v>
      </c>
      <c r="C1870" s="186" t="s">
        <v>155</v>
      </c>
      <c r="D1870" s="83" t="s">
        <v>428</v>
      </c>
      <c r="E1870" s="83" t="s">
        <v>168</v>
      </c>
      <c r="F1870" s="180">
        <v>46034</v>
      </c>
      <c r="G1870" s="83">
        <v>378</v>
      </c>
      <c r="H1870" s="180">
        <v>46021</v>
      </c>
      <c r="I1870" s="180" t="s">
        <v>202</v>
      </c>
      <c r="J1870" s="83">
        <v>3518741623</v>
      </c>
      <c r="K1870" s="180"/>
      <c r="L1870" s="180">
        <v>46021</v>
      </c>
      <c r="M1870" s="180"/>
      <c r="N1870" s="181">
        <v>1.2846708</v>
      </c>
      <c r="O1870" s="181" t="s">
        <v>170</v>
      </c>
      <c r="P1870" s="83" t="s">
        <v>323</v>
      </c>
      <c r="Q1870" s="177" t="s">
        <v>324</v>
      </c>
      <c r="R1870" s="83"/>
    </row>
    <row r="1871" spans="1:18">
      <c r="A1871" s="83">
        <v>80883611</v>
      </c>
      <c r="B1871" s="186" t="s">
        <v>1173</v>
      </c>
      <c r="C1871" s="186" t="s">
        <v>143</v>
      </c>
      <c r="D1871" s="83" t="s">
        <v>428</v>
      </c>
      <c r="E1871" s="83" t="s">
        <v>168</v>
      </c>
      <c r="F1871" s="180">
        <v>46034</v>
      </c>
      <c r="G1871" s="83">
        <v>66</v>
      </c>
      <c r="H1871" s="180">
        <v>46021</v>
      </c>
      <c r="I1871" s="180" t="s">
        <v>202</v>
      </c>
      <c r="J1871" s="83">
        <v>3518741624</v>
      </c>
      <c r="K1871" s="180"/>
      <c r="L1871" s="180">
        <v>46021</v>
      </c>
      <c r="M1871" s="180"/>
      <c r="N1871" s="181">
        <v>0.2243076</v>
      </c>
      <c r="O1871" s="181" t="s">
        <v>170</v>
      </c>
      <c r="P1871" s="83" t="s">
        <v>323</v>
      </c>
      <c r="Q1871" s="177" t="s">
        <v>324</v>
      </c>
      <c r="R1871" s="83"/>
    </row>
    <row r="1872" spans="1:18">
      <c r="A1872" s="83">
        <v>80883611</v>
      </c>
      <c r="B1872" s="186" t="s">
        <v>1173</v>
      </c>
      <c r="C1872" s="186" t="s">
        <v>150</v>
      </c>
      <c r="D1872" s="83" t="s">
        <v>428</v>
      </c>
      <c r="E1872" s="83" t="s">
        <v>168</v>
      </c>
      <c r="F1872" s="180">
        <v>46034</v>
      </c>
      <c r="G1872" s="83">
        <v>254</v>
      </c>
      <c r="H1872" s="180">
        <v>46021</v>
      </c>
      <c r="I1872" s="180" t="s">
        <v>202</v>
      </c>
      <c r="J1872" s="83">
        <v>3518741625</v>
      </c>
      <c r="K1872" s="180"/>
      <c r="L1872" s="180">
        <v>46021</v>
      </c>
      <c r="M1872" s="180"/>
      <c r="N1872" s="181">
        <v>0.86324440000000002</v>
      </c>
      <c r="O1872" s="181" t="s">
        <v>170</v>
      </c>
      <c r="P1872" s="83" t="s">
        <v>323</v>
      </c>
      <c r="Q1872" s="177" t="s">
        <v>324</v>
      </c>
      <c r="R1872" s="83"/>
    </row>
    <row r="1873" spans="1:18">
      <c r="A1873" s="83">
        <v>80883611</v>
      </c>
      <c r="B1873" s="186" t="s">
        <v>1173</v>
      </c>
      <c r="C1873" s="186" t="s">
        <v>151</v>
      </c>
      <c r="D1873" s="83" t="s">
        <v>428</v>
      </c>
      <c r="E1873" s="83" t="s">
        <v>168</v>
      </c>
      <c r="F1873" s="180">
        <v>46034</v>
      </c>
      <c r="G1873" s="83">
        <v>423</v>
      </c>
      <c r="H1873" s="180">
        <v>46021</v>
      </c>
      <c r="I1873" s="180" t="s">
        <v>202</v>
      </c>
      <c r="J1873" s="83">
        <v>3518741626</v>
      </c>
      <c r="K1873" s="180"/>
      <c r="L1873" s="180">
        <v>46021</v>
      </c>
      <c r="M1873" s="180"/>
      <c r="N1873" s="181">
        <v>1.4376078000000001</v>
      </c>
      <c r="O1873" s="181" t="s">
        <v>170</v>
      </c>
      <c r="P1873" s="83" t="s">
        <v>323</v>
      </c>
      <c r="Q1873" s="177" t="s">
        <v>324</v>
      </c>
      <c r="R1873" s="83"/>
    </row>
    <row r="1874" spans="1:18">
      <c r="A1874" s="83">
        <v>80883611</v>
      </c>
      <c r="B1874" s="186" t="s">
        <v>1173</v>
      </c>
      <c r="C1874" s="186" t="s">
        <v>152</v>
      </c>
      <c r="D1874" s="83" t="s">
        <v>428</v>
      </c>
      <c r="E1874" s="83" t="s">
        <v>168</v>
      </c>
      <c r="F1874" s="180">
        <v>46034</v>
      </c>
      <c r="G1874" s="83">
        <v>56</v>
      </c>
      <c r="H1874" s="180">
        <v>46021</v>
      </c>
      <c r="I1874" s="180" t="s">
        <v>202</v>
      </c>
      <c r="J1874" s="83">
        <v>3518741627</v>
      </c>
      <c r="K1874" s="180"/>
      <c r="L1874" s="180">
        <v>46021</v>
      </c>
      <c r="M1874" s="180"/>
      <c r="N1874" s="181">
        <v>0.19032160000000001</v>
      </c>
      <c r="O1874" s="181" t="s">
        <v>170</v>
      </c>
      <c r="P1874" s="83" t="s">
        <v>323</v>
      </c>
      <c r="Q1874" s="177" t="s">
        <v>324</v>
      </c>
      <c r="R1874" s="83"/>
    </row>
    <row r="1875" spans="1:18">
      <c r="A1875" s="83">
        <v>80883611</v>
      </c>
      <c r="B1875" s="186" t="s">
        <v>1173</v>
      </c>
      <c r="C1875" s="186" t="s">
        <v>153</v>
      </c>
      <c r="D1875" s="83" t="s">
        <v>428</v>
      </c>
      <c r="E1875" s="83" t="s">
        <v>168</v>
      </c>
      <c r="F1875" s="180">
        <v>46034</v>
      </c>
      <c r="G1875" s="83">
        <v>18</v>
      </c>
      <c r="H1875" s="180">
        <v>46021</v>
      </c>
      <c r="I1875" s="180" t="s">
        <v>202</v>
      </c>
      <c r="J1875" s="83">
        <v>3518741628</v>
      </c>
      <c r="K1875" s="180"/>
      <c r="L1875" s="180">
        <v>46021</v>
      </c>
      <c r="M1875" s="180"/>
      <c r="N1875" s="181">
        <v>6.1174800000000001E-2</v>
      </c>
      <c r="O1875" s="181" t="s">
        <v>170</v>
      </c>
      <c r="P1875" s="83" t="s">
        <v>323</v>
      </c>
      <c r="Q1875" s="177" t="s">
        <v>324</v>
      </c>
      <c r="R1875" s="83"/>
    </row>
    <row r="1876" spans="1:18">
      <c r="A1876" s="83">
        <v>80883611</v>
      </c>
      <c r="B1876" s="186" t="s">
        <v>1173</v>
      </c>
      <c r="C1876" s="186" t="s">
        <v>154</v>
      </c>
      <c r="D1876" s="83" t="s">
        <v>428</v>
      </c>
      <c r="E1876" s="83" t="s">
        <v>168</v>
      </c>
      <c r="F1876" s="180">
        <v>46034</v>
      </c>
      <c r="G1876" s="83">
        <v>24</v>
      </c>
      <c r="H1876" s="180">
        <v>46021</v>
      </c>
      <c r="I1876" s="180" t="s">
        <v>202</v>
      </c>
      <c r="J1876" s="83">
        <v>3518741629</v>
      </c>
      <c r="K1876" s="180"/>
      <c r="L1876" s="180">
        <v>46021</v>
      </c>
      <c r="M1876" s="180"/>
      <c r="N1876" s="181">
        <v>8.1566399999999997E-2</v>
      </c>
      <c r="O1876" s="181" t="s">
        <v>170</v>
      </c>
      <c r="P1876" s="83" t="s">
        <v>323</v>
      </c>
      <c r="Q1876" s="177" t="s">
        <v>324</v>
      </c>
      <c r="R1876" s="83"/>
    </row>
    <row r="1877" spans="1:18">
      <c r="A1877" s="83">
        <v>80883611</v>
      </c>
      <c r="B1877" s="186" t="s">
        <v>1173</v>
      </c>
      <c r="C1877" s="186" t="s">
        <v>155</v>
      </c>
      <c r="D1877" s="83" t="s">
        <v>428</v>
      </c>
      <c r="E1877" s="83" t="s">
        <v>168</v>
      </c>
      <c r="F1877" s="180">
        <v>46034</v>
      </c>
      <c r="G1877" s="83">
        <v>220</v>
      </c>
      <c r="H1877" s="180">
        <v>46021</v>
      </c>
      <c r="I1877" s="180" t="s">
        <v>202</v>
      </c>
      <c r="J1877" s="83">
        <v>3518741630</v>
      </c>
      <c r="K1877" s="180"/>
      <c r="L1877" s="180">
        <v>46021</v>
      </c>
      <c r="M1877" s="180"/>
      <c r="N1877" s="181">
        <v>0.74769200000000002</v>
      </c>
      <c r="O1877" s="181" t="s">
        <v>170</v>
      </c>
      <c r="P1877" s="83" t="s">
        <v>323</v>
      </c>
      <c r="Q1877" s="177" t="s">
        <v>324</v>
      </c>
      <c r="R1877" s="83"/>
    </row>
    <row r="1878" spans="1:18">
      <c r="A1878" s="83">
        <v>80883616</v>
      </c>
      <c r="B1878" s="186" t="s">
        <v>1165</v>
      </c>
      <c r="C1878" s="186" t="s">
        <v>143</v>
      </c>
      <c r="D1878" s="83" t="s">
        <v>428</v>
      </c>
      <c r="E1878" s="83" t="s">
        <v>168</v>
      </c>
      <c r="F1878" s="180">
        <v>46034</v>
      </c>
      <c r="G1878" s="83">
        <v>9</v>
      </c>
      <c r="H1878" s="180">
        <v>46021</v>
      </c>
      <c r="I1878" s="180" t="s">
        <v>202</v>
      </c>
      <c r="J1878" s="83">
        <v>3518741631</v>
      </c>
      <c r="K1878" s="180"/>
      <c r="L1878" s="180">
        <v>46021</v>
      </c>
      <c r="M1878" s="180"/>
      <c r="N1878" s="181">
        <v>1.5752700000000001E-2</v>
      </c>
      <c r="O1878" s="181" t="s">
        <v>170</v>
      </c>
      <c r="P1878" s="83" t="s">
        <v>323</v>
      </c>
      <c r="Q1878" s="177" t="s">
        <v>324</v>
      </c>
      <c r="R1878" s="83"/>
    </row>
    <row r="1879" spans="1:18">
      <c r="A1879" s="83">
        <v>80883616</v>
      </c>
      <c r="B1879" s="186" t="s">
        <v>1165</v>
      </c>
      <c r="C1879" s="186" t="s">
        <v>150</v>
      </c>
      <c r="D1879" s="83" t="s">
        <v>428</v>
      </c>
      <c r="E1879" s="83" t="s">
        <v>168</v>
      </c>
      <c r="F1879" s="180">
        <v>46034</v>
      </c>
      <c r="G1879" s="83">
        <v>32</v>
      </c>
      <c r="H1879" s="180">
        <v>46021</v>
      </c>
      <c r="I1879" s="180" t="s">
        <v>202</v>
      </c>
      <c r="J1879" s="83">
        <v>3518741632</v>
      </c>
      <c r="K1879" s="180"/>
      <c r="L1879" s="180">
        <v>46021</v>
      </c>
      <c r="M1879" s="180"/>
      <c r="N1879" s="181">
        <v>5.60096E-2</v>
      </c>
      <c r="O1879" s="181" t="s">
        <v>170</v>
      </c>
      <c r="P1879" s="83" t="s">
        <v>323</v>
      </c>
      <c r="Q1879" s="177" t="s">
        <v>324</v>
      </c>
      <c r="R1879" s="83"/>
    </row>
    <row r="1880" spans="1:18">
      <c r="A1880" s="83">
        <v>80883616</v>
      </c>
      <c r="B1880" s="186" t="s">
        <v>1165</v>
      </c>
      <c r="C1880" s="186" t="s">
        <v>151</v>
      </c>
      <c r="D1880" s="83" t="s">
        <v>428</v>
      </c>
      <c r="E1880" s="83" t="s">
        <v>168</v>
      </c>
      <c r="F1880" s="180">
        <v>46034</v>
      </c>
      <c r="G1880" s="83">
        <v>49</v>
      </c>
      <c r="H1880" s="180">
        <v>46021</v>
      </c>
      <c r="I1880" s="180" t="s">
        <v>202</v>
      </c>
      <c r="J1880" s="83">
        <v>3518741633</v>
      </c>
      <c r="K1880" s="180"/>
      <c r="L1880" s="180">
        <v>46021</v>
      </c>
      <c r="M1880" s="180"/>
      <c r="N1880" s="181">
        <v>8.5764699999999999E-2</v>
      </c>
      <c r="O1880" s="181" t="s">
        <v>170</v>
      </c>
      <c r="P1880" s="83" t="s">
        <v>323</v>
      </c>
      <c r="Q1880" s="177" t="s">
        <v>324</v>
      </c>
      <c r="R1880" s="83"/>
    </row>
    <row r="1881" spans="1:18">
      <c r="A1881" s="83">
        <v>80883616</v>
      </c>
      <c r="B1881" s="186" t="s">
        <v>1165</v>
      </c>
      <c r="C1881" s="186" t="s">
        <v>152</v>
      </c>
      <c r="D1881" s="83" t="s">
        <v>428</v>
      </c>
      <c r="E1881" s="83" t="s">
        <v>168</v>
      </c>
      <c r="F1881" s="180">
        <v>46034</v>
      </c>
      <c r="G1881" s="83">
        <v>7</v>
      </c>
      <c r="H1881" s="180">
        <v>46021</v>
      </c>
      <c r="I1881" s="180" t="s">
        <v>202</v>
      </c>
      <c r="J1881" s="83">
        <v>3518741634</v>
      </c>
      <c r="K1881" s="180"/>
      <c r="L1881" s="180">
        <v>46021</v>
      </c>
      <c r="M1881" s="180"/>
      <c r="N1881" s="181">
        <v>1.22521E-2</v>
      </c>
      <c r="O1881" s="181" t="s">
        <v>170</v>
      </c>
      <c r="P1881" s="83" t="s">
        <v>323</v>
      </c>
      <c r="Q1881" s="177" t="s">
        <v>324</v>
      </c>
      <c r="R1881" s="83"/>
    </row>
    <row r="1882" spans="1:18">
      <c r="A1882" s="83">
        <v>80883616</v>
      </c>
      <c r="B1882" s="186" t="s">
        <v>1165</v>
      </c>
      <c r="C1882" s="186" t="s">
        <v>153</v>
      </c>
      <c r="D1882" s="83" t="s">
        <v>428</v>
      </c>
      <c r="E1882" s="83" t="s">
        <v>168</v>
      </c>
      <c r="F1882" s="180">
        <v>46034</v>
      </c>
      <c r="G1882" s="83">
        <v>5</v>
      </c>
      <c r="H1882" s="180">
        <v>46021</v>
      </c>
      <c r="I1882" s="180" t="s">
        <v>202</v>
      </c>
      <c r="J1882" s="83">
        <v>3518741635</v>
      </c>
      <c r="K1882" s="180"/>
      <c r="L1882" s="180">
        <v>46021</v>
      </c>
      <c r="M1882" s="180"/>
      <c r="N1882" s="181">
        <v>8.7515000000000006E-3</v>
      </c>
      <c r="O1882" s="181" t="s">
        <v>170</v>
      </c>
      <c r="P1882" s="83" t="s">
        <v>323</v>
      </c>
      <c r="Q1882" s="177" t="s">
        <v>324</v>
      </c>
      <c r="R1882" s="83"/>
    </row>
    <row r="1883" spans="1:18">
      <c r="A1883" s="83">
        <v>80883616</v>
      </c>
      <c r="B1883" s="186" t="s">
        <v>1165</v>
      </c>
      <c r="C1883" s="186" t="s">
        <v>154</v>
      </c>
      <c r="D1883" s="83" t="s">
        <v>428</v>
      </c>
      <c r="E1883" s="83" t="s">
        <v>168</v>
      </c>
      <c r="F1883" s="180">
        <v>46034</v>
      </c>
      <c r="G1883" s="83">
        <v>4</v>
      </c>
      <c r="H1883" s="180">
        <v>46021</v>
      </c>
      <c r="I1883" s="180" t="s">
        <v>202</v>
      </c>
      <c r="J1883" s="83">
        <v>3518741636</v>
      </c>
      <c r="K1883" s="180"/>
      <c r="L1883" s="180">
        <v>46021</v>
      </c>
      <c r="M1883" s="180"/>
      <c r="N1883" s="181">
        <v>7.0012E-3</v>
      </c>
      <c r="O1883" s="181" t="s">
        <v>170</v>
      </c>
      <c r="P1883" s="83" t="s">
        <v>323</v>
      </c>
      <c r="Q1883" s="177" t="s">
        <v>324</v>
      </c>
      <c r="R1883" s="83"/>
    </row>
    <row r="1884" spans="1:18">
      <c r="A1884" s="83">
        <v>80883616</v>
      </c>
      <c r="B1884" s="186" t="s">
        <v>1165</v>
      </c>
      <c r="C1884" s="186" t="s">
        <v>155</v>
      </c>
      <c r="D1884" s="83" t="s">
        <v>428</v>
      </c>
      <c r="E1884" s="83" t="s">
        <v>168</v>
      </c>
      <c r="F1884" s="180">
        <v>46034</v>
      </c>
      <c r="G1884" s="83">
        <v>16</v>
      </c>
      <c r="H1884" s="180">
        <v>46021</v>
      </c>
      <c r="I1884" s="180" t="s">
        <v>202</v>
      </c>
      <c r="J1884" s="83">
        <v>3518741637</v>
      </c>
      <c r="K1884" s="180"/>
      <c r="L1884" s="180">
        <v>46021</v>
      </c>
      <c r="M1884" s="180"/>
      <c r="N1884" s="181">
        <v>2.80048E-2</v>
      </c>
      <c r="O1884" s="181" t="s">
        <v>170</v>
      </c>
      <c r="P1884" s="83" t="s">
        <v>323</v>
      </c>
      <c r="Q1884" s="177" t="s">
        <v>324</v>
      </c>
      <c r="R1884" s="83"/>
    </row>
  </sheetData>
  <autoFilter ref="A3:R1091" xr:uid="{3ABC9DFC-0719-43FE-90B4-41B0B1DDDD18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J53"/>
  <sheetViews>
    <sheetView zoomScale="85" zoomScaleNormal="85" workbookViewId="0">
      <selection activeCell="M5" sqref="M5"/>
    </sheetView>
  </sheetViews>
  <sheetFormatPr defaultRowHeight="15"/>
  <cols>
    <col min="1" max="1" width="27.5703125" customWidth="1"/>
    <col min="2" max="2" width="17" customWidth="1"/>
    <col min="3" max="3" width="10.5703125" bestFit="1" customWidth="1"/>
    <col min="4" max="4" width="32.140625" bestFit="1" customWidth="1"/>
    <col min="5" max="10" width="12.5703125" customWidth="1"/>
    <col min="11" max="11" width="11.28515625" bestFit="1" customWidth="1"/>
    <col min="12" max="19" width="18" bestFit="1" customWidth="1"/>
    <col min="20" max="20" width="11.42578125" bestFit="1" customWidth="1"/>
    <col min="21" max="22" width="18" bestFit="1" customWidth="1"/>
    <col min="23" max="23" width="11.42578125" bestFit="1" customWidth="1"/>
    <col min="24" max="24" width="18" bestFit="1" customWidth="1"/>
    <col min="25" max="25" width="11.42578125" bestFit="1" customWidth="1"/>
    <col min="26" max="28" width="10.5703125" bestFit="1" customWidth="1"/>
    <col min="29" max="29" width="7.42578125" bestFit="1" customWidth="1"/>
    <col min="30" max="30" width="11.42578125" bestFit="1" customWidth="1"/>
  </cols>
  <sheetData>
    <row r="1" spans="1:10">
      <c r="A1" s="41" t="s">
        <v>136</v>
      </c>
      <c r="B1" t="s">
        <v>1225</v>
      </c>
    </row>
    <row r="2" spans="1:10" ht="15.75">
      <c r="A2" s="43" t="s">
        <v>1226</v>
      </c>
    </row>
    <row r="3" spans="1:10">
      <c r="A3" s="41" t="s">
        <v>1227</v>
      </c>
      <c r="E3" s="41" t="s">
        <v>1228</v>
      </c>
      <c r="F3" s="41" t="s">
        <v>1229</v>
      </c>
      <c r="G3" s="41" t="s">
        <v>129</v>
      </c>
    </row>
    <row r="4" spans="1:10">
      <c r="E4" t="s">
        <v>1230</v>
      </c>
      <c r="F4" t="s">
        <v>1231</v>
      </c>
      <c r="J4" t="s">
        <v>1232</v>
      </c>
    </row>
    <row r="5" spans="1:10">
      <c r="E5" t="s">
        <v>1233</v>
      </c>
      <c r="F5" t="s">
        <v>1234</v>
      </c>
      <c r="G5" t="s">
        <v>1235</v>
      </c>
      <c r="H5" t="s">
        <v>1236</v>
      </c>
      <c r="I5" t="s">
        <v>1237</v>
      </c>
    </row>
    <row r="6" spans="1:10">
      <c r="A6" s="41" t="s">
        <v>130</v>
      </c>
      <c r="B6" s="41" t="s">
        <v>128</v>
      </c>
      <c r="C6" s="41" t="s">
        <v>138</v>
      </c>
      <c r="D6" s="41" t="s">
        <v>134</v>
      </c>
    </row>
    <row r="7" spans="1:10">
      <c r="A7" t="s">
        <v>253</v>
      </c>
      <c r="B7" t="s">
        <v>205</v>
      </c>
      <c r="C7" t="s">
        <v>170</v>
      </c>
      <c r="D7" t="s">
        <v>334</v>
      </c>
      <c r="E7" s="42"/>
      <c r="F7" s="42">
        <v>27.020911600000005</v>
      </c>
      <c r="G7" s="42"/>
      <c r="H7" s="42"/>
      <c r="I7" s="42"/>
      <c r="J7" s="42">
        <v>27.020911600000005</v>
      </c>
    </row>
    <row r="8" spans="1:10">
      <c r="A8" t="s">
        <v>146</v>
      </c>
      <c r="B8" t="s">
        <v>145</v>
      </c>
      <c r="C8" t="s">
        <v>147</v>
      </c>
      <c r="D8" t="s">
        <v>395</v>
      </c>
      <c r="E8" s="42"/>
      <c r="F8" s="42"/>
      <c r="G8" s="42">
        <v>3.20485</v>
      </c>
      <c r="H8" s="42">
        <v>1.2080321999999999</v>
      </c>
      <c r="I8" s="42"/>
      <c r="J8" s="42">
        <v>4.4128822000000003</v>
      </c>
    </row>
    <row r="9" spans="1:10">
      <c r="D9" t="s">
        <v>394</v>
      </c>
      <c r="E9" s="42"/>
      <c r="F9" s="42">
        <v>4.2903190000000002</v>
      </c>
      <c r="G9" s="42"/>
      <c r="H9" s="42"/>
      <c r="I9" s="42"/>
      <c r="J9" s="42">
        <v>4.2903190000000002</v>
      </c>
    </row>
    <row r="10" spans="1:10">
      <c r="D10" t="s">
        <v>144</v>
      </c>
      <c r="E10" s="42">
        <v>22.038096299999999</v>
      </c>
      <c r="F10" s="42">
        <v>18.0328917</v>
      </c>
      <c r="G10" s="42"/>
      <c r="H10" s="42"/>
      <c r="I10" s="42"/>
      <c r="J10" s="42">
        <v>40.070988</v>
      </c>
    </row>
    <row r="11" spans="1:10">
      <c r="B11" t="s">
        <v>168</v>
      </c>
      <c r="C11" t="s">
        <v>170</v>
      </c>
      <c r="D11" t="s">
        <v>387</v>
      </c>
      <c r="E11" s="42"/>
      <c r="F11" s="42">
        <v>4.4181499999999998</v>
      </c>
      <c r="G11" s="42"/>
      <c r="H11" s="42"/>
      <c r="I11" s="42"/>
      <c r="J11" s="42">
        <v>4.4181499999999998</v>
      </c>
    </row>
    <row r="12" spans="1:10">
      <c r="D12" t="s">
        <v>395</v>
      </c>
      <c r="E12" s="42"/>
      <c r="F12" s="42">
        <v>19.0109171</v>
      </c>
      <c r="G12" s="42"/>
      <c r="H12" s="42"/>
      <c r="I12" s="42"/>
      <c r="J12" s="42">
        <v>19.0109171</v>
      </c>
    </row>
    <row r="13" spans="1:10">
      <c r="A13" t="s">
        <v>382</v>
      </c>
      <c r="B13" t="s">
        <v>145</v>
      </c>
      <c r="C13" t="s">
        <v>147</v>
      </c>
      <c r="D13" t="s">
        <v>381</v>
      </c>
      <c r="E13" s="42"/>
      <c r="F13" s="42"/>
      <c r="G13" s="42"/>
      <c r="H13" s="42">
        <v>1.680342</v>
      </c>
      <c r="I13" s="42">
        <v>3.9235169999999995</v>
      </c>
      <c r="J13" s="42">
        <v>5.6038589999999999</v>
      </c>
    </row>
    <row r="14" spans="1:10">
      <c r="B14" t="s">
        <v>168</v>
      </c>
      <c r="C14" t="s">
        <v>170</v>
      </c>
      <c r="D14" t="s">
        <v>381</v>
      </c>
      <c r="E14" s="42"/>
      <c r="F14" s="42">
        <v>5.6038589999999999</v>
      </c>
      <c r="G14" s="42"/>
      <c r="H14" s="42"/>
      <c r="I14" s="42"/>
      <c r="J14" s="42">
        <v>5.6038589999999999</v>
      </c>
    </row>
    <row r="15" spans="1:10">
      <c r="A15" t="s">
        <v>206</v>
      </c>
      <c r="B15" t="s">
        <v>205</v>
      </c>
      <c r="C15" t="s">
        <v>170</v>
      </c>
      <c r="D15" t="s">
        <v>383</v>
      </c>
      <c r="E15" s="42"/>
      <c r="F15" s="42">
        <v>2.9131840000000002</v>
      </c>
      <c r="G15" s="42"/>
      <c r="H15" s="42"/>
      <c r="I15" s="42"/>
      <c r="J15" s="42">
        <v>2.9131840000000002</v>
      </c>
    </row>
    <row r="16" spans="1:10">
      <c r="B16" t="s">
        <v>145</v>
      </c>
      <c r="C16" t="s">
        <v>147</v>
      </c>
      <c r="D16" t="s">
        <v>383</v>
      </c>
      <c r="E16" s="42"/>
      <c r="F16" s="42">
        <v>2.2580480000000001</v>
      </c>
      <c r="G16" s="42"/>
      <c r="H16" s="42"/>
      <c r="I16" s="42"/>
      <c r="J16" s="42">
        <v>2.2580480000000001</v>
      </c>
    </row>
    <row r="17" spans="1:10">
      <c r="D17" t="s">
        <v>222</v>
      </c>
      <c r="E17" s="42"/>
      <c r="F17" s="42">
        <v>32.063139999999997</v>
      </c>
      <c r="G17" s="42"/>
      <c r="H17" s="42"/>
      <c r="I17" s="42"/>
      <c r="J17" s="42">
        <v>32.063139999999997</v>
      </c>
    </row>
    <row r="18" spans="1:10">
      <c r="A18" t="s">
        <v>161</v>
      </c>
      <c r="B18" t="s">
        <v>145</v>
      </c>
      <c r="C18" t="s">
        <v>147</v>
      </c>
      <c r="D18" t="s">
        <v>388</v>
      </c>
      <c r="E18" s="42"/>
      <c r="F18" s="42">
        <v>10.474031500000001</v>
      </c>
      <c r="G18" s="42"/>
      <c r="H18" s="42"/>
      <c r="I18" s="42"/>
      <c r="J18" s="42">
        <v>10.474031500000001</v>
      </c>
    </row>
    <row r="19" spans="1:10">
      <c r="B19" t="s">
        <v>168</v>
      </c>
      <c r="C19" t="s">
        <v>170</v>
      </c>
      <c r="D19" t="s">
        <v>388</v>
      </c>
      <c r="E19" s="42"/>
      <c r="F19" s="42">
        <v>13.238225999999999</v>
      </c>
      <c r="G19" s="42"/>
      <c r="H19" s="42"/>
      <c r="I19" s="42"/>
      <c r="J19" s="42">
        <v>13.238225999999999</v>
      </c>
    </row>
    <row r="20" spans="1:10">
      <c r="B20" t="s">
        <v>355</v>
      </c>
      <c r="C20" t="s">
        <v>147</v>
      </c>
      <c r="D20" t="s">
        <v>400</v>
      </c>
      <c r="E20" s="42"/>
      <c r="F20" s="42">
        <v>88</v>
      </c>
      <c r="G20" s="42"/>
      <c r="H20" s="42"/>
      <c r="I20" s="42"/>
      <c r="J20" s="42">
        <v>88</v>
      </c>
    </row>
    <row r="21" spans="1:10">
      <c r="A21" t="s">
        <v>399</v>
      </c>
      <c r="B21" t="s">
        <v>145</v>
      </c>
      <c r="C21" t="s">
        <v>147</v>
      </c>
      <c r="D21" t="s">
        <v>402</v>
      </c>
      <c r="E21" s="42"/>
      <c r="F21" s="42">
        <v>5.1115200000000005</v>
      </c>
      <c r="G21" s="42"/>
      <c r="H21" s="42"/>
      <c r="I21" s="42"/>
      <c r="J21" s="42">
        <v>5.1115200000000005</v>
      </c>
    </row>
    <row r="22" spans="1:10">
      <c r="D22" t="s">
        <v>406</v>
      </c>
      <c r="E22" s="42"/>
      <c r="F22" s="42">
        <v>0.24016000000000001</v>
      </c>
      <c r="G22" s="42"/>
      <c r="H22" s="42"/>
      <c r="I22" s="42"/>
      <c r="J22" s="42">
        <v>0.24016000000000001</v>
      </c>
    </row>
    <row r="23" spans="1:10">
      <c r="D23" t="s">
        <v>411</v>
      </c>
      <c r="E23" s="42"/>
      <c r="F23" s="42">
        <v>26.090556299999999</v>
      </c>
      <c r="G23" s="42"/>
      <c r="H23" s="42"/>
      <c r="I23" s="42"/>
      <c r="J23" s="42">
        <v>26.090556299999999</v>
      </c>
    </row>
    <row r="24" spans="1:10">
      <c r="D24" t="s">
        <v>420</v>
      </c>
      <c r="E24" s="42"/>
      <c r="F24" s="42">
        <v>4.0338412000000003</v>
      </c>
      <c r="G24" s="42"/>
      <c r="H24" s="42"/>
      <c r="I24" s="42"/>
      <c r="J24" s="42">
        <v>4.0338412000000003</v>
      </c>
    </row>
    <row r="25" spans="1:10">
      <c r="B25" t="s">
        <v>355</v>
      </c>
      <c r="C25" t="s">
        <v>147</v>
      </c>
      <c r="D25" t="s">
        <v>398</v>
      </c>
      <c r="E25" s="42"/>
      <c r="F25" s="42">
        <v>6.6000000000000005</v>
      </c>
      <c r="G25" s="42">
        <v>4.4000000000000004</v>
      </c>
      <c r="H25" s="42"/>
      <c r="I25" s="42"/>
      <c r="J25" s="42">
        <v>11</v>
      </c>
    </row>
    <row r="26" spans="1:10">
      <c r="A26" t="s">
        <v>1232</v>
      </c>
      <c r="E26" s="42">
        <v>22.038096299999999</v>
      </c>
      <c r="F26" s="42">
        <v>269.3997554</v>
      </c>
      <c r="G26" s="42">
        <v>7.6048500000000008</v>
      </c>
      <c r="H26" s="42">
        <v>2.8883741999999999</v>
      </c>
      <c r="I26" s="42">
        <v>3.9235169999999995</v>
      </c>
      <c r="J26" s="42">
        <v>305.85459289999994</v>
      </c>
    </row>
    <row r="34" spans="1:7">
      <c r="A34" s="41" t="s">
        <v>140</v>
      </c>
      <c r="B34" s="107">
        <v>-5</v>
      </c>
    </row>
    <row r="35" spans="1:7" ht="15.75">
      <c r="A35" s="43" t="s">
        <v>1238</v>
      </c>
    </row>
    <row r="36" spans="1:7">
      <c r="A36" s="41" t="s">
        <v>1227</v>
      </c>
      <c r="E36" s="41" t="s">
        <v>129</v>
      </c>
    </row>
    <row r="37" spans="1:7">
      <c r="A37" s="41" t="s">
        <v>130</v>
      </c>
      <c r="B37" s="41" t="s">
        <v>128</v>
      </c>
      <c r="C37" s="41" t="s">
        <v>138</v>
      </c>
      <c r="D37" s="41" t="s">
        <v>134</v>
      </c>
      <c r="E37" s="108">
        <v>46015</v>
      </c>
      <c r="F37" s="40" t="s">
        <v>1232</v>
      </c>
    </row>
    <row r="38" spans="1:7">
      <c r="A38" t="s">
        <v>146</v>
      </c>
      <c r="B38" t="s">
        <v>145</v>
      </c>
      <c r="C38" t="s">
        <v>147</v>
      </c>
      <c r="D38" t="s">
        <v>144</v>
      </c>
      <c r="E38" s="42">
        <v>22.038096299999996</v>
      </c>
      <c r="F38" s="42">
        <v>22.038096299999996</v>
      </c>
    </row>
    <row r="39" spans="1:7">
      <c r="A39" t="s">
        <v>1232</v>
      </c>
      <c r="E39" s="42">
        <v>22.038096299999996</v>
      </c>
      <c r="F39" s="42">
        <v>22.038096299999996</v>
      </c>
    </row>
    <row r="42" spans="1:7">
      <c r="A42" s="41" t="s">
        <v>136</v>
      </c>
      <c r="B42" t="s">
        <v>1225</v>
      </c>
    </row>
    <row r="43" spans="1:7" ht="15.75">
      <c r="A43" s="43" t="s">
        <v>1239</v>
      </c>
    </row>
    <row r="44" spans="1:7">
      <c r="A44" s="41" t="s">
        <v>1227</v>
      </c>
      <c r="E44" s="41" t="s">
        <v>1228</v>
      </c>
      <c r="F44" s="41" t="s">
        <v>1229</v>
      </c>
      <c r="G44" s="41" t="s">
        <v>129</v>
      </c>
    </row>
    <row r="45" spans="1:7">
      <c r="E45" t="s">
        <v>1231</v>
      </c>
      <c r="G45" t="s">
        <v>1232</v>
      </c>
    </row>
    <row r="46" spans="1:7">
      <c r="E46" t="s">
        <v>1236</v>
      </c>
      <c r="F46" t="s">
        <v>1237</v>
      </c>
    </row>
    <row r="47" spans="1:7">
      <c r="A47" s="41" t="s">
        <v>130</v>
      </c>
      <c r="B47" s="41" t="s">
        <v>128</v>
      </c>
      <c r="C47" s="41" t="s">
        <v>138</v>
      </c>
      <c r="D47" s="41" t="s">
        <v>134</v>
      </c>
    </row>
    <row r="48" spans="1:7">
      <c r="A48" t="s">
        <v>356</v>
      </c>
      <c r="B48" t="s">
        <v>355</v>
      </c>
      <c r="C48" t="s">
        <v>147</v>
      </c>
      <c r="D48" t="s">
        <v>361</v>
      </c>
      <c r="E48" s="42"/>
      <c r="F48" s="42">
        <v>77</v>
      </c>
      <c r="G48" s="42">
        <v>77</v>
      </c>
    </row>
    <row r="49" spans="1:7">
      <c r="D49" t="s">
        <v>358</v>
      </c>
      <c r="E49" s="42">
        <v>30.800000000000004</v>
      </c>
      <c r="F49" s="42"/>
      <c r="G49" s="42">
        <v>30.800000000000004</v>
      </c>
    </row>
    <row r="50" spans="1:7">
      <c r="D50" t="s">
        <v>354</v>
      </c>
      <c r="E50" s="42">
        <v>70.400000000000006</v>
      </c>
      <c r="F50" s="42"/>
      <c r="G50" s="42">
        <v>70.400000000000006</v>
      </c>
    </row>
    <row r="51" spans="1:7">
      <c r="D51" t="s">
        <v>363</v>
      </c>
      <c r="E51" s="42"/>
      <c r="F51" s="42">
        <v>15.400000000000002</v>
      </c>
      <c r="G51" s="42">
        <v>15.400000000000002</v>
      </c>
    </row>
    <row r="52" spans="1:7">
      <c r="D52" t="s">
        <v>360</v>
      </c>
      <c r="E52" s="42"/>
      <c r="F52" s="42">
        <v>195.8</v>
      </c>
      <c r="G52" s="42">
        <v>195.8</v>
      </c>
    </row>
    <row r="53" spans="1:7">
      <c r="A53" t="s">
        <v>1232</v>
      </c>
      <c r="E53" s="42">
        <v>101.20000000000002</v>
      </c>
      <c r="F53" s="42">
        <v>288.20000000000005</v>
      </c>
      <c r="G53" s="42">
        <v>389.40000000000003</v>
      </c>
    </row>
  </sheetData>
  <phoneticPr fontId="14" type="noConversion"/>
  <pageMargins left="0.7" right="0.7" top="0.75" bottom="0.75" header="0.3" footer="0.3"/>
  <customProperties>
    <customPr name="_pios_id" r:id="rId4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workbookViewId="0">
      <selection activeCell="C34" sqref="C34"/>
    </sheetView>
  </sheetViews>
  <sheetFormatPr defaultColWidth="9.140625" defaultRowHeight="12.75"/>
  <cols>
    <col min="1" max="1" width="25.5703125" style="31" bestFit="1" customWidth="1"/>
    <col min="2" max="2" width="24.85546875" style="31" customWidth="1"/>
    <col min="3" max="3" width="53.140625" style="31" bestFit="1" customWidth="1"/>
    <col min="4" max="4" width="39.42578125" style="31" customWidth="1"/>
    <col min="5" max="5" width="9.140625" style="31"/>
    <col min="6" max="6" width="21.140625" style="31" customWidth="1"/>
    <col min="7" max="7" width="20.5703125" style="31" customWidth="1"/>
    <col min="8" max="8" width="54.5703125" style="31" customWidth="1"/>
    <col min="9" max="9" width="39.140625" style="31" customWidth="1"/>
    <col min="10" max="12" width="9.140625" style="31"/>
    <col min="13" max="13" width="28.5703125" style="31" customWidth="1"/>
    <col min="14" max="14" width="17.5703125" style="31" customWidth="1"/>
    <col min="15" max="15" width="33.5703125" style="31" customWidth="1"/>
    <col min="16" max="16" width="31.42578125" style="31" customWidth="1"/>
    <col min="17" max="16384" width="9.140625" style="31"/>
  </cols>
  <sheetData>
    <row r="1" spans="1:9" ht="15.75">
      <c r="A1" s="35" t="s">
        <v>1240</v>
      </c>
      <c r="F1" s="188" t="s">
        <v>1241</v>
      </c>
      <c r="G1" s="188"/>
      <c r="H1" s="188"/>
      <c r="I1" s="188"/>
    </row>
    <row r="2" spans="1:9" ht="25.5">
      <c r="A2" s="35" t="s">
        <v>1242</v>
      </c>
      <c r="F2" s="32" t="s">
        <v>1243</v>
      </c>
      <c r="G2" s="32" t="s">
        <v>1244</v>
      </c>
      <c r="H2" s="32" t="s">
        <v>1245</v>
      </c>
      <c r="I2" s="32" t="s">
        <v>1246</v>
      </c>
    </row>
    <row r="3" spans="1:9" ht="25.5">
      <c r="F3" s="33" t="s">
        <v>1247</v>
      </c>
      <c r="G3" s="33" t="s">
        <v>1248</v>
      </c>
      <c r="H3" s="32" t="s">
        <v>1249</v>
      </c>
      <c r="I3" s="32" t="s">
        <v>1250</v>
      </c>
    </row>
    <row r="4" spans="1:9" ht="25.5">
      <c r="F4" s="33" t="s">
        <v>1247</v>
      </c>
      <c r="G4" s="33" t="s">
        <v>1251</v>
      </c>
      <c r="H4" s="32" t="s">
        <v>1252</v>
      </c>
      <c r="I4" s="32" t="s">
        <v>1253</v>
      </c>
    </row>
    <row r="5" spans="1:9" ht="25.5">
      <c r="F5" s="33" t="s">
        <v>1247</v>
      </c>
      <c r="G5" s="33" t="s">
        <v>1254</v>
      </c>
      <c r="H5" s="32" t="s">
        <v>1255</v>
      </c>
      <c r="I5" s="32" t="s">
        <v>1256</v>
      </c>
    </row>
    <row r="6" spans="1:9" ht="25.5">
      <c r="F6" s="33" t="s">
        <v>1247</v>
      </c>
      <c r="G6" s="33" t="s">
        <v>1257</v>
      </c>
      <c r="H6" s="32" t="s">
        <v>1255</v>
      </c>
      <c r="I6" s="32" t="s">
        <v>1258</v>
      </c>
    </row>
    <row r="7" spans="1:9" ht="25.5">
      <c r="F7" s="33" t="s">
        <v>1247</v>
      </c>
      <c r="G7" s="33" t="s">
        <v>1259</v>
      </c>
      <c r="H7" s="32" t="s">
        <v>1260</v>
      </c>
      <c r="I7" s="32" t="s">
        <v>1261</v>
      </c>
    </row>
    <row r="8" spans="1:9" ht="25.5">
      <c r="F8" s="33" t="s">
        <v>1247</v>
      </c>
      <c r="G8" s="33" t="s">
        <v>1262</v>
      </c>
      <c r="H8" s="32" t="s">
        <v>1263</v>
      </c>
      <c r="I8" s="32" t="s">
        <v>1264</v>
      </c>
    </row>
    <row r="9" spans="1:9" ht="25.5">
      <c r="F9" s="34" t="s">
        <v>1265</v>
      </c>
      <c r="G9" s="33" t="s">
        <v>1262</v>
      </c>
      <c r="H9" s="32" t="s">
        <v>1266</v>
      </c>
      <c r="I9" s="32" t="s">
        <v>1267</v>
      </c>
    </row>
    <row r="10" spans="1:9" ht="38.25">
      <c r="F10" s="34" t="s">
        <v>1265</v>
      </c>
      <c r="G10" s="33" t="s">
        <v>1268</v>
      </c>
      <c r="H10" s="32" t="s">
        <v>1269</v>
      </c>
      <c r="I10" s="32" t="s">
        <v>1270</v>
      </c>
    </row>
    <row r="12" spans="1:9" ht="15.75">
      <c r="F12" s="188" t="s">
        <v>1271</v>
      </c>
      <c r="G12" s="188"/>
      <c r="H12" s="188"/>
      <c r="I12" s="188"/>
    </row>
    <row r="13" spans="1:9" ht="25.5">
      <c r="F13" s="32" t="s">
        <v>1243</v>
      </c>
      <c r="G13" s="32" t="s">
        <v>1244</v>
      </c>
      <c r="H13" s="32" t="s">
        <v>1245</v>
      </c>
      <c r="I13" s="32" t="s">
        <v>1246</v>
      </c>
    </row>
    <row r="14" spans="1:9" ht="25.5">
      <c r="F14" s="33" t="s">
        <v>1271</v>
      </c>
      <c r="G14" s="33" t="s">
        <v>1272</v>
      </c>
      <c r="H14" s="32" t="s">
        <v>1249</v>
      </c>
      <c r="I14" s="32" t="s">
        <v>1250</v>
      </c>
    </row>
    <row r="15" spans="1:9" ht="25.5">
      <c r="F15" s="33" t="s">
        <v>1271</v>
      </c>
      <c r="G15" s="33" t="s">
        <v>1251</v>
      </c>
      <c r="H15" s="32" t="s">
        <v>1252</v>
      </c>
      <c r="I15" s="32" t="s">
        <v>1253</v>
      </c>
    </row>
    <row r="16" spans="1:9" ht="25.5">
      <c r="F16" s="33" t="s">
        <v>1271</v>
      </c>
      <c r="G16" s="33" t="s">
        <v>1254</v>
      </c>
      <c r="H16" s="32" t="s">
        <v>1255</v>
      </c>
      <c r="I16" s="32" t="s">
        <v>1256</v>
      </c>
    </row>
    <row r="17" spans="6:9" ht="25.5">
      <c r="F17" s="33" t="s">
        <v>1271</v>
      </c>
      <c r="G17" s="33" t="s">
        <v>1257</v>
      </c>
      <c r="H17" s="32" t="s">
        <v>1255</v>
      </c>
      <c r="I17" s="32" t="s">
        <v>1258</v>
      </c>
    </row>
    <row r="18" spans="6:9" ht="25.5">
      <c r="F18" s="33" t="s">
        <v>1271</v>
      </c>
      <c r="G18" s="33" t="s">
        <v>1259</v>
      </c>
      <c r="H18" s="32" t="s">
        <v>1260</v>
      </c>
      <c r="I18" s="32" t="s">
        <v>1261</v>
      </c>
    </row>
  </sheetData>
  <mergeCells count="2">
    <mergeCell ref="F12:I12"/>
    <mergeCell ref="F1:I1"/>
  </mergeCells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0A5-63E3-48CF-AB23-10D03AB98BA3}">
  <sheetPr codeName="Sheet19"/>
  <dimension ref="A1:E9"/>
  <sheetViews>
    <sheetView workbookViewId="0">
      <selection activeCell="D29" sqref="D29"/>
    </sheetView>
  </sheetViews>
  <sheetFormatPr defaultRowHeight="15"/>
  <cols>
    <col min="2" max="2" width="29.42578125" customWidth="1"/>
    <col min="3" max="3" width="31.42578125" bestFit="1" customWidth="1"/>
    <col min="4" max="4" width="53.140625" bestFit="1" customWidth="1"/>
  </cols>
  <sheetData>
    <row r="1" spans="1:5" ht="15.75">
      <c r="A1" s="39" t="s">
        <v>1273</v>
      </c>
      <c r="B1" s="39" t="s">
        <v>1274</v>
      </c>
      <c r="C1" s="39" t="s">
        <v>1275</v>
      </c>
      <c r="D1" s="36" t="s">
        <v>100</v>
      </c>
      <c r="E1" s="102" t="s">
        <v>131</v>
      </c>
    </row>
    <row r="2" spans="1:5">
      <c r="A2" s="37">
        <v>1</v>
      </c>
      <c r="B2" s="38" t="s">
        <v>1276</v>
      </c>
      <c r="C2" s="38" t="s">
        <v>1277</v>
      </c>
      <c r="D2" s="31"/>
    </row>
    <row r="3" spans="1:5">
      <c r="A3" s="37">
        <v>2</v>
      </c>
      <c r="B3" s="38" t="s">
        <v>1278</v>
      </c>
      <c r="C3" s="38" t="s">
        <v>1279</v>
      </c>
      <c r="D3" s="31"/>
    </row>
    <row r="4" spans="1:5">
      <c r="A4" s="37">
        <v>3</v>
      </c>
      <c r="B4" s="38" t="s">
        <v>1280</v>
      </c>
      <c r="C4" s="38" t="s">
        <v>1281</v>
      </c>
      <c r="D4" s="31"/>
    </row>
    <row r="5" spans="1:5">
      <c r="A5" s="37">
        <v>4</v>
      </c>
      <c r="B5" s="38" t="s">
        <v>1282</v>
      </c>
      <c r="C5" s="38" t="s">
        <v>1283</v>
      </c>
      <c r="D5" s="31"/>
    </row>
    <row r="6" spans="1:5">
      <c r="A6" s="37">
        <v>5</v>
      </c>
      <c r="B6" s="38" t="s">
        <v>1284</v>
      </c>
      <c r="C6" s="38" t="s">
        <v>1285</v>
      </c>
      <c r="D6" s="31"/>
      <c r="E6" t="s">
        <v>1286</v>
      </c>
    </row>
    <row r="7" spans="1:5">
      <c r="A7" s="37">
        <v>6</v>
      </c>
      <c r="B7" s="38" t="s">
        <v>1287</v>
      </c>
      <c r="C7" s="38" t="s">
        <v>1288</v>
      </c>
      <c r="D7" s="31"/>
    </row>
    <row r="8" spans="1:5">
      <c r="A8" s="37">
        <v>7</v>
      </c>
      <c r="B8" s="38" t="s">
        <v>1289</v>
      </c>
      <c r="C8" s="38" t="s">
        <v>1288</v>
      </c>
    </row>
    <row r="9" spans="1:5">
      <c r="A9" s="37">
        <v>8</v>
      </c>
      <c r="B9" s="38" t="s">
        <v>1290</v>
      </c>
      <c r="C9" s="38" t="s">
        <v>1291</v>
      </c>
      <c r="D9" s="31" t="s">
        <v>1292</v>
      </c>
      <c r="E9" t="s">
        <v>1286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K25" sqref="K25"/>
    </sheetView>
  </sheetViews>
  <sheetFormatPr defaultRowHeight="15"/>
  <sheetData>
    <row r="1" spans="1:2">
      <c r="A1" t="s">
        <v>147</v>
      </c>
      <c r="B1" t="s">
        <v>1293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722"/>
  <sheetViews>
    <sheetView zoomScale="85" zoomScaleNormal="85" workbookViewId="0">
      <selection activeCell="A2" sqref="A2:L722"/>
    </sheetView>
  </sheetViews>
  <sheetFormatPr defaultRowHeight="15"/>
  <cols>
    <col min="1" max="1" width="12.5703125" customWidth="1" collapsed="1"/>
    <col min="2" max="2" width="23.42578125" bestFit="1" customWidth="1" collapsed="1"/>
    <col min="3" max="3" width="8.5703125" style="1" collapsed="1"/>
    <col min="4" max="4" width="43.140625" bestFit="1" customWidth="1" collapsed="1"/>
    <col min="5" max="5" width="36.5703125" bestFit="1" customWidth="1" collapsed="1"/>
    <col min="6" max="6" width="15.5703125" style="2" customWidth="1" collapsed="1"/>
    <col min="7" max="7" width="13.5703125" customWidth="1" collapsed="1"/>
    <col min="8" max="8" width="14" style="2" bestFit="1" customWidth="1" collapsed="1"/>
    <col min="9" max="9" width="19.42578125" style="2" bestFit="1" customWidth="1" collapsed="1"/>
    <col min="10" max="10" width="16.5703125" style="1" bestFit="1" customWidth="1" collapsed="1"/>
    <col min="11" max="11" width="29.42578125" style="2" bestFit="1" customWidth="1" collapsed="1"/>
    <col min="12" max="13" width="17.5703125" style="2" bestFit="1" customWidth="1" collapsed="1"/>
  </cols>
  <sheetData>
    <row r="1" spans="1:13">
      <c r="A1" s="75" t="s">
        <v>126</v>
      </c>
      <c r="B1" s="76" t="s">
        <v>92</v>
      </c>
      <c r="C1" s="77" t="s">
        <v>4</v>
      </c>
      <c r="D1" s="75" t="s">
        <v>134</v>
      </c>
      <c r="E1" s="75" t="s">
        <v>128</v>
      </c>
      <c r="F1" s="78" t="s">
        <v>129</v>
      </c>
      <c r="G1" s="76" t="s">
        <v>98</v>
      </c>
      <c r="H1" s="78" t="s">
        <v>93</v>
      </c>
      <c r="I1" s="79" t="s">
        <v>130</v>
      </c>
      <c r="J1" s="80" t="s">
        <v>132</v>
      </c>
      <c r="K1" s="79" t="s">
        <v>133</v>
      </c>
      <c r="L1" s="79" t="s">
        <v>8</v>
      </c>
      <c r="M1" s="79" t="s">
        <v>131</v>
      </c>
    </row>
    <row r="2" spans="1:13">
      <c r="A2">
        <v>80814077</v>
      </c>
      <c r="B2" t="s">
        <v>427</v>
      </c>
      <c r="C2" s="1" t="s">
        <v>143</v>
      </c>
      <c r="D2" t="s">
        <v>428</v>
      </c>
      <c r="E2" t="s">
        <v>168</v>
      </c>
      <c r="F2" s="2">
        <v>46034</v>
      </c>
      <c r="G2">
        <v>31</v>
      </c>
      <c r="H2" s="2">
        <v>46021</v>
      </c>
      <c r="I2" s="2" t="s">
        <v>202</v>
      </c>
      <c r="J2" s="1" t="s">
        <v>429</v>
      </c>
      <c r="L2" s="2">
        <v>46021</v>
      </c>
      <c r="M2" s="2" t="s">
        <v>1294</v>
      </c>
    </row>
    <row r="3" spans="1:13">
      <c r="A3">
        <v>80814077</v>
      </c>
      <c r="B3" t="s">
        <v>427</v>
      </c>
      <c r="C3" s="1" t="s">
        <v>150</v>
      </c>
      <c r="D3" t="s">
        <v>428</v>
      </c>
      <c r="E3" t="s">
        <v>168</v>
      </c>
      <c r="F3" s="2">
        <v>46034</v>
      </c>
      <c r="G3">
        <v>400</v>
      </c>
      <c r="H3" s="2">
        <v>46021</v>
      </c>
      <c r="I3" s="2" t="s">
        <v>202</v>
      </c>
      <c r="J3" s="1" t="s">
        <v>430</v>
      </c>
      <c r="L3" s="2">
        <v>46021</v>
      </c>
      <c r="M3" s="2" t="s">
        <v>1294</v>
      </c>
    </row>
    <row r="4" spans="1:13">
      <c r="A4">
        <v>80814077</v>
      </c>
      <c r="B4" t="s">
        <v>427</v>
      </c>
      <c r="C4" s="1" t="s">
        <v>151</v>
      </c>
      <c r="D4" t="s">
        <v>428</v>
      </c>
      <c r="E4" t="s">
        <v>168</v>
      </c>
      <c r="F4" s="2">
        <v>46034</v>
      </c>
      <c r="G4">
        <v>328</v>
      </c>
      <c r="H4" s="2">
        <v>46021</v>
      </c>
      <c r="I4" s="2" t="s">
        <v>202</v>
      </c>
      <c r="J4" s="1" t="s">
        <v>431</v>
      </c>
      <c r="L4" s="2">
        <v>46021</v>
      </c>
      <c r="M4" s="2" t="s">
        <v>1294</v>
      </c>
    </row>
    <row r="5" spans="1:13">
      <c r="A5">
        <v>80814077</v>
      </c>
      <c r="B5" t="s">
        <v>427</v>
      </c>
      <c r="C5" s="1" t="s">
        <v>152</v>
      </c>
      <c r="D5" t="s">
        <v>428</v>
      </c>
      <c r="E5" t="s">
        <v>168</v>
      </c>
      <c r="F5" s="2">
        <v>46034</v>
      </c>
      <c r="G5">
        <v>87</v>
      </c>
      <c r="H5" s="2">
        <v>46021</v>
      </c>
      <c r="I5" s="2" t="s">
        <v>202</v>
      </c>
      <c r="J5" s="1" t="s">
        <v>432</v>
      </c>
      <c r="L5" s="2">
        <v>46021</v>
      </c>
      <c r="M5" s="2" t="s">
        <v>1294</v>
      </c>
    </row>
    <row r="6" spans="1:13">
      <c r="A6">
        <v>80814077</v>
      </c>
      <c r="B6" t="s">
        <v>427</v>
      </c>
      <c r="C6" s="1" t="s">
        <v>153</v>
      </c>
      <c r="D6" t="s">
        <v>428</v>
      </c>
      <c r="E6" t="s">
        <v>168</v>
      </c>
      <c r="F6" s="2">
        <v>46034</v>
      </c>
      <c r="G6">
        <v>52</v>
      </c>
      <c r="H6" s="2">
        <v>46021</v>
      </c>
      <c r="I6" s="2" t="s">
        <v>202</v>
      </c>
      <c r="J6" s="1" t="s">
        <v>433</v>
      </c>
      <c r="L6" s="2">
        <v>46021</v>
      </c>
      <c r="M6" s="2" t="s">
        <v>1294</v>
      </c>
    </row>
    <row r="7" spans="1:13">
      <c r="A7">
        <v>80814077</v>
      </c>
      <c r="B7" t="s">
        <v>427</v>
      </c>
      <c r="C7" s="1" t="s">
        <v>154</v>
      </c>
      <c r="D7" t="s">
        <v>428</v>
      </c>
      <c r="E7" t="s">
        <v>168</v>
      </c>
      <c r="F7" s="2">
        <v>46034</v>
      </c>
      <c r="G7">
        <v>67</v>
      </c>
      <c r="H7" s="2">
        <v>46021</v>
      </c>
      <c r="I7" s="2" t="s">
        <v>202</v>
      </c>
      <c r="J7" s="1" t="s">
        <v>434</v>
      </c>
      <c r="L7" s="2">
        <v>46021</v>
      </c>
      <c r="M7" s="2" t="s">
        <v>1294</v>
      </c>
    </row>
    <row r="8" spans="1:13">
      <c r="A8">
        <v>80814077</v>
      </c>
      <c r="B8" t="s">
        <v>427</v>
      </c>
      <c r="C8" s="1" t="s">
        <v>155</v>
      </c>
      <c r="D8" t="s">
        <v>428</v>
      </c>
      <c r="E8" t="s">
        <v>168</v>
      </c>
      <c r="F8" s="2">
        <v>46034</v>
      </c>
      <c r="G8">
        <v>152</v>
      </c>
      <c r="H8" s="2">
        <v>46021</v>
      </c>
      <c r="I8" s="2" t="s">
        <v>202</v>
      </c>
      <c r="J8" s="1" t="s">
        <v>435</v>
      </c>
      <c r="L8" s="2">
        <v>46021</v>
      </c>
      <c r="M8" s="2" t="s">
        <v>1294</v>
      </c>
    </row>
    <row r="9" spans="1:13">
      <c r="A9">
        <v>80814081</v>
      </c>
      <c r="B9" t="s">
        <v>256</v>
      </c>
      <c r="C9" s="1" t="s">
        <v>143</v>
      </c>
      <c r="D9" t="s">
        <v>428</v>
      </c>
      <c r="E9" t="s">
        <v>168</v>
      </c>
      <c r="F9" s="2">
        <v>46034</v>
      </c>
      <c r="G9">
        <v>114</v>
      </c>
      <c r="H9" s="2">
        <v>46021</v>
      </c>
      <c r="I9" s="2" t="s">
        <v>202</v>
      </c>
      <c r="J9" s="1" t="s">
        <v>436</v>
      </c>
      <c r="L9" s="2">
        <v>46021</v>
      </c>
      <c r="M9" s="2" t="s">
        <v>1294</v>
      </c>
    </row>
    <row r="10" spans="1:13">
      <c r="A10">
        <v>80814081</v>
      </c>
      <c r="B10" t="s">
        <v>256</v>
      </c>
      <c r="C10" s="1" t="s">
        <v>150</v>
      </c>
      <c r="D10" t="s">
        <v>428</v>
      </c>
      <c r="E10" t="s">
        <v>168</v>
      </c>
      <c r="F10" s="2">
        <v>46034</v>
      </c>
      <c r="G10">
        <v>850</v>
      </c>
      <c r="H10" s="2">
        <v>46021</v>
      </c>
      <c r="I10" s="2" t="s">
        <v>202</v>
      </c>
      <c r="J10" s="1" t="s">
        <v>437</v>
      </c>
      <c r="L10" s="2">
        <v>46021</v>
      </c>
      <c r="M10" s="2" t="s">
        <v>1294</v>
      </c>
    </row>
    <row r="11" spans="1:13">
      <c r="A11">
        <v>80814081</v>
      </c>
      <c r="B11" t="s">
        <v>256</v>
      </c>
      <c r="C11" s="1" t="s">
        <v>151</v>
      </c>
      <c r="D11" t="s">
        <v>428</v>
      </c>
      <c r="E11" t="s">
        <v>168</v>
      </c>
      <c r="F11" s="2">
        <v>46034</v>
      </c>
      <c r="G11">
        <v>848</v>
      </c>
      <c r="H11" s="2">
        <v>46021</v>
      </c>
      <c r="I11" s="2" t="s">
        <v>202</v>
      </c>
      <c r="J11" s="1" t="s">
        <v>438</v>
      </c>
      <c r="L11" s="2">
        <v>46021</v>
      </c>
      <c r="M11" s="2" t="s">
        <v>1294</v>
      </c>
    </row>
    <row r="12" spans="1:13">
      <c r="A12">
        <v>80814081</v>
      </c>
      <c r="B12" t="s">
        <v>256</v>
      </c>
      <c r="C12" s="1" t="s">
        <v>152</v>
      </c>
      <c r="D12" t="s">
        <v>428</v>
      </c>
      <c r="E12" t="s">
        <v>168</v>
      </c>
      <c r="F12" s="2">
        <v>46034</v>
      </c>
      <c r="G12">
        <v>210</v>
      </c>
      <c r="H12" s="2">
        <v>46021</v>
      </c>
      <c r="I12" s="2" t="s">
        <v>202</v>
      </c>
      <c r="J12" s="1" t="s">
        <v>439</v>
      </c>
      <c r="L12" s="2">
        <v>46021</v>
      </c>
      <c r="M12" s="2" t="s">
        <v>1294</v>
      </c>
    </row>
    <row r="13" spans="1:13">
      <c r="A13">
        <v>80814081</v>
      </c>
      <c r="B13" t="s">
        <v>256</v>
      </c>
      <c r="C13" s="1" t="s">
        <v>153</v>
      </c>
      <c r="D13" t="s">
        <v>428</v>
      </c>
      <c r="E13" t="s">
        <v>168</v>
      </c>
      <c r="F13" s="2">
        <v>46034</v>
      </c>
      <c r="G13">
        <v>95</v>
      </c>
      <c r="H13" s="2">
        <v>46021</v>
      </c>
      <c r="I13" s="2" t="s">
        <v>202</v>
      </c>
      <c r="J13" s="1" t="s">
        <v>440</v>
      </c>
      <c r="L13" s="2">
        <v>46021</v>
      </c>
      <c r="M13" s="2" t="s">
        <v>1294</v>
      </c>
    </row>
    <row r="14" spans="1:13">
      <c r="A14">
        <v>80814081</v>
      </c>
      <c r="B14" t="s">
        <v>256</v>
      </c>
      <c r="C14" s="1" t="s">
        <v>154</v>
      </c>
      <c r="D14" t="s">
        <v>428</v>
      </c>
      <c r="E14" t="s">
        <v>168</v>
      </c>
      <c r="F14" s="2">
        <v>46034</v>
      </c>
      <c r="G14">
        <v>120</v>
      </c>
      <c r="H14" s="2">
        <v>46021</v>
      </c>
      <c r="I14" s="2" t="s">
        <v>202</v>
      </c>
      <c r="J14" s="1" t="s">
        <v>441</v>
      </c>
      <c r="L14" s="2">
        <v>46021</v>
      </c>
      <c r="M14" s="2" t="s">
        <v>1294</v>
      </c>
    </row>
    <row r="15" spans="1:13">
      <c r="A15">
        <v>80814081</v>
      </c>
      <c r="B15" t="s">
        <v>256</v>
      </c>
      <c r="C15" s="1" t="s">
        <v>155</v>
      </c>
      <c r="D15" t="s">
        <v>428</v>
      </c>
      <c r="E15" t="s">
        <v>168</v>
      </c>
      <c r="F15" s="2">
        <v>46034</v>
      </c>
      <c r="G15">
        <v>281</v>
      </c>
      <c r="H15" s="2">
        <v>46021</v>
      </c>
      <c r="I15" s="2" t="s">
        <v>202</v>
      </c>
      <c r="J15" s="1" t="s">
        <v>442</v>
      </c>
      <c r="L15" s="2">
        <v>46021</v>
      </c>
      <c r="M15" s="2" t="s">
        <v>1294</v>
      </c>
    </row>
    <row r="16" spans="1:13">
      <c r="A16">
        <v>80814085</v>
      </c>
      <c r="B16" t="s">
        <v>443</v>
      </c>
      <c r="C16" s="1" t="s">
        <v>143</v>
      </c>
      <c r="D16" t="s">
        <v>428</v>
      </c>
      <c r="E16" t="s">
        <v>168</v>
      </c>
      <c r="F16" s="2">
        <v>46034</v>
      </c>
      <c r="G16">
        <v>24</v>
      </c>
      <c r="H16" s="2">
        <v>46021</v>
      </c>
      <c r="I16" s="2" t="s">
        <v>202</v>
      </c>
      <c r="J16" s="1" t="s">
        <v>444</v>
      </c>
      <c r="L16" s="2">
        <v>46021</v>
      </c>
      <c r="M16" s="2" t="s">
        <v>1294</v>
      </c>
    </row>
    <row r="17" spans="1:13">
      <c r="A17">
        <v>80814085</v>
      </c>
      <c r="B17" t="s">
        <v>443</v>
      </c>
      <c r="C17" s="1" t="s">
        <v>150</v>
      </c>
      <c r="D17" t="s">
        <v>428</v>
      </c>
      <c r="E17" t="s">
        <v>168</v>
      </c>
      <c r="F17" s="2">
        <v>46034</v>
      </c>
      <c r="G17">
        <v>367</v>
      </c>
      <c r="H17" s="2">
        <v>46021</v>
      </c>
      <c r="I17" s="2" t="s">
        <v>202</v>
      </c>
      <c r="J17" s="1" t="s">
        <v>445</v>
      </c>
      <c r="L17" s="2">
        <v>46021</v>
      </c>
      <c r="M17" s="2" t="s">
        <v>1294</v>
      </c>
    </row>
    <row r="18" spans="1:13">
      <c r="A18">
        <v>80814085</v>
      </c>
      <c r="B18" t="s">
        <v>443</v>
      </c>
      <c r="C18" s="1" t="s">
        <v>151</v>
      </c>
      <c r="D18" t="s">
        <v>428</v>
      </c>
      <c r="E18" t="s">
        <v>168</v>
      </c>
      <c r="F18" s="2">
        <v>46034</v>
      </c>
      <c r="G18">
        <v>270</v>
      </c>
      <c r="H18" s="2">
        <v>46021</v>
      </c>
      <c r="I18" s="2" t="s">
        <v>202</v>
      </c>
      <c r="J18" s="1" t="s">
        <v>446</v>
      </c>
      <c r="L18" s="2">
        <v>46021</v>
      </c>
      <c r="M18" s="2" t="s">
        <v>1294</v>
      </c>
    </row>
    <row r="19" spans="1:13">
      <c r="A19">
        <v>80814085</v>
      </c>
      <c r="B19" t="s">
        <v>443</v>
      </c>
      <c r="C19" s="1" t="s">
        <v>152</v>
      </c>
      <c r="D19" t="s">
        <v>428</v>
      </c>
      <c r="E19" t="s">
        <v>168</v>
      </c>
      <c r="F19" s="2">
        <v>46034</v>
      </c>
      <c r="G19">
        <v>68</v>
      </c>
      <c r="H19" s="2">
        <v>46021</v>
      </c>
      <c r="I19" s="2" t="s">
        <v>202</v>
      </c>
      <c r="J19" s="1" t="s">
        <v>447</v>
      </c>
      <c r="L19" s="2">
        <v>46021</v>
      </c>
      <c r="M19" s="2" t="s">
        <v>1294</v>
      </c>
    </row>
    <row r="20" spans="1:13">
      <c r="A20">
        <v>80814085</v>
      </c>
      <c r="B20" t="s">
        <v>443</v>
      </c>
      <c r="C20" s="1" t="s">
        <v>153</v>
      </c>
      <c r="D20" t="s">
        <v>428</v>
      </c>
      <c r="E20" t="s">
        <v>168</v>
      </c>
      <c r="F20" s="2">
        <v>46034</v>
      </c>
      <c r="G20">
        <v>72</v>
      </c>
      <c r="H20" s="2">
        <v>46021</v>
      </c>
      <c r="I20" s="2" t="s">
        <v>202</v>
      </c>
      <c r="J20" s="1" t="s">
        <v>448</v>
      </c>
      <c r="L20" s="2">
        <v>46021</v>
      </c>
      <c r="M20" s="2" t="s">
        <v>1294</v>
      </c>
    </row>
    <row r="21" spans="1:13">
      <c r="A21">
        <v>80814085</v>
      </c>
      <c r="B21" t="s">
        <v>443</v>
      </c>
      <c r="C21" s="1" t="s">
        <v>154</v>
      </c>
      <c r="D21" t="s">
        <v>428</v>
      </c>
      <c r="E21" t="s">
        <v>168</v>
      </c>
      <c r="F21" s="2">
        <v>46034</v>
      </c>
      <c r="G21">
        <v>57</v>
      </c>
      <c r="H21" s="2">
        <v>46021</v>
      </c>
      <c r="I21" s="2" t="s">
        <v>202</v>
      </c>
      <c r="J21" s="1" t="s">
        <v>449</v>
      </c>
      <c r="L21" s="2">
        <v>46021</v>
      </c>
      <c r="M21" s="2" t="s">
        <v>1294</v>
      </c>
    </row>
    <row r="22" spans="1:13">
      <c r="A22">
        <v>80814085</v>
      </c>
      <c r="B22" t="s">
        <v>443</v>
      </c>
      <c r="C22" s="1" t="s">
        <v>155</v>
      </c>
      <c r="D22" t="s">
        <v>428</v>
      </c>
      <c r="E22" t="s">
        <v>168</v>
      </c>
      <c r="F22" s="2">
        <v>46034</v>
      </c>
      <c r="G22">
        <v>103</v>
      </c>
      <c r="H22" s="2">
        <v>46021</v>
      </c>
      <c r="I22" s="2" t="s">
        <v>202</v>
      </c>
      <c r="J22" s="1" t="s">
        <v>450</v>
      </c>
      <c r="L22" s="2">
        <v>46021</v>
      </c>
      <c r="M22" s="2" t="s">
        <v>1294</v>
      </c>
    </row>
    <row r="23" spans="1:13">
      <c r="A23">
        <v>80814086</v>
      </c>
      <c r="B23" t="s">
        <v>451</v>
      </c>
      <c r="C23" s="3" t="s">
        <v>143</v>
      </c>
      <c r="D23" t="s">
        <v>428</v>
      </c>
      <c r="E23" t="s">
        <v>168</v>
      </c>
      <c r="F23" s="2">
        <v>46034</v>
      </c>
      <c r="G23">
        <v>37</v>
      </c>
      <c r="H23" s="2">
        <v>46021</v>
      </c>
      <c r="I23" s="2" t="s">
        <v>202</v>
      </c>
      <c r="J23" s="1" t="s">
        <v>452</v>
      </c>
      <c r="L23" s="2">
        <v>46021</v>
      </c>
      <c r="M23" s="2" t="s">
        <v>1294</v>
      </c>
    </row>
    <row r="24" spans="1:13">
      <c r="A24">
        <v>80814086</v>
      </c>
      <c r="B24" t="s">
        <v>451</v>
      </c>
      <c r="C24" s="3" t="s">
        <v>150</v>
      </c>
      <c r="D24" t="s">
        <v>428</v>
      </c>
      <c r="E24" t="s">
        <v>168</v>
      </c>
      <c r="F24" s="2">
        <v>46034</v>
      </c>
      <c r="G24">
        <v>623</v>
      </c>
      <c r="H24" s="2">
        <v>46021</v>
      </c>
      <c r="I24" s="2" t="s">
        <v>202</v>
      </c>
      <c r="J24" s="1" t="s">
        <v>453</v>
      </c>
      <c r="L24" s="2">
        <v>46021</v>
      </c>
      <c r="M24" s="2" t="s">
        <v>1294</v>
      </c>
    </row>
    <row r="25" spans="1:13">
      <c r="A25">
        <v>80814086</v>
      </c>
      <c r="B25" t="s">
        <v>451</v>
      </c>
      <c r="C25" s="3" t="s">
        <v>151</v>
      </c>
      <c r="D25" t="s">
        <v>428</v>
      </c>
      <c r="E25" t="s">
        <v>168</v>
      </c>
      <c r="F25" s="2">
        <v>46034</v>
      </c>
      <c r="G25">
        <v>557</v>
      </c>
      <c r="H25" s="2">
        <v>46021</v>
      </c>
      <c r="I25" s="2" t="s">
        <v>202</v>
      </c>
      <c r="J25" s="1" t="s">
        <v>454</v>
      </c>
      <c r="L25" s="2">
        <v>46021</v>
      </c>
      <c r="M25" s="2" t="s">
        <v>1294</v>
      </c>
    </row>
    <row r="26" spans="1:13">
      <c r="A26">
        <v>80814086</v>
      </c>
      <c r="B26" t="s">
        <v>451</v>
      </c>
      <c r="C26" s="3" t="s">
        <v>152</v>
      </c>
      <c r="D26" t="s">
        <v>428</v>
      </c>
      <c r="E26" t="s">
        <v>168</v>
      </c>
      <c r="F26" s="2">
        <v>46034</v>
      </c>
      <c r="G26">
        <v>91</v>
      </c>
      <c r="H26" s="2">
        <v>46021</v>
      </c>
      <c r="I26" s="2" t="s">
        <v>202</v>
      </c>
      <c r="J26" s="1" t="s">
        <v>455</v>
      </c>
      <c r="L26" s="2">
        <v>46021</v>
      </c>
      <c r="M26" s="2" t="s">
        <v>1294</v>
      </c>
    </row>
    <row r="27" spans="1:13">
      <c r="A27">
        <v>80814086</v>
      </c>
      <c r="B27" t="s">
        <v>451</v>
      </c>
      <c r="C27" s="3" t="s">
        <v>153</v>
      </c>
      <c r="D27" t="s">
        <v>428</v>
      </c>
      <c r="E27" t="s">
        <v>168</v>
      </c>
      <c r="F27" s="2">
        <v>46034</v>
      </c>
      <c r="G27">
        <v>84</v>
      </c>
      <c r="H27" s="2">
        <v>46021</v>
      </c>
      <c r="I27" s="2" t="s">
        <v>202</v>
      </c>
      <c r="J27" s="1" t="s">
        <v>456</v>
      </c>
      <c r="L27" s="2">
        <v>46021</v>
      </c>
      <c r="M27" s="2" t="s">
        <v>1294</v>
      </c>
    </row>
    <row r="28" spans="1:13">
      <c r="A28">
        <v>80814086</v>
      </c>
      <c r="B28" t="s">
        <v>451</v>
      </c>
      <c r="C28" s="3" t="s">
        <v>154</v>
      </c>
      <c r="D28" t="s">
        <v>428</v>
      </c>
      <c r="E28" t="s">
        <v>168</v>
      </c>
      <c r="F28" s="2">
        <v>46034</v>
      </c>
      <c r="G28">
        <v>183</v>
      </c>
      <c r="H28" s="2">
        <v>46021</v>
      </c>
      <c r="I28" s="2" t="s">
        <v>202</v>
      </c>
      <c r="J28" s="1" t="s">
        <v>457</v>
      </c>
      <c r="L28" s="2">
        <v>46021</v>
      </c>
      <c r="M28" s="2" t="s">
        <v>1294</v>
      </c>
    </row>
    <row r="29" spans="1:13">
      <c r="A29">
        <v>80814086</v>
      </c>
      <c r="B29" t="s">
        <v>451</v>
      </c>
      <c r="C29" s="3" t="s">
        <v>155</v>
      </c>
      <c r="D29" t="s">
        <v>428</v>
      </c>
      <c r="E29" t="s">
        <v>168</v>
      </c>
      <c r="F29" s="2">
        <v>46034</v>
      </c>
      <c r="G29">
        <v>201</v>
      </c>
      <c r="H29" s="2">
        <v>46021</v>
      </c>
      <c r="I29" s="2" t="s">
        <v>202</v>
      </c>
      <c r="J29" s="1" t="s">
        <v>458</v>
      </c>
      <c r="L29" s="2">
        <v>46021</v>
      </c>
      <c r="M29" s="2" t="s">
        <v>1294</v>
      </c>
    </row>
    <row r="30" spans="1:13">
      <c r="A30">
        <v>80814088</v>
      </c>
      <c r="B30" t="s">
        <v>459</v>
      </c>
      <c r="C30" s="3" t="s">
        <v>143</v>
      </c>
      <c r="D30" t="s">
        <v>428</v>
      </c>
      <c r="E30" t="s">
        <v>168</v>
      </c>
      <c r="F30" s="2">
        <v>46034</v>
      </c>
      <c r="G30">
        <v>40</v>
      </c>
      <c r="H30" s="2">
        <v>46021</v>
      </c>
      <c r="I30" s="2" t="s">
        <v>202</v>
      </c>
      <c r="J30" s="1" t="s">
        <v>460</v>
      </c>
      <c r="L30" s="2">
        <v>46021</v>
      </c>
      <c r="M30" s="2" t="s">
        <v>1294</v>
      </c>
    </row>
    <row r="31" spans="1:13">
      <c r="A31">
        <v>80814088</v>
      </c>
      <c r="B31" t="s">
        <v>459</v>
      </c>
      <c r="C31" s="3" t="s">
        <v>150</v>
      </c>
      <c r="D31" t="s">
        <v>428</v>
      </c>
      <c r="E31" t="s">
        <v>168</v>
      </c>
      <c r="F31" s="2">
        <v>46034</v>
      </c>
      <c r="G31">
        <v>405</v>
      </c>
      <c r="H31" s="2">
        <v>46021</v>
      </c>
      <c r="I31" s="2" t="s">
        <v>202</v>
      </c>
      <c r="J31" s="1" t="s">
        <v>461</v>
      </c>
      <c r="L31" s="2">
        <v>46021</v>
      </c>
      <c r="M31" s="2" t="s">
        <v>1294</v>
      </c>
    </row>
    <row r="32" spans="1:13">
      <c r="A32">
        <v>80814088</v>
      </c>
      <c r="B32" t="s">
        <v>459</v>
      </c>
      <c r="C32" s="3" t="s">
        <v>151</v>
      </c>
      <c r="D32" t="s">
        <v>428</v>
      </c>
      <c r="E32" t="s">
        <v>168</v>
      </c>
      <c r="F32" s="2">
        <v>46034</v>
      </c>
      <c r="G32">
        <v>417</v>
      </c>
      <c r="H32" s="2">
        <v>46021</v>
      </c>
      <c r="I32" s="2" t="s">
        <v>202</v>
      </c>
      <c r="J32" s="1" t="s">
        <v>462</v>
      </c>
      <c r="L32" s="2">
        <v>46021</v>
      </c>
      <c r="M32" s="2" t="s">
        <v>1294</v>
      </c>
    </row>
    <row r="33" spans="1:13">
      <c r="A33">
        <v>80814088</v>
      </c>
      <c r="B33" t="s">
        <v>459</v>
      </c>
      <c r="C33" s="3" t="s">
        <v>152</v>
      </c>
      <c r="D33" t="s">
        <v>428</v>
      </c>
      <c r="E33" t="s">
        <v>168</v>
      </c>
      <c r="F33" s="2">
        <v>46034</v>
      </c>
      <c r="G33">
        <v>76</v>
      </c>
      <c r="H33" s="2">
        <v>46021</v>
      </c>
      <c r="I33" s="2" t="s">
        <v>202</v>
      </c>
      <c r="J33" s="1" t="s">
        <v>463</v>
      </c>
      <c r="L33" s="2">
        <v>46021</v>
      </c>
      <c r="M33" s="2" t="s">
        <v>1294</v>
      </c>
    </row>
    <row r="34" spans="1:13">
      <c r="A34">
        <v>80814088</v>
      </c>
      <c r="B34" t="s">
        <v>459</v>
      </c>
      <c r="C34" s="1" t="s">
        <v>153</v>
      </c>
      <c r="D34" t="s">
        <v>428</v>
      </c>
      <c r="E34" t="s">
        <v>168</v>
      </c>
      <c r="F34" s="2">
        <v>46034</v>
      </c>
      <c r="G34">
        <v>52</v>
      </c>
      <c r="H34" s="2">
        <v>46021</v>
      </c>
      <c r="I34" s="2" t="s">
        <v>202</v>
      </c>
      <c r="J34" s="1" t="s">
        <v>464</v>
      </c>
      <c r="L34" s="2">
        <v>46021</v>
      </c>
      <c r="M34" s="2" t="s">
        <v>1294</v>
      </c>
    </row>
    <row r="35" spans="1:13">
      <c r="A35">
        <v>80814088</v>
      </c>
      <c r="B35" t="s">
        <v>459</v>
      </c>
      <c r="C35" s="1" t="s">
        <v>154</v>
      </c>
      <c r="D35" t="s">
        <v>428</v>
      </c>
      <c r="E35" t="s">
        <v>168</v>
      </c>
      <c r="F35" s="2">
        <v>46034</v>
      </c>
      <c r="G35">
        <v>72</v>
      </c>
      <c r="H35" s="2">
        <v>46021</v>
      </c>
      <c r="I35" s="2" t="s">
        <v>202</v>
      </c>
      <c r="J35" s="1" t="s">
        <v>465</v>
      </c>
      <c r="L35" s="2">
        <v>46021</v>
      </c>
      <c r="M35" s="2" t="s">
        <v>1294</v>
      </c>
    </row>
    <row r="36" spans="1:13">
      <c r="A36">
        <v>80814088</v>
      </c>
      <c r="B36" t="s">
        <v>459</v>
      </c>
      <c r="C36" s="1" t="s">
        <v>155</v>
      </c>
      <c r="D36" t="s">
        <v>428</v>
      </c>
      <c r="E36" t="s">
        <v>168</v>
      </c>
      <c r="F36" s="2">
        <v>46034</v>
      </c>
      <c r="G36">
        <v>102</v>
      </c>
      <c r="H36" s="2">
        <v>46021</v>
      </c>
      <c r="I36" s="2" t="s">
        <v>202</v>
      </c>
      <c r="J36" s="1" t="s">
        <v>466</v>
      </c>
      <c r="L36" s="2">
        <v>46021</v>
      </c>
      <c r="M36" s="2" t="s">
        <v>1294</v>
      </c>
    </row>
    <row r="37" spans="1:13">
      <c r="A37">
        <v>80814089</v>
      </c>
      <c r="B37" t="s">
        <v>251</v>
      </c>
      <c r="C37" s="1" t="s">
        <v>143</v>
      </c>
      <c r="D37" t="s">
        <v>428</v>
      </c>
      <c r="E37" t="s">
        <v>168</v>
      </c>
      <c r="F37" s="2">
        <v>46034</v>
      </c>
      <c r="G37">
        <v>178</v>
      </c>
      <c r="H37" s="2">
        <v>46021</v>
      </c>
      <c r="I37" s="2" t="s">
        <v>202</v>
      </c>
      <c r="J37" s="1" t="s">
        <v>467</v>
      </c>
      <c r="L37" s="2">
        <v>46021</v>
      </c>
      <c r="M37" s="2" t="s">
        <v>1294</v>
      </c>
    </row>
    <row r="38" spans="1:13">
      <c r="A38">
        <v>80814089</v>
      </c>
      <c r="B38" t="s">
        <v>251</v>
      </c>
      <c r="C38" s="1" t="s">
        <v>150</v>
      </c>
      <c r="D38" t="s">
        <v>428</v>
      </c>
      <c r="E38" t="s">
        <v>168</v>
      </c>
      <c r="F38" s="2">
        <v>46034</v>
      </c>
      <c r="G38">
        <v>1470</v>
      </c>
      <c r="H38" s="2">
        <v>46021</v>
      </c>
      <c r="I38" s="2" t="s">
        <v>202</v>
      </c>
      <c r="J38" s="1" t="s">
        <v>468</v>
      </c>
      <c r="L38" s="2">
        <v>46021</v>
      </c>
      <c r="M38" s="2" t="s">
        <v>1294</v>
      </c>
    </row>
    <row r="39" spans="1:13">
      <c r="A39">
        <v>80814089</v>
      </c>
      <c r="B39" t="s">
        <v>251</v>
      </c>
      <c r="C39" s="1" t="s">
        <v>151</v>
      </c>
      <c r="D39" t="s">
        <v>428</v>
      </c>
      <c r="E39" t="s">
        <v>168</v>
      </c>
      <c r="F39" s="2">
        <v>46034</v>
      </c>
      <c r="G39">
        <v>1473</v>
      </c>
      <c r="H39" s="2">
        <v>46021</v>
      </c>
      <c r="I39" s="2" t="s">
        <v>202</v>
      </c>
      <c r="J39" s="1" t="s">
        <v>469</v>
      </c>
      <c r="L39" s="2">
        <v>46021</v>
      </c>
      <c r="M39" s="2" t="s">
        <v>1294</v>
      </c>
    </row>
    <row r="40" spans="1:13">
      <c r="A40">
        <v>80814089</v>
      </c>
      <c r="B40" t="s">
        <v>251</v>
      </c>
      <c r="C40" s="1" t="s">
        <v>152</v>
      </c>
      <c r="D40" t="s">
        <v>428</v>
      </c>
      <c r="E40" t="s">
        <v>168</v>
      </c>
      <c r="F40" s="2">
        <v>46034</v>
      </c>
      <c r="G40">
        <v>324</v>
      </c>
      <c r="H40" s="2">
        <v>46021</v>
      </c>
      <c r="I40" s="2" t="s">
        <v>202</v>
      </c>
      <c r="J40" s="1" t="s">
        <v>470</v>
      </c>
      <c r="L40" s="2">
        <v>46021</v>
      </c>
      <c r="M40" s="2" t="s">
        <v>1294</v>
      </c>
    </row>
    <row r="41" spans="1:13">
      <c r="A41">
        <v>80814089</v>
      </c>
      <c r="B41" t="s">
        <v>251</v>
      </c>
      <c r="C41" s="1" t="s">
        <v>153</v>
      </c>
      <c r="D41" t="s">
        <v>428</v>
      </c>
      <c r="E41" t="s">
        <v>168</v>
      </c>
      <c r="F41" s="2">
        <v>46034</v>
      </c>
      <c r="G41">
        <v>138</v>
      </c>
      <c r="H41" s="2">
        <v>46021</v>
      </c>
      <c r="I41" s="2" t="s">
        <v>202</v>
      </c>
      <c r="J41" s="1" t="s">
        <v>471</v>
      </c>
      <c r="L41" s="2">
        <v>46021</v>
      </c>
      <c r="M41" s="2" t="s">
        <v>1294</v>
      </c>
    </row>
    <row r="42" spans="1:13">
      <c r="A42">
        <v>80814089</v>
      </c>
      <c r="B42" t="s">
        <v>251</v>
      </c>
      <c r="C42" s="1" t="s">
        <v>154</v>
      </c>
      <c r="D42" t="s">
        <v>428</v>
      </c>
      <c r="E42" t="s">
        <v>168</v>
      </c>
      <c r="F42" s="2">
        <v>46034</v>
      </c>
      <c r="G42">
        <v>149</v>
      </c>
      <c r="H42" s="2">
        <v>46021</v>
      </c>
      <c r="I42" s="2" t="s">
        <v>202</v>
      </c>
      <c r="J42" s="1" t="s">
        <v>472</v>
      </c>
      <c r="L42" s="2">
        <v>46021</v>
      </c>
      <c r="M42" s="2" t="s">
        <v>1294</v>
      </c>
    </row>
    <row r="43" spans="1:13">
      <c r="A43">
        <v>80814089</v>
      </c>
      <c r="B43" t="s">
        <v>251</v>
      </c>
      <c r="C43" s="1" t="s">
        <v>155</v>
      </c>
      <c r="D43" t="s">
        <v>428</v>
      </c>
      <c r="E43" t="s">
        <v>168</v>
      </c>
      <c r="F43" s="2">
        <v>46034</v>
      </c>
      <c r="G43">
        <v>512</v>
      </c>
      <c r="H43" s="2">
        <v>46021</v>
      </c>
      <c r="I43" s="2" t="s">
        <v>202</v>
      </c>
      <c r="J43" s="1" t="s">
        <v>473</v>
      </c>
      <c r="L43" s="2">
        <v>46021</v>
      </c>
      <c r="M43" s="2" t="s">
        <v>1294</v>
      </c>
    </row>
    <row r="44" spans="1:13">
      <c r="A44">
        <v>80814097</v>
      </c>
      <c r="B44" t="s">
        <v>255</v>
      </c>
      <c r="C44" s="1" t="s">
        <v>143</v>
      </c>
      <c r="D44" t="s">
        <v>428</v>
      </c>
      <c r="E44" t="s">
        <v>168</v>
      </c>
      <c r="F44" s="2">
        <v>46034</v>
      </c>
      <c r="G44">
        <v>241</v>
      </c>
      <c r="H44" s="2">
        <v>46021</v>
      </c>
      <c r="I44" s="2" t="s">
        <v>202</v>
      </c>
      <c r="J44" s="1" t="s">
        <v>474</v>
      </c>
      <c r="L44" s="2">
        <v>46021</v>
      </c>
      <c r="M44" s="2" t="s">
        <v>1294</v>
      </c>
    </row>
    <row r="45" spans="1:13">
      <c r="A45">
        <v>80814097</v>
      </c>
      <c r="B45" t="s">
        <v>255</v>
      </c>
      <c r="C45" s="1" t="s">
        <v>150</v>
      </c>
      <c r="D45" t="s">
        <v>428</v>
      </c>
      <c r="E45" t="s">
        <v>168</v>
      </c>
      <c r="F45" s="2">
        <v>46034</v>
      </c>
      <c r="G45">
        <v>1288</v>
      </c>
      <c r="H45" s="2">
        <v>46021</v>
      </c>
      <c r="I45" s="2" t="s">
        <v>202</v>
      </c>
      <c r="J45" s="1" t="s">
        <v>475</v>
      </c>
      <c r="L45" s="2">
        <v>46021</v>
      </c>
      <c r="M45" s="2" t="s">
        <v>1294</v>
      </c>
    </row>
    <row r="46" spans="1:13">
      <c r="A46">
        <v>80814097</v>
      </c>
      <c r="B46" t="s">
        <v>255</v>
      </c>
      <c r="C46" s="1" t="s">
        <v>151</v>
      </c>
      <c r="D46" t="s">
        <v>428</v>
      </c>
      <c r="E46" t="s">
        <v>168</v>
      </c>
      <c r="F46" s="2">
        <v>46034</v>
      </c>
      <c r="G46">
        <v>1458</v>
      </c>
      <c r="H46" s="2">
        <v>46021</v>
      </c>
      <c r="I46" s="2" t="s">
        <v>202</v>
      </c>
      <c r="J46" s="1" t="s">
        <v>476</v>
      </c>
      <c r="L46" s="2">
        <v>46021</v>
      </c>
      <c r="M46" s="2" t="s">
        <v>1294</v>
      </c>
    </row>
    <row r="47" spans="1:13">
      <c r="A47">
        <v>80814097</v>
      </c>
      <c r="B47" t="s">
        <v>255</v>
      </c>
      <c r="C47" s="1" t="s">
        <v>152</v>
      </c>
      <c r="D47" t="s">
        <v>428</v>
      </c>
      <c r="E47" t="s">
        <v>168</v>
      </c>
      <c r="F47" s="2">
        <v>46034</v>
      </c>
      <c r="G47">
        <v>409</v>
      </c>
      <c r="H47" s="2">
        <v>46021</v>
      </c>
      <c r="I47" s="2" t="s">
        <v>202</v>
      </c>
      <c r="J47" s="1" t="s">
        <v>477</v>
      </c>
      <c r="L47" s="2">
        <v>46021</v>
      </c>
      <c r="M47" s="2" t="s">
        <v>1294</v>
      </c>
    </row>
    <row r="48" spans="1:13">
      <c r="A48">
        <v>80814097</v>
      </c>
      <c r="B48" t="s">
        <v>255</v>
      </c>
      <c r="C48" s="1" t="s">
        <v>153</v>
      </c>
      <c r="D48" t="s">
        <v>428</v>
      </c>
      <c r="E48" t="s">
        <v>168</v>
      </c>
      <c r="F48" s="2">
        <v>46034</v>
      </c>
      <c r="G48">
        <v>168</v>
      </c>
      <c r="H48" s="2">
        <v>46021</v>
      </c>
      <c r="I48" s="2" t="s">
        <v>202</v>
      </c>
      <c r="J48" s="1" t="s">
        <v>478</v>
      </c>
      <c r="L48" s="2">
        <v>46021</v>
      </c>
      <c r="M48" s="2" t="s">
        <v>1294</v>
      </c>
    </row>
    <row r="49" spans="1:13">
      <c r="A49">
        <v>80814097</v>
      </c>
      <c r="B49" t="s">
        <v>255</v>
      </c>
      <c r="C49" s="1" t="s">
        <v>154</v>
      </c>
      <c r="D49" t="s">
        <v>428</v>
      </c>
      <c r="E49" t="s">
        <v>168</v>
      </c>
      <c r="F49" s="2">
        <v>46034</v>
      </c>
      <c r="G49">
        <v>190</v>
      </c>
      <c r="H49" s="2">
        <v>46021</v>
      </c>
      <c r="I49" s="2" t="s">
        <v>202</v>
      </c>
      <c r="J49" s="1" t="s">
        <v>479</v>
      </c>
      <c r="L49" s="2">
        <v>46021</v>
      </c>
      <c r="M49" s="2" t="s">
        <v>1294</v>
      </c>
    </row>
    <row r="50" spans="1:13">
      <c r="A50">
        <v>80814097</v>
      </c>
      <c r="B50" t="s">
        <v>255</v>
      </c>
      <c r="C50" s="1" t="s">
        <v>155</v>
      </c>
      <c r="D50" t="s">
        <v>428</v>
      </c>
      <c r="E50" t="s">
        <v>168</v>
      </c>
      <c r="F50" s="2">
        <v>46034</v>
      </c>
      <c r="G50">
        <v>393</v>
      </c>
      <c r="H50" s="2">
        <v>46021</v>
      </c>
      <c r="I50" s="2" t="s">
        <v>202</v>
      </c>
      <c r="J50" s="1" t="s">
        <v>480</v>
      </c>
      <c r="L50" s="2">
        <v>46021</v>
      </c>
      <c r="M50" s="2" t="s">
        <v>1294</v>
      </c>
    </row>
    <row r="51" spans="1:13">
      <c r="A51">
        <v>80814098</v>
      </c>
      <c r="B51" t="s">
        <v>254</v>
      </c>
      <c r="C51" s="1" t="s">
        <v>143</v>
      </c>
      <c r="D51" t="s">
        <v>428</v>
      </c>
      <c r="E51" t="s">
        <v>168</v>
      </c>
      <c r="F51" s="2">
        <v>46034</v>
      </c>
      <c r="G51">
        <v>115</v>
      </c>
      <c r="H51" s="2">
        <v>46021</v>
      </c>
      <c r="I51" s="2" t="s">
        <v>202</v>
      </c>
      <c r="J51" s="1" t="s">
        <v>481</v>
      </c>
      <c r="L51" s="2">
        <v>46021</v>
      </c>
      <c r="M51" s="2" t="s">
        <v>1294</v>
      </c>
    </row>
    <row r="52" spans="1:13">
      <c r="A52">
        <v>80814098</v>
      </c>
      <c r="B52" t="s">
        <v>254</v>
      </c>
      <c r="C52" s="1" t="s">
        <v>150</v>
      </c>
      <c r="D52" t="s">
        <v>428</v>
      </c>
      <c r="E52" t="s">
        <v>168</v>
      </c>
      <c r="F52" s="2">
        <v>46034</v>
      </c>
      <c r="G52">
        <v>872</v>
      </c>
      <c r="H52" s="2">
        <v>46021</v>
      </c>
      <c r="I52" s="2" t="s">
        <v>202</v>
      </c>
      <c r="J52" s="1" t="s">
        <v>482</v>
      </c>
      <c r="L52" s="2">
        <v>46021</v>
      </c>
      <c r="M52" s="2" t="s">
        <v>1294</v>
      </c>
    </row>
    <row r="53" spans="1:13">
      <c r="A53">
        <v>80814098</v>
      </c>
      <c r="B53" t="s">
        <v>254</v>
      </c>
      <c r="C53" s="1" t="s">
        <v>151</v>
      </c>
      <c r="D53" t="s">
        <v>428</v>
      </c>
      <c r="E53" t="s">
        <v>168</v>
      </c>
      <c r="F53" s="2">
        <v>46034</v>
      </c>
      <c r="G53">
        <v>1041</v>
      </c>
      <c r="H53" s="2">
        <v>46021</v>
      </c>
      <c r="I53" s="2" t="s">
        <v>202</v>
      </c>
      <c r="J53" s="1" t="s">
        <v>483</v>
      </c>
      <c r="L53" s="2">
        <v>46021</v>
      </c>
      <c r="M53" s="2" t="s">
        <v>1294</v>
      </c>
    </row>
    <row r="54" spans="1:13">
      <c r="A54">
        <v>80814098</v>
      </c>
      <c r="B54" t="s">
        <v>254</v>
      </c>
      <c r="C54" s="1" t="s">
        <v>152</v>
      </c>
      <c r="D54" t="s">
        <v>428</v>
      </c>
      <c r="E54" t="s">
        <v>168</v>
      </c>
      <c r="F54" s="2">
        <v>46034</v>
      </c>
      <c r="G54">
        <v>252</v>
      </c>
      <c r="H54" s="2">
        <v>46021</v>
      </c>
      <c r="I54" s="2" t="s">
        <v>202</v>
      </c>
      <c r="J54" s="1" t="s">
        <v>484</v>
      </c>
      <c r="L54" s="2">
        <v>46021</v>
      </c>
      <c r="M54" s="2" t="s">
        <v>1294</v>
      </c>
    </row>
    <row r="55" spans="1:13">
      <c r="A55">
        <v>80814098</v>
      </c>
      <c r="B55" t="s">
        <v>254</v>
      </c>
      <c r="C55" s="1" t="s">
        <v>153</v>
      </c>
      <c r="D55" t="s">
        <v>428</v>
      </c>
      <c r="E55" t="s">
        <v>168</v>
      </c>
      <c r="F55" s="2">
        <v>46034</v>
      </c>
      <c r="G55">
        <v>129</v>
      </c>
      <c r="H55" s="2">
        <v>46021</v>
      </c>
      <c r="I55" s="2" t="s">
        <v>202</v>
      </c>
      <c r="J55" s="1" t="s">
        <v>485</v>
      </c>
      <c r="L55" s="2">
        <v>46021</v>
      </c>
      <c r="M55" s="2" t="s">
        <v>1294</v>
      </c>
    </row>
    <row r="56" spans="1:13">
      <c r="A56">
        <v>80814098</v>
      </c>
      <c r="B56" t="s">
        <v>254</v>
      </c>
      <c r="C56" s="1" t="s">
        <v>154</v>
      </c>
      <c r="D56" t="s">
        <v>428</v>
      </c>
      <c r="E56" t="s">
        <v>168</v>
      </c>
      <c r="F56" s="2">
        <v>46034</v>
      </c>
      <c r="G56">
        <v>131</v>
      </c>
      <c r="H56" s="2">
        <v>46021</v>
      </c>
      <c r="I56" s="2" t="s">
        <v>202</v>
      </c>
      <c r="J56" s="1" t="s">
        <v>486</v>
      </c>
      <c r="L56" s="2">
        <v>46021</v>
      </c>
      <c r="M56" s="2" t="s">
        <v>1294</v>
      </c>
    </row>
    <row r="57" spans="1:13">
      <c r="A57">
        <v>80814098</v>
      </c>
      <c r="B57" t="s">
        <v>254</v>
      </c>
      <c r="C57" s="1" t="s">
        <v>155</v>
      </c>
      <c r="D57" t="s">
        <v>428</v>
      </c>
      <c r="E57" t="s">
        <v>168</v>
      </c>
      <c r="F57" s="2">
        <v>46034</v>
      </c>
      <c r="G57">
        <v>489</v>
      </c>
      <c r="H57" s="2">
        <v>46021</v>
      </c>
      <c r="I57" s="2" t="s">
        <v>202</v>
      </c>
      <c r="J57" s="1" t="s">
        <v>487</v>
      </c>
      <c r="L57" s="2">
        <v>46021</v>
      </c>
      <c r="M57" s="2" t="s">
        <v>1294</v>
      </c>
    </row>
    <row r="58" spans="1:13">
      <c r="A58">
        <v>80818365</v>
      </c>
      <c r="B58" t="s">
        <v>488</v>
      </c>
      <c r="C58" s="1" t="s">
        <v>143</v>
      </c>
      <c r="D58" t="s">
        <v>428</v>
      </c>
      <c r="E58" t="s">
        <v>168</v>
      </c>
      <c r="F58" s="2">
        <v>46034</v>
      </c>
      <c r="G58">
        <v>11</v>
      </c>
      <c r="H58" s="2">
        <v>46021</v>
      </c>
      <c r="I58" s="2" t="s">
        <v>202</v>
      </c>
      <c r="J58" s="1" t="s">
        <v>489</v>
      </c>
      <c r="L58" s="2">
        <v>46021</v>
      </c>
      <c r="M58" s="2" t="s">
        <v>1294</v>
      </c>
    </row>
    <row r="59" spans="1:13">
      <c r="A59">
        <v>80818365</v>
      </c>
      <c r="B59" t="s">
        <v>488</v>
      </c>
      <c r="C59" s="1" t="s">
        <v>150</v>
      </c>
      <c r="D59" t="s">
        <v>428</v>
      </c>
      <c r="E59" t="s">
        <v>168</v>
      </c>
      <c r="F59" s="2">
        <v>46034</v>
      </c>
      <c r="G59">
        <v>12</v>
      </c>
      <c r="H59" s="2">
        <v>46021</v>
      </c>
      <c r="I59" s="2" t="s">
        <v>202</v>
      </c>
      <c r="J59" s="1" t="s">
        <v>490</v>
      </c>
      <c r="L59" s="2">
        <v>46021</v>
      </c>
      <c r="M59" s="2" t="s">
        <v>1294</v>
      </c>
    </row>
    <row r="60" spans="1:13">
      <c r="A60">
        <v>80818365</v>
      </c>
      <c r="B60" t="s">
        <v>488</v>
      </c>
      <c r="C60" s="1" t="s">
        <v>151</v>
      </c>
      <c r="D60" t="s">
        <v>428</v>
      </c>
      <c r="E60" t="s">
        <v>168</v>
      </c>
      <c r="F60" s="2">
        <v>46034</v>
      </c>
      <c r="G60">
        <v>11</v>
      </c>
      <c r="H60" s="2">
        <v>46021</v>
      </c>
      <c r="I60" s="2" t="s">
        <v>202</v>
      </c>
      <c r="J60" s="1" t="s">
        <v>491</v>
      </c>
      <c r="L60" s="2">
        <v>46021</v>
      </c>
      <c r="M60" s="2" t="s">
        <v>1294</v>
      </c>
    </row>
    <row r="61" spans="1:13">
      <c r="A61">
        <v>80818365</v>
      </c>
      <c r="B61" t="s">
        <v>488</v>
      </c>
      <c r="C61" s="1" t="s">
        <v>152</v>
      </c>
      <c r="D61" t="s">
        <v>428</v>
      </c>
      <c r="E61" t="s">
        <v>168</v>
      </c>
      <c r="F61" s="2">
        <v>46034</v>
      </c>
      <c r="G61">
        <v>11</v>
      </c>
      <c r="H61" s="2">
        <v>46021</v>
      </c>
      <c r="I61" s="2" t="s">
        <v>202</v>
      </c>
      <c r="J61" s="1" t="s">
        <v>492</v>
      </c>
      <c r="L61" s="2">
        <v>46021</v>
      </c>
      <c r="M61" s="2" t="s">
        <v>1294</v>
      </c>
    </row>
    <row r="62" spans="1:13">
      <c r="A62">
        <v>80818365</v>
      </c>
      <c r="B62" t="s">
        <v>488</v>
      </c>
      <c r="C62" s="1" t="s">
        <v>153</v>
      </c>
      <c r="D62" t="s">
        <v>428</v>
      </c>
      <c r="E62" t="s">
        <v>168</v>
      </c>
      <c r="F62" s="2">
        <v>46034</v>
      </c>
      <c r="G62">
        <v>11</v>
      </c>
      <c r="H62" s="2">
        <v>46021</v>
      </c>
      <c r="I62" s="2" t="s">
        <v>202</v>
      </c>
      <c r="J62" s="1" t="s">
        <v>493</v>
      </c>
      <c r="L62" s="2">
        <v>46021</v>
      </c>
      <c r="M62" s="2" t="s">
        <v>1294</v>
      </c>
    </row>
    <row r="63" spans="1:13">
      <c r="A63">
        <v>80818365</v>
      </c>
      <c r="B63" t="s">
        <v>488</v>
      </c>
      <c r="C63" s="1" t="s">
        <v>154</v>
      </c>
      <c r="D63" t="s">
        <v>428</v>
      </c>
      <c r="E63" t="s">
        <v>168</v>
      </c>
      <c r="F63" s="2">
        <v>46034</v>
      </c>
      <c r="G63">
        <v>11</v>
      </c>
      <c r="H63" s="2">
        <v>46021</v>
      </c>
      <c r="I63" s="2" t="s">
        <v>202</v>
      </c>
      <c r="J63" s="1" t="s">
        <v>494</v>
      </c>
      <c r="L63" s="2">
        <v>46021</v>
      </c>
      <c r="M63" s="2" t="s">
        <v>1294</v>
      </c>
    </row>
    <row r="64" spans="1:13">
      <c r="A64">
        <v>80818365</v>
      </c>
      <c r="B64" t="s">
        <v>488</v>
      </c>
      <c r="C64" s="1" t="s">
        <v>155</v>
      </c>
      <c r="D64" t="s">
        <v>428</v>
      </c>
      <c r="E64" t="s">
        <v>168</v>
      </c>
      <c r="F64" s="2">
        <v>46034</v>
      </c>
      <c r="G64">
        <v>9</v>
      </c>
      <c r="H64" s="2">
        <v>46021</v>
      </c>
      <c r="I64" s="2" t="s">
        <v>202</v>
      </c>
      <c r="J64" s="1" t="s">
        <v>495</v>
      </c>
      <c r="L64" s="2">
        <v>46021</v>
      </c>
      <c r="M64" s="2" t="s">
        <v>1294</v>
      </c>
    </row>
    <row r="65" spans="1:13">
      <c r="A65">
        <v>80815642</v>
      </c>
      <c r="B65" t="s">
        <v>259</v>
      </c>
      <c r="C65" s="1" t="s">
        <v>143</v>
      </c>
      <c r="D65" t="s">
        <v>428</v>
      </c>
      <c r="E65" t="s">
        <v>168</v>
      </c>
      <c r="F65" s="2">
        <v>46034</v>
      </c>
      <c r="G65">
        <v>511</v>
      </c>
      <c r="H65" s="2">
        <v>46021</v>
      </c>
      <c r="I65" s="2" t="s">
        <v>202</v>
      </c>
      <c r="J65" s="1" t="s">
        <v>496</v>
      </c>
      <c r="L65" s="2">
        <v>46021</v>
      </c>
      <c r="M65" s="2" t="s">
        <v>1294</v>
      </c>
    </row>
    <row r="66" spans="1:13">
      <c r="A66">
        <v>80815642</v>
      </c>
      <c r="B66" t="s">
        <v>259</v>
      </c>
      <c r="C66" s="1" t="s">
        <v>150</v>
      </c>
      <c r="D66" t="s">
        <v>428</v>
      </c>
      <c r="E66" t="s">
        <v>168</v>
      </c>
      <c r="F66" s="2">
        <v>46034</v>
      </c>
      <c r="G66">
        <v>1535</v>
      </c>
      <c r="H66" s="2">
        <v>46021</v>
      </c>
      <c r="I66" s="2" t="s">
        <v>202</v>
      </c>
      <c r="J66" s="1" t="s">
        <v>497</v>
      </c>
      <c r="L66" s="2">
        <v>46021</v>
      </c>
      <c r="M66" s="2" t="s">
        <v>1294</v>
      </c>
    </row>
    <row r="67" spans="1:13">
      <c r="A67">
        <v>80815642</v>
      </c>
      <c r="B67" t="s">
        <v>259</v>
      </c>
      <c r="C67" s="1" t="s">
        <v>151</v>
      </c>
      <c r="D67" t="s">
        <v>428</v>
      </c>
      <c r="E67" t="s">
        <v>168</v>
      </c>
      <c r="F67" s="2">
        <v>46034</v>
      </c>
      <c r="G67">
        <v>2163</v>
      </c>
      <c r="H67" s="2">
        <v>46021</v>
      </c>
      <c r="I67" s="2" t="s">
        <v>202</v>
      </c>
      <c r="J67" s="1" t="s">
        <v>498</v>
      </c>
      <c r="L67" s="2">
        <v>46021</v>
      </c>
      <c r="M67" s="2" t="s">
        <v>1294</v>
      </c>
    </row>
    <row r="68" spans="1:13">
      <c r="A68">
        <v>80815642</v>
      </c>
      <c r="B68" t="s">
        <v>259</v>
      </c>
      <c r="C68" s="1" t="s">
        <v>152</v>
      </c>
      <c r="D68" t="s">
        <v>428</v>
      </c>
      <c r="E68" t="s">
        <v>168</v>
      </c>
      <c r="F68" s="2">
        <v>46034</v>
      </c>
      <c r="G68">
        <v>593</v>
      </c>
      <c r="H68" s="2">
        <v>46021</v>
      </c>
      <c r="I68" s="2" t="s">
        <v>202</v>
      </c>
      <c r="J68" s="1" t="s">
        <v>499</v>
      </c>
      <c r="L68" s="2">
        <v>46021</v>
      </c>
      <c r="M68" s="2" t="s">
        <v>1294</v>
      </c>
    </row>
    <row r="69" spans="1:13">
      <c r="A69">
        <v>80815642</v>
      </c>
      <c r="B69" t="s">
        <v>259</v>
      </c>
      <c r="C69" s="1" t="s">
        <v>153</v>
      </c>
      <c r="D69" t="s">
        <v>428</v>
      </c>
      <c r="E69" t="s">
        <v>168</v>
      </c>
      <c r="F69" s="2">
        <v>46034</v>
      </c>
      <c r="G69">
        <v>144</v>
      </c>
      <c r="H69" s="2">
        <v>46021</v>
      </c>
      <c r="I69" s="2" t="s">
        <v>202</v>
      </c>
      <c r="J69" s="1" t="s">
        <v>500</v>
      </c>
      <c r="L69" s="2">
        <v>46021</v>
      </c>
      <c r="M69" s="2" t="s">
        <v>1294</v>
      </c>
    </row>
    <row r="70" spans="1:13">
      <c r="A70">
        <v>80815642</v>
      </c>
      <c r="B70" t="s">
        <v>259</v>
      </c>
      <c r="C70" s="1" t="s">
        <v>154</v>
      </c>
      <c r="D70" t="s">
        <v>428</v>
      </c>
      <c r="E70" t="s">
        <v>168</v>
      </c>
      <c r="F70" s="2">
        <v>46034</v>
      </c>
      <c r="G70">
        <v>227</v>
      </c>
      <c r="H70" s="2">
        <v>46021</v>
      </c>
      <c r="I70" s="2" t="s">
        <v>202</v>
      </c>
      <c r="J70" s="1" t="s">
        <v>501</v>
      </c>
      <c r="L70" s="2">
        <v>46021</v>
      </c>
      <c r="M70" s="2" t="s">
        <v>1294</v>
      </c>
    </row>
    <row r="71" spans="1:13">
      <c r="A71">
        <v>80815642</v>
      </c>
      <c r="B71" t="s">
        <v>259</v>
      </c>
      <c r="C71" s="1" t="s">
        <v>155</v>
      </c>
      <c r="D71" t="s">
        <v>428</v>
      </c>
      <c r="E71" t="s">
        <v>168</v>
      </c>
      <c r="F71" s="2">
        <v>46034</v>
      </c>
      <c r="G71">
        <v>592</v>
      </c>
      <c r="H71" s="2">
        <v>46021</v>
      </c>
      <c r="I71" s="2" t="s">
        <v>202</v>
      </c>
      <c r="J71" s="1" t="s">
        <v>502</v>
      </c>
      <c r="L71" s="2">
        <v>46021</v>
      </c>
      <c r="M71" s="2" t="s">
        <v>1294</v>
      </c>
    </row>
    <row r="72" spans="1:13">
      <c r="A72">
        <v>80815643</v>
      </c>
      <c r="B72" t="s">
        <v>258</v>
      </c>
      <c r="C72" s="1" t="s">
        <v>143</v>
      </c>
      <c r="D72" t="s">
        <v>428</v>
      </c>
      <c r="E72" t="s">
        <v>168</v>
      </c>
      <c r="F72" s="2">
        <v>46034</v>
      </c>
      <c r="G72">
        <v>140</v>
      </c>
      <c r="H72" s="2">
        <v>46021</v>
      </c>
      <c r="I72" s="2" t="s">
        <v>202</v>
      </c>
      <c r="J72" s="1" t="s">
        <v>503</v>
      </c>
      <c r="L72" s="2">
        <v>46021</v>
      </c>
      <c r="M72" s="2" t="s">
        <v>1294</v>
      </c>
    </row>
    <row r="73" spans="1:13">
      <c r="A73">
        <v>80815643</v>
      </c>
      <c r="B73" t="s">
        <v>258</v>
      </c>
      <c r="C73" s="1" t="s">
        <v>150</v>
      </c>
      <c r="D73" t="s">
        <v>428</v>
      </c>
      <c r="E73" t="s">
        <v>168</v>
      </c>
      <c r="F73" s="2">
        <v>46034</v>
      </c>
      <c r="G73">
        <v>802</v>
      </c>
      <c r="H73" s="2">
        <v>46021</v>
      </c>
      <c r="I73" s="2" t="s">
        <v>202</v>
      </c>
      <c r="J73" s="1" t="s">
        <v>504</v>
      </c>
      <c r="L73" s="2">
        <v>46021</v>
      </c>
      <c r="M73" s="2" t="s">
        <v>1294</v>
      </c>
    </row>
    <row r="74" spans="1:13">
      <c r="A74">
        <v>80815643</v>
      </c>
      <c r="B74" t="s">
        <v>258</v>
      </c>
      <c r="C74" s="1" t="s">
        <v>151</v>
      </c>
      <c r="D74" t="s">
        <v>428</v>
      </c>
      <c r="E74" t="s">
        <v>168</v>
      </c>
      <c r="F74" s="2">
        <v>46034</v>
      </c>
      <c r="G74">
        <v>1164</v>
      </c>
      <c r="H74" s="2">
        <v>46021</v>
      </c>
      <c r="I74" s="2" t="s">
        <v>202</v>
      </c>
      <c r="J74" s="1" t="s">
        <v>505</v>
      </c>
      <c r="L74" s="2">
        <v>46021</v>
      </c>
      <c r="M74" s="2" t="s">
        <v>1294</v>
      </c>
    </row>
    <row r="75" spans="1:13">
      <c r="A75">
        <v>80815643</v>
      </c>
      <c r="B75" t="s">
        <v>258</v>
      </c>
      <c r="C75" s="1" t="s">
        <v>152</v>
      </c>
      <c r="D75" t="s">
        <v>428</v>
      </c>
      <c r="E75" t="s">
        <v>168</v>
      </c>
      <c r="F75" s="2">
        <v>46034</v>
      </c>
      <c r="G75">
        <v>345</v>
      </c>
      <c r="H75" s="2">
        <v>46021</v>
      </c>
      <c r="I75" s="2" t="s">
        <v>202</v>
      </c>
      <c r="J75" s="1" t="s">
        <v>506</v>
      </c>
      <c r="L75" s="2">
        <v>46021</v>
      </c>
      <c r="M75" s="2" t="s">
        <v>1294</v>
      </c>
    </row>
    <row r="76" spans="1:13">
      <c r="A76">
        <v>80815643</v>
      </c>
      <c r="B76" t="s">
        <v>258</v>
      </c>
      <c r="C76" s="1" t="s">
        <v>153</v>
      </c>
      <c r="D76" t="s">
        <v>428</v>
      </c>
      <c r="E76" t="s">
        <v>168</v>
      </c>
      <c r="F76" s="2">
        <v>46034</v>
      </c>
      <c r="G76">
        <v>105</v>
      </c>
      <c r="H76" s="2">
        <v>46021</v>
      </c>
      <c r="I76" s="2" t="s">
        <v>202</v>
      </c>
      <c r="J76" s="1" t="s">
        <v>507</v>
      </c>
      <c r="L76" s="2">
        <v>46021</v>
      </c>
      <c r="M76" s="2" t="s">
        <v>1294</v>
      </c>
    </row>
    <row r="77" spans="1:13">
      <c r="A77">
        <v>80815643</v>
      </c>
      <c r="B77" t="s">
        <v>258</v>
      </c>
      <c r="C77" s="1" t="s">
        <v>154</v>
      </c>
      <c r="D77" t="s">
        <v>428</v>
      </c>
      <c r="E77" t="s">
        <v>168</v>
      </c>
      <c r="F77" s="2">
        <v>46034</v>
      </c>
      <c r="G77">
        <v>277</v>
      </c>
      <c r="H77" s="2">
        <v>46021</v>
      </c>
      <c r="I77" s="2" t="s">
        <v>202</v>
      </c>
      <c r="J77" s="1" t="s">
        <v>508</v>
      </c>
      <c r="L77" s="2">
        <v>46021</v>
      </c>
      <c r="M77" s="2" t="s">
        <v>1294</v>
      </c>
    </row>
    <row r="78" spans="1:13">
      <c r="A78">
        <v>80815643</v>
      </c>
      <c r="B78" t="s">
        <v>258</v>
      </c>
      <c r="C78" s="1" t="s">
        <v>155</v>
      </c>
      <c r="D78" t="s">
        <v>428</v>
      </c>
      <c r="E78" t="s">
        <v>168</v>
      </c>
      <c r="F78" s="2">
        <v>46034</v>
      </c>
      <c r="G78">
        <v>399</v>
      </c>
      <c r="H78" s="2">
        <v>46021</v>
      </c>
      <c r="I78" s="2" t="s">
        <v>202</v>
      </c>
      <c r="J78" s="1" t="s">
        <v>509</v>
      </c>
      <c r="L78" s="2">
        <v>46021</v>
      </c>
      <c r="M78" s="2" t="s">
        <v>1294</v>
      </c>
    </row>
    <row r="79" spans="1:13">
      <c r="A79">
        <v>80815644</v>
      </c>
      <c r="B79" t="s">
        <v>260</v>
      </c>
      <c r="C79" s="1" t="s">
        <v>143</v>
      </c>
      <c r="D79" t="s">
        <v>428</v>
      </c>
      <c r="E79" t="s">
        <v>168</v>
      </c>
      <c r="F79" s="2">
        <v>46034</v>
      </c>
      <c r="G79">
        <v>98</v>
      </c>
      <c r="H79" s="2">
        <v>46021</v>
      </c>
      <c r="I79" s="2" t="s">
        <v>202</v>
      </c>
      <c r="J79" s="1" t="s">
        <v>510</v>
      </c>
      <c r="L79" s="2">
        <v>46021</v>
      </c>
      <c r="M79" s="2" t="s">
        <v>1294</v>
      </c>
    </row>
    <row r="80" spans="1:13">
      <c r="A80">
        <v>80815644</v>
      </c>
      <c r="B80" t="s">
        <v>260</v>
      </c>
      <c r="C80" s="1" t="s">
        <v>150</v>
      </c>
      <c r="D80" t="s">
        <v>428</v>
      </c>
      <c r="E80" t="s">
        <v>168</v>
      </c>
      <c r="F80" s="2">
        <v>46034</v>
      </c>
      <c r="G80">
        <v>840</v>
      </c>
      <c r="H80" s="2">
        <v>46021</v>
      </c>
      <c r="I80" s="2" t="s">
        <v>202</v>
      </c>
      <c r="J80" s="1" t="s">
        <v>511</v>
      </c>
      <c r="L80" s="2">
        <v>46021</v>
      </c>
      <c r="M80" s="2" t="s">
        <v>1294</v>
      </c>
    </row>
    <row r="81" spans="1:13">
      <c r="A81">
        <v>80815644</v>
      </c>
      <c r="B81" t="s">
        <v>260</v>
      </c>
      <c r="C81" s="1" t="s">
        <v>151</v>
      </c>
      <c r="D81" t="s">
        <v>428</v>
      </c>
      <c r="E81" t="s">
        <v>168</v>
      </c>
      <c r="F81" s="2">
        <v>46034</v>
      </c>
      <c r="G81">
        <v>882</v>
      </c>
      <c r="H81" s="2">
        <v>46021</v>
      </c>
      <c r="I81" s="2" t="s">
        <v>202</v>
      </c>
      <c r="J81" s="1" t="s">
        <v>512</v>
      </c>
      <c r="L81" s="2">
        <v>46021</v>
      </c>
      <c r="M81" s="2" t="s">
        <v>1294</v>
      </c>
    </row>
    <row r="82" spans="1:13">
      <c r="A82">
        <v>80815644</v>
      </c>
      <c r="B82" t="s">
        <v>260</v>
      </c>
      <c r="C82" s="1" t="s">
        <v>152</v>
      </c>
      <c r="D82" t="s">
        <v>428</v>
      </c>
      <c r="E82" t="s">
        <v>168</v>
      </c>
      <c r="F82" s="2">
        <v>46034</v>
      </c>
      <c r="G82">
        <v>187</v>
      </c>
      <c r="H82" s="2">
        <v>46021</v>
      </c>
      <c r="I82" s="2" t="s">
        <v>202</v>
      </c>
      <c r="J82" s="1" t="s">
        <v>513</v>
      </c>
      <c r="L82" s="2">
        <v>46021</v>
      </c>
      <c r="M82" s="2" t="s">
        <v>1294</v>
      </c>
    </row>
    <row r="83" spans="1:13">
      <c r="A83">
        <v>80815644</v>
      </c>
      <c r="B83" t="s">
        <v>260</v>
      </c>
      <c r="C83" s="1" t="s">
        <v>153</v>
      </c>
      <c r="D83" t="s">
        <v>428</v>
      </c>
      <c r="E83" t="s">
        <v>168</v>
      </c>
      <c r="F83" s="2">
        <v>46034</v>
      </c>
      <c r="G83">
        <v>114</v>
      </c>
      <c r="H83" s="2">
        <v>46021</v>
      </c>
      <c r="I83" s="2" t="s">
        <v>202</v>
      </c>
      <c r="J83" s="1" t="s">
        <v>514</v>
      </c>
      <c r="L83" s="2">
        <v>46021</v>
      </c>
      <c r="M83" s="2" t="s">
        <v>1294</v>
      </c>
    </row>
    <row r="84" spans="1:13">
      <c r="A84">
        <v>80815644</v>
      </c>
      <c r="B84" t="s">
        <v>260</v>
      </c>
      <c r="C84" s="1" t="s">
        <v>154</v>
      </c>
      <c r="D84" t="s">
        <v>428</v>
      </c>
      <c r="E84" t="s">
        <v>168</v>
      </c>
      <c r="F84" s="2">
        <v>46034</v>
      </c>
      <c r="G84">
        <v>130</v>
      </c>
      <c r="H84" s="2">
        <v>46021</v>
      </c>
      <c r="I84" s="2" t="s">
        <v>202</v>
      </c>
      <c r="J84" s="1" t="s">
        <v>515</v>
      </c>
      <c r="L84" s="2">
        <v>46021</v>
      </c>
      <c r="M84" s="2" t="s">
        <v>1294</v>
      </c>
    </row>
    <row r="85" spans="1:13">
      <c r="A85">
        <v>80815644</v>
      </c>
      <c r="B85" t="s">
        <v>260</v>
      </c>
      <c r="C85" s="1" t="s">
        <v>155</v>
      </c>
      <c r="D85" t="s">
        <v>428</v>
      </c>
      <c r="E85" t="s">
        <v>168</v>
      </c>
      <c r="F85" s="2">
        <v>46034</v>
      </c>
      <c r="G85">
        <v>337</v>
      </c>
      <c r="H85" s="2">
        <v>46021</v>
      </c>
      <c r="I85" s="2" t="s">
        <v>202</v>
      </c>
      <c r="J85" s="1" t="s">
        <v>516</v>
      </c>
      <c r="L85" s="2">
        <v>46021</v>
      </c>
      <c r="M85" s="2" t="s">
        <v>1294</v>
      </c>
    </row>
    <row r="86" spans="1:13">
      <c r="A86">
        <v>80815645</v>
      </c>
      <c r="B86" t="s">
        <v>261</v>
      </c>
      <c r="C86" s="1" t="s">
        <v>143</v>
      </c>
      <c r="D86" t="s">
        <v>428</v>
      </c>
      <c r="E86" t="s">
        <v>168</v>
      </c>
      <c r="F86" s="2">
        <v>46034</v>
      </c>
      <c r="G86">
        <v>250</v>
      </c>
      <c r="H86" s="2">
        <v>46021</v>
      </c>
      <c r="I86" s="2" t="s">
        <v>202</v>
      </c>
      <c r="J86" s="1" t="s">
        <v>517</v>
      </c>
      <c r="L86" s="2">
        <v>46021</v>
      </c>
      <c r="M86" s="2" t="s">
        <v>1294</v>
      </c>
    </row>
    <row r="87" spans="1:13">
      <c r="A87">
        <v>80815645</v>
      </c>
      <c r="B87" t="s">
        <v>261</v>
      </c>
      <c r="C87" s="1" t="s">
        <v>150</v>
      </c>
      <c r="D87" t="s">
        <v>428</v>
      </c>
      <c r="E87" t="s">
        <v>168</v>
      </c>
      <c r="F87" s="2">
        <v>46034</v>
      </c>
      <c r="G87">
        <v>997</v>
      </c>
      <c r="H87" s="2">
        <v>46021</v>
      </c>
      <c r="I87" s="2" t="s">
        <v>202</v>
      </c>
      <c r="J87" s="1" t="s">
        <v>518</v>
      </c>
      <c r="L87" s="2">
        <v>46021</v>
      </c>
      <c r="M87" s="2" t="s">
        <v>1294</v>
      </c>
    </row>
    <row r="88" spans="1:13">
      <c r="A88">
        <v>80815645</v>
      </c>
      <c r="B88" t="s">
        <v>261</v>
      </c>
      <c r="C88" s="1" t="s">
        <v>151</v>
      </c>
      <c r="D88" t="s">
        <v>428</v>
      </c>
      <c r="E88" t="s">
        <v>168</v>
      </c>
      <c r="F88" s="2">
        <v>46034</v>
      </c>
      <c r="G88">
        <v>1517</v>
      </c>
      <c r="H88" s="2">
        <v>46021</v>
      </c>
      <c r="I88" s="2" t="s">
        <v>202</v>
      </c>
      <c r="J88" s="1" t="s">
        <v>519</v>
      </c>
      <c r="L88" s="2">
        <v>46021</v>
      </c>
      <c r="M88" s="2" t="s">
        <v>1294</v>
      </c>
    </row>
    <row r="89" spans="1:13">
      <c r="A89">
        <v>80815645</v>
      </c>
      <c r="B89" t="s">
        <v>261</v>
      </c>
      <c r="C89" s="1" t="s">
        <v>152</v>
      </c>
      <c r="D89" t="s">
        <v>428</v>
      </c>
      <c r="E89" t="s">
        <v>168</v>
      </c>
      <c r="F89" s="2">
        <v>46034</v>
      </c>
      <c r="G89">
        <v>530</v>
      </c>
      <c r="H89" s="2">
        <v>46021</v>
      </c>
      <c r="I89" s="2" t="s">
        <v>202</v>
      </c>
      <c r="J89" s="1" t="s">
        <v>520</v>
      </c>
      <c r="L89" s="2">
        <v>46021</v>
      </c>
      <c r="M89" s="2" t="s">
        <v>1294</v>
      </c>
    </row>
    <row r="90" spans="1:13">
      <c r="A90">
        <v>80815645</v>
      </c>
      <c r="B90" t="s">
        <v>261</v>
      </c>
      <c r="C90" s="1" t="s">
        <v>153</v>
      </c>
      <c r="D90" t="s">
        <v>428</v>
      </c>
      <c r="E90" t="s">
        <v>168</v>
      </c>
      <c r="F90" s="2">
        <v>46034</v>
      </c>
      <c r="G90">
        <v>98</v>
      </c>
      <c r="H90" s="2">
        <v>46021</v>
      </c>
      <c r="I90" s="2" t="s">
        <v>202</v>
      </c>
      <c r="J90" s="1" t="s">
        <v>521</v>
      </c>
      <c r="L90" s="2">
        <v>46021</v>
      </c>
      <c r="M90" s="2" t="s">
        <v>1294</v>
      </c>
    </row>
    <row r="91" spans="1:13">
      <c r="A91">
        <v>80815645</v>
      </c>
      <c r="B91" t="s">
        <v>261</v>
      </c>
      <c r="C91" s="1" t="s">
        <v>154</v>
      </c>
      <c r="D91" t="s">
        <v>428</v>
      </c>
      <c r="E91" t="s">
        <v>168</v>
      </c>
      <c r="F91" s="2">
        <v>46034</v>
      </c>
      <c r="G91">
        <v>220</v>
      </c>
      <c r="H91" s="2">
        <v>46021</v>
      </c>
      <c r="I91" s="2" t="s">
        <v>202</v>
      </c>
      <c r="J91" s="1" t="s">
        <v>522</v>
      </c>
      <c r="L91" s="2">
        <v>46021</v>
      </c>
      <c r="M91" s="2" t="s">
        <v>1294</v>
      </c>
    </row>
    <row r="92" spans="1:13">
      <c r="A92">
        <v>80815645</v>
      </c>
      <c r="B92" t="s">
        <v>261</v>
      </c>
      <c r="C92" s="1" t="s">
        <v>155</v>
      </c>
      <c r="D92" t="s">
        <v>428</v>
      </c>
      <c r="E92" t="s">
        <v>168</v>
      </c>
      <c r="F92" s="2">
        <v>46034</v>
      </c>
      <c r="G92">
        <v>388</v>
      </c>
      <c r="H92" s="2">
        <v>46021</v>
      </c>
      <c r="I92" s="2" t="s">
        <v>202</v>
      </c>
      <c r="J92" s="1" t="s">
        <v>523</v>
      </c>
      <c r="L92" s="2">
        <v>46021</v>
      </c>
      <c r="M92" s="2" t="s">
        <v>1294</v>
      </c>
    </row>
    <row r="93" spans="1:13">
      <c r="A93">
        <v>80815646</v>
      </c>
      <c r="B93" t="s">
        <v>524</v>
      </c>
      <c r="C93" s="1" t="s">
        <v>143</v>
      </c>
      <c r="D93" t="s">
        <v>428</v>
      </c>
      <c r="E93" t="s">
        <v>168</v>
      </c>
      <c r="F93" s="2">
        <v>46034</v>
      </c>
      <c r="G93">
        <v>59</v>
      </c>
      <c r="H93" s="2">
        <v>46021</v>
      </c>
      <c r="I93" s="2" t="s">
        <v>202</v>
      </c>
      <c r="J93" s="1" t="s">
        <v>525</v>
      </c>
      <c r="L93" s="2">
        <v>46021</v>
      </c>
      <c r="M93" s="2" t="s">
        <v>1294</v>
      </c>
    </row>
    <row r="94" spans="1:13">
      <c r="A94">
        <v>80815646</v>
      </c>
      <c r="B94" t="s">
        <v>524</v>
      </c>
      <c r="C94" s="1" t="s">
        <v>150</v>
      </c>
      <c r="D94" t="s">
        <v>428</v>
      </c>
      <c r="E94" t="s">
        <v>168</v>
      </c>
      <c r="F94" s="2">
        <v>46034</v>
      </c>
      <c r="G94">
        <v>476</v>
      </c>
      <c r="H94" s="2">
        <v>46021</v>
      </c>
      <c r="I94" s="2" t="s">
        <v>202</v>
      </c>
      <c r="J94" s="1" t="s">
        <v>526</v>
      </c>
      <c r="L94" s="2">
        <v>46021</v>
      </c>
      <c r="M94" s="2" t="s">
        <v>1294</v>
      </c>
    </row>
    <row r="95" spans="1:13">
      <c r="A95">
        <v>80815646</v>
      </c>
      <c r="B95" t="s">
        <v>524</v>
      </c>
      <c r="C95" s="1" t="s">
        <v>151</v>
      </c>
      <c r="D95" t="s">
        <v>428</v>
      </c>
      <c r="E95" t="s">
        <v>168</v>
      </c>
      <c r="F95" s="2">
        <v>46034</v>
      </c>
      <c r="G95">
        <v>486</v>
      </c>
      <c r="H95" s="2">
        <v>46021</v>
      </c>
      <c r="I95" s="2" t="s">
        <v>202</v>
      </c>
      <c r="J95" s="1" t="s">
        <v>527</v>
      </c>
      <c r="L95" s="2">
        <v>46021</v>
      </c>
      <c r="M95" s="2" t="s">
        <v>1294</v>
      </c>
    </row>
    <row r="96" spans="1:13">
      <c r="A96">
        <v>80815646</v>
      </c>
      <c r="B96" t="s">
        <v>524</v>
      </c>
      <c r="C96" s="1" t="s">
        <v>152</v>
      </c>
      <c r="D96" t="s">
        <v>428</v>
      </c>
      <c r="E96" t="s">
        <v>168</v>
      </c>
      <c r="F96" s="2">
        <v>46034</v>
      </c>
      <c r="G96">
        <v>135</v>
      </c>
      <c r="H96" s="2">
        <v>46021</v>
      </c>
      <c r="I96" s="2" t="s">
        <v>202</v>
      </c>
      <c r="J96" s="1" t="s">
        <v>528</v>
      </c>
      <c r="L96" s="2">
        <v>46021</v>
      </c>
      <c r="M96" s="2" t="s">
        <v>1294</v>
      </c>
    </row>
    <row r="97" spans="1:13">
      <c r="A97">
        <v>80815646</v>
      </c>
      <c r="B97" t="s">
        <v>524</v>
      </c>
      <c r="C97" s="1" t="s">
        <v>153</v>
      </c>
      <c r="D97" t="s">
        <v>428</v>
      </c>
      <c r="E97" t="s">
        <v>168</v>
      </c>
      <c r="F97" s="2">
        <v>46034</v>
      </c>
      <c r="G97">
        <v>62</v>
      </c>
      <c r="H97" s="2">
        <v>46021</v>
      </c>
      <c r="I97" s="2" t="s">
        <v>202</v>
      </c>
      <c r="J97" s="1" t="s">
        <v>529</v>
      </c>
      <c r="L97" s="2">
        <v>46021</v>
      </c>
      <c r="M97" s="2" t="s">
        <v>1294</v>
      </c>
    </row>
    <row r="98" spans="1:13">
      <c r="A98">
        <v>80815646</v>
      </c>
      <c r="B98" t="s">
        <v>524</v>
      </c>
      <c r="C98" s="1" t="s">
        <v>154</v>
      </c>
      <c r="D98" t="s">
        <v>428</v>
      </c>
      <c r="E98" t="s">
        <v>168</v>
      </c>
      <c r="F98" s="2">
        <v>46034</v>
      </c>
      <c r="G98">
        <v>65</v>
      </c>
      <c r="H98" s="2">
        <v>46021</v>
      </c>
      <c r="I98" s="2" t="s">
        <v>202</v>
      </c>
      <c r="J98" s="1" t="s">
        <v>530</v>
      </c>
      <c r="L98" s="2">
        <v>46021</v>
      </c>
      <c r="M98" s="2" t="s">
        <v>1294</v>
      </c>
    </row>
    <row r="99" spans="1:13">
      <c r="A99">
        <v>80815646</v>
      </c>
      <c r="B99" t="s">
        <v>524</v>
      </c>
      <c r="C99" s="1" t="s">
        <v>155</v>
      </c>
      <c r="D99" t="s">
        <v>428</v>
      </c>
      <c r="E99" t="s">
        <v>168</v>
      </c>
      <c r="F99" s="2">
        <v>46034</v>
      </c>
      <c r="G99">
        <v>174</v>
      </c>
      <c r="H99" s="2">
        <v>46021</v>
      </c>
      <c r="I99" s="2" t="s">
        <v>202</v>
      </c>
      <c r="J99" s="1" t="s">
        <v>531</v>
      </c>
      <c r="L99" s="2">
        <v>46021</v>
      </c>
      <c r="M99" s="2" t="s">
        <v>1294</v>
      </c>
    </row>
    <row r="100" spans="1:13">
      <c r="A100">
        <v>80815647</v>
      </c>
      <c r="B100" t="s">
        <v>262</v>
      </c>
      <c r="C100" s="1" t="s">
        <v>143</v>
      </c>
      <c r="D100" t="s">
        <v>428</v>
      </c>
      <c r="E100" t="s">
        <v>168</v>
      </c>
      <c r="F100" s="2">
        <v>46034</v>
      </c>
      <c r="G100">
        <v>118</v>
      </c>
      <c r="H100" s="2">
        <v>46021</v>
      </c>
      <c r="I100" s="2" t="s">
        <v>202</v>
      </c>
      <c r="J100" s="1" t="s">
        <v>532</v>
      </c>
      <c r="L100" s="2">
        <v>46021</v>
      </c>
      <c r="M100" s="2" t="s">
        <v>1294</v>
      </c>
    </row>
    <row r="101" spans="1:13">
      <c r="A101">
        <v>80815647</v>
      </c>
      <c r="B101" t="s">
        <v>262</v>
      </c>
      <c r="C101" s="1" t="s">
        <v>150</v>
      </c>
      <c r="D101" t="s">
        <v>428</v>
      </c>
      <c r="E101" t="s">
        <v>168</v>
      </c>
      <c r="F101" s="2">
        <v>46034</v>
      </c>
      <c r="G101">
        <v>579</v>
      </c>
      <c r="H101" s="2">
        <v>46021</v>
      </c>
      <c r="I101" s="2" t="s">
        <v>202</v>
      </c>
      <c r="J101" s="1" t="s">
        <v>533</v>
      </c>
      <c r="L101" s="2">
        <v>46021</v>
      </c>
      <c r="M101" s="2" t="s">
        <v>1294</v>
      </c>
    </row>
    <row r="102" spans="1:13">
      <c r="A102">
        <v>80815647</v>
      </c>
      <c r="B102" t="s">
        <v>262</v>
      </c>
      <c r="C102" s="1" t="s">
        <v>151</v>
      </c>
      <c r="D102" t="s">
        <v>428</v>
      </c>
      <c r="E102" t="s">
        <v>168</v>
      </c>
      <c r="F102" s="2">
        <v>46034</v>
      </c>
      <c r="G102">
        <v>635</v>
      </c>
      <c r="H102" s="2">
        <v>46021</v>
      </c>
      <c r="I102" s="2" t="s">
        <v>202</v>
      </c>
      <c r="J102" s="1" t="s">
        <v>534</v>
      </c>
      <c r="L102" s="2">
        <v>46021</v>
      </c>
      <c r="M102" s="2" t="s">
        <v>1294</v>
      </c>
    </row>
    <row r="103" spans="1:13">
      <c r="A103">
        <v>80815647</v>
      </c>
      <c r="B103" t="s">
        <v>262</v>
      </c>
      <c r="C103" s="1" t="s">
        <v>152</v>
      </c>
      <c r="D103" t="s">
        <v>428</v>
      </c>
      <c r="E103" t="s">
        <v>168</v>
      </c>
      <c r="F103" s="2">
        <v>46034</v>
      </c>
      <c r="G103">
        <v>190</v>
      </c>
      <c r="H103" s="2">
        <v>46021</v>
      </c>
      <c r="I103" s="2" t="s">
        <v>202</v>
      </c>
      <c r="J103" s="1" t="s">
        <v>535</v>
      </c>
      <c r="L103" s="2">
        <v>46021</v>
      </c>
      <c r="M103" s="2" t="s">
        <v>1294</v>
      </c>
    </row>
    <row r="104" spans="1:13">
      <c r="A104">
        <v>80815647</v>
      </c>
      <c r="B104" t="s">
        <v>262</v>
      </c>
      <c r="C104" s="1" t="s">
        <v>153</v>
      </c>
      <c r="D104" t="s">
        <v>428</v>
      </c>
      <c r="E104" t="s">
        <v>168</v>
      </c>
      <c r="F104" s="2">
        <v>46034</v>
      </c>
      <c r="G104">
        <v>66</v>
      </c>
      <c r="H104" s="2">
        <v>46021</v>
      </c>
      <c r="I104" s="2" t="s">
        <v>202</v>
      </c>
      <c r="J104" s="1" t="s">
        <v>536</v>
      </c>
      <c r="L104" s="2">
        <v>46021</v>
      </c>
      <c r="M104" s="2" t="s">
        <v>1294</v>
      </c>
    </row>
    <row r="105" spans="1:13">
      <c r="A105">
        <v>80815647</v>
      </c>
      <c r="B105" t="s">
        <v>262</v>
      </c>
      <c r="C105" s="1" t="s">
        <v>154</v>
      </c>
      <c r="D105" t="s">
        <v>428</v>
      </c>
      <c r="E105" t="s">
        <v>168</v>
      </c>
      <c r="F105" s="2">
        <v>46034</v>
      </c>
      <c r="G105">
        <v>104</v>
      </c>
      <c r="H105" s="2">
        <v>46021</v>
      </c>
      <c r="I105" s="2" t="s">
        <v>202</v>
      </c>
      <c r="J105" s="1" t="s">
        <v>537</v>
      </c>
      <c r="L105" s="2">
        <v>46021</v>
      </c>
      <c r="M105" s="2" t="s">
        <v>1294</v>
      </c>
    </row>
    <row r="106" spans="1:13">
      <c r="A106">
        <v>80815647</v>
      </c>
      <c r="B106" t="s">
        <v>262</v>
      </c>
      <c r="C106" s="1" t="s">
        <v>155</v>
      </c>
      <c r="D106" t="s">
        <v>428</v>
      </c>
      <c r="E106" t="s">
        <v>168</v>
      </c>
      <c r="F106" s="2">
        <v>46034</v>
      </c>
      <c r="G106">
        <v>294</v>
      </c>
      <c r="H106" s="2">
        <v>46021</v>
      </c>
      <c r="I106" s="2" t="s">
        <v>202</v>
      </c>
      <c r="J106" s="1" t="s">
        <v>538</v>
      </c>
      <c r="L106" s="2">
        <v>46021</v>
      </c>
      <c r="M106" s="2" t="s">
        <v>1294</v>
      </c>
    </row>
    <row r="107" spans="1:13">
      <c r="A107">
        <v>80815648</v>
      </c>
      <c r="B107" t="s">
        <v>257</v>
      </c>
      <c r="C107" s="1" t="s">
        <v>143</v>
      </c>
      <c r="D107" t="s">
        <v>428</v>
      </c>
      <c r="E107" t="s">
        <v>168</v>
      </c>
      <c r="F107" s="2">
        <v>46034</v>
      </c>
      <c r="G107">
        <v>481</v>
      </c>
      <c r="H107" s="2">
        <v>46021</v>
      </c>
      <c r="I107" s="2" t="s">
        <v>202</v>
      </c>
      <c r="J107" s="1" t="s">
        <v>539</v>
      </c>
      <c r="L107" s="2">
        <v>46021</v>
      </c>
      <c r="M107" s="2" t="s">
        <v>1294</v>
      </c>
    </row>
    <row r="108" spans="1:13">
      <c r="A108">
        <v>80815648</v>
      </c>
      <c r="B108" t="s">
        <v>257</v>
      </c>
      <c r="C108" s="1" t="s">
        <v>150</v>
      </c>
      <c r="D108" t="s">
        <v>428</v>
      </c>
      <c r="E108" t="s">
        <v>168</v>
      </c>
      <c r="F108" s="2">
        <v>46034</v>
      </c>
      <c r="G108">
        <v>1662</v>
      </c>
      <c r="H108" s="2">
        <v>46021</v>
      </c>
      <c r="I108" s="2" t="s">
        <v>202</v>
      </c>
      <c r="J108" s="1" t="s">
        <v>540</v>
      </c>
      <c r="L108" s="2">
        <v>46021</v>
      </c>
      <c r="M108" s="2" t="s">
        <v>1294</v>
      </c>
    </row>
    <row r="109" spans="1:13">
      <c r="A109">
        <v>80815648</v>
      </c>
      <c r="B109" t="s">
        <v>257</v>
      </c>
      <c r="C109" s="1" t="s">
        <v>151</v>
      </c>
      <c r="D109" t="s">
        <v>428</v>
      </c>
      <c r="E109" t="s">
        <v>168</v>
      </c>
      <c r="F109" s="2">
        <v>46034</v>
      </c>
      <c r="G109">
        <v>2341</v>
      </c>
      <c r="H109" s="2">
        <v>46021</v>
      </c>
      <c r="I109" s="2" t="s">
        <v>202</v>
      </c>
      <c r="J109" s="1" t="s">
        <v>541</v>
      </c>
      <c r="L109" s="2">
        <v>46021</v>
      </c>
      <c r="M109" s="2" t="s">
        <v>1294</v>
      </c>
    </row>
    <row r="110" spans="1:13">
      <c r="A110">
        <v>80815648</v>
      </c>
      <c r="B110" t="s">
        <v>257</v>
      </c>
      <c r="C110" s="1" t="s">
        <v>152</v>
      </c>
      <c r="D110" t="s">
        <v>428</v>
      </c>
      <c r="E110" t="s">
        <v>168</v>
      </c>
      <c r="F110" s="2">
        <v>46034</v>
      </c>
      <c r="G110">
        <v>583</v>
      </c>
      <c r="H110" s="2">
        <v>46021</v>
      </c>
      <c r="I110" s="2" t="s">
        <v>202</v>
      </c>
      <c r="J110" s="1" t="s">
        <v>542</v>
      </c>
      <c r="L110" s="2">
        <v>46021</v>
      </c>
      <c r="M110" s="2" t="s">
        <v>1294</v>
      </c>
    </row>
    <row r="111" spans="1:13">
      <c r="A111">
        <v>80815648</v>
      </c>
      <c r="B111" t="s">
        <v>257</v>
      </c>
      <c r="C111" s="1" t="s">
        <v>153</v>
      </c>
      <c r="D111" t="s">
        <v>428</v>
      </c>
      <c r="E111" t="s">
        <v>168</v>
      </c>
      <c r="F111" s="2">
        <v>46034</v>
      </c>
      <c r="G111">
        <v>142</v>
      </c>
      <c r="H111" s="2">
        <v>46021</v>
      </c>
      <c r="I111" s="2" t="s">
        <v>202</v>
      </c>
      <c r="J111" s="1" t="s">
        <v>543</v>
      </c>
      <c r="L111" s="2">
        <v>46021</v>
      </c>
      <c r="M111" s="2" t="s">
        <v>1294</v>
      </c>
    </row>
    <row r="112" spans="1:13">
      <c r="A112">
        <v>80815648</v>
      </c>
      <c r="B112" t="s">
        <v>257</v>
      </c>
      <c r="C112" s="1" t="s">
        <v>154</v>
      </c>
      <c r="D112" t="s">
        <v>428</v>
      </c>
      <c r="E112" t="s">
        <v>168</v>
      </c>
      <c r="F112" s="2">
        <v>46034</v>
      </c>
      <c r="G112">
        <v>217</v>
      </c>
      <c r="H112" s="2">
        <v>46021</v>
      </c>
      <c r="I112" s="2" t="s">
        <v>202</v>
      </c>
      <c r="J112" s="1" t="s">
        <v>544</v>
      </c>
      <c r="L112" s="2">
        <v>46021</v>
      </c>
      <c r="M112" s="2" t="s">
        <v>1294</v>
      </c>
    </row>
    <row r="113" spans="1:13">
      <c r="A113">
        <v>80815648</v>
      </c>
      <c r="B113" t="s">
        <v>257</v>
      </c>
      <c r="C113" s="1" t="s">
        <v>155</v>
      </c>
      <c r="D113" t="s">
        <v>428</v>
      </c>
      <c r="E113" t="s">
        <v>168</v>
      </c>
      <c r="F113" s="2">
        <v>46034</v>
      </c>
      <c r="G113">
        <v>861</v>
      </c>
      <c r="H113" s="2">
        <v>46021</v>
      </c>
      <c r="I113" s="2" t="s">
        <v>202</v>
      </c>
      <c r="J113" s="1" t="s">
        <v>545</v>
      </c>
      <c r="L113" s="2">
        <v>46021</v>
      </c>
      <c r="M113" s="2" t="s">
        <v>1294</v>
      </c>
    </row>
    <row r="114" spans="1:13">
      <c r="A114">
        <v>80815649</v>
      </c>
      <c r="B114" t="s">
        <v>546</v>
      </c>
      <c r="C114" s="1" t="s">
        <v>143</v>
      </c>
      <c r="D114" t="s">
        <v>428</v>
      </c>
      <c r="E114" t="s">
        <v>168</v>
      </c>
      <c r="F114" s="2">
        <v>46034</v>
      </c>
      <c r="G114">
        <v>86</v>
      </c>
      <c r="H114" s="2">
        <v>46021</v>
      </c>
      <c r="I114" s="2" t="s">
        <v>202</v>
      </c>
      <c r="J114" s="1" t="s">
        <v>547</v>
      </c>
      <c r="L114" s="2">
        <v>46021</v>
      </c>
      <c r="M114" s="2" t="s">
        <v>1294</v>
      </c>
    </row>
    <row r="115" spans="1:13">
      <c r="A115">
        <v>80815649</v>
      </c>
      <c r="B115" t="s">
        <v>546</v>
      </c>
      <c r="C115" s="1" t="s">
        <v>150</v>
      </c>
      <c r="D115" t="s">
        <v>428</v>
      </c>
      <c r="E115" t="s">
        <v>168</v>
      </c>
      <c r="F115" s="2">
        <v>46034</v>
      </c>
      <c r="G115">
        <v>433</v>
      </c>
      <c r="H115" s="2">
        <v>46021</v>
      </c>
      <c r="I115" s="2" t="s">
        <v>202</v>
      </c>
      <c r="J115" s="1" t="s">
        <v>548</v>
      </c>
      <c r="L115" s="2">
        <v>46021</v>
      </c>
      <c r="M115" s="2" t="s">
        <v>1294</v>
      </c>
    </row>
    <row r="116" spans="1:13">
      <c r="A116">
        <v>80815649</v>
      </c>
      <c r="B116" t="s">
        <v>546</v>
      </c>
      <c r="C116" s="1" t="s">
        <v>151</v>
      </c>
      <c r="D116" t="s">
        <v>428</v>
      </c>
      <c r="E116" t="s">
        <v>168</v>
      </c>
      <c r="F116" s="2">
        <v>46034</v>
      </c>
      <c r="G116">
        <v>682</v>
      </c>
      <c r="H116" s="2">
        <v>46021</v>
      </c>
      <c r="I116" s="2" t="s">
        <v>202</v>
      </c>
      <c r="J116" s="1" t="s">
        <v>549</v>
      </c>
      <c r="L116" s="2">
        <v>46021</v>
      </c>
      <c r="M116" s="2" t="s">
        <v>1294</v>
      </c>
    </row>
    <row r="117" spans="1:13">
      <c r="A117">
        <v>80815649</v>
      </c>
      <c r="B117" t="s">
        <v>546</v>
      </c>
      <c r="C117" s="1" t="s">
        <v>152</v>
      </c>
      <c r="D117" t="s">
        <v>428</v>
      </c>
      <c r="E117" t="s">
        <v>168</v>
      </c>
      <c r="F117" s="2">
        <v>46034</v>
      </c>
      <c r="G117">
        <v>149</v>
      </c>
      <c r="H117" s="2">
        <v>46021</v>
      </c>
      <c r="I117" s="2" t="s">
        <v>202</v>
      </c>
      <c r="J117" s="1" t="s">
        <v>550</v>
      </c>
      <c r="L117" s="2">
        <v>46021</v>
      </c>
      <c r="M117" s="2" t="s">
        <v>1294</v>
      </c>
    </row>
    <row r="118" spans="1:13">
      <c r="A118">
        <v>80815649</v>
      </c>
      <c r="B118" t="s">
        <v>546</v>
      </c>
      <c r="C118" s="1" t="s">
        <v>153</v>
      </c>
      <c r="D118" t="s">
        <v>428</v>
      </c>
      <c r="E118" t="s">
        <v>168</v>
      </c>
      <c r="F118" s="2">
        <v>46034</v>
      </c>
      <c r="G118">
        <v>49</v>
      </c>
      <c r="H118" s="2">
        <v>46021</v>
      </c>
      <c r="I118" s="2" t="s">
        <v>202</v>
      </c>
      <c r="J118" s="1" t="s">
        <v>551</v>
      </c>
      <c r="L118" s="2">
        <v>46021</v>
      </c>
      <c r="M118" s="2" t="s">
        <v>1294</v>
      </c>
    </row>
    <row r="119" spans="1:13">
      <c r="A119">
        <v>80815649</v>
      </c>
      <c r="B119" t="s">
        <v>546</v>
      </c>
      <c r="C119" s="1" t="s">
        <v>154</v>
      </c>
      <c r="D119" t="s">
        <v>428</v>
      </c>
      <c r="E119" t="s">
        <v>168</v>
      </c>
      <c r="F119" s="2">
        <v>46034</v>
      </c>
      <c r="G119">
        <v>75</v>
      </c>
      <c r="H119" s="2">
        <v>46021</v>
      </c>
      <c r="I119" s="2" t="s">
        <v>202</v>
      </c>
      <c r="J119" s="1" t="s">
        <v>552</v>
      </c>
      <c r="L119" s="2">
        <v>46021</v>
      </c>
      <c r="M119" s="2" t="s">
        <v>1294</v>
      </c>
    </row>
    <row r="120" spans="1:13">
      <c r="A120">
        <v>80815649</v>
      </c>
      <c r="B120" t="s">
        <v>546</v>
      </c>
      <c r="C120" s="1" t="s">
        <v>155</v>
      </c>
      <c r="D120" t="s">
        <v>428</v>
      </c>
      <c r="E120" t="s">
        <v>168</v>
      </c>
      <c r="F120" s="2">
        <v>46034</v>
      </c>
      <c r="G120">
        <v>206</v>
      </c>
      <c r="H120" s="2">
        <v>46021</v>
      </c>
      <c r="I120" s="2" t="s">
        <v>202</v>
      </c>
      <c r="J120" s="1" t="s">
        <v>553</v>
      </c>
      <c r="L120" s="2">
        <v>46021</v>
      </c>
      <c r="M120" s="2" t="s">
        <v>1294</v>
      </c>
    </row>
    <row r="121" spans="1:13">
      <c r="A121">
        <v>80823918</v>
      </c>
      <c r="B121" t="s">
        <v>554</v>
      </c>
      <c r="C121" s="1" t="s">
        <v>143</v>
      </c>
      <c r="D121" t="s">
        <v>428</v>
      </c>
      <c r="E121" t="s">
        <v>168</v>
      </c>
      <c r="F121" s="2">
        <v>46034</v>
      </c>
      <c r="G121">
        <v>4</v>
      </c>
      <c r="H121" s="2">
        <v>46021</v>
      </c>
      <c r="I121" s="2" t="s">
        <v>202</v>
      </c>
      <c r="J121" s="1" t="s">
        <v>555</v>
      </c>
      <c r="L121" s="2">
        <v>46021</v>
      </c>
      <c r="M121" s="2" t="s">
        <v>1294</v>
      </c>
    </row>
    <row r="122" spans="1:13">
      <c r="A122">
        <v>80823918</v>
      </c>
      <c r="B122" t="s">
        <v>554</v>
      </c>
      <c r="C122" s="1" t="s">
        <v>150</v>
      </c>
      <c r="D122" t="s">
        <v>428</v>
      </c>
      <c r="E122" t="s">
        <v>168</v>
      </c>
      <c r="F122" s="2">
        <v>46034</v>
      </c>
      <c r="G122">
        <v>12</v>
      </c>
      <c r="H122" s="2">
        <v>46021</v>
      </c>
      <c r="I122" s="2" t="s">
        <v>202</v>
      </c>
      <c r="J122" s="1" t="s">
        <v>556</v>
      </c>
      <c r="L122" s="2">
        <v>46021</v>
      </c>
      <c r="M122" s="2" t="s">
        <v>1294</v>
      </c>
    </row>
    <row r="123" spans="1:13">
      <c r="A123">
        <v>80823918</v>
      </c>
      <c r="B123" t="s">
        <v>554</v>
      </c>
      <c r="C123" s="1" t="s">
        <v>151</v>
      </c>
      <c r="D123" t="s">
        <v>428</v>
      </c>
      <c r="E123" t="s">
        <v>168</v>
      </c>
      <c r="F123" s="2">
        <v>46034</v>
      </c>
      <c r="G123">
        <v>3</v>
      </c>
      <c r="H123" s="2">
        <v>46021</v>
      </c>
      <c r="I123" s="2" t="s">
        <v>202</v>
      </c>
      <c r="J123" s="1" t="s">
        <v>557</v>
      </c>
      <c r="L123" s="2">
        <v>46021</v>
      </c>
      <c r="M123" s="2" t="s">
        <v>1294</v>
      </c>
    </row>
    <row r="124" spans="1:13">
      <c r="A124">
        <v>80823918</v>
      </c>
      <c r="B124" t="s">
        <v>554</v>
      </c>
      <c r="C124" s="1" t="s">
        <v>152</v>
      </c>
      <c r="D124" t="s">
        <v>428</v>
      </c>
      <c r="E124" t="s">
        <v>168</v>
      </c>
      <c r="F124" s="2">
        <v>46034</v>
      </c>
      <c r="G124">
        <v>4</v>
      </c>
      <c r="H124" s="2">
        <v>46021</v>
      </c>
      <c r="I124" s="2" t="s">
        <v>202</v>
      </c>
      <c r="J124" s="1" t="s">
        <v>558</v>
      </c>
      <c r="L124" s="2">
        <v>46021</v>
      </c>
      <c r="M124" s="2" t="s">
        <v>1294</v>
      </c>
    </row>
    <row r="125" spans="1:13">
      <c r="A125">
        <v>80823918</v>
      </c>
      <c r="B125" t="s">
        <v>554</v>
      </c>
      <c r="C125" s="1" t="s">
        <v>153</v>
      </c>
      <c r="D125" t="s">
        <v>428</v>
      </c>
      <c r="E125" t="s">
        <v>168</v>
      </c>
      <c r="F125" s="2">
        <v>46034</v>
      </c>
      <c r="G125">
        <v>5</v>
      </c>
      <c r="H125" s="2">
        <v>46021</v>
      </c>
      <c r="I125" s="2" t="s">
        <v>202</v>
      </c>
      <c r="J125" s="1" t="s">
        <v>559</v>
      </c>
      <c r="L125" s="2">
        <v>46021</v>
      </c>
      <c r="M125" s="2" t="s">
        <v>1294</v>
      </c>
    </row>
    <row r="126" spans="1:13">
      <c r="A126">
        <v>80823918</v>
      </c>
      <c r="B126" t="s">
        <v>554</v>
      </c>
      <c r="C126" s="1" t="s">
        <v>154</v>
      </c>
      <c r="D126" t="s">
        <v>428</v>
      </c>
      <c r="E126" t="s">
        <v>168</v>
      </c>
      <c r="F126" s="2">
        <v>46034</v>
      </c>
      <c r="G126">
        <v>5</v>
      </c>
      <c r="H126" s="2">
        <v>46021</v>
      </c>
      <c r="I126" s="2" t="s">
        <v>202</v>
      </c>
      <c r="J126" s="1" t="s">
        <v>560</v>
      </c>
      <c r="L126" s="2">
        <v>46021</v>
      </c>
      <c r="M126" s="2" t="s">
        <v>1294</v>
      </c>
    </row>
    <row r="127" spans="1:13">
      <c r="A127">
        <v>80823918</v>
      </c>
      <c r="B127" t="s">
        <v>554</v>
      </c>
      <c r="C127" s="1" t="s">
        <v>155</v>
      </c>
      <c r="D127" t="s">
        <v>428</v>
      </c>
      <c r="E127" t="s">
        <v>168</v>
      </c>
      <c r="F127" s="2">
        <v>46034</v>
      </c>
      <c r="G127">
        <v>3</v>
      </c>
      <c r="H127" s="2">
        <v>46021</v>
      </c>
      <c r="I127" s="2" t="s">
        <v>202</v>
      </c>
      <c r="J127" s="1" t="s">
        <v>561</v>
      </c>
      <c r="L127" s="2">
        <v>46021</v>
      </c>
      <c r="M127" s="2" t="s">
        <v>1294</v>
      </c>
    </row>
    <row r="128" spans="1:13">
      <c r="A128">
        <v>80841215</v>
      </c>
      <c r="B128" t="s">
        <v>562</v>
      </c>
      <c r="C128" s="1" t="s">
        <v>143</v>
      </c>
      <c r="D128" t="s">
        <v>428</v>
      </c>
      <c r="E128" t="s">
        <v>168</v>
      </c>
      <c r="F128" s="2">
        <v>46034</v>
      </c>
      <c r="G128">
        <v>51</v>
      </c>
      <c r="H128" s="2">
        <v>46021</v>
      </c>
      <c r="I128" s="2" t="s">
        <v>202</v>
      </c>
      <c r="J128" s="1" t="s">
        <v>563</v>
      </c>
      <c r="L128" s="2">
        <v>46021</v>
      </c>
      <c r="M128" s="2" t="s">
        <v>1294</v>
      </c>
    </row>
    <row r="129" spans="1:13">
      <c r="A129">
        <v>80841215</v>
      </c>
      <c r="B129" t="s">
        <v>562</v>
      </c>
      <c r="C129" s="1" t="s">
        <v>150</v>
      </c>
      <c r="D129" t="s">
        <v>428</v>
      </c>
      <c r="E129" t="s">
        <v>168</v>
      </c>
      <c r="F129" s="2">
        <v>46034</v>
      </c>
      <c r="G129">
        <v>108</v>
      </c>
      <c r="H129" s="2">
        <v>46021</v>
      </c>
      <c r="I129" s="2" t="s">
        <v>202</v>
      </c>
      <c r="J129" s="1" t="s">
        <v>564</v>
      </c>
      <c r="L129" s="2">
        <v>46021</v>
      </c>
      <c r="M129" s="2" t="s">
        <v>1294</v>
      </c>
    </row>
    <row r="130" spans="1:13">
      <c r="A130">
        <v>80841215</v>
      </c>
      <c r="B130" t="s">
        <v>562</v>
      </c>
      <c r="C130" s="1" t="s">
        <v>151</v>
      </c>
      <c r="D130" t="s">
        <v>428</v>
      </c>
      <c r="E130" t="s">
        <v>168</v>
      </c>
      <c r="F130" s="2">
        <v>46034</v>
      </c>
      <c r="G130">
        <v>315</v>
      </c>
      <c r="H130" s="2">
        <v>46021</v>
      </c>
      <c r="I130" s="2" t="s">
        <v>202</v>
      </c>
      <c r="J130" s="1" t="s">
        <v>565</v>
      </c>
      <c r="L130" s="2">
        <v>46021</v>
      </c>
      <c r="M130" s="2" t="s">
        <v>1294</v>
      </c>
    </row>
    <row r="131" spans="1:13">
      <c r="A131">
        <v>80841215</v>
      </c>
      <c r="B131" t="s">
        <v>562</v>
      </c>
      <c r="C131" s="1" t="s">
        <v>152</v>
      </c>
      <c r="D131" t="s">
        <v>428</v>
      </c>
      <c r="E131" t="s">
        <v>168</v>
      </c>
      <c r="F131" s="2">
        <v>46034</v>
      </c>
      <c r="G131">
        <v>54</v>
      </c>
      <c r="H131" s="2">
        <v>46021</v>
      </c>
      <c r="I131" s="2" t="s">
        <v>202</v>
      </c>
      <c r="J131" s="1" t="s">
        <v>566</v>
      </c>
      <c r="L131" s="2">
        <v>46021</v>
      </c>
      <c r="M131" s="2" t="s">
        <v>1294</v>
      </c>
    </row>
    <row r="132" spans="1:13">
      <c r="A132">
        <v>80841215</v>
      </c>
      <c r="B132" t="s">
        <v>562</v>
      </c>
      <c r="C132" s="1" t="s">
        <v>153</v>
      </c>
      <c r="D132" t="s">
        <v>428</v>
      </c>
      <c r="E132" t="s">
        <v>168</v>
      </c>
      <c r="F132" s="2">
        <v>46034</v>
      </c>
      <c r="G132">
        <v>10</v>
      </c>
      <c r="H132" s="2">
        <v>46021</v>
      </c>
      <c r="I132" s="2" t="s">
        <v>202</v>
      </c>
      <c r="J132" s="1" t="s">
        <v>567</v>
      </c>
      <c r="L132" s="2">
        <v>46021</v>
      </c>
      <c r="M132" s="2" t="s">
        <v>1294</v>
      </c>
    </row>
    <row r="133" spans="1:13">
      <c r="A133">
        <v>80841215</v>
      </c>
      <c r="B133" t="s">
        <v>562</v>
      </c>
      <c r="C133" s="1" t="s">
        <v>154</v>
      </c>
      <c r="D133" t="s">
        <v>428</v>
      </c>
      <c r="E133" t="s">
        <v>168</v>
      </c>
      <c r="F133" s="2">
        <v>46034</v>
      </c>
      <c r="G133">
        <v>17</v>
      </c>
      <c r="H133" s="2">
        <v>46021</v>
      </c>
      <c r="I133" s="2" t="s">
        <v>202</v>
      </c>
      <c r="J133" s="1" t="s">
        <v>568</v>
      </c>
      <c r="L133" s="2">
        <v>46021</v>
      </c>
      <c r="M133" s="2" t="s">
        <v>1294</v>
      </c>
    </row>
    <row r="134" spans="1:13">
      <c r="A134">
        <v>80841215</v>
      </c>
      <c r="B134" t="s">
        <v>562</v>
      </c>
      <c r="C134" s="1" t="s">
        <v>155</v>
      </c>
      <c r="D134" t="s">
        <v>428</v>
      </c>
      <c r="E134" t="s">
        <v>168</v>
      </c>
      <c r="F134" s="2">
        <v>46034</v>
      </c>
      <c r="G134">
        <v>186</v>
      </c>
      <c r="H134" s="2">
        <v>46021</v>
      </c>
      <c r="I134" s="2" t="s">
        <v>202</v>
      </c>
      <c r="J134" s="1" t="s">
        <v>569</v>
      </c>
      <c r="L134" s="2">
        <v>46021</v>
      </c>
      <c r="M134" s="2" t="s">
        <v>1294</v>
      </c>
    </row>
    <row r="135" spans="1:13">
      <c r="A135">
        <v>80841216</v>
      </c>
      <c r="B135" t="s">
        <v>570</v>
      </c>
      <c r="C135" s="1" t="s">
        <v>143</v>
      </c>
      <c r="D135" t="s">
        <v>428</v>
      </c>
      <c r="E135" t="s">
        <v>168</v>
      </c>
      <c r="F135" s="2">
        <v>46034</v>
      </c>
      <c r="G135">
        <v>49</v>
      </c>
      <c r="H135" s="2">
        <v>46021</v>
      </c>
      <c r="I135" s="2" t="s">
        <v>202</v>
      </c>
      <c r="J135" s="1" t="s">
        <v>571</v>
      </c>
      <c r="L135" s="2">
        <v>46021</v>
      </c>
      <c r="M135" s="2" t="s">
        <v>1294</v>
      </c>
    </row>
    <row r="136" spans="1:13">
      <c r="A136">
        <v>80841216</v>
      </c>
      <c r="B136" t="s">
        <v>570</v>
      </c>
      <c r="C136" s="1" t="s">
        <v>150</v>
      </c>
      <c r="D136" t="s">
        <v>428</v>
      </c>
      <c r="E136" t="s">
        <v>168</v>
      </c>
      <c r="F136" s="2">
        <v>46034</v>
      </c>
      <c r="G136">
        <v>92</v>
      </c>
      <c r="H136" s="2">
        <v>46021</v>
      </c>
      <c r="I136" s="2" t="s">
        <v>202</v>
      </c>
      <c r="J136" s="1" t="s">
        <v>572</v>
      </c>
      <c r="L136" s="2">
        <v>46021</v>
      </c>
      <c r="M136" s="2" t="s">
        <v>1294</v>
      </c>
    </row>
    <row r="137" spans="1:13">
      <c r="A137">
        <v>80841216</v>
      </c>
      <c r="B137" t="s">
        <v>570</v>
      </c>
      <c r="C137" s="1" t="s">
        <v>151</v>
      </c>
      <c r="D137" t="s">
        <v>428</v>
      </c>
      <c r="E137" t="s">
        <v>168</v>
      </c>
      <c r="F137" s="2">
        <v>46034</v>
      </c>
      <c r="G137">
        <v>403</v>
      </c>
      <c r="H137" s="2">
        <v>46021</v>
      </c>
      <c r="I137" s="2" t="s">
        <v>202</v>
      </c>
      <c r="J137" s="1" t="s">
        <v>573</v>
      </c>
      <c r="L137" s="2">
        <v>46021</v>
      </c>
      <c r="M137" s="2" t="s">
        <v>1294</v>
      </c>
    </row>
    <row r="138" spans="1:13">
      <c r="A138">
        <v>80841216</v>
      </c>
      <c r="B138" t="s">
        <v>570</v>
      </c>
      <c r="C138" s="1" t="s">
        <v>152</v>
      </c>
      <c r="D138" t="s">
        <v>428</v>
      </c>
      <c r="E138" t="s">
        <v>168</v>
      </c>
      <c r="F138" s="2">
        <v>46034</v>
      </c>
      <c r="G138">
        <v>127</v>
      </c>
      <c r="H138" s="2">
        <v>46021</v>
      </c>
      <c r="I138" s="2" t="s">
        <v>202</v>
      </c>
      <c r="J138" s="1" t="s">
        <v>574</v>
      </c>
      <c r="L138" s="2">
        <v>46021</v>
      </c>
      <c r="M138" s="2" t="s">
        <v>1294</v>
      </c>
    </row>
    <row r="139" spans="1:13">
      <c r="A139">
        <v>80841216</v>
      </c>
      <c r="B139" t="s">
        <v>570</v>
      </c>
      <c r="C139" s="1" t="s">
        <v>153</v>
      </c>
      <c r="D139" t="s">
        <v>428</v>
      </c>
      <c r="E139" t="s">
        <v>168</v>
      </c>
      <c r="F139" s="2">
        <v>46034</v>
      </c>
      <c r="G139">
        <v>9</v>
      </c>
      <c r="H139" s="2">
        <v>46021</v>
      </c>
      <c r="I139" s="2" t="s">
        <v>202</v>
      </c>
      <c r="J139" s="1" t="s">
        <v>575</v>
      </c>
      <c r="L139" s="2">
        <v>46021</v>
      </c>
      <c r="M139" s="2" t="s">
        <v>1294</v>
      </c>
    </row>
    <row r="140" spans="1:13">
      <c r="A140">
        <v>80841216</v>
      </c>
      <c r="B140" t="s">
        <v>570</v>
      </c>
      <c r="C140" s="1" t="s">
        <v>154</v>
      </c>
      <c r="D140" t="s">
        <v>428</v>
      </c>
      <c r="E140" t="s">
        <v>168</v>
      </c>
      <c r="F140" s="2">
        <v>46034</v>
      </c>
      <c r="G140">
        <v>22</v>
      </c>
      <c r="H140" s="2">
        <v>46021</v>
      </c>
      <c r="I140" s="2" t="s">
        <v>202</v>
      </c>
      <c r="J140" s="1" t="s">
        <v>576</v>
      </c>
      <c r="L140" s="2">
        <v>46021</v>
      </c>
      <c r="M140" s="2" t="s">
        <v>1294</v>
      </c>
    </row>
    <row r="141" spans="1:13">
      <c r="A141">
        <v>80841216</v>
      </c>
      <c r="B141" t="s">
        <v>570</v>
      </c>
      <c r="C141" s="1" t="s">
        <v>155</v>
      </c>
      <c r="D141" t="s">
        <v>428</v>
      </c>
      <c r="E141" t="s">
        <v>168</v>
      </c>
      <c r="F141" s="2">
        <v>46034</v>
      </c>
      <c r="G141">
        <v>209</v>
      </c>
      <c r="H141" s="2">
        <v>46021</v>
      </c>
      <c r="I141" s="2" t="s">
        <v>202</v>
      </c>
      <c r="J141" s="1" t="s">
        <v>577</v>
      </c>
      <c r="L141" s="2">
        <v>46021</v>
      </c>
      <c r="M141" s="2" t="s">
        <v>1294</v>
      </c>
    </row>
    <row r="142" spans="1:13">
      <c r="A142">
        <v>80841217</v>
      </c>
      <c r="B142" t="s">
        <v>578</v>
      </c>
      <c r="C142" s="1" t="s">
        <v>143</v>
      </c>
      <c r="D142" t="s">
        <v>428</v>
      </c>
      <c r="E142" t="s">
        <v>168</v>
      </c>
      <c r="F142" s="2">
        <v>46034</v>
      </c>
      <c r="G142">
        <v>53</v>
      </c>
      <c r="H142" s="2">
        <v>46021</v>
      </c>
      <c r="I142" s="2" t="s">
        <v>202</v>
      </c>
      <c r="J142" s="1" t="s">
        <v>579</v>
      </c>
      <c r="L142" s="2">
        <v>46021</v>
      </c>
      <c r="M142" s="2" t="s">
        <v>1294</v>
      </c>
    </row>
    <row r="143" spans="1:13">
      <c r="A143">
        <v>80841217</v>
      </c>
      <c r="B143" t="s">
        <v>578</v>
      </c>
      <c r="C143" s="1" t="s">
        <v>150</v>
      </c>
      <c r="D143" t="s">
        <v>428</v>
      </c>
      <c r="E143" t="s">
        <v>168</v>
      </c>
      <c r="F143" s="2">
        <v>46034</v>
      </c>
      <c r="G143">
        <v>122</v>
      </c>
      <c r="H143" s="2">
        <v>46021</v>
      </c>
      <c r="I143" s="2" t="s">
        <v>202</v>
      </c>
      <c r="J143" s="1" t="s">
        <v>580</v>
      </c>
      <c r="L143" s="2">
        <v>46021</v>
      </c>
      <c r="M143" s="2" t="s">
        <v>1294</v>
      </c>
    </row>
    <row r="144" spans="1:13">
      <c r="A144">
        <v>80841217</v>
      </c>
      <c r="B144" t="s">
        <v>578</v>
      </c>
      <c r="C144" s="1" t="s">
        <v>151</v>
      </c>
      <c r="D144" t="s">
        <v>428</v>
      </c>
      <c r="E144" t="s">
        <v>168</v>
      </c>
      <c r="F144" s="2">
        <v>46034</v>
      </c>
      <c r="G144">
        <v>286</v>
      </c>
      <c r="H144" s="2">
        <v>46021</v>
      </c>
      <c r="I144" s="2" t="s">
        <v>202</v>
      </c>
      <c r="J144" s="1" t="s">
        <v>581</v>
      </c>
      <c r="L144" s="2">
        <v>46021</v>
      </c>
      <c r="M144" s="2" t="s">
        <v>1294</v>
      </c>
    </row>
    <row r="145" spans="1:13">
      <c r="A145">
        <v>80841217</v>
      </c>
      <c r="B145" t="s">
        <v>578</v>
      </c>
      <c r="C145" s="1" t="s">
        <v>152</v>
      </c>
      <c r="D145" t="s">
        <v>428</v>
      </c>
      <c r="E145" t="s">
        <v>168</v>
      </c>
      <c r="F145" s="2">
        <v>46034</v>
      </c>
      <c r="G145">
        <v>64</v>
      </c>
      <c r="H145" s="2">
        <v>46021</v>
      </c>
      <c r="I145" s="2" t="s">
        <v>202</v>
      </c>
      <c r="J145" s="1" t="s">
        <v>582</v>
      </c>
      <c r="L145" s="2">
        <v>46021</v>
      </c>
      <c r="M145" s="2" t="s">
        <v>1294</v>
      </c>
    </row>
    <row r="146" spans="1:13">
      <c r="A146">
        <v>80841217</v>
      </c>
      <c r="B146" t="s">
        <v>578</v>
      </c>
      <c r="C146" s="1" t="s">
        <v>153</v>
      </c>
      <c r="D146" t="s">
        <v>428</v>
      </c>
      <c r="E146" t="s">
        <v>168</v>
      </c>
      <c r="F146" s="2">
        <v>46034</v>
      </c>
      <c r="G146">
        <v>17</v>
      </c>
      <c r="H146" s="2">
        <v>46021</v>
      </c>
      <c r="I146" s="2" t="s">
        <v>202</v>
      </c>
      <c r="J146" s="1" t="s">
        <v>583</v>
      </c>
      <c r="L146" s="2">
        <v>46021</v>
      </c>
      <c r="M146" s="2" t="s">
        <v>1294</v>
      </c>
    </row>
    <row r="147" spans="1:13">
      <c r="A147">
        <v>80841217</v>
      </c>
      <c r="B147" t="s">
        <v>578</v>
      </c>
      <c r="C147" s="1" t="s">
        <v>154</v>
      </c>
      <c r="D147" t="s">
        <v>428</v>
      </c>
      <c r="E147" t="s">
        <v>168</v>
      </c>
      <c r="F147" s="2">
        <v>46034</v>
      </c>
      <c r="G147">
        <v>13</v>
      </c>
      <c r="H147" s="2">
        <v>46021</v>
      </c>
      <c r="I147" s="2" t="s">
        <v>202</v>
      </c>
      <c r="J147" s="1" t="s">
        <v>584</v>
      </c>
      <c r="L147" s="2">
        <v>46021</v>
      </c>
      <c r="M147" s="2" t="s">
        <v>1294</v>
      </c>
    </row>
    <row r="148" spans="1:13">
      <c r="A148">
        <v>80841217</v>
      </c>
      <c r="B148" t="s">
        <v>578</v>
      </c>
      <c r="C148" s="1" t="s">
        <v>155</v>
      </c>
      <c r="D148" t="s">
        <v>428</v>
      </c>
      <c r="E148" t="s">
        <v>168</v>
      </c>
      <c r="F148" s="2">
        <v>46034</v>
      </c>
      <c r="G148">
        <v>212</v>
      </c>
      <c r="H148" s="2">
        <v>46021</v>
      </c>
      <c r="I148" s="2" t="s">
        <v>202</v>
      </c>
      <c r="J148" s="1" t="s">
        <v>585</v>
      </c>
      <c r="L148" s="2">
        <v>46021</v>
      </c>
      <c r="M148" s="2" t="s">
        <v>1294</v>
      </c>
    </row>
    <row r="149" spans="1:13">
      <c r="A149">
        <v>80841218</v>
      </c>
      <c r="B149" t="s">
        <v>586</v>
      </c>
      <c r="C149" s="1" t="s">
        <v>143</v>
      </c>
      <c r="D149" t="s">
        <v>428</v>
      </c>
      <c r="E149" t="s">
        <v>168</v>
      </c>
      <c r="F149" s="2">
        <v>46034</v>
      </c>
      <c r="G149">
        <v>31</v>
      </c>
      <c r="H149" s="2">
        <v>46021</v>
      </c>
      <c r="I149" s="2" t="s">
        <v>202</v>
      </c>
      <c r="J149" s="1" t="s">
        <v>587</v>
      </c>
      <c r="L149" s="2">
        <v>46021</v>
      </c>
      <c r="M149" s="2" t="s">
        <v>1294</v>
      </c>
    </row>
    <row r="150" spans="1:13">
      <c r="A150">
        <v>80841218</v>
      </c>
      <c r="B150" t="s">
        <v>586</v>
      </c>
      <c r="C150" s="1" t="s">
        <v>150</v>
      </c>
      <c r="D150" t="s">
        <v>428</v>
      </c>
      <c r="E150" t="s">
        <v>168</v>
      </c>
      <c r="F150" s="2">
        <v>46034</v>
      </c>
      <c r="G150">
        <v>76</v>
      </c>
      <c r="H150" s="2">
        <v>46021</v>
      </c>
      <c r="I150" s="2" t="s">
        <v>202</v>
      </c>
      <c r="J150" s="1" t="s">
        <v>588</v>
      </c>
      <c r="L150" s="2">
        <v>46021</v>
      </c>
      <c r="M150" s="2" t="s">
        <v>1294</v>
      </c>
    </row>
    <row r="151" spans="1:13">
      <c r="A151">
        <v>80841218</v>
      </c>
      <c r="B151" t="s">
        <v>586</v>
      </c>
      <c r="C151" s="1" t="s">
        <v>151</v>
      </c>
      <c r="D151" t="s">
        <v>428</v>
      </c>
      <c r="E151" t="s">
        <v>168</v>
      </c>
      <c r="F151" s="2">
        <v>46034</v>
      </c>
      <c r="G151">
        <v>123</v>
      </c>
      <c r="H151" s="2">
        <v>46021</v>
      </c>
      <c r="I151" s="2" t="s">
        <v>202</v>
      </c>
      <c r="J151" s="1" t="s">
        <v>589</v>
      </c>
      <c r="L151" s="2">
        <v>46021</v>
      </c>
      <c r="M151" s="2" t="s">
        <v>1294</v>
      </c>
    </row>
    <row r="152" spans="1:13">
      <c r="A152">
        <v>80841218</v>
      </c>
      <c r="B152" t="s">
        <v>586</v>
      </c>
      <c r="C152" s="1" t="s">
        <v>152</v>
      </c>
      <c r="D152" t="s">
        <v>428</v>
      </c>
      <c r="E152" t="s">
        <v>168</v>
      </c>
      <c r="F152" s="2">
        <v>46034</v>
      </c>
      <c r="G152">
        <v>19</v>
      </c>
      <c r="H152" s="2">
        <v>46021</v>
      </c>
      <c r="I152" s="2" t="s">
        <v>202</v>
      </c>
      <c r="J152" s="1" t="s">
        <v>590</v>
      </c>
      <c r="L152" s="2">
        <v>46021</v>
      </c>
      <c r="M152" s="2" t="s">
        <v>1294</v>
      </c>
    </row>
    <row r="153" spans="1:13">
      <c r="A153">
        <v>80841218</v>
      </c>
      <c r="B153" t="s">
        <v>586</v>
      </c>
      <c r="C153" s="1" t="s">
        <v>153</v>
      </c>
      <c r="D153" t="s">
        <v>428</v>
      </c>
      <c r="E153" t="s">
        <v>168</v>
      </c>
      <c r="F153" s="2">
        <v>46034</v>
      </c>
      <c r="G153">
        <v>15</v>
      </c>
      <c r="H153" s="2">
        <v>46021</v>
      </c>
      <c r="I153" s="2" t="s">
        <v>202</v>
      </c>
      <c r="J153" s="1" t="s">
        <v>591</v>
      </c>
      <c r="L153" s="2">
        <v>46021</v>
      </c>
      <c r="M153" s="2" t="s">
        <v>1294</v>
      </c>
    </row>
    <row r="154" spans="1:13">
      <c r="A154">
        <v>80841218</v>
      </c>
      <c r="B154" t="s">
        <v>586</v>
      </c>
      <c r="C154" s="1" t="s">
        <v>154</v>
      </c>
      <c r="D154" t="s">
        <v>428</v>
      </c>
      <c r="E154" t="s">
        <v>168</v>
      </c>
      <c r="F154" s="2">
        <v>46034</v>
      </c>
      <c r="G154">
        <v>13</v>
      </c>
      <c r="H154" s="2">
        <v>46021</v>
      </c>
      <c r="I154" s="2" t="s">
        <v>202</v>
      </c>
      <c r="J154" s="1" t="s">
        <v>592</v>
      </c>
      <c r="L154" s="2">
        <v>46021</v>
      </c>
      <c r="M154" s="2" t="s">
        <v>1294</v>
      </c>
    </row>
    <row r="155" spans="1:13">
      <c r="A155">
        <v>80841218</v>
      </c>
      <c r="B155" t="s">
        <v>586</v>
      </c>
      <c r="C155" s="1" t="s">
        <v>155</v>
      </c>
      <c r="D155" t="s">
        <v>428</v>
      </c>
      <c r="E155" t="s">
        <v>168</v>
      </c>
      <c r="F155" s="2">
        <v>46034</v>
      </c>
      <c r="G155">
        <v>50</v>
      </c>
      <c r="H155" s="2">
        <v>46021</v>
      </c>
      <c r="I155" s="2" t="s">
        <v>202</v>
      </c>
      <c r="J155" s="1" t="s">
        <v>593</v>
      </c>
      <c r="L155" s="2">
        <v>46021</v>
      </c>
      <c r="M155" s="2" t="s">
        <v>1294</v>
      </c>
    </row>
    <row r="156" spans="1:13">
      <c r="A156">
        <v>80841219</v>
      </c>
      <c r="B156" t="s">
        <v>594</v>
      </c>
      <c r="C156" s="1" t="s">
        <v>143</v>
      </c>
      <c r="D156" t="s">
        <v>428</v>
      </c>
      <c r="E156" t="s">
        <v>168</v>
      </c>
      <c r="F156" s="2">
        <v>46034</v>
      </c>
      <c r="G156">
        <v>63</v>
      </c>
      <c r="H156" s="2">
        <v>46021</v>
      </c>
      <c r="I156" s="2" t="s">
        <v>202</v>
      </c>
      <c r="J156" s="1" t="s">
        <v>595</v>
      </c>
      <c r="L156" s="2">
        <v>46021</v>
      </c>
      <c r="M156" s="2" t="s">
        <v>1294</v>
      </c>
    </row>
    <row r="157" spans="1:13">
      <c r="A157">
        <v>80841219</v>
      </c>
      <c r="B157" t="s">
        <v>594</v>
      </c>
      <c r="C157" s="1" t="s">
        <v>150</v>
      </c>
      <c r="D157" t="s">
        <v>428</v>
      </c>
      <c r="E157" t="s">
        <v>168</v>
      </c>
      <c r="F157" s="2">
        <v>46034</v>
      </c>
      <c r="G157">
        <v>227</v>
      </c>
      <c r="H157" s="2">
        <v>46021</v>
      </c>
      <c r="I157" s="2" t="s">
        <v>202</v>
      </c>
      <c r="J157" s="1" t="s">
        <v>596</v>
      </c>
      <c r="L157" s="2">
        <v>46021</v>
      </c>
      <c r="M157" s="2" t="s">
        <v>1294</v>
      </c>
    </row>
    <row r="158" spans="1:13">
      <c r="A158">
        <v>80841219</v>
      </c>
      <c r="B158" t="s">
        <v>594</v>
      </c>
      <c r="C158" s="1" t="s">
        <v>151</v>
      </c>
      <c r="D158" t="s">
        <v>428</v>
      </c>
      <c r="E158" t="s">
        <v>168</v>
      </c>
      <c r="F158" s="2">
        <v>46034</v>
      </c>
      <c r="G158">
        <v>747</v>
      </c>
      <c r="H158" s="2">
        <v>46021</v>
      </c>
      <c r="I158" s="2" t="s">
        <v>202</v>
      </c>
      <c r="J158" s="1" t="s">
        <v>597</v>
      </c>
      <c r="L158" s="2">
        <v>46021</v>
      </c>
      <c r="M158" s="2" t="s">
        <v>1294</v>
      </c>
    </row>
    <row r="159" spans="1:13">
      <c r="A159">
        <v>80841219</v>
      </c>
      <c r="B159" t="s">
        <v>594</v>
      </c>
      <c r="C159" s="1" t="s">
        <v>152</v>
      </c>
      <c r="D159" t="s">
        <v>428</v>
      </c>
      <c r="E159" t="s">
        <v>168</v>
      </c>
      <c r="F159" s="2">
        <v>46034</v>
      </c>
      <c r="G159">
        <v>119</v>
      </c>
      <c r="H159" s="2">
        <v>46021</v>
      </c>
      <c r="I159" s="2" t="s">
        <v>202</v>
      </c>
      <c r="J159" s="1" t="s">
        <v>598</v>
      </c>
      <c r="L159" s="2">
        <v>46021</v>
      </c>
      <c r="M159" s="2" t="s">
        <v>1294</v>
      </c>
    </row>
    <row r="160" spans="1:13">
      <c r="A160">
        <v>80841219</v>
      </c>
      <c r="B160" t="s">
        <v>594</v>
      </c>
      <c r="C160" s="1" t="s">
        <v>153</v>
      </c>
      <c r="D160" t="s">
        <v>428</v>
      </c>
      <c r="E160" t="s">
        <v>168</v>
      </c>
      <c r="F160" s="2">
        <v>46034</v>
      </c>
      <c r="G160">
        <v>22</v>
      </c>
      <c r="H160" s="2">
        <v>46021</v>
      </c>
      <c r="I160" s="2" t="s">
        <v>202</v>
      </c>
      <c r="J160" s="1" t="s">
        <v>599</v>
      </c>
      <c r="L160" s="2">
        <v>46021</v>
      </c>
      <c r="M160" s="2" t="s">
        <v>1294</v>
      </c>
    </row>
    <row r="161" spans="1:13">
      <c r="A161">
        <v>80841219</v>
      </c>
      <c r="B161" t="s">
        <v>594</v>
      </c>
      <c r="C161" s="1" t="s">
        <v>154</v>
      </c>
      <c r="D161" t="s">
        <v>428</v>
      </c>
      <c r="E161" t="s">
        <v>168</v>
      </c>
      <c r="F161" s="2">
        <v>46034</v>
      </c>
      <c r="G161">
        <v>32</v>
      </c>
      <c r="H161" s="2">
        <v>46021</v>
      </c>
      <c r="I161" s="2" t="s">
        <v>202</v>
      </c>
      <c r="J161" s="1" t="s">
        <v>600</v>
      </c>
      <c r="L161" s="2">
        <v>46021</v>
      </c>
      <c r="M161" s="2" t="s">
        <v>1294</v>
      </c>
    </row>
    <row r="162" spans="1:13">
      <c r="A162">
        <v>80841219</v>
      </c>
      <c r="B162" t="s">
        <v>594</v>
      </c>
      <c r="C162" s="1" t="s">
        <v>155</v>
      </c>
      <c r="D162" t="s">
        <v>428</v>
      </c>
      <c r="E162" t="s">
        <v>168</v>
      </c>
      <c r="F162" s="2">
        <v>46034</v>
      </c>
      <c r="G162">
        <v>814</v>
      </c>
      <c r="H162" s="2">
        <v>46021</v>
      </c>
      <c r="I162" s="2" t="s">
        <v>202</v>
      </c>
      <c r="J162" s="1" t="s">
        <v>601</v>
      </c>
      <c r="L162" s="2">
        <v>46021</v>
      </c>
      <c r="M162" s="2" t="s">
        <v>1294</v>
      </c>
    </row>
    <row r="163" spans="1:13">
      <c r="A163">
        <v>80841220</v>
      </c>
      <c r="B163" t="s">
        <v>602</v>
      </c>
      <c r="C163" s="1" t="s">
        <v>143</v>
      </c>
      <c r="D163" t="s">
        <v>428</v>
      </c>
      <c r="E163" t="s">
        <v>168</v>
      </c>
      <c r="F163" s="2">
        <v>46034</v>
      </c>
      <c r="G163">
        <v>174</v>
      </c>
      <c r="H163" s="2">
        <v>46021</v>
      </c>
      <c r="I163" s="2" t="s">
        <v>202</v>
      </c>
      <c r="J163" s="1" t="s">
        <v>603</v>
      </c>
      <c r="L163" s="2">
        <v>46021</v>
      </c>
      <c r="M163" s="2" t="s">
        <v>1294</v>
      </c>
    </row>
    <row r="164" spans="1:13">
      <c r="A164">
        <v>80841220</v>
      </c>
      <c r="B164" t="s">
        <v>602</v>
      </c>
      <c r="C164" s="1" t="s">
        <v>150</v>
      </c>
      <c r="D164" t="s">
        <v>428</v>
      </c>
      <c r="E164" t="s">
        <v>168</v>
      </c>
      <c r="F164" s="2">
        <v>46034</v>
      </c>
      <c r="G164">
        <v>342</v>
      </c>
      <c r="H164" s="2">
        <v>46021</v>
      </c>
      <c r="I164" s="2" t="s">
        <v>202</v>
      </c>
      <c r="J164" s="1" t="s">
        <v>604</v>
      </c>
      <c r="L164" s="2">
        <v>46021</v>
      </c>
      <c r="M164" s="2" t="s">
        <v>1294</v>
      </c>
    </row>
    <row r="165" spans="1:13">
      <c r="A165">
        <v>80841220</v>
      </c>
      <c r="B165" t="s">
        <v>602</v>
      </c>
      <c r="C165" s="1" t="s">
        <v>151</v>
      </c>
      <c r="D165" t="s">
        <v>428</v>
      </c>
      <c r="E165" t="s">
        <v>168</v>
      </c>
      <c r="F165" s="2">
        <v>46034</v>
      </c>
      <c r="G165">
        <v>996</v>
      </c>
      <c r="H165" s="2">
        <v>46021</v>
      </c>
      <c r="I165" s="2" t="s">
        <v>202</v>
      </c>
      <c r="J165" s="1" t="s">
        <v>605</v>
      </c>
      <c r="L165" s="2">
        <v>46021</v>
      </c>
      <c r="M165" s="2" t="s">
        <v>1294</v>
      </c>
    </row>
    <row r="166" spans="1:13">
      <c r="A166">
        <v>80841220</v>
      </c>
      <c r="B166" t="s">
        <v>602</v>
      </c>
      <c r="C166" s="1" t="s">
        <v>152</v>
      </c>
      <c r="D166" t="s">
        <v>428</v>
      </c>
      <c r="E166" t="s">
        <v>168</v>
      </c>
      <c r="F166" s="2">
        <v>46034</v>
      </c>
      <c r="G166">
        <v>174</v>
      </c>
      <c r="H166" s="2">
        <v>46021</v>
      </c>
      <c r="I166" s="2" t="s">
        <v>202</v>
      </c>
      <c r="J166" s="1" t="s">
        <v>606</v>
      </c>
      <c r="L166" s="2">
        <v>46021</v>
      </c>
      <c r="M166" s="2" t="s">
        <v>1294</v>
      </c>
    </row>
    <row r="167" spans="1:13">
      <c r="A167">
        <v>80841220</v>
      </c>
      <c r="B167" t="s">
        <v>602</v>
      </c>
      <c r="C167" s="1" t="s">
        <v>153</v>
      </c>
      <c r="D167" t="s">
        <v>428</v>
      </c>
      <c r="E167" t="s">
        <v>168</v>
      </c>
      <c r="F167" s="2">
        <v>46034</v>
      </c>
      <c r="G167">
        <v>36</v>
      </c>
      <c r="H167" s="2">
        <v>46021</v>
      </c>
      <c r="I167" s="2" t="s">
        <v>202</v>
      </c>
      <c r="J167" s="1" t="s">
        <v>607</v>
      </c>
      <c r="L167" s="2">
        <v>46021</v>
      </c>
      <c r="M167" s="2" t="s">
        <v>1294</v>
      </c>
    </row>
    <row r="168" spans="1:13">
      <c r="A168">
        <v>80841220</v>
      </c>
      <c r="B168" t="s">
        <v>602</v>
      </c>
      <c r="C168" s="1" t="s">
        <v>154</v>
      </c>
      <c r="D168" t="s">
        <v>428</v>
      </c>
      <c r="E168" t="s">
        <v>168</v>
      </c>
      <c r="F168" s="2">
        <v>46034</v>
      </c>
      <c r="G168">
        <v>42</v>
      </c>
      <c r="H168" s="2">
        <v>46021</v>
      </c>
      <c r="I168" s="2" t="s">
        <v>202</v>
      </c>
      <c r="J168" s="1" t="s">
        <v>608</v>
      </c>
      <c r="L168" s="2">
        <v>46021</v>
      </c>
      <c r="M168" s="2" t="s">
        <v>1294</v>
      </c>
    </row>
    <row r="169" spans="1:13">
      <c r="A169">
        <v>80841220</v>
      </c>
      <c r="B169" t="s">
        <v>602</v>
      </c>
      <c r="C169" s="1" t="s">
        <v>155</v>
      </c>
      <c r="D169" t="s">
        <v>428</v>
      </c>
      <c r="E169" t="s">
        <v>168</v>
      </c>
      <c r="F169" s="2">
        <v>46034</v>
      </c>
      <c r="G169">
        <v>568</v>
      </c>
      <c r="H169" s="2">
        <v>46021</v>
      </c>
      <c r="I169" s="2" t="s">
        <v>202</v>
      </c>
      <c r="J169" s="1" t="s">
        <v>609</v>
      </c>
      <c r="L169" s="2">
        <v>46021</v>
      </c>
      <c r="M169" s="2" t="s">
        <v>1294</v>
      </c>
    </row>
    <row r="170" spans="1:13">
      <c r="A170">
        <v>80841221</v>
      </c>
      <c r="B170" t="s">
        <v>610</v>
      </c>
      <c r="C170" s="1" t="s">
        <v>143</v>
      </c>
      <c r="D170" t="s">
        <v>428</v>
      </c>
      <c r="E170" t="s">
        <v>168</v>
      </c>
      <c r="F170" s="2">
        <v>46034</v>
      </c>
      <c r="G170">
        <v>383</v>
      </c>
      <c r="H170" s="2">
        <v>46021</v>
      </c>
      <c r="I170" s="2" t="s">
        <v>202</v>
      </c>
      <c r="J170" s="1" t="s">
        <v>611</v>
      </c>
      <c r="L170" s="2">
        <v>46021</v>
      </c>
      <c r="M170" s="2" t="s">
        <v>1294</v>
      </c>
    </row>
    <row r="171" spans="1:13">
      <c r="A171">
        <v>80841221</v>
      </c>
      <c r="B171" t="s">
        <v>610</v>
      </c>
      <c r="C171" s="1" t="s">
        <v>150</v>
      </c>
      <c r="D171" t="s">
        <v>428</v>
      </c>
      <c r="E171" t="s">
        <v>168</v>
      </c>
      <c r="F171" s="2">
        <v>46034</v>
      </c>
      <c r="G171">
        <v>689</v>
      </c>
      <c r="H171" s="2">
        <v>46021</v>
      </c>
      <c r="I171" s="2" t="s">
        <v>202</v>
      </c>
      <c r="J171" s="1" t="s">
        <v>612</v>
      </c>
      <c r="L171" s="2">
        <v>46021</v>
      </c>
      <c r="M171" s="2" t="s">
        <v>1294</v>
      </c>
    </row>
    <row r="172" spans="1:13">
      <c r="A172">
        <v>80841221</v>
      </c>
      <c r="B172" t="s">
        <v>610</v>
      </c>
      <c r="C172" s="1" t="s">
        <v>151</v>
      </c>
      <c r="D172" t="s">
        <v>428</v>
      </c>
      <c r="E172" t="s">
        <v>168</v>
      </c>
      <c r="F172" s="2">
        <v>46034</v>
      </c>
      <c r="G172">
        <v>2153</v>
      </c>
      <c r="H172" s="2">
        <v>46021</v>
      </c>
      <c r="I172" s="2" t="s">
        <v>202</v>
      </c>
      <c r="J172" s="1" t="s">
        <v>613</v>
      </c>
      <c r="L172" s="2">
        <v>46021</v>
      </c>
      <c r="M172" s="2" t="s">
        <v>1294</v>
      </c>
    </row>
    <row r="173" spans="1:13">
      <c r="A173">
        <v>80841221</v>
      </c>
      <c r="B173" t="s">
        <v>610</v>
      </c>
      <c r="C173" s="1" t="s">
        <v>152</v>
      </c>
      <c r="D173" t="s">
        <v>428</v>
      </c>
      <c r="E173" t="s">
        <v>168</v>
      </c>
      <c r="F173" s="2">
        <v>46034</v>
      </c>
      <c r="G173">
        <v>357</v>
      </c>
      <c r="H173" s="2">
        <v>46021</v>
      </c>
      <c r="I173" s="2" t="s">
        <v>202</v>
      </c>
      <c r="J173" s="1" t="s">
        <v>614</v>
      </c>
      <c r="L173" s="2">
        <v>46021</v>
      </c>
      <c r="M173" s="2" t="s">
        <v>1294</v>
      </c>
    </row>
    <row r="174" spans="1:13">
      <c r="A174">
        <v>80841221</v>
      </c>
      <c r="B174" t="s">
        <v>610</v>
      </c>
      <c r="C174" s="1" t="s">
        <v>153</v>
      </c>
      <c r="D174" t="s">
        <v>428</v>
      </c>
      <c r="E174" t="s">
        <v>168</v>
      </c>
      <c r="F174" s="2">
        <v>46034</v>
      </c>
      <c r="G174">
        <v>84</v>
      </c>
      <c r="H174" s="2">
        <v>46021</v>
      </c>
      <c r="I174" s="2" t="s">
        <v>202</v>
      </c>
      <c r="J174" s="1" t="s">
        <v>615</v>
      </c>
      <c r="L174" s="2">
        <v>46021</v>
      </c>
      <c r="M174" s="2" t="s">
        <v>1294</v>
      </c>
    </row>
    <row r="175" spans="1:13">
      <c r="A175">
        <v>80841221</v>
      </c>
      <c r="B175" t="s">
        <v>610</v>
      </c>
      <c r="C175" s="1" t="s">
        <v>154</v>
      </c>
      <c r="D175" t="s">
        <v>428</v>
      </c>
      <c r="E175" t="s">
        <v>168</v>
      </c>
      <c r="F175" s="2">
        <v>46034</v>
      </c>
      <c r="G175">
        <v>83</v>
      </c>
      <c r="H175" s="2">
        <v>46021</v>
      </c>
      <c r="I175" s="2" t="s">
        <v>202</v>
      </c>
      <c r="J175" s="1" t="s">
        <v>616</v>
      </c>
      <c r="L175" s="2">
        <v>46021</v>
      </c>
      <c r="M175" s="2" t="s">
        <v>1294</v>
      </c>
    </row>
    <row r="176" spans="1:13">
      <c r="A176">
        <v>80841221</v>
      </c>
      <c r="B176" t="s">
        <v>610</v>
      </c>
      <c r="C176" s="1" t="s">
        <v>155</v>
      </c>
      <c r="D176" t="s">
        <v>428</v>
      </c>
      <c r="E176" t="s">
        <v>168</v>
      </c>
      <c r="F176" s="2">
        <v>46034</v>
      </c>
      <c r="G176">
        <v>1101</v>
      </c>
      <c r="H176" s="2">
        <v>46021</v>
      </c>
      <c r="I176" s="2" t="s">
        <v>202</v>
      </c>
      <c r="J176" s="1" t="s">
        <v>617</v>
      </c>
      <c r="L176" s="2">
        <v>46021</v>
      </c>
      <c r="M176" s="2" t="s">
        <v>1294</v>
      </c>
    </row>
    <row r="177" spans="1:13">
      <c r="A177">
        <v>80841222</v>
      </c>
      <c r="B177" t="s">
        <v>618</v>
      </c>
      <c r="C177" s="1" t="s">
        <v>143</v>
      </c>
      <c r="D177" t="s">
        <v>428</v>
      </c>
      <c r="E177" t="s">
        <v>168</v>
      </c>
      <c r="F177" s="2">
        <v>46034</v>
      </c>
      <c r="G177">
        <v>317</v>
      </c>
      <c r="H177" s="2">
        <v>46021</v>
      </c>
      <c r="I177" s="2" t="s">
        <v>202</v>
      </c>
      <c r="J177" s="1" t="s">
        <v>619</v>
      </c>
      <c r="L177" s="2">
        <v>46021</v>
      </c>
      <c r="M177" s="2" t="s">
        <v>1294</v>
      </c>
    </row>
    <row r="178" spans="1:13">
      <c r="A178">
        <v>80841222</v>
      </c>
      <c r="B178" t="s">
        <v>618</v>
      </c>
      <c r="C178" s="1" t="s">
        <v>150</v>
      </c>
      <c r="D178" t="s">
        <v>428</v>
      </c>
      <c r="E178" t="s">
        <v>168</v>
      </c>
      <c r="F178" s="2">
        <v>46034</v>
      </c>
      <c r="G178">
        <v>790</v>
      </c>
      <c r="H178" s="2">
        <v>46021</v>
      </c>
      <c r="I178" s="2" t="s">
        <v>202</v>
      </c>
      <c r="J178" s="1" t="s">
        <v>620</v>
      </c>
      <c r="L178" s="2">
        <v>46021</v>
      </c>
      <c r="M178" s="2" t="s">
        <v>1294</v>
      </c>
    </row>
    <row r="179" spans="1:13">
      <c r="A179">
        <v>80841222</v>
      </c>
      <c r="B179" t="s">
        <v>618</v>
      </c>
      <c r="C179" s="1" t="s">
        <v>151</v>
      </c>
      <c r="D179" t="s">
        <v>428</v>
      </c>
      <c r="E179" t="s">
        <v>168</v>
      </c>
      <c r="F179" s="2">
        <v>46034</v>
      </c>
      <c r="G179">
        <v>2547</v>
      </c>
      <c r="H179" s="2">
        <v>46021</v>
      </c>
      <c r="I179" s="2" t="s">
        <v>202</v>
      </c>
      <c r="J179" s="1" t="s">
        <v>621</v>
      </c>
      <c r="L179" s="2">
        <v>46021</v>
      </c>
      <c r="M179" s="2" t="s">
        <v>1294</v>
      </c>
    </row>
    <row r="180" spans="1:13">
      <c r="A180">
        <v>80841222</v>
      </c>
      <c r="B180" t="s">
        <v>618</v>
      </c>
      <c r="C180" s="1" t="s">
        <v>152</v>
      </c>
      <c r="D180" t="s">
        <v>428</v>
      </c>
      <c r="E180" t="s">
        <v>168</v>
      </c>
      <c r="F180" s="2">
        <v>46034</v>
      </c>
      <c r="G180">
        <v>434</v>
      </c>
      <c r="H180" s="2">
        <v>46021</v>
      </c>
      <c r="I180" s="2" t="s">
        <v>202</v>
      </c>
      <c r="J180" s="1" t="s">
        <v>622</v>
      </c>
      <c r="L180" s="2">
        <v>46021</v>
      </c>
      <c r="M180" s="2" t="s">
        <v>1294</v>
      </c>
    </row>
    <row r="181" spans="1:13">
      <c r="A181">
        <v>80841222</v>
      </c>
      <c r="B181" t="s">
        <v>618</v>
      </c>
      <c r="C181" s="1" t="s">
        <v>153</v>
      </c>
      <c r="D181" t="s">
        <v>428</v>
      </c>
      <c r="E181" t="s">
        <v>168</v>
      </c>
      <c r="F181" s="2">
        <v>46034</v>
      </c>
      <c r="G181">
        <v>97</v>
      </c>
      <c r="H181" s="2">
        <v>46021</v>
      </c>
      <c r="I181" s="2" t="s">
        <v>202</v>
      </c>
      <c r="J181" s="1" t="s">
        <v>623</v>
      </c>
      <c r="L181" s="2">
        <v>46021</v>
      </c>
      <c r="M181" s="2" t="s">
        <v>1294</v>
      </c>
    </row>
    <row r="182" spans="1:13">
      <c r="A182">
        <v>80841222</v>
      </c>
      <c r="B182" t="s">
        <v>618</v>
      </c>
      <c r="C182" s="1" t="s">
        <v>154</v>
      </c>
      <c r="D182" t="s">
        <v>428</v>
      </c>
      <c r="E182" t="s">
        <v>168</v>
      </c>
      <c r="F182" s="2">
        <v>46034</v>
      </c>
      <c r="G182">
        <v>187</v>
      </c>
      <c r="H182" s="2">
        <v>46021</v>
      </c>
      <c r="I182" s="2" t="s">
        <v>202</v>
      </c>
      <c r="J182" s="1" t="s">
        <v>624</v>
      </c>
      <c r="L182" s="2">
        <v>46021</v>
      </c>
      <c r="M182" s="2" t="s">
        <v>1294</v>
      </c>
    </row>
    <row r="183" spans="1:13">
      <c r="A183">
        <v>80841222</v>
      </c>
      <c r="B183" t="s">
        <v>618</v>
      </c>
      <c r="C183" s="1" t="s">
        <v>155</v>
      </c>
      <c r="D183" t="s">
        <v>428</v>
      </c>
      <c r="E183" t="s">
        <v>168</v>
      </c>
      <c r="F183" s="2">
        <v>46034</v>
      </c>
      <c r="G183">
        <v>1705</v>
      </c>
      <c r="H183" s="2">
        <v>46021</v>
      </c>
      <c r="I183" s="2" t="s">
        <v>202</v>
      </c>
      <c r="J183" s="1" t="s">
        <v>625</v>
      </c>
      <c r="L183" s="2">
        <v>46021</v>
      </c>
      <c r="M183" s="2" t="s">
        <v>1294</v>
      </c>
    </row>
    <row r="184" spans="1:13">
      <c r="A184">
        <v>80812166</v>
      </c>
      <c r="B184" t="s">
        <v>626</v>
      </c>
      <c r="C184" s="1" t="s">
        <v>143</v>
      </c>
      <c r="D184" t="s">
        <v>428</v>
      </c>
      <c r="E184" t="s">
        <v>168</v>
      </c>
      <c r="F184" s="2">
        <v>46034</v>
      </c>
      <c r="G184">
        <v>59</v>
      </c>
      <c r="H184" s="2">
        <v>46021</v>
      </c>
      <c r="I184" s="2" t="s">
        <v>202</v>
      </c>
      <c r="J184" s="1" t="s">
        <v>627</v>
      </c>
      <c r="L184" s="2">
        <v>46021</v>
      </c>
      <c r="M184" s="2" t="s">
        <v>1294</v>
      </c>
    </row>
    <row r="185" spans="1:13">
      <c r="A185">
        <v>80812166</v>
      </c>
      <c r="B185" t="s">
        <v>626</v>
      </c>
      <c r="C185" s="1" t="s">
        <v>150</v>
      </c>
      <c r="D185" t="s">
        <v>428</v>
      </c>
      <c r="E185" t="s">
        <v>168</v>
      </c>
      <c r="F185" s="2">
        <v>46034</v>
      </c>
      <c r="G185">
        <v>224</v>
      </c>
      <c r="H185" s="2">
        <v>46021</v>
      </c>
      <c r="I185" s="2" t="s">
        <v>202</v>
      </c>
      <c r="J185" s="1" t="s">
        <v>628</v>
      </c>
      <c r="L185" s="2">
        <v>46021</v>
      </c>
      <c r="M185" s="2" t="s">
        <v>1294</v>
      </c>
    </row>
    <row r="186" spans="1:13">
      <c r="A186">
        <v>80812166</v>
      </c>
      <c r="B186" t="s">
        <v>626</v>
      </c>
      <c r="C186" s="1" t="s">
        <v>151</v>
      </c>
      <c r="D186" t="s">
        <v>428</v>
      </c>
      <c r="E186" t="s">
        <v>168</v>
      </c>
      <c r="F186" s="2">
        <v>46034</v>
      </c>
      <c r="G186">
        <v>512</v>
      </c>
      <c r="H186" s="2">
        <v>46021</v>
      </c>
      <c r="I186" s="2" t="s">
        <v>202</v>
      </c>
      <c r="J186" s="1" t="s">
        <v>629</v>
      </c>
      <c r="L186" s="2">
        <v>46021</v>
      </c>
      <c r="M186" s="2" t="s">
        <v>1294</v>
      </c>
    </row>
    <row r="187" spans="1:13">
      <c r="A187">
        <v>80812166</v>
      </c>
      <c r="B187" t="s">
        <v>626</v>
      </c>
      <c r="C187" s="1" t="s">
        <v>152</v>
      </c>
      <c r="D187" t="s">
        <v>428</v>
      </c>
      <c r="E187" t="s">
        <v>168</v>
      </c>
      <c r="F187" s="2">
        <v>46034</v>
      </c>
      <c r="G187">
        <v>76</v>
      </c>
      <c r="H187" s="2">
        <v>46021</v>
      </c>
      <c r="I187" s="2" t="s">
        <v>202</v>
      </c>
      <c r="J187" s="1" t="s">
        <v>630</v>
      </c>
      <c r="L187" s="2">
        <v>46021</v>
      </c>
      <c r="M187" s="2" t="s">
        <v>1294</v>
      </c>
    </row>
    <row r="188" spans="1:13">
      <c r="A188">
        <v>80812166</v>
      </c>
      <c r="B188" t="s">
        <v>626</v>
      </c>
      <c r="C188" s="1" t="s">
        <v>153</v>
      </c>
      <c r="D188" t="s">
        <v>428</v>
      </c>
      <c r="E188" t="s">
        <v>168</v>
      </c>
      <c r="F188" s="2">
        <v>46034</v>
      </c>
      <c r="G188">
        <v>41</v>
      </c>
      <c r="H188" s="2">
        <v>46021</v>
      </c>
      <c r="I188" s="2" t="s">
        <v>202</v>
      </c>
      <c r="J188" s="1" t="s">
        <v>631</v>
      </c>
      <c r="L188" s="2">
        <v>46021</v>
      </c>
      <c r="M188" s="2" t="s">
        <v>1294</v>
      </c>
    </row>
    <row r="189" spans="1:13">
      <c r="A189">
        <v>80812166</v>
      </c>
      <c r="B189" t="s">
        <v>626</v>
      </c>
      <c r="C189" s="1" t="s">
        <v>154</v>
      </c>
      <c r="D189" t="s">
        <v>428</v>
      </c>
      <c r="E189" t="s">
        <v>168</v>
      </c>
      <c r="F189" s="2">
        <v>46034</v>
      </c>
      <c r="G189">
        <v>49</v>
      </c>
      <c r="H189" s="2">
        <v>46021</v>
      </c>
      <c r="I189" s="2" t="s">
        <v>202</v>
      </c>
      <c r="J189" s="1" t="s">
        <v>632</v>
      </c>
      <c r="L189" s="2">
        <v>46021</v>
      </c>
      <c r="M189" s="2" t="s">
        <v>1294</v>
      </c>
    </row>
    <row r="190" spans="1:13">
      <c r="A190">
        <v>80812166</v>
      </c>
      <c r="B190" t="s">
        <v>626</v>
      </c>
      <c r="C190" s="1" t="s">
        <v>155</v>
      </c>
      <c r="D190" t="s">
        <v>428</v>
      </c>
      <c r="E190" t="s">
        <v>168</v>
      </c>
      <c r="F190" s="2">
        <v>46034</v>
      </c>
      <c r="G190">
        <v>188</v>
      </c>
      <c r="H190" s="2">
        <v>46021</v>
      </c>
      <c r="I190" s="2" t="s">
        <v>202</v>
      </c>
      <c r="J190" s="1" t="s">
        <v>633</v>
      </c>
      <c r="L190" s="2">
        <v>46021</v>
      </c>
      <c r="M190" s="2" t="s">
        <v>1294</v>
      </c>
    </row>
    <row r="191" spans="1:13">
      <c r="A191">
        <v>80812167</v>
      </c>
      <c r="B191" t="s">
        <v>634</v>
      </c>
      <c r="C191" s="1" t="s">
        <v>143</v>
      </c>
      <c r="D191" t="s">
        <v>428</v>
      </c>
      <c r="E191" t="s">
        <v>168</v>
      </c>
      <c r="F191" s="2">
        <v>46034</v>
      </c>
      <c r="G191">
        <v>30</v>
      </c>
      <c r="H191" s="2">
        <v>46021</v>
      </c>
      <c r="I191" s="2" t="s">
        <v>202</v>
      </c>
      <c r="J191" s="1" t="s">
        <v>635</v>
      </c>
      <c r="L191" s="2">
        <v>46021</v>
      </c>
      <c r="M191" s="2" t="s">
        <v>1294</v>
      </c>
    </row>
    <row r="192" spans="1:13">
      <c r="A192">
        <v>80812167</v>
      </c>
      <c r="B192" t="s">
        <v>634</v>
      </c>
      <c r="C192" s="1" t="s">
        <v>150</v>
      </c>
      <c r="D192" t="s">
        <v>428</v>
      </c>
      <c r="E192" t="s">
        <v>168</v>
      </c>
      <c r="F192" s="2">
        <v>46034</v>
      </c>
      <c r="G192">
        <v>174</v>
      </c>
      <c r="H192" s="2">
        <v>46021</v>
      </c>
      <c r="I192" s="2" t="s">
        <v>202</v>
      </c>
      <c r="J192" s="1" t="s">
        <v>636</v>
      </c>
      <c r="L192" s="2">
        <v>46021</v>
      </c>
      <c r="M192" s="2" t="s">
        <v>1294</v>
      </c>
    </row>
    <row r="193" spans="1:13">
      <c r="A193">
        <v>80812167</v>
      </c>
      <c r="B193" t="s">
        <v>634</v>
      </c>
      <c r="C193" s="1" t="s">
        <v>151</v>
      </c>
      <c r="D193" t="s">
        <v>428</v>
      </c>
      <c r="E193" t="s">
        <v>168</v>
      </c>
      <c r="F193" s="2">
        <v>46034</v>
      </c>
      <c r="G193">
        <v>235</v>
      </c>
      <c r="H193" s="2">
        <v>46021</v>
      </c>
      <c r="I193" s="2" t="s">
        <v>202</v>
      </c>
      <c r="J193" s="1" t="s">
        <v>637</v>
      </c>
      <c r="L193" s="2">
        <v>46021</v>
      </c>
      <c r="M193" s="2" t="s">
        <v>1294</v>
      </c>
    </row>
    <row r="194" spans="1:13">
      <c r="A194">
        <v>80812167</v>
      </c>
      <c r="B194" t="s">
        <v>634</v>
      </c>
      <c r="C194" s="1" t="s">
        <v>152</v>
      </c>
      <c r="D194" t="s">
        <v>428</v>
      </c>
      <c r="E194" t="s">
        <v>168</v>
      </c>
      <c r="F194" s="2">
        <v>46034</v>
      </c>
      <c r="G194">
        <v>48</v>
      </c>
      <c r="H194" s="2">
        <v>46021</v>
      </c>
      <c r="I194" s="2" t="s">
        <v>202</v>
      </c>
      <c r="J194" s="1" t="s">
        <v>638</v>
      </c>
      <c r="L194" s="2">
        <v>46021</v>
      </c>
      <c r="M194" s="2" t="s">
        <v>1294</v>
      </c>
    </row>
    <row r="195" spans="1:13">
      <c r="A195">
        <v>80812167</v>
      </c>
      <c r="B195" t="s">
        <v>634</v>
      </c>
      <c r="C195" s="1" t="s">
        <v>153</v>
      </c>
      <c r="D195" t="s">
        <v>428</v>
      </c>
      <c r="E195" t="s">
        <v>168</v>
      </c>
      <c r="F195" s="2">
        <v>46034</v>
      </c>
      <c r="G195">
        <v>26</v>
      </c>
      <c r="H195" s="2">
        <v>46021</v>
      </c>
      <c r="I195" s="2" t="s">
        <v>202</v>
      </c>
      <c r="J195" s="1" t="s">
        <v>639</v>
      </c>
      <c r="L195" s="2">
        <v>46021</v>
      </c>
      <c r="M195" s="2" t="s">
        <v>1294</v>
      </c>
    </row>
    <row r="196" spans="1:13">
      <c r="A196">
        <v>80812167</v>
      </c>
      <c r="B196" t="s">
        <v>634</v>
      </c>
      <c r="C196" s="1" t="s">
        <v>154</v>
      </c>
      <c r="D196" t="s">
        <v>428</v>
      </c>
      <c r="E196" t="s">
        <v>168</v>
      </c>
      <c r="F196" s="2">
        <v>46034</v>
      </c>
      <c r="G196">
        <v>20</v>
      </c>
      <c r="H196" s="2">
        <v>46021</v>
      </c>
      <c r="I196" s="2" t="s">
        <v>202</v>
      </c>
      <c r="J196" s="1" t="s">
        <v>640</v>
      </c>
      <c r="L196" s="2">
        <v>46021</v>
      </c>
      <c r="M196" s="2" t="s">
        <v>1294</v>
      </c>
    </row>
    <row r="197" spans="1:13">
      <c r="A197">
        <v>80812167</v>
      </c>
      <c r="B197" t="s">
        <v>634</v>
      </c>
      <c r="C197" s="1" t="s">
        <v>155</v>
      </c>
      <c r="D197" t="s">
        <v>428</v>
      </c>
      <c r="E197" t="s">
        <v>168</v>
      </c>
      <c r="F197" s="2">
        <v>46034</v>
      </c>
      <c r="G197">
        <v>135</v>
      </c>
      <c r="H197" s="2">
        <v>46021</v>
      </c>
      <c r="I197" s="2" t="s">
        <v>202</v>
      </c>
      <c r="J197" s="1" t="s">
        <v>641</v>
      </c>
      <c r="L197" s="2">
        <v>46021</v>
      </c>
      <c r="M197" s="2" t="s">
        <v>1294</v>
      </c>
    </row>
    <row r="198" spans="1:13">
      <c r="A198">
        <v>80813608</v>
      </c>
      <c r="B198" t="s">
        <v>642</v>
      </c>
      <c r="C198" s="1" t="s">
        <v>143</v>
      </c>
      <c r="D198" t="s">
        <v>428</v>
      </c>
      <c r="E198" t="s">
        <v>168</v>
      </c>
      <c r="F198" s="2">
        <v>46034</v>
      </c>
      <c r="G198">
        <v>267</v>
      </c>
      <c r="H198" s="2">
        <v>46021</v>
      </c>
      <c r="I198" s="2" t="s">
        <v>202</v>
      </c>
      <c r="J198" s="1" t="s">
        <v>643</v>
      </c>
      <c r="L198" s="2">
        <v>46021</v>
      </c>
      <c r="M198" s="2" t="s">
        <v>1294</v>
      </c>
    </row>
    <row r="199" spans="1:13">
      <c r="A199">
        <v>80813608</v>
      </c>
      <c r="B199" t="s">
        <v>642</v>
      </c>
      <c r="C199" s="1" t="s">
        <v>150</v>
      </c>
      <c r="D199" t="s">
        <v>428</v>
      </c>
      <c r="E199" t="s">
        <v>168</v>
      </c>
      <c r="F199" s="2">
        <v>46034</v>
      </c>
      <c r="G199">
        <v>2039</v>
      </c>
      <c r="H199" s="2">
        <v>46021</v>
      </c>
      <c r="I199" s="2" t="s">
        <v>202</v>
      </c>
      <c r="J199" s="1" t="s">
        <v>644</v>
      </c>
      <c r="L199" s="2">
        <v>46021</v>
      </c>
      <c r="M199" s="2" t="s">
        <v>1294</v>
      </c>
    </row>
    <row r="200" spans="1:13">
      <c r="A200">
        <v>80813608</v>
      </c>
      <c r="B200" t="s">
        <v>642</v>
      </c>
      <c r="C200" s="1" t="s">
        <v>151</v>
      </c>
      <c r="D200" t="s">
        <v>428</v>
      </c>
      <c r="E200" t="s">
        <v>168</v>
      </c>
      <c r="F200" s="2">
        <v>46034</v>
      </c>
      <c r="G200">
        <v>2943</v>
      </c>
      <c r="H200" s="2">
        <v>46021</v>
      </c>
      <c r="I200" s="2" t="s">
        <v>202</v>
      </c>
      <c r="J200" s="1" t="s">
        <v>645</v>
      </c>
      <c r="L200" s="2">
        <v>46021</v>
      </c>
      <c r="M200" s="2" t="s">
        <v>1294</v>
      </c>
    </row>
    <row r="201" spans="1:13">
      <c r="A201">
        <v>80813608</v>
      </c>
      <c r="B201" t="s">
        <v>642</v>
      </c>
      <c r="C201" s="1" t="s">
        <v>152</v>
      </c>
      <c r="D201" t="s">
        <v>428</v>
      </c>
      <c r="E201" t="s">
        <v>168</v>
      </c>
      <c r="F201" s="2">
        <v>46034</v>
      </c>
      <c r="G201">
        <v>376</v>
      </c>
      <c r="H201" s="2">
        <v>46021</v>
      </c>
      <c r="I201" s="2" t="s">
        <v>202</v>
      </c>
      <c r="J201" s="1" t="s">
        <v>646</v>
      </c>
      <c r="L201" s="2">
        <v>46021</v>
      </c>
      <c r="M201" s="2" t="s">
        <v>1294</v>
      </c>
    </row>
    <row r="202" spans="1:13">
      <c r="A202">
        <v>80813608</v>
      </c>
      <c r="B202" t="s">
        <v>642</v>
      </c>
      <c r="C202" s="1" t="s">
        <v>153</v>
      </c>
      <c r="D202" t="s">
        <v>428</v>
      </c>
      <c r="E202" t="s">
        <v>168</v>
      </c>
      <c r="F202" s="2">
        <v>46034</v>
      </c>
      <c r="G202">
        <v>210</v>
      </c>
      <c r="H202" s="2">
        <v>46021</v>
      </c>
      <c r="I202" s="2" t="s">
        <v>202</v>
      </c>
      <c r="J202" s="1" t="s">
        <v>647</v>
      </c>
      <c r="L202" s="2">
        <v>46021</v>
      </c>
      <c r="M202" s="2" t="s">
        <v>1294</v>
      </c>
    </row>
    <row r="203" spans="1:13">
      <c r="A203">
        <v>80813608</v>
      </c>
      <c r="B203" t="s">
        <v>642</v>
      </c>
      <c r="C203" s="1" t="s">
        <v>154</v>
      </c>
      <c r="D203" t="s">
        <v>428</v>
      </c>
      <c r="E203" t="s">
        <v>168</v>
      </c>
      <c r="F203" s="2">
        <v>46034</v>
      </c>
      <c r="G203">
        <v>239</v>
      </c>
      <c r="H203" s="2">
        <v>46021</v>
      </c>
      <c r="I203" s="2" t="s">
        <v>202</v>
      </c>
      <c r="J203" s="1" t="s">
        <v>648</v>
      </c>
      <c r="L203" s="2">
        <v>46021</v>
      </c>
      <c r="M203" s="2" t="s">
        <v>1294</v>
      </c>
    </row>
    <row r="204" spans="1:13">
      <c r="A204">
        <v>80813608</v>
      </c>
      <c r="B204" t="s">
        <v>642</v>
      </c>
      <c r="C204" s="1" t="s">
        <v>155</v>
      </c>
      <c r="D204" t="s">
        <v>428</v>
      </c>
      <c r="E204" t="s">
        <v>168</v>
      </c>
      <c r="F204" s="2">
        <v>46034</v>
      </c>
      <c r="G204">
        <v>876</v>
      </c>
      <c r="H204" s="2">
        <v>46021</v>
      </c>
      <c r="I204" s="2" t="s">
        <v>202</v>
      </c>
      <c r="J204" s="1" t="s">
        <v>649</v>
      </c>
      <c r="L204" s="2">
        <v>46021</v>
      </c>
      <c r="M204" s="2" t="s">
        <v>1294</v>
      </c>
    </row>
    <row r="205" spans="1:13">
      <c r="A205">
        <v>80813618</v>
      </c>
      <c r="B205" t="s">
        <v>650</v>
      </c>
      <c r="C205" s="1" t="s">
        <v>143</v>
      </c>
      <c r="D205" t="s">
        <v>428</v>
      </c>
      <c r="E205" t="s">
        <v>168</v>
      </c>
      <c r="F205" s="2">
        <v>46034</v>
      </c>
      <c r="G205">
        <v>167</v>
      </c>
      <c r="H205" s="2">
        <v>46021</v>
      </c>
      <c r="I205" s="2" t="s">
        <v>202</v>
      </c>
      <c r="J205" s="1" t="s">
        <v>651</v>
      </c>
      <c r="L205" s="2">
        <v>46021</v>
      </c>
      <c r="M205" s="2" t="s">
        <v>1294</v>
      </c>
    </row>
    <row r="206" spans="1:13">
      <c r="A206">
        <v>80813618</v>
      </c>
      <c r="B206" t="s">
        <v>650</v>
      </c>
      <c r="C206" s="1" t="s">
        <v>150</v>
      </c>
      <c r="D206" t="s">
        <v>428</v>
      </c>
      <c r="E206" t="s">
        <v>168</v>
      </c>
      <c r="F206" s="2">
        <v>46034</v>
      </c>
      <c r="G206">
        <v>643</v>
      </c>
      <c r="H206" s="2">
        <v>46021</v>
      </c>
      <c r="I206" s="2" t="s">
        <v>202</v>
      </c>
      <c r="J206" s="1" t="s">
        <v>652</v>
      </c>
      <c r="L206" s="2">
        <v>46021</v>
      </c>
      <c r="M206" s="2" t="s">
        <v>1294</v>
      </c>
    </row>
    <row r="207" spans="1:13">
      <c r="A207">
        <v>80813618</v>
      </c>
      <c r="B207" t="s">
        <v>650</v>
      </c>
      <c r="C207" s="1" t="s">
        <v>151</v>
      </c>
      <c r="D207" t="s">
        <v>428</v>
      </c>
      <c r="E207" t="s">
        <v>168</v>
      </c>
      <c r="F207" s="2">
        <v>46034</v>
      </c>
      <c r="G207">
        <v>1377</v>
      </c>
      <c r="H207" s="2">
        <v>46021</v>
      </c>
      <c r="I207" s="2" t="s">
        <v>202</v>
      </c>
      <c r="J207" s="1" t="s">
        <v>653</v>
      </c>
      <c r="L207" s="2">
        <v>46021</v>
      </c>
      <c r="M207" s="2" t="s">
        <v>1294</v>
      </c>
    </row>
    <row r="208" spans="1:13">
      <c r="A208">
        <v>80813618</v>
      </c>
      <c r="B208" t="s">
        <v>650</v>
      </c>
      <c r="C208" s="1" t="s">
        <v>152</v>
      </c>
      <c r="D208" t="s">
        <v>428</v>
      </c>
      <c r="E208" t="s">
        <v>168</v>
      </c>
      <c r="F208" s="2">
        <v>46034</v>
      </c>
      <c r="G208">
        <v>241</v>
      </c>
      <c r="H208" s="2">
        <v>46021</v>
      </c>
      <c r="I208" s="2" t="s">
        <v>202</v>
      </c>
      <c r="J208" s="1" t="s">
        <v>654</v>
      </c>
      <c r="L208" s="2">
        <v>46021</v>
      </c>
      <c r="M208" s="2" t="s">
        <v>1294</v>
      </c>
    </row>
    <row r="209" spans="1:13">
      <c r="A209">
        <v>80813618</v>
      </c>
      <c r="B209" t="s">
        <v>650</v>
      </c>
      <c r="C209" s="1" t="s">
        <v>153</v>
      </c>
      <c r="D209" t="s">
        <v>428</v>
      </c>
      <c r="E209" t="s">
        <v>168</v>
      </c>
      <c r="F209" s="2">
        <v>46034</v>
      </c>
      <c r="G209">
        <v>90</v>
      </c>
      <c r="H209" s="2">
        <v>46021</v>
      </c>
      <c r="I209" s="2" t="s">
        <v>202</v>
      </c>
      <c r="J209" s="1" t="s">
        <v>655</v>
      </c>
      <c r="L209" s="2">
        <v>46021</v>
      </c>
      <c r="M209" s="2" t="s">
        <v>1294</v>
      </c>
    </row>
    <row r="210" spans="1:13">
      <c r="A210">
        <v>80813618</v>
      </c>
      <c r="B210" t="s">
        <v>650</v>
      </c>
      <c r="C210" s="1" t="s">
        <v>154</v>
      </c>
      <c r="D210" t="s">
        <v>428</v>
      </c>
      <c r="E210" t="s">
        <v>168</v>
      </c>
      <c r="F210" s="2">
        <v>46034</v>
      </c>
      <c r="G210">
        <v>91</v>
      </c>
      <c r="H210" s="2">
        <v>46021</v>
      </c>
      <c r="I210" s="2" t="s">
        <v>202</v>
      </c>
      <c r="J210" s="1" t="s">
        <v>656</v>
      </c>
      <c r="L210" s="2">
        <v>46021</v>
      </c>
      <c r="M210" s="2" t="s">
        <v>1294</v>
      </c>
    </row>
    <row r="211" spans="1:13">
      <c r="A211">
        <v>80813618</v>
      </c>
      <c r="B211" t="s">
        <v>650</v>
      </c>
      <c r="C211" s="1" t="s">
        <v>155</v>
      </c>
      <c r="D211" t="s">
        <v>428</v>
      </c>
      <c r="E211" t="s">
        <v>168</v>
      </c>
      <c r="F211" s="2">
        <v>46034</v>
      </c>
      <c r="G211">
        <v>438</v>
      </c>
      <c r="H211" s="2">
        <v>46021</v>
      </c>
      <c r="I211" s="2" t="s">
        <v>202</v>
      </c>
      <c r="J211" s="1" t="s">
        <v>657</v>
      </c>
      <c r="L211" s="2">
        <v>46021</v>
      </c>
      <c r="M211" s="2" t="s">
        <v>1294</v>
      </c>
    </row>
    <row r="212" spans="1:13">
      <c r="A212">
        <v>80813623</v>
      </c>
      <c r="B212" t="s">
        <v>658</v>
      </c>
      <c r="C212" s="1" t="s">
        <v>143</v>
      </c>
      <c r="D212" t="s">
        <v>428</v>
      </c>
      <c r="E212" t="s">
        <v>168</v>
      </c>
      <c r="F212" s="2">
        <v>46034</v>
      </c>
      <c r="G212">
        <v>275</v>
      </c>
      <c r="H212" s="2">
        <v>46021</v>
      </c>
      <c r="I212" s="2" t="s">
        <v>202</v>
      </c>
      <c r="J212" s="1" t="s">
        <v>659</v>
      </c>
      <c r="L212" s="2">
        <v>46021</v>
      </c>
      <c r="M212" s="2" t="s">
        <v>1294</v>
      </c>
    </row>
    <row r="213" spans="1:13">
      <c r="A213">
        <v>80813623</v>
      </c>
      <c r="B213" t="s">
        <v>658</v>
      </c>
      <c r="C213" s="1" t="s">
        <v>150</v>
      </c>
      <c r="D213" t="s">
        <v>428</v>
      </c>
      <c r="E213" t="s">
        <v>168</v>
      </c>
      <c r="F213" s="2">
        <v>46034</v>
      </c>
      <c r="G213">
        <v>657</v>
      </c>
      <c r="H213" s="2">
        <v>46021</v>
      </c>
      <c r="I213" s="2" t="s">
        <v>202</v>
      </c>
      <c r="J213" s="1" t="s">
        <v>660</v>
      </c>
      <c r="L213" s="2">
        <v>46021</v>
      </c>
      <c r="M213" s="2" t="s">
        <v>1294</v>
      </c>
    </row>
    <row r="214" spans="1:13">
      <c r="A214">
        <v>80813623</v>
      </c>
      <c r="B214" t="s">
        <v>658</v>
      </c>
      <c r="C214" s="1" t="s">
        <v>151</v>
      </c>
      <c r="D214" t="s">
        <v>428</v>
      </c>
      <c r="E214" t="s">
        <v>168</v>
      </c>
      <c r="F214" s="2">
        <v>46034</v>
      </c>
      <c r="G214">
        <v>865</v>
      </c>
      <c r="H214" s="2">
        <v>46021</v>
      </c>
      <c r="I214" s="2" t="s">
        <v>202</v>
      </c>
      <c r="J214" s="1" t="s">
        <v>661</v>
      </c>
      <c r="L214" s="2">
        <v>46021</v>
      </c>
      <c r="M214" s="2" t="s">
        <v>1294</v>
      </c>
    </row>
    <row r="215" spans="1:13">
      <c r="A215">
        <v>80813623</v>
      </c>
      <c r="B215" t="s">
        <v>658</v>
      </c>
      <c r="C215" s="1" t="s">
        <v>152</v>
      </c>
      <c r="D215" t="s">
        <v>428</v>
      </c>
      <c r="E215" t="s">
        <v>168</v>
      </c>
      <c r="F215" s="2">
        <v>46034</v>
      </c>
      <c r="G215">
        <v>208</v>
      </c>
      <c r="H215" s="2">
        <v>46021</v>
      </c>
      <c r="I215" s="2" t="s">
        <v>202</v>
      </c>
      <c r="J215" s="1" t="s">
        <v>662</v>
      </c>
      <c r="L215" s="2">
        <v>46021</v>
      </c>
      <c r="M215" s="2" t="s">
        <v>1294</v>
      </c>
    </row>
    <row r="216" spans="1:13">
      <c r="A216">
        <v>80813623</v>
      </c>
      <c r="B216" t="s">
        <v>658</v>
      </c>
      <c r="C216" s="1" t="s">
        <v>153</v>
      </c>
      <c r="D216" t="s">
        <v>428</v>
      </c>
      <c r="E216" t="s">
        <v>168</v>
      </c>
      <c r="F216" s="2">
        <v>46034</v>
      </c>
      <c r="G216">
        <v>111</v>
      </c>
      <c r="H216" s="2">
        <v>46021</v>
      </c>
      <c r="I216" s="2" t="s">
        <v>202</v>
      </c>
      <c r="J216" s="1" t="s">
        <v>663</v>
      </c>
      <c r="L216" s="2">
        <v>46021</v>
      </c>
      <c r="M216" s="2" t="s">
        <v>1294</v>
      </c>
    </row>
    <row r="217" spans="1:13">
      <c r="A217">
        <v>80813623</v>
      </c>
      <c r="B217" t="s">
        <v>658</v>
      </c>
      <c r="C217" s="1" t="s">
        <v>154</v>
      </c>
      <c r="D217" t="s">
        <v>428</v>
      </c>
      <c r="E217" t="s">
        <v>168</v>
      </c>
      <c r="F217" s="2">
        <v>46034</v>
      </c>
      <c r="G217">
        <v>92</v>
      </c>
      <c r="H217" s="2">
        <v>46021</v>
      </c>
      <c r="I217" s="2" t="s">
        <v>202</v>
      </c>
      <c r="J217" s="1" t="s">
        <v>664</v>
      </c>
      <c r="L217" s="2">
        <v>46021</v>
      </c>
      <c r="M217" s="2" t="s">
        <v>1294</v>
      </c>
    </row>
    <row r="218" spans="1:13">
      <c r="A218">
        <v>80813623</v>
      </c>
      <c r="B218" t="s">
        <v>658</v>
      </c>
      <c r="C218" s="1" t="s">
        <v>155</v>
      </c>
      <c r="D218" t="s">
        <v>428</v>
      </c>
      <c r="E218" t="s">
        <v>168</v>
      </c>
      <c r="F218" s="2">
        <v>46034</v>
      </c>
      <c r="G218">
        <v>182</v>
      </c>
      <c r="H218" s="2">
        <v>46021</v>
      </c>
      <c r="I218" s="2" t="s">
        <v>202</v>
      </c>
      <c r="J218" s="1" t="s">
        <v>665</v>
      </c>
      <c r="L218" s="2">
        <v>46021</v>
      </c>
      <c r="M218" s="2" t="s">
        <v>1294</v>
      </c>
    </row>
    <row r="219" spans="1:13">
      <c r="A219">
        <v>80813626</v>
      </c>
      <c r="B219" t="s">
        <v>666</v>
      </c>
      <c r="C219" s="1" t="s">
        <v>143</v>
      </c>
      <c r="D219" t="s">
        <v>428</v>
      </c>
      <c r="E219" t="s">
        <v>168</v>
      </c>
      <c r="F219" s="2">
        <v>46034</v>
      </c>
      <c r="G219">
        <v>309</v>
      </c>
      <c r="H219" s="2">
        <v>46021</v>
      </c>
      <c r="I219" s="2" t="s">
        <v>202</v>
      </c>
      <c r="J219" s="1" t="s">
        <v>667</v>
      </c>
      <c r="L219" s="2">
        <v>46021</v>
      </c>
      <c r="M219" s="2" t="s">
        <v>1294</v>
      </c>
    </row>
    <row r="220" spans="1:13">
      <c r="A220">
        <v>80813626</v>
      </c>
      <c r="B220" t="s">
        <v>666</v>
      </c>
      <c r="C220" s="1" t="s">
        <v>150</v>
      </c>
      <c r="D220" t="s">
        <v>428</v>
      </c>
      <c r="E220" t="s">
        <v>168</v>
      </c>
      <c r="F220" s="2">
        <v>46034</v>
      </c>
      <c r="G220">
        <v>860</v>
      </c>
      <c r="H220" s="2">
        <v>46021</v>
      </c>
      <c r="I220" s="2" t="s">
        <v>202</v>
      </c>
      <c r="J220" s="1" t="s">
        <v>668</v>
      </c>
      <c r="L220" s="2">
        <v>46021</v>
      </c>
      <c r="M220" s="2" t="s">
        <v>1294</v>
      </c>
    </row>
    <row r="221" spans="1:13">
      <c r="A221">
        <v>80813626</v>
      </c>
      <c r="B221" t="s">
        <v>666</v>
      </c>
      <c r="C221" s="1" t="s">
        <v>151</v>
      </c>
      <c r="D221" t="s">
        <v>428</v>
      </c>
      <c r="E221" t="s">
        <v>168</v>
      </c>
      <c r="F221" s="2">
        <v>46034</v>
      </c>
      <c r="G221">
        <v>1606</v>
      </c>
      <c r="H221" s="2">
        <v>46021</v>
      </c>
      <c r="I221" s="2" t="s">
        <v>202</v>
      </c>
      <c r="J221" s="1" t="s">
        <v>669</v>
      </c>
      <c r="L221" s="2">
        <v>46021</v>
      </c>
      <c r="M221" s="2" t="s">
        <v>1294</v>
      </c>
    </row>
    <row r="222" spans="1:13">
      <c r="A222">
        <v>80813626</v>
      </c>
      <c r="B222" t="s">
        <v>666</v>
      </c>
      <c r="C222" s="1" t="s">
        <v>152</v>
      </c>
      <c r="D222" t="s">
        <v>428</v>
      </c>
      <c r="E222" t="s">
        <v>168</v>
      </c>
      <c r="F222" s="2">
        <v>46034</v>
      </c>
      <c r="G222">
        <v>353</v>
      </c>
      <c r="H222" s="2">
        <v>46021</v>
      </c>
      <c r="I222" s="2" t="s">
        <v>202</v>
      </c>
      <c r="J222" s="1" t="s">
        <v>670</v>
      </c>
      <c r="L222" s="2">
        <v>46021</v>
      </c>
      <c r="M222" s="2" t="s">
        <v>1294</v>
      </c>
    </row>
    <row r="223" spans="1:13">
      <c r="A223">
        <v>80813626</v>
      </c>
      <c r="B223" t="s">
        <v>666</v>
      </c>
      <c r="C223" s="1" t="s">
        <v>153</v>
      </c>
      <c r="D223" t="s">
        <v>428</v>
      </c>
      <c r="E223" t="s">
        <v>168</v>
      </c>
      <c r="F223" s="2">
        <v>46034</v>
      </c>
      <c r="G223">
        <v>136</v>
      </c>
      <c r="H223" s="2">
        <v>46021</v>
      </c>
      <c r="I223" s="2" t="s">
        <v>202</v>
      </c>
      <c r="J223" s="1" t="s">
        <v>671</v>
      </c>
      <c r="L223" s="2">
        <v>46021</v>
      </c>
      <c r="M223" s="2" t="s">
        <v>1294</v>
      </c>
    </row>
    <row r="224" spans="1:13">
      <c r="A224">
        <v>80813626</v>
      </c>
      <c r="B224" t="s">
        <v>666</v>
      </c>
      <c r="C224" s="1" t="s">
        <v>154</v>
      </c>
      <c r="D224" t="s">
        <v>428</v>
      </c>
      <c r="E224" t="s">
        <v>168</v>
      </c>
      <c r="F224" s="2">
        <v>46034</v>
      </c>
      <c r="G224">
        <v>99</v>
      </c>
      <c r="H224" s="2">
        <v>46021</v>
      </c>
      <c r="I224" s="2" t="s">
        <v>202</v>
      </c>
      <c r="J224" s="1" t="s">
        <v>672</v>
      </c>
      <c r="L224" s="2">
        <v>46021</v>
      </c>
      <c r="M224" s="2" t="s">
        <v>1294</v>
      </c>
    </row>
    <row r="225" spans="1:13">
      <c r="A225">
        <v>80813626</v>
      </c>
      <c r="B225" t="s">
        <v>666</v>
      </c>
      <c r="C225" s="1" t="s">
        <v>155</v>
      </c>
      <c r="D225" t="s">
        <v>428</v>
      </c>
      <c r="E225" t="s">
        <v>168</v>
      </c>
      <c r="F225" s="2">
        <v>46034</v>
      </c>
      <c r="G225">
        <v>737</v>
      </c>
      <c r="H225" s="2">
        <v>46021</v>
      </c>
      <c r="I225" s="2" t="s">
        <v>202</v>
      </c>
      <c r="J225" s="1" t="s">
        <v>673</v>
      </c>
      <c r="L225" s="2">
        <v>46021</v>
      </c>
      <c r="M225" s="2" t="s">
        <v>1294</v>
      </c>
    </row>
    <row r="226" spans="1:13">
      <c r="A226">
        <v>80813628</v>
      </c>
      <c r="B226" t="s">
        <v>674</v>
      </c>
      <c r="C226" s="1" t="s">
        <v>143</v>
      </c>
      <c r="D226" t="s">
        <v>428</v>
      </c>
      <c r="E226" t="s">
        <v>168</v>
      </c>
      <c r="F226" s="2">
        <v>46034</v>
      </c>
      <c r="G226">
        <v>18</v>
      </c>
      <c r="H226" s="2">
        <v>46021</v>
      </c>
      <c r="I226" s="2" t="s">
        <v>202</v>
      </c>
      <c r="J226" s="1" t="s">
        <v>675</v>
      </c>
      <c r="L226" s="2">
        <v>46021</v>
      </c>
      <c r="M226" s="2" t="s">
        <v>1294</v>
      </c>
    </row>
    <row r="227" spans="1:13">
      <c r="A227">
        <v>80813628</v>
      </c>
      <c r="B227" t="s">
        <v>674</v>
      </c>
      <c r="C227" s="1" t="s">
        <v>150</v>
      </c>
      <c r="D227" t="s">
        <v>428</v>
      </c>
      <c r="E227" t="s">
        <v>168</v>
      </c>
      <c r="F227" s="2">
        <v>46034</v>
      </c>
      <c r="G227">
        <v>53</v>
      </c>
      <c r="H227" s="2">
        <v>46021</v>
      </c>
      <c r="I227" s="2" t="s">
        <v>202</v>
      </c>
      <c r="J227" s="1" t="s">
        <v>676</v>
      </c>
      <c r="L227" s="2">
        <v>46021</v>
      </c>
      <c r="M227" s="2" t="s">
        <v>1294</v>
      </c>
    </row>
    <row r="228" spans="1:13">
      <c r="A228">
        <v>80813628</v>
      </c>
      <c r="B228" t="s">
        <v>674</v>
      </c>
      <c r="C228" s="1" t="s">
        <v>151</v>
      </c>
      <c r="D228" t="s">
        <v>428</v>
      </c>
      <c r="E228" t="s">
        <v>168</v>
      </c>
      <c r="F228" s="2">
        <v>46034</v>
      </c>
      <c r="G228">
        <v>90</v>
      </c>
      <c r="H228" s="2">
        <v>46021</v>
      </c>
      <c r="I228" s="2" t="s">
        <v>202</v>
      </c>
      <c r="J228" s="1" t="s">
        <v>677</v>
      </c>
      <c r="L228" s="2">
        <v>46021</v>
      </c>
      <c r="M228" s="2" t="s">
        <v>1294</v>
      </c>
    </row>
    <row r="229" spans="1:13">
      <c r="A229">
        <v>80813628</v>
      </c>
      <c r="B229" t="s">
        <v>674</v>
      </c>
      <c r="C229" s="1" t="s">
        <v>152</v>
      </c>
      <c r="D229" t="s">
        <v>428</v>
      </c>
      <c r="E229" t="s">
        <v>168</v>
      </c>
      <c r="F229" s="2">
        <v>46034</v>
      </c>
      <c r="G229">
        <v>20</v>
      </c>
      <c r="H229" s="2">
        <v>46021</v>
      </c>
      <c r="I229" s="2" t="s">
        <v>202</v>
      </c>
      <c r="J229" s="1" t="s">
        <v>678</v>
      </c>
      <c r="L229" s="2">
        <v>46021</v>
      </c>
      <c r="M229" s="2" t="s">
        <v>1294</v>
      </c>
    </row>
    <row r="230" spans="1:13">
      <c r="A230">
        <v>80813628</v>
      </c>
      <c r="B230" t="s">
        <v>674</v>
      </c>
      <c r="C230" s="1" t="s">
        <v>153</v>
      </c>
      <c r="D230" t="s">
        <v>428</v>
      </c>
      <c r="E230" t="s">
        <v>168</v>
      </c>
      <c r="F230" s="2">
        <v>46034</v>
      </c>
      <c r="G230">
        <v>13</v>
      </c>
      <c r="H230" s="2">
        <v>46021</v>
      </c>
      <c r="I230" s="2" t="s">
        <v>202</v>
      </c>
      <c r="J230" s="1" t="s">
        <v>679</v>
      </c>
      <c r="L230" s="2">
        <v>46021</v>
      </c>
      <c r="M230" s="2" t="s">
        <v>1294</v>
      </c>
    </row>
    <row r="231" spans="1:13">
      <c r="A231">
        <v>80813628</v>
      </c>
      <c r="B231" t="s">
        <v>674</v>
      </c>
      <c r="C231" s="1" t="s">
        <v>154</v>
      </c>
      <c r="D231" t="s">
        <v>428</v>
      </c>
      <c r="E231" t="s">
        <v>168</v>
      </c>
      <c r="F231" s="2">
        <v>46034</v>
      </c>
      <c r="G231">
        <v>14</v>
      </c>
      <c r="H231" s="2">
        <v>46021</v>
      </c>
      <c r="I231" s="2" t="s">
        <v>202</v>
      </c>
      <c r="J231" s="1" t="s">
        <v>680</v>
      </c>
      <c r="L231" s="2">
        <v>46021</v>
      </c>
      <c r="M231" s="2" t="s">
        <v>1294</v>
      </c>
    </row>
    <row r="232" spans="1:13">
      <c r="A232">
        <v>80813628</v>
      </c>
      <c r="B232" t="s">
        <v>674</v>
      </c>
      <c r="C232" s="1" t="s">
        <v>155</v>
      </c>
      <c r="D232" t="s">
        <v>428</v>
      </c>
      <c r="E232" t="s">
        <v>168</v>
      </c>
      <c r="F232" s="2">
        <v>46034</v>
      </c>
      <c r="G232">
        <v>18</v>
      </c>
      <c r="H232" s="2">
        <v>46021</v>
      </c>
      <c r="I232" s="2" t="s">
        <v>202</v>
      </c>
      <c r="J232" s="1" t="s">
        <v>681</v>
      </c>
      <c r="L232" s="2">
        <v>46021</v>
      </c>
      <c r="M232" s="2" t="s">
        <v>1294</v>
      </c>
    </row>
    <row r="233" spans="1:13">
      <c r="A233">
        <v>80813635</v>
      </c>
      <c r="B233" t="s">
        <v>682</v>
      </c>
      <c r="C233" s="1" t="s">
        <v>143</v>
      </c>
      <c r="D233" t="s">
        <v>428</v>
      </c>
      <c r="E233" t="s">
        <v>168</v>
      </c>
      <c r="F233" s="2">
        <v>46034</v>
      </c>
      <c r="G233">
        <v>244</v>
      </c>
      <c r="H233" s="2">
        <v>46021</v>
      </c>
      <c r="I233" s="2" t="s">
        <v>202</v>
      </c>
      <c r="J233" s="1" t="s">
        <v>683</v>
      </c>
      <c r="L233" s="2">
        <v>46021</v>
      </c>
      <c r="M233" s="2" t="s">
        <v>1294</v>
      </c>
    </row>
    <row r="234" spans="1:13">
      <c r="A234">
        <v>80813635</v>
      </c>
      <c r="B234" t="s">
        <v>682</v>
      </c>
      <c r="C234" s="1" t="s">
        <v>150</v>
      </c>
      <c r="D234" t="s">
        <v>428</v>
      </c>
      <c r="E234" t="s">
        <v>168</v>
      </c>
      <c r="F234" s="2">
        <v>46034</v>
      </c>
      <c r="G234">
        <v>1364</v>
      </c>
      <c r="H234" s="2">
        <v>46021</v>
      </c>
      <c r="I234" s="2" t="s">
        <v>202</v>
      </c>
      <c r="J234" s="1" t="s">
        <v>684</v>
      </c>
      <c r="L234" s="2">
        <v>46021</v>
      </c>
      <c r="M234" s="2" t="s">
        <v>1294</v>
      </c>
    </row>
    <row r="235" spans="1:13">
      <c r="A235">
        <v>80813635</v>
      </c>
      <c r="B235" t="s">
        <v>682</v>
      </c>
      <c r="C235" s="1" t="s">
        <v>151</v>
      </c>
      <c r="D235" t="s">
        <v>428</v>
      </c>
      <c r="E235" t="s">
        <v>168</v>
      </c>
      <c r="F235" s="2">
        <v>46034</v>
      </c>
      <c r="G235">
        <v>2925</v>
      </c>
      <c r="H235" s="2">
        <v>46021</v>
      </c>
      <c r="I235" s="2" t="s">
        <v>202</v>
      </c>
      <c r="J235" s="1" t="s">
        <v>685</v>
      </c>
      <c r="L235" s="2">
        <v>46021</v>
      </c>
      <c r="M235" s="2" t="s">
        <v>1294</v>
      </c>
    </row>
    <row r="236" spans="1:13">
      <c r="A236">
        <v>80813635</v>
      </c>
      <c r="B236" t="s">
        <v>682</v>
      </c>
      <c r="C236" s="1" t="s">
        <v>152</v>
      </c>
      <c r="D236" t="s">
        <v>428</v>
      </c>
      <c r="E236" t="s">
        <v>168</v>
      </c>
      <c r="F236" s="2">
        <v>46034</v>
      </c>
      <c r="G236">
        <v>311</v>
      </c>
      <c r="H236" s="2">
        <v>46021</v>
      </c>
      <c r="I236" s="2" t="s">
        <v>202</v>
      </c>
      <c r="J236" s="1" t="s">
        <v>686</v>
      </c>
      <c r="L236" s="2">
        <v>46021</v>
      </c>
      <c r="M236" s="2" t="s">
        <v>1294</v>
      </c>
    </row>
    <row r="237" spans="1:13">
      <c r="A237">
        <v>80813635</v>
      </c>
      <c r="B237" t="s">
        <v>682</v>
      </c>
      <c r="C237" s="1" t="s">
        <v>153</v>
      </c>
      <c r="D237" t="s">
        <v>428</v>
      </c>
      <c r="E237" t="s">
        <v>168</v>
      </c>
      <c r="F237" s="2">
        <v>46034</v>
      </c>
      <c r="G237">
        <v>137</v>
      </c>
      <c r="H237" s="2">
        <v>46021</v>
      </c>
      <c r="I237" s="2" t="s">
        <v>202</v>
      </c>
      <c r="J237" s="1" t="s">
        <v>687</v>
      </c>
      <c r="L237" s="2">
        <v>46021</v>
      </c>
      <c r="M237" s="2" t="s">
        <v>1294</v>
      </c>
    </row>
    <row r="238" spans="1:13">
      <c r="A238">
        <v>80813635</v>
      </c>
      <c r="B238" t="s">
        <v>682</v>
      </c>
      <c r="C238" s="1" t="s">
        <v>154</v>
      </c>
      <c r="D238" t="s">
        <v>428</v>
      </c>
      <c r="E238" t="s">
        <v>168</v>
      </c>
      <c r="F238" s="2">
        <v>46034</v>
      </c>
      <c r="G238">
        <v>213</v>
      </c>
      <c r="H238" s="2">
        <v>46021</v>
      </c>
      <c r="I238" s="2" t="s">
        <v>202</v>
      </c>
      <c r="J238" s="1" t="s">
        <v>688</v>
      </c>
      <c r="L238" s="2">
        <v>46021</v>
      </c>
      <c r="M238" s="2" t="s">
        <v>1294</v>
      </c>
    </row>
    <row r="239" spans="1:13">
      <c r="A239">
        <v>80813635</v>
      </c>
      <c r="B239" t="s">
        <v>682</v>
      </c>
      <c r="C239" s="1" t="s">
        <v>155</v>
      </c>
      <c r="D239" t="s">
        <v>428</v>
      </c>
      <c r="E239" t="s">
        <v>168</v>
      </c>
      <c r="F239" s="2">
        <v>46034</v>
      </c>
      <c r="G239">
        <v>917</v>
      </c>
      <c r="H239" s="2">
        <v>46021</v>
      </c>
      <c r="I239" s="2" t="s">
        <v>202</v>
      </c>
      <c r="J239" s="1" t="s">
        <v>689</v>
      </c>
      <c r="L239" s="2">
        <v>46021</v>
      </c>
      <c r="M239" s="2" t="s">
        <v>1294</v>
      </c>
    </row>
    <row r="240" spans="1:13">
      <c r="A240">
        <v>80813640</v>
      </c>
      <c r="B240" t="s">
        <v>690</v>
      </c>
      <c r="C240" s="1" t="s">
        <v>143</v>
      </c>
      <c r="D240" t="s">
        <v>428</v>
      </c>
      <c r="E240" t="s">
        <v>168</v>
      </c>
      <c r="F240" s="2">
        <v>46034</v>
      </c>
      <c r="G240">
        <v>234</v>
      </c>
      <c r="H240" s="2">
        <v>46021</v>
      </c>
      <c r="I240" s="2" t="s">
        <v>202</v>
      </c>
      <c r="J240" s="1" t="s">
        <v>691</v>
      </c>
      <c r="L240" s="2">
        <v>46021</v>
      </c>
      <c r="M240" s="2" t="s">
        <v>1294</v>
      </c>
    </row>
    <row r="241" spans="1:13">
      <c r="A241">
        <v>80813640</v>
      </c>
      <c r="B241" t="s">
        <v>690</v>
      </c>
      <c r="C241" s="1" t="s">
        <v>150</v>
      </c>
      <c r="D241" t="s">
        <v>428</v>
      </c>
      <c r="E241" t="s">
        <v>168</v>
      </c>
      <c r="F241" s="2">
        <v>46034</v>
      </c>
      <c r="G241">
        <v>541</v>
      </c>
      <c r="H241" s="2">
        <v>46021</v>
      </c>
      <c r="I241" s="2" t="s">
        <v>202</v>
      </c>
      <c r="J241" s="1" t="s">
        <v>692</v>
      </c>
      <c r="L241" s="2">
        <v>46021</v>
      </c>
      <c r="M241" s="2" t="s">
        <v>1294</v>
      </c>
    </row>
    <row r="242" spans="1:13">
      <c r="A242">
        <v>80813640</v>
      </c>
      <c r="B242" t="s">
        <v>690</v>
      </c>
      <c r="C242" s="1" t="s">
        <v>151</v>
      </c>
      <c r="D242" t="s">
        <v>428</v>
      </c>
      <c r="E242" t="s">
        <v>168</v>
      </c>
      <c r="F242" s="2">
        <v>46034</v>
      </c>
      <c r="G242">
        <v>733</v>
      </c>
      <c r="H242" s="2">
        <v>46021</v>
      </c>
      <c r="I242" s="2" t="s">
        <v>202</v>
      </c>
      <c r="J242" s="1" t="s">
        <v>693</v>
      </c>
      <c r="L242" s="2">
        <v>46021</v>
      </c>
      <c r="M242" s="2" t="s">
        <v>1294</v>
      </c>
    </row>
    <row r="243" spans="1:13">
      <c r="A243">
        <v>80813640</v>
      </c>
      <c r="B243" t="s">
        <v>690</v>
      </c>
      <c r="C243" s="1" t="s">
        <v>152</v>
      </c>
      <c r="D243" t="s">
        <v>428</v>
      </c>
      <c r="E243" t="s">
        <v>168</v>
      </c>
      <c r="F243" s="2">
        <v>46034</v>
      </c>
      <c r="G243">
        <v>170</v>
      </c>
      <c r="H243" s="2">
        <v>46021</v>
      </c>
      <c r="I243" s="2" t="s">
        <v>202</v>
      </c>
      <c r="J243" s="1" t="s">
        <v>694</v>
      </c>
      <c r="L243" s="2">
        <v>46021</v>
      </c>
      <c r="M243" s="2" t="s">
        <v>1294</v>
      </c>
    </row>
    <row r="244" spans="1:13">
      <c r="A244">
        <v>80813640</v>
      </c>
      <c r="B244" t="s">
        <v>690</v>
      </c>
      <c r="C244" s="1" t="s">
        <v>153</v>
      </c>
      <c r="D244" t="s">
        <v>428</v>
      </c>
      <c r="E244" t="s">
        <v>168</v>
      </c>
      <c r="F244" s="2">
        <v>46034</v>
      </c>
      <c r="G244">
        <v>79</v>
      </c>
      <c r="H244" s="2">
        <v>46021</v>
      </c>
      <c r="I244" s="2" t="s">
        <v>202</v>
      </c>
      <c r="J244" s="1" t="s">
        <v>695</v>
      </c>
      <c r="L244" s="2">
        <v>46021</v>
      </c>
      <c r="M244" s="2" t="s">
        <v>1294</v>
      </c>
    </row>
    <row r="245" spans="1:13">
      <c r="A245">
        <v>80813640</v>
      </c>
      <c r="B245" t="s">
        <v>690</v>
      </c>
      <c r="C245" s="1" t="s">
        <v>154</v>
      </c>
      <c r="D245" t="s">
        <v>428</v>
      </c>
      <c r="E245" t="s">
        <v>168</v>
      </c>
      <c r="F245" s="2">
        <v>46034</v>
      </c>
      <c r="G245">
        <v>75</v>
      </c>
      <c r="H245" s="2">
        <v>46021</v>
      </c>
      <c r="I245" s="2" t="s">
        <v>202</v>
      </c>
      <c r="J245" s="1" t="s">
        <v>696</v>
      </c>
      <c r="L245" s="2">
        <v>46021</v>
      </c>
      <c r="M245" s="2" t="s">
        <v>1294</v>
      </c>
    </row>
    <row r="246" spans="1:13">
      <c r="A246">
        <v>80813640</v>
      </c>
      <c r="B246" t="s">
        <v>690</v>
      </c>
      <c r="C246" s="1" t="s">
        <v>155</v>
      </c>
      <c r="D246" t="s">
        <v>428</v>
      </c>
      <c r="E246" t="s">
        <v>168</v>
      </c>
      <c r="F246" s="2">
        <v>46034</v>
      </c>
      <c r="G246">
        <v>149</v>
      </c>
      <c r="H246" s="2">
        <v>46021</v>
      </c>
      <c r="I246" s="2" t="s">
        <v>202</v>
      </c>
      <c r="J246" s="1" t="s">
        <v>697</v>
      </c>
      <c r="L246" s="2">
        <v>46021</v>
      </c>
      <c r="M246" s="2" t="s">
        <v>1294</v>
      </c>
    </row>
    <row r="247" spans="1:13">
      <c r="A247">
        <v>80813644</v>
      </c>
      <c r="B247" t="s">
        <v>698</v>
      </c>
      <c r="C247" s="1" t="s">
        <v>143</v>
      </c>
      <c r="D247" t="s">
        <v>428</v>
      </c>
      <c r="E247" t="s">
        <v>168</v>
      </c>
      <c r="F247" s="2">
        <v>46034</v>
      </c>
      <c r="G247">
        <v>10</v>
      </c>
      <c r="H247" s="2">
        <v>46021</v>
      </c>
      <c r="I247" s="2" t="s">
        <v>202</v>
      </c>
      <c r="J247" s="1" t="s">
        <v>699</v>
      </c>
      <c r="L247" s="2">
        <v>46021</v>
      </c>
      <c r="M247" s="2" t="s">
        <v>1294</v>
      </c>
    </row>
    <row r="248" spans="1:13">
      <c r="A248">
        <v>80813644</v>
      </c>
      <c r="B248" t="s">
        <v>698</v>
      </c>
      <c r="C248" s="1" t="s">
        <v>150</v>
      </c>
      <c r="D248" t="s">
        <v>428</v>
      </c>
      <c r="E248" t="s">
        <v>168</v>
      </c>
      <c r="F248" s="2">
        <v>46034</v>
      </c>
      <c r="G248">
        <v>106</v>
      </c>
      <c r="H248" s="2">
        <v>46021</v>
      </c>
      <c r="I248" s="2" t="s">
        <v>202</v>
      </c>
      <c r="J248" s="1" t="s">
        <v>700</v>
      </c>
      <c r="L248" s="2">
        <v>46021</v>
      </c>
      <c r="M248" s="2" t="s">
        <v>1294</v>
      </c>
    </row>
    <row r="249" spans="1:13">
      <c r="A249">
        <v>80813644</v>
      </c>
      <c r="B249" t="s">
        <v>698</v>
      </c>
      <c r="C249" s="1" t="s">
        <v>151</v>
      </c>
      <c r="D249" t="s">
        <v>428</v>
      </c>
      <c r="E249" t="s">
        <v>168</v>
      </c>
      <c r="F249" s="2">
        <v>46034</v>
      </c>
      <c r="G249">
        <v>177</v>
      </c>
      <c r="H249" s="2">
        <v>46021</v>
      </c>
      <c r="I249" s="2" t="s">
        <v>202</v>
      </c>
      <c r="J249" s="1" t="s">
        <v>701</v>
      </c>
      <c r="L249" s="2">
        <v>46021</v>
      </c>
      <c r="M249" s="2" t="s">
        <v>1294</v>
      </c>
    </row>
    <row r="250" spans="1:13">
      <c r="A250">
        <v>80813644</v>
      </c>
      <c r="B250" t="s">
        <v>698</v>
      </c>
      <c r="C250" s="1" t="s">
        <v>152</v>
      </c>
      <c r="D250" t="s">
        <v>428</v>
      </c>
      <c r="E250" t="s">
        <v>168</v>
      </c>
      <c r="F250" s="2">
        <v>46034</v>
      </c>
      <c r="G250">
        <v>26</v>
      </c>
      <c r="H250" s="2">
        <v>46021</v>
      </c>
      <c r="I250" s="2" t="s">
        <v>202</v>
      </c>
      <c r="J250" s="1" t="s">
        <v>702</v>
      </c>
      <c r="L250" s="2">
        <v>46021</v>
      </c>
      <c r="M250" s="2" t="s">
        <v>1294</v>
      </c>
    </row>
    <row r="251" spans="1:13">
      <c r="A251">
        <v>80813644</v>
      </c>
      <c r="B251" t="s">
        <v>698</v>
      </c>
      <c r="C251" s="1" t="s">
        <v>153</v>
      </c>
      <c r="D251" t="s">
        <v>428</v>
      </c>
      <c r="E251" t="s">
        <v>168</v>
      </c>
      <c r="F251" s="2">
        <v>46034</v>
      </c>
      <c r="G251">
        <v>10</v>
      </c>
      <c r="H251" s="2">
        <v>46021</v>
      </c>
      <c r="I251" s="2" t="s">
        <v>202</v>
      </c>
      <c r="J251" s="1" t="s">
        <v>703</v>
      </c>
      <c r="L251" s="2">
        <v>46021</v>
      </c>
      <c r="M251" s="2" t="s">
        <v>1294</v>
      </c>
    </row>
    <row r="252" spans="1:13">
      <c r="A252">
        <v>80813644</v>
      </c>
      <c r="B252" t="s">
        <v>698</v>
      </c>
      <c r="C252" s="1" t="s">
        <v>154</v>
      </c>
      <c r="D252" t="s">
        <v>428</v>
      </c>
      <c r="E252" t="s">
        <v>168</v>
      </c>
      <c r="F252" s="2">
        <v>46034</v>
      </c>
      <c r="G252">
        <v>15</v>
      </c>
      <c r="H252" s="2">
        <v>46021</v>
      </c>
      <c r="I252" s="2" t="s">
        <v>202</v>
      </c>
      <c r="J252" s="1" t="s">
        <v>704</v>
      </c>
      <c r="L252" s="2">
        <v>46021</v>
      </c>
      <c r="M252" s="2" t="s">
        <v>1294</v>
      </c>
    </row>
    <row r="253" spans="1:13">
      <c r="A253">
        <v>80813644</v>
      </c>
      <c r="B253" t="s">
        <v>698</v>
      </c>
      <c r="C253" s="1" t="s">
        <v>155</v>
      </c>
      <c r="D253" t="s">
        <v>428</v>
      </c>
      <c r="E253" t="s">
        <v>168</v>
      </c>
      <c r="F253" s="2">
        <v>46034</v>
      </c>
      <c r="G253">
        <v>69</v>
      </c>
      <c r="H253" s="2">
        <v>46021</v>
      </c>
      <c r="I253" s="2" t="s">
        <v>202</v>
      </c>
      <c r="J253" s="1" t="s">
        <v>705</v>
      </c>
      <c r="L253" s="2">
        <v>46021</v>
      </c>
      <c r="M253" s="2" t="s">
        <v>1294</v>
      </c>
    </row>
    <row r="254" spans="1:13">
      <c r="A254">
        <v>80812159</v>
      </c>
      <c r="B254" t="s">
        <v>706</v>
      </c>
      <c r="C254" s="1" t="s">
        <v>143</v>
      </c>
      <c r="D254" t="s">
        <v>428</v>
      </c>
      <c r="E254" t="s">
        <v>168</v>
      </c>
      <c r="F254" s="2">
        <v>46034</v>
      </c>
      <c r="G254">
        <v>11</v>
      </c>
      <c r="H254" s="2">
        <v>46021</v>
      </c>
      <c r="I254" s="2" t="s">
        <v>202</v>
      </c>
      <c r="J254" s="1" t="s">
        <v>707</v>
      </c>
      <c r="L254" s="2">
        <v>46021</v>
      </c>
      <c r="M254" s="2" t="s">
        <v>1294</v>
      </c>
    </row>
    <row r="255" spans="1:13">
      <c r="A255">
        <v>80812159</v>
      </c>
      <c r="B255" t="s">
        <v>706</v>
      </c>
      <c r="C255" s="1" t="s">
        <v>150</v>
      </c>
      <c r="D255" t="s">
        <v>428</v>
      </c>
      <c r="E255" t="s">
        <v>168</v>
      </c>
      <c r="F255" s="2">
        <v>46034</v>
      </c>
      <c r="G255">
        <v>187</v>
      </c>
      <c r="H255" s="2">
        <v>46021</v>
      </c>
      <c r="I255" s="2" t="s">
        <v>202</v>
      </c>
      <c r="J255" s="1" t="s">
        <v>708</v>
      </c>
      <c r="L255" s="2">
        <v>46021</v>
      </c>
      <c r="M255" s="2" t="s">
        <v>1294</v>
      </c>
    </row>
    <row r="256" spans="1:13">
      <c r="A256">
        <v>80812159</v>
      </c>
      <c r="B256" t="s">
        <v>706</v>
      </c>
      <c r="C256" s="1" t="s">
        <v>151</v>
      </c>
      <c r="D256" t="s">
        <v>428</v>
      </c>
      <c r="E256" t="s">
        <v>168</v>
      </c>
      <c r="F256" s="2">
        <v>46034</v>
      </c>
      <c r="G256">
        <v>171</v>
      </c>
      <c r="H256" s="2">
        <v>46021</v>
      </c>
      <c r="I256" s="2" t="s">
        <v>202</v>
      </c>
      <c r="J256" s="1" t="s">
        <v>709</v>
      </c>
      <c r="L256" s="2">
        <v>46021</v>
      </c>
      <c r="M256" s="2" t="s">
        <v>1294</v>
      </c>
    </row>
    <row r="257" spans="1:13">
      <c r="A257">
        <v>80812159</v>
      </c>
      <c r="B257" t="s">
        <v>706</v>
      </c>
      <c r="C257" s="1" t="s">
        <v>152</v>
      </c>
      <c r="D257" t="s">
        <v>428</v>
      </c>
      <c r="E257" t="s">
        <v>168</v>
      </c>
      <c r="F257" s="2">
        <v>46034</v>
      </c>
      <c r="G257">
        <v>49</v>
      </c>
      <c r="H257" s="2">
        <v>46021</v>
      </c>
      <c r="I257" s="2" t="s">
        <v>202</v>
      </c>
      <c r="J257" s="1" t="s">
        <v>710</v>
      </c>
      <c r="L257" s="2">
        <v>46021</v>
      </c>
      <c r="M257" s="2" t="s">
        <v>1294</v>
      </c>
    </row>
    <row r="258" spans="1:13">
      <c r="A258">
        <v>80812159</v>
      </c>
      <c r="B258" t="s">
        <v>706</v>
      </c>
      <c r="C258" s="1" t="s">
        <v>153</v>
      </c>
      <c r="D258" t="s">
        <v>428</v>
      </c>
      <c r="E258" t="s">
        <v>168</v>
      </c>
      <c r="F258" s="2">
        <v>46034</v>
      </c>
      <c r="G258">
        <v>17</v>
      </c>
      <c r="H258" s="2">
        <v>46021</v>
      </c>
      <c r="I258" s="2" t="s">
        <v>202</v>
      </c>
      <c r="J258" s="1" t="s">
        <v>711</v>
      </c>
      <c r="L258" s="2">
        <v>46021</v>
      </c>
      <c r="M258" s="2" t="s">
        <v>1294</v>
      </c>
    </row>
    <row r="259" spans="1:13">
      <c r="A259">
        <v>80812159</v>
      </c>
      <c r="B259" t="s">
        <v>706</v>
      </c>
      <c r="C259" s="1" t="s">
        <v>154</v>
      </c>
      <c r="D259" t="s">
        <v>428</v>
      </c>
      <c r="E259" t="s">
        <v>168</v>
      </c>
      <c r="F259" s="2">
        <v>46034</v>
      </c>
      <c r="G259">
        <v>22</v>
      </c>
      <c r="H259" s="2">
        <v>46021</v>
      </c>
      <c r="I259" s="2" t="s">
        <v>202</v>
      </c>
      <c r="J259" s="1" t="s">
        <v>712</v>
      </c>
      <c r="L259" s="2">
        <v>46021</v>
      </c>
      <c r="M259" s="2" t="s">
        <v>1294</v>
      </c>
    </row>
    <row r="260" spans="1:13">
      <c r="A260">
        <v>80812159</v>
      </c>
      <c r="B260" t="s">
        <v>706</v>
      </c>
      <c r="C260" s="1" t="s">
        <v>155</v>
      </c>
      <c r="D260" t="s">
        <v>428</v>
      </c>
      <c r="E260" t="s">
        <v>168</v>
      </c>
      <c r="F260" s="2">
        <v>46034</v>
      </c>
      <c r="G260">
        <v>53</v>
      </c>
      <c r="H260" s="2">
        <v>46021</v>
      </c>
      <c r="I260" s="2" t="s">
        <v>202</v>
      </c>
      <c r="J260" s="1" t="s">
        <v>713</v>
      </c>
      <c r="L260" s="2">
        <v>46021</v>
      </c>
      <c r="M260" s="2" t="s">
        <v>1294</v>
      </c>
    </row>
    <row r="261" spans="1:13">
      <c r="A261">
        <v>80812162</v>
      </c>
      <c r="B261" t="s">
        <v>714</v>
      </c>
      <c r="C261" s="1" t="s">
        <v>143</v>
      </c>
      <c r="D261" t="s">
        <v>428</v>
      </c>
      <c r="E261" t="s">
        <v>168</v>
      </c>
      <c r="F261" s="2">
        <v>46034</v>
      </c>
      <c r="G261">
        <v>55</v>
      </c>
      <c r="H261" s="2">
        <v>46021</v>
      </c>
      <c r="I261" s="2" t="s">
        <v>202</v>
      </c>
      <c r="J261" s="1" t="s">
        <v>715</v>
      </c>
      <c r="L261" s="2">
        <v>46021</v>
      </c>
      <c r="M261" s="2" t="s">
        <v>1294</v>
      </c>
    </row>
    <row r="262" spans="1:13">
      <c r="A262">
        <v>80812162</v>
      </c>
      <c r="B262" t="s">
        <v>714</v>
      </c>
      <c r="C262" s="1" t="s">
        <v>150</v>
      </c>
      <c r="D262" t="s">
        <v>428</v>
      </c>
      <c r="E262" t="s">
        <v>168</v>
      </c>
      <c r="F262" s="2">
        <v>46034</v>
      </c>
      <c r="G262">
        <v>561</v>
      </c>
      <c r="H262" s="2">
        <v>46021</v>
      </c>
      <c r="I262" s="2" t="s">
        <v>202</v>
      </c>
      <c r="J262" s="1" t="s">
        <v>716</v>
      </c>
      <c r="L262" s="2">
        <v>46021</v>
      </c>
      <c r="M262" s="2" t="s">
        <v>1294</v>
      </c>
    </row>
    <row r="263" spans="1:13">
      <c r="A263">
        <v>80812162</v>
      </c>
      <c r="B263" t="s">
        <v>714</v>
      </c>
      <c r="C263" s="1" t="s">
        <v>151</v>
      </c>
      <c r="D263" t="s">
        <v>428</v>
      </c>
      <c r="E263" t="s">
        <v>168</v>
      </c>
      <c r="F263" s="2">
        <v>46034</v>
      </c>
      <c r="G263">
        <v>555</v>
      </c>
      <c r="H263" s="2">
        <v>46021</v>
      </c>
      <c r="I263" s="2" t="s">
        <v>202</v>
      </c>
      <c r="J263" s="1" t="s">
        <v>717</v>
      </c>
      <c r="L263" s="2">
        <v>46021</v>
      </c>
      <c r="M263" s="2" t="s">
        <v>1294</v>
      </c>
    </row>
    <row r="264" spans="1:13">
      <c r="A264">
        <v>80812162</v>
      </c>
      <c r="B264" t="s">
        <v>714</v>
      </c>
      <c r="C264" s="1" t="s">
        <v>152</v>
      </c>
      <c r="D264" t="s">
        <v>428</v>
      </c>
      <c r="E264" t="s">
        <v>168</v>
      </c>
      <c r="F264" s="2">
        <v>46034</v>
      </c>
      <c r="G264">
        <v>110</v>
      </c>
      <c r="H264" s="2">
        <v>46021</v>
      </c>
      <c r="I264" s="2" t="s">
        <v>202</v>
      </c>
      <c r="J264" s="1" t="s">
        <v>718</v>
      </c>
      <c r="L264" s="2">
        <v>46021</v>
      </c>
      <c r="M264" s="2" t="s">
        <v>1294</v>
      </c>
    </row>
    <row r="265" spans="1:13">
      <c r="A265">
        <v>80812162</v>
      </c>
      <c r="B265" t="s">
        <v>714</v>
      </c>
      <c r="C265" s="1" t="s">
        <v>153</v>
      </c>
      <c r="D265" t="s">
        <v>428</v>
      </c>
      <c r="E265" t="s">
        <v>168</v>
      </c>
      <c r="F265" s="2">
        <v>46034</v>
      </c>
      <c r="G265">
        <v>19</v>
      </c>
      <c r="H265" s="2">
        <v>46021</v>
      </c>
      <c r="I265" s="2" t="s">
        <v>202</v>
      </c>
      <c r="J265" s="1" t="s">
        <v>719</v>
      </c>
      <c r="L265" s="2">
        <v>46021</v>
      </c>
      <c r="M265" s="2" t="s">
        <v>1294</v>
      </c>
    </row>
    <row r="266" spans="1:13">
      <c r="A266">
        <v>80812162</v>
      </c>
      <c r="B266" t="s">
        <v>714</v>
      </c>
      <c r="C266" s="1" t="s">
        <v>154</v>
      </c>
      <c r="D266" t="s">
        <v>428</v>
      </c>
      <c r="E266" t="s">
        <v>168</v>
      </c>
      <c r="F266" s="2">
        <v>46034</v>
      </c>
      <c r="G266">
        <v>113</v>
      </c>
      <c r="H266" s="2">
        <v>46021</v>
      </c>
      <c r="I266" s="2" t="s">
        <v>202</v>
      </c>
      <c r="J266" s="1" t="s">
        <v>720</v>
      </c>
      <c r="L266" s="2">
        <v>46021</v>
      </c>
      <c r="M266" s="2" t="s">
        <v>1294</v>
      </c>
    </row>
    <row r="267" spans="1:13">
      <c r="A267">
        <v>80812162</v>
      </c>
      <c r="B267" t="s">
        <v>714</v>
      </c>
      <c r="C267" s="1" t="s">
        <v>155</v>
      </c>
      <c r="D267" t="s">
        <v>428</v>
      </c>
      <c r="E267" t="s">
        <v>168</v>
      </c>
      <c r="F267" s="2">
        <v>46034</v>
      </c>
      <c r="G267">
        <v>115</v>
      </c>
      <c r="H267" s="2">
        <v>46021</v>
      </c>
      <c r="I267" s="2" t="s">
        <v>202</v>
      </c>
      <c r="J267" s="1" t="s">
        <v>721</v>
      </c>
      <c r="L267" s="2">
        <v>46021</v>
      </c>
      <c r="M267" s="2" t="s">
        <v>1294</v>
      </c>
    </row>
    <row r="268" spans="1:13">
      <c r="A268">
        <v>80812165</v>
      </c>
      <c r="B268" t="s">
        <v>722</v>
      </c>
      <c r="C268" s="1" t="s">
        <v>143</v>
      </c>
      <c r="D268" t="s">
        <v>428</v>
      </c>
      <c r="E268" t="s">
        <v>168</v>
      </c>
      <c r="F268" s="2">
        <v>46034</v>
      </c>
      <c r="G268">
        <v>31</v>
      </c>
      <c r="H268" s="2">
        <v>46021</v>
      </c>
      <c r="I268" s="2" t="s">
        <v>202</v>
      </c>
      <c r="J268" s="1" t="s">
        <v>723</v>
      </c>
      <c r="L268" s="2">
        <v>46021</v>
      </c>
      <c r="M268" s="2" t="s">
        <v>1294</v>
      </c>
    </row>
    <row r="269" spans="1:13">
      <c r="A269">
        <v>80812165</v>
      </c>
      <c r="B269" t="s">
        <v>722</v>
      </c>
      <c r="C269" s="1" t="s">
        <v>150</v>
      </c>
      <c r="D269" t="s">
        <v>428</v>
      </c>
      <c r="E269" t="s">
        <v>168</v>
      </c>
      <c r="F269" s="2">
        <v>46034</v>
      </c>
      <c r="G269">
        <v>401</v>
      </c>
      <c r="H269" s="2">
        <v>46021</v>
      </c>
      <c r="I269" s="2" t="s">
        <v>202</v>
      </c>
      <c r="J269" s="1" t="s">
        <v>724</v>
      </c>
      <c r="L269" s="2">
        <v>46021</v>
      </c>
      <c r="M269" s="2" t="s">
        <v>1294</v>
      </c>
    </row>
    <row r="270" spans="1:13">
      <c r="A270">
        <v>80812165</v>
      </c>
      <c r="B270" t="s">
        <v>722</v>
      </c>
      <c r="C270" s="1" t="s">
        <v>151</v>
      </c>
      <c r="D270" t="s">
        <v>428</v>
      </c>
      <c r="E270" t="s">
        <v>168</v>
      </c>
      <c r="F270" s="2">
        <v>46034</v>
      </c>
      <c r="G270">
        <v>343</v>
      </c>
      <c r="H270" s="2">
        <v>46021</v>
      </c>
      <c r="I270" s="2" t="s">
        <v>202</v>
      </c>
      <c r="J270" s="1" t="s">
        <v>725</v>
      </c>
      <c r="L270" s="2">
        <v>46021</v>
      </c>
      <c r="M270" s="2" t="s">
        <v>1294</v>
      </c>
    </row>
    <row r="271" spans="1:13">
      <c r="A271">
        <v>80812165</v>
      </c>
      <c r="B271" t="s">
        <v>722</v>
      </c>
      <c r="C271" s="1" t="s">
        <v>152</v>
      </c>
      <c r="D271" t="s">
        <v>428</v>
      </c>
      <c r="E271" t="s">
        <v>168</v>
      </c>
      <c r="F271" s="2">
        <v>46034</v>
      </c>
      <c r="G271">
        <v>86</v>
      </c>
      <c r="H271" s="2">
        <v>46021</v>
      </c>
      <c r="I271" s="2" t="s">
        <v>202</v>
      </c>
      <c r="J271" s="1" t="s">
        <v>726</v>
      </c>
      <c r="L271" s="2">
        <v>46021</v>
      </c>
      <c r="M271" s="2" t="s">
        <v>1294</v>
      </c>
    </row>
    <row r="272" spans="1:13">
      <c r="A272">
        <v>80812165</v>
      </c>
      <c r="B272" t="s">
        <v>722</v>
      </c>
      <c r="C272" s="1" t="s">
        <v>153</v>
      </c>
      <c r="D272" t="s">
        <v>428</v>
      </c>
      <c r="E272" t="s">
        <v>168</v>
      </c>
      <c r="F272" s="2">
        <v>46034</v>
      </c>
      <c r="G272">
        <v>30</v>
      </c>
      <c r="H272" s="2">
        <v>46021</v>
      </c>
      <c r="I272" s="2" t="s">
        <v>202</v>
      </c>
      <c r="J272" s="1" t="s">
        <v>727</v>
      </c>
      <c r="L272" s="2">
        <v>46021</v>
      </c>
      <c r="M272" s="2" t="s">
        <v>1294</v>
      </c>
    </row>
    <row r="273" spans="1:13">
      <c r="A273">
        <v>80812165</v>
      </c>
      <c r="B273" t="s">
        <v>722</v>
      </c>
      <c r="C273" s="1" t="s">
        <v>154</v>
      </c>
      <c r="D273" t="s">
        <v>428</v>
      </c>
      <c r="E273" t="s">
        <v>168</v>
      </c>
      <c r="F273" s="2">
        <v>46034</v>
      </c>
      <c r="G273">
        <v>73</v>
      </c>
      <c r="H273" s="2">
        <v>46021</v>
      </c>
      <c r="I273" s="2" t="s">
        <v>202</v>
      </c>
      <c r="J273" s="1" t="s">
        <v>728</v>
      </c>
      <c r="L273" s="2">
        <v>46021</v>
      </c>
      <c r="M273" s="2" t="s">
        <v>1294</v>
      </c>
    </row>
    <row r="274" spans="1:13">
      <c r="A274">
        <v>80812165</v>
      </c>
      <c r="B274" t="s">
        <v>722</v>
      </c>
      <c r="C274" s="1" t="s">
        <v>155</v>
      </c>
      <c r="D274" t="s">
        <v>428</v>
      </c>
      <c r="E274" t="s">
        <v>168</v>
      </c>
      <c r="F274" s="2">
        <v>46034</v>
      </c>
      <c r="G274">
        <v>138</v>
      </c>
      <c r="H274" s="2">
        <v>46021</v>
      </c>
      <c r="I274" s="2" t="s">
        <v>202</v>
      </c>
      <c r="J274" s="1" t="s">
        <v>729</v>
      </c>
      <c r="L274" s="2">
        <v>46021</v>
      </c>
      <c r="M274" s="2" t="s">
        <v>1294</v>
      </c>
    </row>
    <row r="275" spans="1:13">
      <c r="A275">
        <v>80813615</v>
      </c>
      <c r="B275" t="s">
        <v>265</v>
      </c>
      <c r="C275" s="1" t="s">
        <v>143</v>
      </c>
      <c r="D275" t="s">
        <v>428</v>
      </c>
      <c r="E275" t="s">
        <v>168</v>
      </c>
      <c r="F275" s="2">
        <v>46034</v>
      </c>
      <c r="G275">
        <v>209</v>
      </c>
      <c r="H275" s="2">
        <v>46021</v>
      </c>
      <c r="I275" s="2" t="s">
        <v>202</v>
      </c>
      <c r="J275" s="1" t="s">
        <v>730</v>
      </c>
      <c r="L275" s="2">
        <v>46021</v>
      </c>
      <c r="M275" s="2" t="s">
        <v>1294</v>
      </c>
    </row>
    <row r="276" spans="1:13">
      <c r="A276">
        <v>80813615</v>
      </c>
      <c r="B276" t="s">
        <v>265</v>
      </c>
      <c r="C276" s="1" t="s">
        <v>150</v>
      </c>
      <c r="D276" t="s">
        <v>428</v>
      </c>
      <c r="E276" t="s">
        <v>168</v>
      </c>
      <c r="F276" s="2">
        <v>46034</v>
      </c>
      <c r="G276">
        <v>1195</v>
      </c>
      <c r="H276" s="2">
        <v>46021</v>
      </c>
      <c r="I276" s="2" t="s">
        <v>202</v>
      </c>
      <c r="J276" s="1" t="s">
        <v>731</v>
      </c>
      <c r="L276" s="2">
        <v>46021</v>
      </c>
      <c r="M276" s="2" t="s">
        <v>1294</v>
      </c>
    </row>
    <row r="277" spans="1:13">
      <c r="A277">
        <v>80813615</v>
      </c>
      <c r="B277" t="s">
        <v>265</v>
      </c>
      <c r="C277" s="1" t="s">
        <v>151</v>
      </c>
      <c r="D277" t="s">
        <v>428</v>
      </c>
      <c r="E277" t="s">
        <v>168</v>
      </c>
      <c r="F277" s="2">
        <v>46034</v>
      </c>
      <c r="G277">
        <v>963</v>
      </c>
      <c r="H277" s="2">
        <v>46021</v>
      </c>
      <c r="I277" s="2" t="s">
        <v>202</v>
      </c>
      <c r="J277" s="1" t="s">
        <v>732</v>
      </c>
      <c r="L277" s="2">
        <v>46021</v>
      </c>
      <c r="M277" s="2" t="s">
        <v>1294</v>
      </c>
    </row>
    <row r="278" spans="1:13">
      <c r="A278">
        <v>80813615</v>
      </c>
      <c r="B278" t="s">
        <v>265</v>
      </c>
      <c r="C278" s="1" t="s">
        <v>152</v>
      </c>
      <c r="D278" t="s">
        <v>428</v>
      </c>
      <c r="E278" t="s">
        <v>168</v>
      </c>
      <c r="F278" s="2">
        <v>46034</v>
      </c>
      <c r="G278">
        <v>195</v>
      </c>
      <c r="H278" s="2">
        <v>46021</v>
      </c>
      <c r="I278" s="2" t="s">
        <v>202</v>
      </c>
      <c r="J278" s="1" t="s">
        <v>733</v>
      </c>
      <c r="L278" s="2">
        <v>46021</v>
      </c>
      <c r="M278" s="2" t="s">
        <v>1294</v>
      </c>
    </row>
    <row r="279" spans="1:13">
      <c r="A279">
        <v>80813615</v>
      </c>
      <c r="B279" t="s">
        <v>265</v>
      </c>
      <c r="C279" s="1" t="s">
        <v>153</v>
      </c>
      <c r="D279" t="s">
        <v>428</v>
      </c>
      <c r="E279" t="s">
        <v>168</v>
      </c>
      <c r="F279" s="2">
        <v>46034</v>
      </c>
      <c r="G279">
        <v>147</v>
      </c>
      <c r="H279" s="2">
        <v>46021</v>
      </c>
      <c r="I279" s="2" t="s">
        <v>202</v>
      </c>
      <c r="J279" s="1" t="s">
        <v>734</v>
      </c>
      <c r="L279" s="2">
        <v>46021</v>
      </c>
      <c r="M279" s="2" t="s">
        <v>1294</v>
      </c>
    </row>
    <row r="280" spans="1:13">
      <c r="A280">
        <v>80813615</v>
      </c>
      <c r="B280" t="s">
        <v>265</v>
      </c>
      <c r="C280" s="1" t="s">
        <v>154</v>
      </c>
      <c r="D280" t="s">
        <v>428</v>
      </c>
      <c r="E280" t="s">
        <v>168</v>
      </c>
      <c r="F280" s="2">
        <v>46034</v>
      </c>
      <c r="G280">
        <v>204</v>
      </c>
      <c r="H280" s="2">
        <v>46021</v>
      </c>
      <c r="I280" s="2" t="s">
        <v>202</v>
      </c>
      <c r="J280" s="1" t="s">
        <v>735</v>
      </c>
      <c r="L280" s="2">
        <v>46021</v>
      </c>
      <c r="M280" s="2" t="s">
        <v>1294</v>
      </c>
    </row>
    <row r="281" spans="1:13">
      <c r="A281">
        <v>80813615</v>
      </c>
      <c r="B281" t="s">
        <v>265</v>
      </c>
      <c r="C281" s="1" t="s">
        <v>155</v>
      </c>
      <c r="D281" t="s">
        <v>428</v>
      </c>
      <c r="E281" t="s">
        <v>168</v>
      </c>
      <c r="F281" s="2">
        <v>46034</v>
      </c>
      <c r="G281">
        <v>208</v>
      </c>
      <c r="H281" s="2">
        <v>46021</v>
      </c>
      <c r="I281" s="2" t="s">
        <v>202</v>
      </c>
      <c r="J281" s="1" t="s">
        <v>736</v>
      </c>
      <c r="L281" s="2">
        <v>46021</v>
      </c>
      <c r="M281" s="2" t="s">
        <v>1294</v>
      </c>
    </row>
    <row r="282" spans="1:13">
      <c r="A282">
        <v>80813617</v>
      </c>
      <c r="B282" t="s">
        <v>267</v>
      </c>
      <c r="C282" s="1" t="s">
        <v>143</v>
      </c>
      <c r="D282" t="s">
        <v>428</v>
      </c>
      <c r="E282" t="s">
        <v>168</v>
      </c>
      <c r="F282" s="2">
        <v>46034</v>
      </c>
      <c r="G282">
        <v>150</v>
      </c>
      <c r="H282" s="2">
        <v>46021</v>
      </c>
      <c r="I282" s="2" t="s">
        <v>202</v>
      </c>
      <c r="J282" s="1" t="s">
        <v>737</v>
      </c>
      <c r="L282" s="2">
        <v>46021</v>
      </c>
      <c r="M282" s="2" t="s">
        <v>1294</v>
      </c>
    </row>
    <row r="283" spans="1:13">
      <c r="A283">
        <v>80813617</v>
      </c>
      <c r="B283" t="s">
        <v>267</v>
      </c>
      <c r="C283" s="1" t="s">
        <v>150</v>
      </c>
      <c r="D283" t="s">
        <v>428</v>
      </c>
      <c r="E283" t="s">
        <v>168</v>
      </c>
      <c r="F283" s="2">
        <v>46034</v>
      </c>
      <c r="G283">
        <v>1025</v>
      </c>
      <c r="H283" s="2">
        <v>46021</v>
      </c>
      <c r="I283" s="2" t="s">
        <v>202</v>
      </c>
      <c r="J283" s="1" t="s">
        <v>738</v>
      </c>
      <c r="L283" s="2">
        <v>46021</v>
      </c>
      <c r="M283" s="2" t="s">
        <v>1294</v>
      </c>
    </row>
    <row r="284" spans="1:13">
      <c r="A284">
        <v>80813617</v>
      </c>
      <c r="B284" t="s">
        <v>267</v>
      </c>
      <c r="C284" s="1" t="s">
        <v>151</v>
      </c>
      <c r="D284" t="s">
        <v>428</v>
      </c>
      <c r="E284" t="s">
        <v>168</v>
      </c>
      <c r="F284" s="2">
        <v>46034</v>
      </c>
      <c r="G284">
        <v>1026</v>
      </c>
      <c r="H284" s="2">
        <v>46021</v>
      </c>
      <c r="I284" s="2" t="s">
        <v>202</v>
      </c>
      <c r="J284" s="1" t="s">
        <v>739</v>
      </c>
      <c r="L284" s="2">
        <v>46021</v>
      </c>
      <c r="M284" s="2" t="s">
        <v>1294</v>
      </c>
    </row>
    <row r="285" spans="1:13">
      <c r="A285">
        <v>80813617</v>
      </c>
      <c r="B285" t="s">
        <v>267</v>
      </c>
      <c r="C285" s="1" t="s">
        <v>152</v>
      </c>
      <c r="D285" t="s">
        <v>428</v>
      </c>
      <c r="E285" t="s">
        <v>168</v>
      </c>
      <c r="F285" s="2">
        <v>46034</v>
      </c>
      <c r="G285">
        <v>291</v>
      </c>
      <c r="H285" s="2">
        <v>46021</v>
      </c>
      <c r="I285" s="2" t="s">
        <v>202</v>
      </c>
      <c r="J285" s="1" t="s">
        <v>740</v>
      </c>
      <c r="L285" s="2">
        <v>46021</v>
      </c>
      <c r="M285" s="2" t="s">
        <v>1294</v>
      </c>
    </row>
    <row r="286" spans="1:13">
      <c r="A286">
        <v>80813617</v>
      </c>
      <c r="B286" t="s">
        <v>267</v>
      </c>
      <c r="C286" s="1" t="s">
        <v>153</v>
      </c>
      <c r="D286" t="s">
        <v>428</v>
      </c>
      <c r="E286" t="s">
        <v>168</v>
      </c>
      <c r="F286" s="2">
        <v>46034</v>
      </c>
      <c r="G286">
        <v>105</v>
      </c>
      <c r="H286" s="2">
        <v>46021</v>
      </c>
      <c r="I286" s="2" t="s">
        <v>202</v>
      </c>
      <c r="J286" s="1" t="s">
        <v>741</v>
      </c>
      <c r="L286" s="2">
        <v>46021</v>
      </c>
      <c r="M286" s="2" t="s">
        <v>1294</v>
      </c>
    </row>
    <row r="287" spans="1:13">
      <c r="A287">
        <v>80813617</v>
      </c>
      <c r="B287" t="s">
        <v>267</v>
      </c>
      <c r="C287" s="1" t="s">
        <v>154</v>
      </c>
      <c r="D287" t="s">
        <v>428</v>
      </c>
      <c r="E287" t="s">
        <v>168</v>
      </c>
      <c r="F287" s="2">
        <v>46034</v>
      </c>
      <c r="G287">
        <v>146</v>
      </c>
      <c r="H287" s="2">
        <v>46021</v>
      </c>
      <c r="I287" s="2" t="s">
        <v>202</v>
      </c>
      <c r="J287" s="1" t="s">
        <v>742</v>
      </c>
      <c r="L287" s="2">
        <v>46021</v>
      </c>
      <c r="M287" s="2" t="s">
        <v>1294</v>
      </c>
    </row>
    <row r="288" spans="1:13">
      <c r="A288">
        <v>80813617</v>
      </c>
      <c r="B288" t="s">
        <v>267</v>
      </c>
      <c r="C288" s="1" t="s">
        <v>155</v>
      </c>
      <c r="D288" t="s">
        <v>428</v>
      </c>
      <c r="E288" t="s">
        <v>168</v>
      </c>
      <c r="F288" s="2">
        <v>46034</v>
      </c>
      <c r="G288">
        <v>326</v>
      </c>
      <c r="H288" s="2">
        <v>46021</v>
      </c>
      <c r="I288" s="2" t="s">
        <v>202</v>
      </c>
      <c r="J288" s="1" t="s">
        <v>743</v>
      </c>
      <c r="L288" s="2">
        <v>46021</v>
      </c>
      <c r="M288" s="2" t="s">
        <v>1294</v>
      </c>
    </row>
    <row r="289" spans="1:13">
      <c r="A289">
        <v>80813629</v>
      </c>
      <c r="B289" t="s">
        <v>268</v>
      </c>
      <c r="C289" s="1" t="s">
        <v>143</v>
      </c>
      <c r="D289" t="s">
        <v>428</v>
      </c>
      <c r="E289" t="s">
        <v>168</v>
      </c>
      <c r="F289" s="2">
        <v>46034</v>
      </c>
      <c r="G289">
        <v>127</v>
      </c>
      <c r="H289" s="2">
        <v>46021</v>
      </c>
      <c r="I289" s="2" t="s">
        <v>202</v>
      </c>
      <c r="J289" s="1" t="s">
        <v>744</v>
      </c>
      <c r="L289" s="2">
        <v>46021</v>
      </c>
      <c r="M289" s="2" t="s">
        <v>1294</v>
      </c>
    </row>
    <row r="290" spans="1:13">
      <c r="A290">
        <v>80813629</v>
      </c>
      <c r="B290" t="s">
        <v>268</v>
      </c>
      <c r="C290" s="1" t="s">
        <v>150</v>
      </c>
      <c r="D290" t="s">
        <v>428</v>
      </c>
      <c r="E290" t="s">
        <v>168</v>
      </c>
      <c r="F290" s="2">
        <v>46034</v>
      </c>
      <c r="G290">
        <v>856</v>
      </c>
      <c r="H290" s="2">
        <v>46021</v>
      </c>
      <c r="I290" s="2" t="s">
        <v>202</v>
      </c>
      <c r="J290" s="1" t="s">
        <v>745</v>
      </c>
      <c r="L290" s="2">
        <v>46021</v>
      </c>
      <c r="M290" s="2" t="s">
        <v>1294</v>
      </c>
    </row>
    <row r="291" spans="1:13">
      <c r="A291">
        <v>80813629</v>
      </c>
      <c r="B291" t="s">
        <v>268</v>
      </c>
      <c r="C291" s="1" t="s">
        <v>151</v>
      </c>
      <c r="D291" t="s">
        <v>428</v>
      </c>
      <c r="E291" t="s">
        <v>168</v>
      </c>
      <c r="F291" s="2">
        <v>46034</v>
      </c>
      <c r="G291">
        <v>982</v>
      </c>
      <c r="H291" s="2">
        <v>46021</v>
      </c>
      <c r="I291" s="2" t="s">
        <v>202</v>
      </c>
      <c r="J291" s="1" t="s">
        <v>746</v>
      </c>
      <c r="L291" s="2">
        <v>46021</v>
      </c>
      <c r="M291" s="2" t="s">
        <v>1294</v>
      </c>
    </row>
    <row r="292" spans="1:13">
      <c r="A292">
        <v>80813629</v>
      </c>
      <c r="B292" t="s">
        <v>268</v>
      </c>
      <c r="C292" s="1" t="s">
        <v>152</v>
      </c>
      <c r="D292" t="s">
        <v>428</v>
      </c>
      <c r="E292" t="s">
        <v>168</v>
      </c>
      <c r="F292" s="2">
        <v>46034</v>
      </c>
      <c r="G292">
        <v>230</v>
      </c>
      <c r="H292" s="2">
        <v>46021</v>
      </c>
      <c r="I292" s="2" t="s">
        <v>202</v>
      </c>
      <c r="J292" s="1" t="s">
        <v>747</v>
      </c>
      <c r="L292" s="2">
        <v>46021</v>
      </c>
      <c r="M292" s="2" t="s">
        <v>1294</v>
      </c>
    </row>
    <row r="293" spans="1:13">
      <c r="A293">
        <v>80813629</v>
      </c>
      <c r="B293" t="s">
        <v>268</v>
      </c>
      <c r="C293" s="1" t="s">
        <v>153</v>
      </c>
      <c r="D293" t="s">
        <v>428</v>
      </c>
      <c r="E293" t="s">
        <v>168</v>
      </c>
      <c r="F293" s="2">
        <v>46034</v>
      </c>
      <c r="G293">
        <v>87</v>
      </c>
      <c r="H293" s="2">
        <v>46021</v>
      </c>
      <c r="I293" s="2" t="s">
        <v>202</v>
      </c>
      <c r="J293" s="1" t="s">
        <v>748</v>
      </c>
      <c r="L293" s="2">
        <v>46021</v>
      </c>
      <c r="M293" s="2" t="s">
        <v>1294</v>
      </c>
    </row>
    <row r="294" spans="1:13">
      <c r="A294">
        <v>80813629</v>
      </c>
      <c r="B294" t="s">
        <v>268</v>
      </c>
      <c r="C294" s="1" t="s">
        <v>154</v>
      </c>
      <c r="D294" t="s">
        <v>428</v>
      </c>
      <c r="E294" t="s">
        <v>168</v>
      </c>
      <c r="F294" s="2">
        <v>46034</v>
      </c>
      <c r="G294">
        <v>110</v>
      </c>
      <c r="H294" s="2">
        <v>46021</v>
      </c>
      <c r="I294" s="2" t="s">
        <v>202</v>
      </c>
      <c r="J294" s="1" t="s">
        <v>749</v>
      </c>
      <c r="L294" s="2">
        <v>46021</v>
      </c>
      <c r="M294" s="2" t="s">
        <v>1294</v>
      </c>
    </row>
    <row r="295" spans="1:13">
      <c r="A295">
        <v>80813629</v>
      </c>
      <c r="B295" t="s">
        <v>268</v>
      </c>
      <c r="C295" s="1" t="s">
        <v>155</v>
      </c>
      <c r="D295" t="s">
        <v>428</v>
      </c>
      <c r="E295" t="s">
        <v>168</v>
      </c>
      <c r="F295" s="2">
        <v>46034</v>
      </c>
      <c r="G295">
        <v>270</v>
      </c>
      <c r="H295" s="2">
        <v>46021</v>
      </c>
      <c r="I295" s="2" t="s">
        <v>202</v>
      </c>
      <c r="J295" s="1" t="s">
        <v>750</v>
      </c>
      <c r="L295" s="2">
        <v>46021</v>
      </c>
      <c r="M295" s="2" t="s">
        <v>1294</v>
      </c>
    </row>
    <row r="296" spans="1:13">
      <c r="A296">
        <v>80813630</v>
      </c>
      <c r="B296" t="s">
        <v>751</v>
      </c>
      <c r="C296" s="1" t="s">
        <v>143</v>
      </c>
      <c r="D296" t="s">
        <v>428</v>
      </c>
      <c r="E296" t="s">
        <v>168</v>
      </c>
      <c r="F296" s="2">
        <v>46034</v>
      </c>
      <c r="G296">
        <v>200</v>
      </c>
      <c r="H296" s="2">
        <v>46021</v>
      </c>
      <c r="I296" s="2" t="s">
        <v>202</v>
      </c>
      <c r="J296" s="1" t="s">
        <v>752</v>
      </c>
      <c r="L296" s="2">
        <v>46021</v>
      </c>
      <c r="M296" s="2" t="s">
        <v>1294</v>
      </c>
    </row>
    <row r="297" spans="1:13">
      <c r="A297">
        <v>80813630</v>
      </c>
      <c r="B297" t="s">
        <v>751</v>
      </c>
      <c r="C297" s="1" t="s">
        <v>150</v>
      </c>
      <c r="D297" t="s">
        <v>428</v>
      </c>
      <c r="E297" t="s">
        <v>168</v>
      </c>
      <c r="F297" s="2">
        <v>46034</v>
      </c>
      <c r="G297">
        <v>1156</v>
      </c>
      <c r="H297" s="2">
        <v>46021</v>
      </c>
      <c r="I297" s="2" t="s">
        <v>202</v>
      </c>
      <c r="J297" s="1" t="s">
        <v>753</v>
      </c>
      <c r="L297" s="2">
        <v>46021</v>
      </c>
      <c r="M297" s="2" t="s">
        <v>1294</v>
      </c>
    </row>
    <row r="298" spans="1:13">
      <c r="A298">
        <v>80813630</v>
      </c>
      <c r="B298" t="s">
        <v>751</v>
      </c>
      <c r="C298" s="1" t="s">
        <v>151</v>
      </c>
      <c r="D298" t="s">
        <v>428</v>
      </c>
      <c r="E298" t="s">
        <v>168</v>
      </c>
      <c r="F298" s="2">
        <v>46034</v>
      </c>
      <c r="G298">
        <v>1175</v>
      </c>
      <c r="H298" s="2">
        <v>46021</v>
      </c>
      <c r="I298" s="2" t="s">
        <v>202</v>
      </c>
      <c r="J298" s="1" t="s">
        <v>754</v>
      </c>
      <c r="L298" s="2">
        <v>46021</v>
      </c>
      <c r="M298" s="2" t="s">
        <v>1294</v>
      </c>
    </row>
    <row r="299" spans="1:13">
      <c r="A299">
        <v>80813630</v>
      </c>
      <c r="B299" t="s">
        <v>751</v>
      </c>
      <c r="C299" s="1" t="s">
        <v>152</v>
      </c>
      <c r="D299" t="s">
        <v>428</v>
      </c>
      <c r="E299" t="s">
        <v>168</v>
      </c>
      <c r="F299" s="2">
        <v>46034</v>
      </c>
      <c r="G299">
        <v>316</v>
      </c>
      <c r="H299" s="2">
        <v>46021</v>
      </c>
      <c r="I299" s="2" t="s">
        <v>202</v>
      </c>
      <c r="J299" s="1" t="s">
        <v>755</v>
      </c>
      <c r="L299" s="2">
        <v>46021</v>
      </c>
      <c r="M299" s="2" t="s">
        <v>1294</v>
      </c>
    </row>
    <row r="300" spans="1:13">
      <c r="A300">
        <v>80813630</v>
      </c>
      <c r="B300" t="s">
        <v>751</v>
      </c>
      <c r="C300" s="1" t="s">
        <v>153</v>
      </c>
      <c r="D300" t="s">
        <v>428</v>
      </c>
      <c r="E300" t="s">
        <v>168</v>
      </c>
      <c r="F300" s="2">
        <v>46034</v>
      </c>
      <c r="G300">
        <v>128</v>
      </c>
      <c r="H300" s="2">
        <v>46021</v>
      </c>
      <c r="I300" s="2" t="s">
        <v>202</v>
      </c>
      <c r="J300" s="1" t="s">
        <v>756</v>
      </c>
      <c r="L300" s="2">
        <v>46021</v>
      </c>
      <c r="M300" s="2" t="s">
        <v>1294</v>
      </c>
    </row>
    <row r="301" spans="1:13">
      <c r="A301">
        <v>80813630</v>
      </c>
      <c r="B301" t="s">
        <v>751</v>
      </c>
      <c r="C301" s="1" t="s">
        <v>154</v>
      </c>
      <c r="D301" t="s">
        <v>428</v>
      </c>
      <c r="E301" t="s">
        <v>168</v>
      </c>
      <c r="F301" s="2">
        <v>46034</v>
      </c>
      <c r="G301">
        <v>202</v>
      </c>
      <c r="H301" s="2">
        <v>46021</v>
      </c>
      <c r="I301" s="2" t="s">
        <v>202</v>
      </c>
      <c r="J301" s="1" t="s">
        <v>757</v>
      </c>
      <c r="L301" s="2">
        <v>46021</v>
      </c>
      <c r="M301" s="2" t="s">
        <v>1294</v>
      </c>
    </row>
    <row r="302" spans="1:13">
      <c r="A302">
        <v>80813630</v>
      </c>
      <c r="B302" t="s">
        <v>751</v>
      </c>
      <c r="C302" s="1" t="s">
        <v>155</v>
      </c>
      <c r="D302" t="s">
        <v>428</v>
      </c>
      <c r="E302" t="s">
        <v>168</v>
      </c>
      <c r="F302" s="2">
        <v>46034</v>
      </c>
      <c r="G302">
        <v>386</v>
      </c>
      <c r="H302" s="2">
        <v>46021</v>
      </c>
      <c r="I302" s="2" t="s">
        <v>202</v>
      </c>
      <c r="J302" s="1" t="s">
        <v>758</v>
      </c>
      <c r="L302" s="2">
        <v>46021</v>
      </c>
      <c r="M302" s="2" t="s">
        <v>1294</v>
      </c>
    </row>
    <row r="303" spans="1:13">
      <c r="A303">
        <v>80813631</v>
      </c>
      <c r="B303" t="s">
        <v>759</v>
      </c>
      <c r="C303" s="1" t="s">
        <v>143</v>
      </c>
      <c r="D303" t="s">
        <v>428</v>
      </c>
      <c r="E303" t="s">
        <v>168</v>
      </c>
      <c r="F303" s="2">
        <v>46034</v>
      </c>
      <c r="G303">
        <v>16</v>
      </c>
      <c r="H303" s="2">
        <v>46021</v>
      </c>
      <c r="I303" s="2" t="s">
        <v>202</v>
      </c>
      <c r="J303" s="1" t="s">
        <v>760</v>
      </c>
      <c r="L303" s="2">
        <v>46021</v>
      </c>
      <c r="M303" s="2" t="s">
        <v>1294</v>
      </c>
    </row>
    <row r="304" spans="1:13">
      <c r="A304">
        <v>80813631</v>
      </c>
      <c r="B304" t="s">
        <v>759</v>
      </c>
      <c r="C304" s="1" t="s">
        <v>150</v>
      </c>
      <c r="D304" t="s">
        <v>428</v>
      </c>
      <c r="E304" t="s">
        <v>168</v>
      </c>
      <c r="F304" s="2">
        <v>46034</v>
      </c>
      <c r="G304">
        <v>317</v>
      </c>
      <c r="H304" s="2">
        <v>46021</v>
      </c>
      <c r="I304" s="2" t="s">
        <v>202</v>
      </c>
      <c r="J304" s="1" t="s">
        <v>761</v>
      </c>
      <c r="L304" s="2">
        <v>46021</v>
      </c>
      <c r="M304" s="2" t="s">
        <v>1294</v>
      </c>
    </row>
    <row r="305" spans="1:13">
      <c r="A305">
        <v>80813631</v>
      </c>
      <c r="B305" t="s">
        <v>759</v>
      </c>
      <c r="C305" s="1" t="s">
        <v>151</v>
      </c>
      <c r="D305" t="s">
        <v>428</v>
      </c>
      <c r="E305" t="s">
        <v>168</v>
      </c>
      <c r="F305" s="2">
        <v>46034</v>
      </c>
      <c r="G305">
        <v>312</v>
      </c>
      <c r="H305" s="2">
        <v>46021</v>
      </c>
      <c r="I305" s="2" t="s">
        <v>202</v>
      </c>
      <c r="J305" s="1" t="s">
        <v>762</v>
      </c>
      <c r="L305" s="2">
        <v>46021</v>
      </c>
      <c r="M305" s="2" t="s">
        <v>1294</v>
      </c>
    </row>
    <row r="306" spans="1:13">
      <c r="A306">
        <v>80813631</v>
      </c>
      <c r="B306" t="s">
        <v>759</v>
      </c>
      <c r="C306" s="1" t="s">
        <v>152</v>
      </c>
      <c r="D306" t="s">
        <v>428</v>
      </c>
      <c r="E306" t="s">
        <v>168</v>
      </c>
      <c r="F306" s="2">
        <v>46034</v>
      </c>
      <c r="G306">
        <v>50</v>
      </c>
      <c r="H306" s="2">
        <v>46021</v>
      </c>
      <c r="I306" s="2" t="s">
        <v>202</v>
      </c>
      <c r="J306" s="1" t="s">
        <v>763</v>
      </c>
      <c r="L306" s="2">
        <v>46021</v>
      </c>
      <c r="M306" s="2" t="s">
        <v>1294</v>
      </c>
    </row>
    <row r="307" spans="1:13">
      <c r="A307">
        <v>80813631</v>
      </c>
      <c r="B307" t="s">
        <v>759</v>
      </c>
      <c r="C307" s="1" t="s">
        <v>153</v>
      </c>
      <c r="D307" t="s">
        <v>428</v>
      </c>
      <c r="E307" t="s">
        <v>168</v>
      </c>
      <c r="F307" s="2">
        <v>46034</v>
      </c>
      <c r="G307">
        <v>17</v>
      </c>
      <c r="H307" s="2">
        <v>46021</v>
      </c>
      <c r="I307" s="2" t="s">
        <v>202</v>
      </c>
      <c r="J307" s="1" t="s">
        <v>764</v>
      </c>
      <c r="L307" s="2">
        <v>46021</v>
      </c>
      <c r="M307" s="2" t="s">
        <v>1294</v>
      </c>
    </row>
    <row r="308" spans="1:13">
      <c r="A308">
        <v>80813631</v>
      </c>
      <c r="B308" t="s">
        <v>759</v>
      </c>
      <c r="C308" s="1" t="s">
        <v>154</v>
      </c>
      <c r="D308" t="s">
        <v>428</v>
      </c>
      <c r="E308" t="s">
        <v>168</v>
      </c>
      <c r="F308" s="2">
        <v>46034</v>
      </c>
      <c r="G308">
        <v>49</v>
      </c>
      <c r="H308" s="2">
        <v>46021</v>
      </c>
      <c r="I308" s="2" t="s">
        <v>202</v>
      </c>
      <c r="J308" s="1" t="s">
        <v>765</v>
      </c>
      <c r="L308" s="2">
        <v>46021</v>
      </c>
      <c r="M308" s="2" t="s">
        <v>1294</v>
      </c>
    </row>
    <row r="309" spans="1:13">
      <c r="A309">
        <v>80813631</v>
      </c>
      <c r="B309" t="s">
        <v>759</v>
      </c>
      <c r="C309" s="1" t="s">
        <v>155</v>
      </c>
      <c r="D309" t="s">
        <v>428</v>
      </c>
      <c r="E309" t="s">
        <v>168</v>
      </c>
      <c r="F309" s="2">
        <v>46034</v>
      </c>
      <c r="G309">
        <v>160</v>
      </c>
      <c r="H309" s="2">
        <v>46021</v>
      </c>
      <c r="I309" s="2" t="s">
        <v>202</v>
      </c>
      <c r="J309" s="1" t="s">
        <v>766</v>
      </c>
      <c r="L309" s="2">
        <v>46021</v>
      </c>
      <c r="M309" s="2" t="s">
        <v>1294</v>
      </c>
    </row>
    <row r="310" spans="1:13">
      <c r="A310">
        <v>80813633</v>
      </c>
      <c r="B310" t="s">
        <v>767</v>
      </c>
      <c r="C310" s="1" t="s">
        <v>143</v>
      </c>
      <c r="D310" t="s">
        <v>428</v>
      </c>
      <c r="E310" t="s">
        <v>168</v>
      </c>
      <c r="F310" s="2">
        <v>46034</v>
      </c>
      <c r="G310">
        <v>19</v>
      </c>
      <c r="H310" s="2">
        <v>46021</v>
      </c>
      <c r="I310" s="2" t="s">
        <v>202</v>
      </c>
      <c r="J310" s="1" t="s">
        <v>768</v>
      </c>
      <c r="L310" s="2">
        <v>46021</v>
      </c>
      <c r="M310" s="2" t="s">
        <v>1294</v>
      </c>
    </row>
    <row r="311" spans="1:13">
      <c r="A311">
        <v>80813633</v>
      </c>
      <c r="B311" t="s">
        <v>767</v>
      </c>
      <c r="C311" s="1" t="s">
        <v>150</v>
      </c>
      <c r="D311" t="s">
        <v>428</v>
      </c>
      <c r="E311" t="s">
        <v>168</v>
      </c>
      <c r="F311" s="2">
        <v>46034</v>
      </c>
      <c r="G311">
        <v>198</v>
      </c>
      <c r="H311" s="2">
        <v>46021</v>
      </c>
      <c r="I311" s="2" t="s">
        <v>202</v>
      </c>
      <c r="J311" s="1" t="s">
        <v>769</v>
      </c>
      <c r="L311" s="2">
        <v>46021</v>
      </c>
      <c r="M311" s="2" t="s">
        <v>1294</v>
      </c>
    </row>
    <row r="312" spans="1:13">
      <c r="A312">
        <v>80813633</v>
      </c>
      <c r="B312" t="s">
        <v>767</v>
      </c>
      <c r="C312" s="1" t="s">
        <v>151</v>
      </c>
      <c r="D312" t="s">
        <v>428</v>
      </c>
      <c r="E312" t="s">
        <v>168</v>
      </c>
      <c r="F312" s="2">
        <v>46034</v>
      </c>
      <c r="G312">
        <v>247</v>
      </c>
      <c r="H312" s="2">
        <v>46021</v>
      </c>
      <c r="I312" s="2" t="s">
        <v>202</v>
      </c>
      <c r="J312" s="1" t="s">
        <v>770</v>
      </c>
      <c r="L312" s="2">
        <v>46021</v>
      </c>
      <c r="M312" s="2" t="s">
        <v>1294</v>
      </c>
    </row>
    <row r="313" spans="1:13">
      <c r="A313">
        <v>80813633</v>
      </c>
      <c r="B313" t="s">
        <v>767</v>
      </c>
      <c r="C313" s="1" t="s">
        <v>152</v>
      </c>
      <c r="D313" t="s">
        <v>428</v>
      </c>
      <c r="E313" t="s">
        <v>168</v>
      </c>
      <c r="F313" s="2">
        <v>46034</v>
      </c>
      <c r="G313">
        <v>53</v>
      </c>
      <c r="H313" s="2">
        <v>46021</v>
      </c>
      <c r="I313" s="2" t="s">
        <v>202</v>
      </c>
      <c r="J313" s="1" t="s">
        <v>771</v>
      </c>
      <c r="L313" s="2">
        <v>46021</v>
      </c>
      <c r="M313" s="2" t="s">
        <v>1294</v>
      </c>
    </row>
    <row r="314" spans="1:13">
      <c r="A314">
        <v>80813633</v>
      </c>
      <c r="B314" t="s">
        <v>767</v>
      </c>
      <c r="C314" s="1" t="s">
        <v>153</v>
      </c>
      <c r="D314" t="s">
        <v>428</v>
      </c>
      <c r="E314" t="s">
        <v>168</v>
      </c>
      <c r="F314" s="2">
        <v>46034</v>
      </c>
      <c r="G314">
        <v>21</v>
      </c>
      <c r="H314" s="2">
        <v>46021</v>
      </c>
      <c r="I314" s="2" t="s">
        <v>202</v>
      </c>
      <c r="J314" s="1" t="s">
        <v>772</v>
      </c>
      <c r="L314" s="2">
        <v>46021</v>
      </c>
      <c r="M314" s="2" t="s">
        <v>1294</v>
      </c>
    </row>
    <row r="315" spans="1:13">
      <c r="A315">
        <v>80813633</v>
      </c>
      <c r="B315" t="s">
        <v>767</v>
      </c>
      <c r="C315" s="1" t="s">
        <v>154</v>
      </c>
      <c r="D315" t="s">
        <v>428</v>
      </c>
      <c r="E315" t="s">
        <v>168</v>
      </c>
      <c r="F315" s="2">
        <v>46034</v>
      </c>
      <c r="G315">
        <v>29</v>
      </c>
      <c r="H315" s="2">
        <v>46021</v>
      </c>
      <c r="I315" s="2" t="s">
        <v>202</v>
      </c>
      <c r="J315" s="1" t="s">
        <v>773</v>
      </c>
      <c r="L315" s="2">
        <v>46021</v>
      </c>
      <c r="M315" s="2" t="s">
        <v>1294</v>
      </c>
    </row>
    <row r="316" spans="1:13">
      <c r="A316">
        <v>80813633</v>
      </c>
      <c r="B316" t="s">
        <v>767</v>
      </c>
      <c r="C316" s="1" t="s">
        <v>155</v>
      </c>
      <c r="D316" t="s">
        <v>428</v>
      </c>
      <c r="E316" t="s">
        <v>168</v>
      </c>
      <c r="F316" s="2">
        <v>46034</v>
      </c>
      <c r="G316">
        <v>33</v>
      </c>
      <c r="H316" s="2">
        <v>46021</v>
      </c>
      <c r="I316" s="2" t="s">
        <v>202</v>
      </c>
      <c r="J316" s="1" t="s">
        <v>774</v>
      </c>
      <c r="L316" s="2">
        <v>46021</v>
      </c>
      <c r="M316" s="2" t="s">
        <v>1294</v>
      </c>
    </row>
    <row r="317" spans="1:13">
      <c r="A317">
        <v>80813634</v>
      </c>
      <c r="B317" t="s">
        <v>775</v>
      </c>
      <c r="C317" s="1" t="s">
        <v>143</v>
      </c>
      <c r="D317" t="s">
        <v>428</v>
      </c>
      <c r="E317" t="s">
        <v>168</v>
      </c>
      <c r="F317" s="2">
        <v>46034</v>
      </c>
      <c r="G317">
        <v>15</v>
      </c>
      <c r="H317" s="2">
        <v>46021</v>
      </c>
      <c r="I317" s="2" t="s">
        <v>202</v>
      </c>
      <c r="J317" s="1" t="s">
        <v>776</v>
      </c>
      <c r="L317" s="2">
        <v>46021</v>
      </c>
      <c r="M317" s="2" t="s">
        <v>1294</v>
      </c>
    </row>
    <row r="318" spans="1:13">
      <c r="A318">
        <v>80813634</v>
      </c>
      <c r="B318" t="s">
        <v>775</v>
      </c>
      <c r="C318" s="1" t="s">
        <v>150</v>
      </c>
      <c r="D318" t="s">
        <v>428</v>
      </c>
      <c r="E318" t="s">
        <v>168</v>
      </c>
      <c r="F318" s="2">
        <v>46034</v>
      </c>
      <c r="G318">
        <v>352</v>
      </c>
      <c r="H318" s="2">
        <v>46021</v>
      </c>
      <c r="I318" s="2" t="s">
        <v>202</v>
      </c>
      <c r="J318" s="1" t="s">
        <v>777</v>
      </c>
      <c r="L318" s="2">
        <v>46021</v>
      </c>
      <c r="M318" s="2" t="s">
        <v>1294</v>
      </c>
    </row>
    <row r="319" spans="1:13">
      <c r="A319">
        <v>80813634</v>
      </c>
      <c r="B319" t="s">
        <v>775</v>
      </c>
      <c r="C319" s="1" t="s">
        <v>151</v>
      </c>
      <c r="D319" t="s">
        <v>428</v>
      </c>
      <c r="E319" t="s">
        <v>168</v>
      </c>
      <c r="F319" s="2">
        <v>46034</v>
      </c>
      <c r="G319">
        <v>256</v>
      </c>
      <c r="H319" s="2">
        <v>46021</v>
      </c>
      <c r="I319" s="2" t="s">
        <v>202</v>
      </c>
      <c r="J319" s="1" t="s">
        <v>778</v>
      </c>
      <c r="L319" s="2">
        <v>46021</v>
      </c>
      <c r="M319" s="2" t="s">
        <v>1294</v>
      </c>
    </row>
    <row r="320" spans="1:13">
      <c r="A320">
        <v>80813634</v>
      </c>
      <c r="B320" t="s">
        <v>775</v>
      </c>
      <c r="C320" s="1" t="s">
        <v>152</v>
      </c>
      <c r="D320" t="s">
        <v>428</v>
      </c>
      <c r="E320" t="s">
        <v>168</v>
      </c>
      <c r="F320" s="2">
        <v>46034</v>
      </c>
      <c r="G320">
        <v>54</v>
      </c>
      <c r="H320" s="2">
        <v>46021</v>
      </c>
      <c r="I320" s="2" t="s">
        <v>202</v>
      </c>
      <c r="J320" s="1" t="s">
        <v>779</v>
      </c>
      <c r="L320" s="2">
        <v>46021</v>
      </c>
      <c r="M320" s="2" t="s">
        <v>1294</v>
      </c>
    </row>
    <row r="321" spans="1:13">
      <c r="A321">
        <v>80813634</v>
      </c>
      <c r="B321" t="s">
        <v>775</v>
      </c>
      <c r="C321" s="1" t="s">
        <v>153</v>
      </c>
      <c r="D321" t="s">
        <v>428</v>
      </c>
      <c r="E321" t="s">
        <v>168</v>
      </c>
      <c r="F321" s="2">
        <v>46034</v>
      </c>
      <c r="G321">
        <v>39</v>
      </c>
      <c r="H321" s="2">
        <v>46021</v>
      </c>
      <c r="I321" s="2" t="s">
        <v>202</v>
      </c>
      <c r="J321" s="1" t="s">
        <v>780</v>
      </c>
      <c r="L321" s="2">
        <v>46021</v>
      </c>
      <c r="M321" s="2" t="s">
        <v>1294</v>
      </c>
    </row>
    <row r="322" spans="1:13">
      <c r="A322">
        <v>80813634</v>
      </c>
      <c r="B322" t="s">
        <v>775</v>
      </c>
      <c r="C322" s="1" t="s">
        <v>154</v>
      </c>
      <c r="D322" t="s">
        <v>428</v>
      </c>
      <c r="E322" t="s">
        <v>168</v>
      </c>
      <c r="F322" s="2">
        <v>46034</v>
      </c>
      <c r="G322">
        <v>43</v>
      </c>
      <c r="H322" s="2">
        <v>46021</v>
      </c>
      <c r="I322" s="2" t="s">
        <v>202</v>
      </c>
      <c r="J322" s="1" t="s">
        <v>781</v>
      </c>
      <c r="L322" s="2">
        <v>46021</v>
      </c>
      <c r="M322" s="2" t="s">
        <v>1294</v>
      </c>
    </row>
    <row r="323" spans="1:13">
      <c r="A323">
        <v>80813634</v>
      </c>
      <c r="B323" t="s">
        <v>775</v>
      </c>
      <c r="C323" s="1" t="s">
        <v>155</v>
      </c>
      <c r="D323" t="s">
        <v>428</v>
      </c>
      <c r="E323" t="s">
        <v>168</v>
      </c>
      <c r="F323" s="2">
        <v>46034</v>
      </c>
      <c r="G323">
        <v>130</v>
      </c>
      <c r="H323" s="2">
        <v>46021</v>
      </c>
      <c r="I323" s="2" t="s">
        <v>202</v>
      </c>
      <c r="J323" s="1" t="s">
        <v>782</v>
      </c>
      <c r="L323" s="2">
        <v>46021</v>
      </c>
      <c r="M323" s="2" t="s">
        <v>1294</v>
      </c>
    </row>
    <row r="324" spans="1:13">
      <c r="A324">
        <v>80813636</v>
      </c>
      <c r="B324" t="s">
        <v>783</v>
      </c>
      <c r="C324" s="1" t="s">
        <v>143</v>
      </c>
      <c r="D324" t="s">
        <v>428</v>
      </c>
      <c r="E324" t="s">
        <v>168</v>
      </c>
      <c r="F324" s="2">
        <v>46034</v>
      </c>
      <c r="G324">
        <v>207</v>
      </c>
      <c r="H324" s="2">
        <v>46021</v>
      </c>
      <c r="I324" s="2" t="s">
        <v>202</v>
      </c>
      <c r="J324" s="1" t="s">
        <v>784</v>
      </c>
      <c r="L324" s="2">
        <v>46021</v>
      </c>
      <c r="M324" s="2" t="s">
        <v>1294</v>
      </c>
    </row>
    <row r="325" spans="1:13">
      <c r="A325">
        <v>80813636</v>
      </c>
      <c r="B325" t="s">
        <v>783</v>
      </c>
      <c r="C325" s="1" t="s">
        <v>150</v>
      </c>
      <c r="D325" t="s">
        <v>428</v>
      </c>
      <c r="E325" t="s">
        <v>168</v>
      </c>
      <c r="F325" s="2">
        <v>46034</v>
      </c>
      <c r="G325">
        <v>944</v>
      </c>
      <c r="H325" s="2">
        <v>46021</v>
      </c>
      <c r="I325" s="2" t="s">
        <v>202</v>
      </c>
      <c r="J325" s="1" t="s">
        <v>785</v>
      </c>
      <c r="L325" s="2">
        <v>46021</v>
      </c>
      <c r="M325" s="2" t="s">
        <v>1294</v>
      </c>
    </row>
    <row r="326" spans="1:13">
      <c r="A326">
        <v>80813636</v>
      </c>
      <c r="B326" t="s">
        <v>783</v>
      </c>
      <c r="C326" s="1" t="s">
        <v>151</v>
      </c>
      <c r="D326" t="s">
        <v>428</v>
      </c>
      <c r="E326" t="s">
        <v>168</v>
      </c>
      <c r="F326" s="2">
        <v>46034</v>
      </c>
      <c r="G326">
        <v>1026</v>
      </c>
      <c r="H326" s="2">
        <v>46021</v>
      </c>
      <c r="I326" s="2" t="s">
        <v>202</v>
      </c>
      <c r="J326" s="1" t="s">
        <v>786</v>
      </c>
      <c r="L326" s="2">
        <v>46021</v>
      </c>
      <c r="M326" s="2" t="s">
        <v>1294</v>
      </c>
    </row>
    <row r="327" spans="1:13">
      <c r="A327">
        <v>80813636</v>
      </c>
      <c r="B327" t="s">
        <v>783</v>
      </c>
      <c r="C327" s="1" t="s">
        <v>152</v>
      </c>
      <c r="D327" t="s">
        <v>428</v>
      </c>
      <c r="E327" t="s">
        <v>168</v>
      </c>
      <c r="F327" s="2">
        <v>46034</v>
      </c>
      <c r="G327">
        <v>499</v>
      </c>
      <c r="H327" s="2">
        <v>46021</v>
      </c>
      <c r="I327" s="2" t="s">
        <v>202</v>
      </c>
      <c r="J327" s="1" t="s">
        <v>787</v>
      </c>
      <c r="L327" s="2">
        <v>46021</v>
      </c>
      <c r="M327" s="2" t="s">
        <v>1294</v>
      </c>
    </row>
    <row r="328" spans="1:13">
      <c r="A328">
        <v>80813636</v>
      </c>
      <c r="B328" t="s">
        <v>783</v>
      </c>
      <c r="C328" s="1" t="s">
        <v>153</v>
      </c>
      <c r="D328" t="s">
        <v>428</v>
      </c>
      <c r="E328" t="s">
        <v>168</v>
      </c>
      <c r="F328" s="2">
        <v>46034</v>
      </c>
      <c r="G328">
        <v>144</v>
      </c>
      <c r="H328" s="2">
        <v>46021</v>
      </c>
      <c r="I328" s="2" t="s">
        <v>202</v>
      </c>
      <c r="J328" s="1" t="s">
        <v>788</v>
      </c>
      <c r="L328" s="2">
        <v>46021</v>
      </c>
      <c r="M328" s="2" t="s">
        <v>1294</v>
      </c>
    </row>
    <row r="329" spans="1:13">
      <c r="A329">
        <v>80813636</v>
      </c>
      <c r="B329" t="s">
        <v>783</v>
      </c>
      <c r="C329" s="1" t="s">
        <v>154</v>
      </c>
      <c r="D329" t="s">
        <v>428</v>
      </c>
      <c r="E329" t="s">
        <v>168</v>
      </c>
      <c r="F329" s="2">
        <v>46034</v>
      </c>
      <c r="G329">
        <v>147</v>
      </c>
      <c r="H329" s="2">
        <v>46021</v>
      </c>
      <c r="I329" s="2" t="s">
        <v>202</v>
      </c>
      <c r="J329" s="1" t="s">
        <v>789</v>
      </c>
      <c r="L329" s="2">
        <v>46021</v>
      </c>
      <c r="M329" s="2" t="s">
        <v>1294</v>
      </c>
    </row>
    <row r="330" spans="1:13">
      <c r="A330">
        <v>80813636</v>
      </c>
      <c r="B330" t="s">
        <v>783</v>
      </c>
      <c r="C330" s="1" t="s">
        <v>155</v>
      </c>
      <c r="D330" t="s">
        <v>428</v>
      </c>
      <c r="E330" t="s">
        <v>168</v>
      </c>
      <c r="F330" s="2">
        <v>46034</v>
      </c>
      <c r="G330">
        <v>465</v>
      </c>
      <c r="H330" s="2">
        <v>46021</v>
      </c>
      <c r="I330" s="2" t="s">
        <v>202</v>
      </c>
      <c r="J330" s="1" t="s">
        <v>790</v>
      </c>
      <c r="L330" s="2">
        <v>46021</v>
      </c>
      <c r="M330" s="2" t="s">
        <v>1294</v>
      </c>
    </row>
    <row r="331" spans="1:13">
      <c r="A331">
        <v>80813637</v>
      </c>
      <c r="B331" t="s">
        <v>266</v>
      </c>
      <c r="C331" s="1" t="s">
        <v>143</v>
      </c>
      <c r="D331" t="s">
        <v>428</v>
      </c>
      <c r="E331" t="s">
        <v>168</v>
      </c>
      <c r="F331" s="2">
        <v>46034</v>
      </c>
      <c r="G331">
        <v>198</v>
      </c>
      <c r="H331" s="2">
        <v>46021</v>
      </c>
      <c r="I331" s="2" t="s">
        <v>202</v>
      </c>
      <c r="J331" s="1" t="s">
        <v>791</v>
      </c>
      <c r="L331" s="2">
        <v>46021</v>
      </c>
      <c r="M331" s="2" t="s">
        <v>1294</v>
      </c>
    </row>
    <row r="332" spans="1:13">
      <c r="A332">
        <v>80813637</v>
      </c>
      <c r="B332" t="s">
        <v>266</v>
      </c>
      <c r="C332" s="1" t="s">
        <v>150</v>
      </c>
      <c r="D332" t="s">
        <v>428</v>
      </c>
      <c r="E332" t="s">
        <v>168</v>
      </c>
      <c r="F332" s="2">
        <v>46034</v>
      </c>
      <c r="G332">
        <v>1541</v>
      </c>
      <c r="H332" s="2">
        <v>46021</v>
      </c>
      <c r="I332" s="2" t="s">
        <v>202</v>
      </c>
      <c r="J332" s="1" t="s">
        <v>792</v>
      </c>
      <c r="L332" s="2">
        <v>46021</v>
      </c>
      <c r="M332" s="2" t="s">
        <v>1294</v>
      </c>
    </row>
    <row r="333" spans="1:13">
      <c r="A333">
        <v>80813637</v>
      </c>
      <c r="B333" t="s">
        <v>266</v>
      </c>
      <c r="C333" s="1" t="s">
        <v>151</v>
      </c>
      <c r="D333" t="s">
        <v>428</v>
      </c>
      <c r="E333" t="s">
        <v>168</v>
      </c>
      <c r="F333" s="2">
        <v>46034</v>
      </c>
      <c r="G333">
        <v>1269</v>
      </c>
      <c r="H333" s="2">
        <v>46021</v>
      </c>
      <c r="I333" s="2" t="s">
        <v>202</v>
      </c>
      <c r="J333" s="1" t="s">
        <v>793</v>
      </c>
      <c r="L333" s="2">
        <v>46021</v>
      </c>
      <c r="M333" s="2" t="s">
        <v>1294</v>
      </c>
    </row>
    <row r="334" spans="1:13">
      <c r="A334">
        <v>80813637</v>
      </c>
      <c r="B334" t="s">
        <v>266</v>
      </c>
      <c r="C334" s="1" t="s">
        <v>152</v>
      </c>
      <c r="D334" t="s">
        <v>428</v>
      </c>
      <c r="E334" t="s">
        <v>168</v>
      </c>
      <c r="F334" s="2">
        <v>46034</v>
      </c>
      <c r="G334">
        <v>261</v>
      </c>
      <c r="H334" s="2">
        <v>46021</v>
      </c>
      <c r="I334" s="2" t="s">
        <v>202</v>
      </c>
      <c r="J334" s="1" t="s">
        <v>794</v>
      </c>
      <c r="L334" s="2">
        <v>46021</v>
      </c>
      <c r="M334" s="2" t="s">
        <v>1294</v>
      </c>
    </row>
    <row r="335" spans="1:13">
      <c r="A335">
        <v>80813637</v>
      </c>
      <c r="B335" t="s">
        <v>266</v>
      </c>
      <c r="C335" s="1" t="s">
        <v>153</v>
      </c>
      <c r="D335" t="s">
        <v>428</v>
      </c>
      <c r="E335" t="s">
        <v>168</v>
      </c>
      <c r="F335" s="2">
        <v>46034</v>
      </c>
      <c r="G335">
        <v>102</v>
      </c>
      <c r="H335" s="2">
        <v>46021</v>
      </c>
      <c r="I335" s="2" t="s">
        <v>202</v>
      </c>
      <c r="J335" s="1" t="s">
        <v>795</v>
      </c>
      <c r="L335" s="2">
        <v>46021</v>
      </c>
      <c r="M335" s="2" t="s">
        <v>1294</v>
      </c>
    </row>
    <row r="336" spans="1:13">
      <c r="A336">
        <v>80813637</v>
      </c>
      <c r="B336" t="s">
        <v>266</v>
      </c>
      <c r="C336" s="1" t="s">
        <v>154</v>
      </c>
      <c r="D336" t="s">
        <v>428</v>
      </c>
      <c r="E336" t="s">
        <v>168</v>
      </c>
      <c r="F336" s="2">
        <v>46034</v>
      </c>
      <c r="G336">
        <v>179</v>
      </c>
      <c r="H336" s="2">
        <v>46021</v>
      </c>
      <c r="I336" s="2" t="s">
        <v>202</v>
      </c>
      <c r="J336" s="1" t="s">
        <v>796</v>
      </c>
      <c r="L336" s="2">
        <v>46021</v>
      </c>
      <c r="M336" s="2" t="s">
        <v>1294</v>
      </c>
    </row>
    <row r="337" spans="1:13">
      <c r="A337">
        <v>80813637</v>
      </c>
      <c r="B337" t="s">
        <v>266</v>
      </c>
      <c r="C337" s="1" t="s">
        <v>155</v>
      </c>
      <c r="D337" t="s">
        <v>428</v>
      </c>
      <c r="E337" t="s">
        <v>168</v>
      </c>
      <c r="F337" s="2">
        <v>46034</v>
      </c>
      <c r="G337">
        <v>473</v>
      </c>
      <c r="H337" s="2">
        <v>46021</v>
      </c>
      <c r="I337" s="2" t="s">
        <v>202</v>
      </c>
      <c r="J337" s="1" t="s">
        <v>797</v>
      </c>
      <c r="L337" s="2">
        <v>46021</v>
      </c>
      <c r="M337" s="2" t="s">
        <v>1294</v>
      </c>
    </row>
    <row r="338" spans="1:13">
      <c r="A338">
        <v>80813642</v>
      </c>
      <c r="B338" t="s">
        <v>798</v>
      </c>
      <c r="C338" s="1" t="s">
        <v>143</v>
      </c>
      <c r="D338" t="s">
        <v>428</v>
      </c>
      <c r="E338" t="s">
        <v>168</v>
      </c>
      <c r="F338" s="2">
        <v>46034</v>
      </c>
      <c r="G338">
        <v>11</v>
      </c>
      <c r="H338" s="2">
        <v>46021</v>
      </c>
      <c r="I338" s="2" t="s">
        <v>202</v>
      </c>
      <c r="J338" s="1" t="s">
        <v>799</v>
      </c>
      <c r="L338" s="2">
        <v>46021</v>
      </c>
      <c r="M338" s="2" t="s">
        <v>1294</v>
      </c>
    </row>
    <row r="339" spans="1:13">
      <c r="A339">
        <v>80813642</v>
      </c>
      <c r="B339" t="s">
        <v>798</v>
      </c>
      <c r="C339" s="1" t="s">
        <v>150</v>
      </c>
      <c r="D339" t="s">
        <v>428</v>
      </c>
      <c r="E339" t="s">
        <v>168</v>
      </c>
      <c r="F339" s="2">
        <v>46034</v>
      </c>
      <c r="G339">
        <v>213</v>
      </c>
      <c r="H339" s="2">
        <v>46021</v>
      </c>
      <c r="I339" s="2" t="s">
        <v>202</v>
      </c>
      <c r="J339" s="1" t="s">
        <v>800</v>
      </c>
      <c r="L339" s="2">
        <v>46021</v>
      </c>
      <c r="M339" s="2" t="s">
        <v>1294</v>
      </c>
    </row>
    <row r="340" spans="1:13">
      <c r="A340">
        <v>80813642</v>
      </c>
      <c r="B340" t="s">
        <v>798</v>
      </c>
      <c r="C340" s="1" t="s">
        <v>151</v>
      </c>
      <c r="D340" t="s">
        <v>428</v>
      </c>
      <c r="E340" t="s">
        <v>168</v>
      </c>
      <c r="F340" s="2">
        <v>46034</v>
      </c>
      <c r="G340">
        <v>208</v>
      </c>
      <c r="H340" s="2">
        <v>46021</v>
      </c>
      <c r="I340" s="2" t="s">
        <v>202</v>
      </c>
      <c r="J340" s="1" t="s">
        <v>801</v>
      </c>
      <c r="L340" s="2">
        <v>46021</v>
      </c>
      <c r="M340" s="2" t="s">
        <v>1294</v>
      </c>
    </row>
    <row r="341" spans="1:13">
      <c r="A341">
        <v>80813642</v>
      </c>
      <c r="B341" t="s">
        <v>798</v>
      </c>
      <c r="C341" s="1" t="s">
        <v>152</v>
      </c>
      <c r="D341" t="s">
        <v>428</v>
      </c>
      <c r="E341" t="s">
        <v>168</v>
      </c>
      <c r="F341" s="2">
        <v>46034</v>
      </c>
      <c r="G341">
        <v>47</v>
      </c>
      <c r="H341" s="2">
        <v>46021</v>
      </c>
      <c r="I341" s="2" t="s">
        <v>202</v>
      </c>
      <c r="J341" s="1" t="s">
        <v>802</v>
      </c>
      <c r="L341" s="2">
        <v>46021</v>
      </c>
      <c r="M341" s="2" t="s">
        <v>1294</v>
      </c>
    </row>
    <row r="342" spans="1:13">
      <c r="A342">
        <v>80813642</v>
      </c>
      <c r="B342" t="s">
        <v>798</v>
      </c>
      <c r="C342" s="1" t="s">
        <v>153</v>
      </c>
      <c r="D342" t="s">
        <v>428</v>
      </c>
      <c r="E342" t="s">
        <v>168</v>
      </c>
      <c r="F342" s="2">
        <v>46034</v>
      </c>
      <c r="G342">
        <v>13</v>
      </c>
      <c r="H342" s="2">
        <v>46021</v>
      </c>
      <c r="I342" s="2" t="s">
        <v>202</v>
      </c>
      <c r="J342" s="1" t="s">
        <v>803</v>
      </c>
      <c r="L342" s="2">
        <v>46021</v>
      </c>
      <c r="M342" s="2" t="s">
        <v>1294</v>
      </c>
    </row>
    <row r="343" spans="1:13">
      <c r="A343">
        <v>80813642</v>
      </c>
      <c r="B343" t="s">
        <v>798</v>
      </c>
      <c r="C343" s="1" t="s">
        <v>154</v>
      </c>
      <c r="D343" t="s">
        <v>428</v>
      </c>
      <c r="E343" t="s">
        <v>168</v>
      </c>
      <c r="F343" s="2">
        <v>46034</v>
      </c>
      <c r="G343">
        <v>31</v>
      </c>
      <c r="H343" s="2">
        <v>46021</v>
      </c>
      <c r="I343" s="2" t="s">
        <v>202</v>
      </c>
      <c r="J343" s="1" t="s">
        <v>804</v>
      </c>
      <c r="L343" s="2">
        <v>46021</v>
      </c>
      <c r="M343" s="2" t="s">
        <v>1294</v>
      </c>
    </row>
    <row r="344" spans="1:13">
      <c r="A344">
        <v>80813642</v>
      </c>
      <c r="B344" t="s">
        <v>798</v>
      </c>
      <c r="C344" s="1" t="s">
        <v>155</v>
      </c>
      <c r="D344" t="s">
        <v>428</v>
      </c>
      <c r="E344" t="s">
        <v>168</v>
      </c>
      <c r="F344" s="2">
        <v>46034</v>
      </c>
      <c r="G344">
        <v>54</v>
      </c>
      <c r="H344" s="2">
        <v>46021</v>
      </c>
      <c r="I344" s="2" t="s">
        <v>202</v>
      </c>
      <c r="J344" s="1" t="s">
        <v>805</v>
      </c>
      <c r="L344" s="2">
        <v>46021</v>
      </c>
      <c r="M344" s="2" t="s">
        <v>1294</v>
      </c>
    </row>
    <row r="345" spans="1:13">
      <c r="A345">
        <v>80823373</v>
      </c>
      <c r="B345" t="s">
        <v>806</v>
      </c>
      <c r="C345" s="1" t="s">
        <v>143</v>
      </c>
      <c r="D345" t="s">
        <v>428</v>
      </c>
      <c r="E345" t="s">
        <v>168</v>
      </c>
      <c r="F345" s="2">
        <v>46034</v>
      </c>
      <c r="G345">
        <v>9</v>
      </c>
      <c r="H345" s="2">
        <v>46021</v>
      </c>
      <c r="I345" s="2" t="s">
        <v>202</v>
      </c>
      <c r="J345" s="1" t="s">
        <v>807</v>
      </c>
      <c r="L345" s="2">
        <v>46021</v>
      </c>
      <c r="M345" s="2" t="s">
        <v>1294</v>
      </c>
    </row>
    <row r="346" spans="1:13">
      <c r="A346">
        <v>80823373</v>
      </c>
      <c r="B346" t="s">
        <v>806</v>
      </c>
      <c r="C346" s="1" t="s">
        <v>150</v>
      </c>
      <c r="D346" t="s">
        <v>428</v>
      </c>
      <c r="E346" t="s">
        <v>168</v>
      </c>
      <c r="F346" s="2">
        <v>46034</v>
      </c>
      <c r="G346">
        <v>8</v>
      </c>
      <c r="H346" s="2">
        <v>46021</v>
      </c>
      <c r="I346" s="2" t="s">
        <v>202</v>
      </c>
      <c r="J346" s="1" t="s">
        <v>808</v>
      </c>
      <c r="L346" s="2">
        <v>46021</v>
      </c>
      <c r="M346" s="2" t="s">
        <v>1294</v>
      </c>
    </row>
    <row r="347" spans="1:13">
      <c r="A347">
        <v>80823373</v>
      </c>
      <c r="B347" t="s">
        <v>806</v>
      </c>
      <c r="C347" s="1" t="s">
        <v>151</v>
      </c>
      <c r="D347" t="s">
        <v>428</v>
      </c>
      <c r="E347" t="s">
        <v>168</v>
      </c>
      <c r="F347" s="2">
        <v>46034</v>
      </c>
      <c r="G347">
        <v>6</v>
      </c>
      <c r="H347" s="2">
        <v>46021</v>
      </c>
      <c r="I347" s="2" t="s">
        <v>202</v>
      </c>
      <c r="J347" s="1" t="s">
        <v>809</v>
      </c>
      <c r="L347" s="2">
        <v>46021</v>
      </c>
      <c r="M347" s="2" t="s">
        <v>1294</v>
      </c>
    </row>
    <row r="348" spans="1:13">
      <c r="A348">
        <v>80823373</v>
      </c>
      <c r="B348" t="s">
        <v>806</v>
      </c>
      <c r="C348" s="1" t="s">
        <v>152</v>
      </c>
      <c r="D348" t="s">
        <v>428</v>
      </c>
      <c r="E348" t="s">
        <v>168</v>
      </c>
      <c r="F348" s="2">
        <v>46034</v>
      </c>
      <c r="G348">
        <v>8</v>
      </c>
      <c r="H348" s="2">
        <v>46021</v>
      </c>
      <c r="I348" s="2" t="s">
        <v>202</v>
      </c>
      <c r="J348" s="1" t="s">
        <v>810</v>
      </c>
      <c r="L348" s="2">
        <v>46021</v>
      </c>
      <c r="M348" s="2" t="s">
        <v>1294</v>
      </c>
    </row>
    <row r="349" spans="1:13">
      <c r="A349">
        <v>80823373</v>
      </c>
      <c r="B349" t="s">
        <v>806</v>
      </c>
      <c r="C349" s="1" t="s">
        <v>154</v>
      </c>
      <c r="D349" t="s">
        <v>428</v>
      </c>
      <c r="E349" t="s">
        <v>168</v>
      </c>
      <c r="F349" s="2">
        <v>46034</v>
      </c>
      <c r="G349">
        <v>8</v>
      </c>
      <c r="H349" s="2">
        <v>46021</v>
      </c>
      <c r="I349" s="2" t="s">
        <v>202</v>
      </c>
      <c r="J349" s="1" t="s">
        <v>811</v>
      </c>
      <c r="L349" s="2">
        <v>46021</v>
      </c>
      <c r="M349" s="2" t="s">
        <v>1294</v>
      </c>
    </row>
    <row r="350" spans="1:13">
      <c r="A350">
        <v>80823373</v>
      </c>
      <c r="B350" t="s">
        <v>806</v>
      </c>
      <c r="C350" s="1" t="s">
        <v>155</v>
      </c>
      <c r="D350" t="s">
        <v>428</v>
      </c>
      <c r="E350" t="s">
        <v>168</v>
      </c>
      <c r="F350" s="2">
        <v>46034</v>
      </c>
      <c r="G350">
        <v>12</v>
      </c>
      <c r="H350" s="2">
        <v>46021</v>
      </c>
      <c r="I350" s="2" t="s">
        <v>202</v>
      </c>
      <c r="J350" s="1" t="s">
        <v>812</v>
      </c>
      <c r="L350" s="2">
        <v>46021</v>
      </c>
      <c r="M350" s="2" t="s">
        <v>1294</v>
      </c>
    </row>
    <row r="351" spans="1:13">
      <c r="A351">
        <v>80812158</v>
      </c>
      <c r="B351" t="s">
        <v>813</v>
      </c>
      <c r="C351" s="1" t="s">
        <v>143</v>
      </c>
      <c r="D351" t="s">
        <v>428</v>
      </c>
      <c r="E351" t="s">
        <v>168</v>
      </c>
      <c r="F351" s="2">
        <v>46034</v>
      </c>
      <c r="G351">
        <v>46</v>
      </c>
      <c r="H351" s="2">
        <v>46021</v>
      </c>
      <c r="I351" s="2" t="s">
        <v>202</v>
      </c>
      <c r="J351" s="1" t="s">
        <v>814</v>
      </c>
      <c r="L351" s="2">
        <v>46021</v>
      </c>
      <c r="M351" s="2" t="s">
        <v>1294</v>
      </c>
    </row>
    <row r="352" spans="1:13">
      <c r="A352">
        <v>80812158</v>
      </c>
      <c r="B352" t="s">
        <v>813</v>
      </c>
      <c r="C352" s="1" t="s">
        <v>150</v>
      </c>
      <c r="D352" t="s">
        <v>428</v>
      </c>
      <c r="E352" t="s">
        <v>168</v>
      </c>
      <c r="F352" s="2">
        <v>46034</v>
      </c>
      <c r="G352">
        <v>524</v>
      </c>
      <c r="H352" s="2">
        <v>46021</v>
      </c>
      <c r="I352" s="2" t="s">
        <v>202</v>
      </c>
      <c r="J352" s="1" t="s">
        <v>815</v>
      </c>
      <c r="L352" s="2">
        <v>46021</v>
      </c>
      <c r="M352" s="2" t="s">
        <v>1294</v>
      </c>
    </row>
    <row r="353" spans="1:13">
      <c r="A353">
        <v>80812158</v>
      </c>
      <c r="B353" t="s">
        <v>813</v>
      </c>
      <c r="C353" s="1" t="s">
        <v>151</v>
      </c>
      <c r="D353" t="s">
        <v>428</v>
      </c>
      <c r="E353" t="s">
        <v>168</v>
      </c>
      <c r="F353" s="2">
        <v>46034</v>
      </c>
      <c r="G353">
        <v>291</v>
      </c>
      <c r="H353" s="2">
        <v>46021</v>
      </c>
      <c r="I353" s="2" t="s">
        <v>202</v>
      </c>
      <c r="J353" s="1" t="s">
        <v>816</v>
      </c>
      <c r="L353" s="2">
        <v>46021</v>
      </c>
      <c r="M353" s="2" t="s">
        <v>1294</v>
      </c>
    </row>
    <row r="354" spans="1:13">
      <c r="A354">
        <v>80812158</v>
      </c>
      <c r="B354" t="s">
        <v>813</v>
      </c>
      <c r="C354" s="1" t="s">
        <v>152</v>
      </c>
      <c r="D354" t="s">
        <v>428</v>
      </c>
      <c r="E354" t="s">
        <v>168</v>
      </c>
      <c r="F354" s="2">
        <v>46034</v>
      </c>
      <c r="G354">
        <v>122</v>
      </c>
      <c r="H354" s="2">
        <v>46021</v>
      </c>
      <c r="I354" s="2" t="s">
        <v>202</v>
      </c>
      <c r="J354" s="1" t="s">
        <v>817</v>
      </c>
      <c r="L354" s="2">
        <v>46021</v>
      </c>
      <c r="M354" s="2" t="s">
        <v>1294</v>
      </c>
    </row>
    <row r="355" spans="1:13">
      <c r="A355">
        <v>80812158</v>
      </c>
      <c r="B355" t="s">
        <v>813</v>
      </c>
      <c r="C355" s="1" t="s">
        <v>153</v>
      </c>
      <c r="D355" t="s">
        <v>428</v>
      </c>
      <c r="E355" t="s">
        <v>168</v>
      </c>
      <c r="F355" s="2">
        <v>46034</v>
      </c>
      <c r="G355">
        <v>52</v>
      </c>
      <c r="H355" s="2">
        <v>46021</v>
      </c>
      <c r="I355" s="2" t="s">
        <v>202</v>
      </c>
      <c r="J355" s="1" t="s">
        <v>818</v>
      </c>
      <c r="L355" s="2">
        <v>46021</v>
      </c>
      <c r="M355" s="2" t="s">
        <v>1294</v>
      </c>
    </row>
    <row r="356" spans="1:13">
      <c r="A356">
        <v>80812158</v>
      </c>
      <c r="B356" t="s">
        <v>813</v>
      </c>
      <c r="C356" s="1" t="s">
        <v>154</v>
      </c>
      <c r="D356" t="s">
        <v>428</v>
      </c>
      <c r="E356" t="s">
        <v>168</v>
      </c>
      <c r="F356" s="2">
        <v>46034</v>
      </c>
      <c r="G356">
        <v>66</v>
      </c>
      <c r="H356" s="2">
        <v>46021</v>
      </c>
      <c r="I356" s="2" t="s">
        <v>202</v>
      </c>
      <c r="J356" s="1" t="s">
        <v>819</v>
      </c>
      <c r="L356" s="2">
        <v>46021</v>
      </c>
      <c r="M356" s="2" t="s">
        <v>1294</v>
      </c>
    </row>
    <row r="357" spans="1:13">
      <c r="A357">
        <v>80812158</v>
      </c>
      <c r="B357" t="s">
        <v>813</v>
      </c>
      <c r="C357" s="1" t="s">
        <v>155</v>
      </c>
      <c r="D357" t="s">
        <v>428</v>
      </c>
      <c r="E357" t="s">
        <v>168</v>
      </c>
      <c r="F357" s="2">
        <v>46034</v>
      </c>
      <c r="G357">
        <v>121</v>
      </c>
      <c r="H357" s="2">
        <v>46021</v>
      </c>
      <c r="I357" s="2" t="s">
        <v>202</v>
      </c>
      <c r="J357" s="1" t="s">
        <v>820</v>
      </c>
      <c r="L357" s="2">
        <v>46021</v>
      </c>
      <c r="M357" s="2" t="s">
        <v>1294</v>
      </c>
    </row>
    <row r="358" spans="1:13">
      <c r="A358">
        <v>80812161</v>
      </c>
      <c r="B358" t="s">
        <v>821</v>
      </c>
      <c r="C358" s="1" t="s">
        <v>143</v>
      </c>
      <c r="D358" t="s">
        <v>428</v>
      </c>
      <c r="E358" t="s">
        <v>168</v>
      </c>
      <c r="F358" s="2">
        <v>46034</v>
      </c>
      <c r="G358">
        <v>19</v>
      </c>
      <c r="H358" s="2">
        <v>46021</v>
      </c>
      <c r="I358" s="2" t="s">
        <v>202</v>
      </c>
      <c r="J358" s="1" t="s">
        <v>822</v>
      </c>
      <c r="L358" s="2">
        <v>46021</v>
      </c>
      <c r="M358" s="2" t="s">
        <v>1294</v>
      </c>
    </row>
    <row r="359" spans="1:13">
      <c r="A359">
        <v>80812161</v>
      </c>
      <c r="B359" t="s">
        <v>821</v>
      </c>
      <c r="C359" s="1" t="s">
        <v>150</v>
      </c>
      <c r="D359" t="s">
        <v>428</v>
      </c>
      <c r="E359" t="s">
        <v>168</v>
      </c>
      <c r="F359" s="2">
        <v>46034</v>
      </c>
      <c r="G359">
        <v>375</v>
      </c>
      <c r="H359" s="2">
        <v>46021</v>
      </c>
      <c r="I359" s="2" t="s">
        <v>202</v>
      </c>
      <c r="J359" s="1" t="s">
        <v>823</v>
      </c>
      <c r="L359" s="2">
        <v>46021</v>
      </c>
      <c r="M359" s="2" t="s">
        <v>1294</v>
      </c>
    </row>
    <row r="360" spans="1:13">
      <c r="A360">
        <v>80812161</v>
      </c>
      <c r="B360" t="s">
        <v>821</v>
      </c>
      <c r="C360" s="1" t="s">
        <v>151</v>
      </c>
      <c r="D360" t="s">
        <v>428</v>
      </c>
      <c r="E360" t="s">
        <v>168</v>
      </c>
      <c r="F360" s="2">
        <v>46034</v>
      </c>
      <c r="G360">
        <v>221</v>
      </c>
      <c r="H360" s="2">
        <v>46021</v>
      </c>
      <c r="I360" s="2" t="s">
        <v>202</v>
      </c>
      <c r="J360" s="1" t="s">
        <v>824</v>
      </c>
      <c r="L360" s="2">
        <v>46021</v>
      </c>
      <c r="M360" s="2" t="s">
        <v>1294</v>
      </c>
    </row>
    <row r="361" spans="1:13">
      <c r="A361">
        <v>80812161</v>
      </c>
      <c r="B361" t="s">
        <v>821</v>
      </c>
      <c r="C361" s="1" t="s">
        <v>152</v>
      </c>
      <c r="D361" t="s">
        <v>428</v>
      </c>
      <c r="E361" t="s">
        <v>168</v>
      </c>
      <c r="F361" s="2">
        <v>46034</v>
      </c>
      <c r="G361">
        <v>52</v>
      </c>
      <c r="H361" s="2">
        <v>46021</v>
      </c>
      <c r="I361" s="2" t="s">
        <v>202</v>
      </c>
      <c r="J361" s="1" t="s">
        <v>825</v>
      </c>
      <c r="L361" s="2">
        <v>46021</v>
      </c>
      <c r="M361" s="2" t="s">
        <v>1294</v>
      </c>
    </row>
    <row r="362" spans="1:13">
      <c r="A362">
        <v>80812161</v>
      </c>
      <c r="B362" t="s">
        <v>821</v>
      </c>
      <c r="C362" s="1" t="s">
        <v>153</v>
      </c>
      <c r="D362" t="s">
        <v>428</v>
      </c>
      <c r="E362" t="s">
        <v>168</v>
      </c>
      <c r="F362" s="2">
        <v>46034</v>
      </c>
      <c r="G362">
        <v>36</v>
      </c>
      <c r="H362" s="2">
        <v>46021</v>
      </c>
      <c r="I362" s="2" t="s">
        <v>202</v>
      </c>
      <c r="J362" s="1" t="s">
        <v>826</v>
      </c>
      <c r="L362" s="2">
        <v>46021</v>
      </c>
      <c r="M362" s="2" t="s">
        <v>1294</v>
      </c>
    </row>
    <row r="363" spans="1:13">
      <c r="A363">
        <v>80812161</v>
      </c>
      <c r="B363" t="s">
        <v>821</v>
      </c>
      <c r="C363" s="1" t="s">
        <v>154</v>
      </c>
      <c r="D363" t="s">
        <v>428</v>
      </c>
      <c r="E363" t="s">
        <v>168</v>
      </c>
      <c r="F363" s="2">
        <v>46034</v>
      </c>
      <c r="G363">
        <v>50</v>
      </c>
      <c r="H363" s="2">
        <v>46021</v>
      </c>
      <c r="I363" s="2" t="s">
        <v>202</v>
      </c>
      <c r="J363" s="1" t="s">
        <v>827</v>
      </c>
      <c r="L363" s="2">
        <v>46021</v>
      </c>
      <c r="M363" s="2" t="s">
        <v>1294</v>
      </c>
    </row>
    <row r="364" spans="1:13">
      <c r="A364">
        <v>80812161</v>
      </c>
      <c r="B364" t="s">
        <v>821</v>
      </c>
      <c r="C364" s="1" t="s">
        <v>155</v>
      </c>
      <c r="D364" t="s">
        <v>428</v>
      </c>
      <c r="E364" t="s">
        <v>168</v>
      </c>
      <c r="F364" s="2">
        <v>46034</v>
      </c>
      <c r="G364">
        <v>85</v>
      </c>
      <c r="H364" s="2">
        <v>46021</v>
      </c>
      <c r="I364" s="2" t="s">
        <v>202</v>
      </c>
      <c r="J364" s="1" t="s">
        <v>828</v>
      </c>
      <c r="L364" s="2">
        <v>46021</v>
      </c>
      <c r="M364" s="2" t="s">
        <v>1294</v>
      </c>
    </row>
    <row r="365" spans="1:13">
      <c r="A365">
        <v>80813610</v>
      </c>
      <c r="B365" t="s">
        <v>263</v>
      </c>
      <c r="C365" s="1" t="s">
        <v>143</v>
      </c>
      <c r="D365" t="s">
        <v>428</v>
      </c>
      <c r="E365" t="s">
        <v>168</v>
      </c>
      <c r="F365" s="2">
        <v>46034</v>
      </c>
      <c r="G365">
        <v>90</v>
      </c>
      <c r="H365" s="2">
        <v>46021</v>
      </c>
      <c r="I365" s="2" t="s">
        <v>202</v>
      </c>
      <c r="J365" s="1" t="s">
        <v>829</v>
      </c>
      <c r="L365" s="2">
        <v>46021</v>
      </c>
      <c r="M365" s="2" t="s">
        <v>1294</v>
      </c>
    </row>
    <row r="366" spans="1:13">
      <c r="A366">
        <v>80813610</v>
      </c>
      <c r="B366" t="s">
        <v>263</v>
      </c>
      <c r="C366" s="1" t="s">
        <v>150</v>
      </c>
      <c r="D366" t="s">
        <v>428</v>
      </c>
      <c r="E366" t="s">
        <v>168</v>
      </c>
      <c r="F366" s="2">
        <v>46034</v>
      </c>
      <c r="G366">
        <v>1377</v>
      </c>
      <c r="H366" s="2">
        <v>46021</v>
      </c>
      <c r="I366" s="2" t="s">
        <v>202</v>
      </c>
      <c r="J366" s="1" t="s">
        <v>830</v>
      </c>
      <c r="L366" s="2">
        <v>46021</v>
      </c>
      <c r="M366" s="2" t="s">
        <v>1294</v>
      </c>
    </row>
    <row r="367" spans="1:13">
      <c r="A367">
        <v>80813610</v>
      </c>
      <c r="B367" t="s">
        <v>263</v>
      </c>
      <c r="C367" s="1" t="s">
        <v>151</v>
      </c>
      <c r="D367" t="s">
        <v>428</v>
      </c>
      <c r="E367" t="s">
        <v>168</v>
      </c>
      <c r="F367" s="2">
        <v>46034</v>
      </c>
      <c r="G367">
        <v>880</v>
      </c>
      <c r="H367" s="2">
        <v>46021</v>
      </c>
      <c r="I367" s="2" t="s">
        <v>202</v>
      </c>
      <c r="J367" s="1" t="s">
        <v>831</v>
      </c>
      <c r="L367" s="2">
        <v>46021</v>
      </c>
      <c r="M367" s="2" t="s">
        <v>1294</v>
      </c>
    </row>
    <row r="368" spans="1:13">
      <c r="A368">
        <v>80813610</v>
      </c>
      <c r="B368" t="s">
        <v>263</v>
      </c>
      <c r="C368" s="1" t="s">
        <v>152</v>
      </c>
      <c r="D368" t="s">
        <v>428</v>
      </c>
      <c r="E368" t="s">
        <v>168</v>
      </c>
      <c r="F368" s="2">
        <v>46034</v>
      </c>
      <c r="G368">
        <v>246</v>
      </c>
      <c r="H368" s="2">
        <v>46021</v>
      </c>
      <c r="I368" s="2" t="s">
        <v>202</v>
      </c>
      <c r="J368" s="1" t="s">
        <v>832</v>
      </c>
      <c r="L368" s="2">
        <v>46021</v>
      </c>
      <c r="M368" s="2" t="s">
        <v>1294</v>
      </c>
    </row>
    <row r="369" spans="1:13">
      <c r="A369">
        <v>80813610</v>
      </c>
      <c r="B369" t="s">
        <v>263</v>
      </c>
      <c r="C369" s="1" t="s">
        <v>153</v>
      </c>
      <c r="D369" t="s">
        <v>428</v>
      </c>
      <c r="E369" t="s">
        <v>168</v>
      </c>
      <c r="F369" s="2">
        <v>46034</v>
      </c>
      <c r="G369">
        <v>144</v>
      </c>
      <c r="H369" s="2">
        <v>46021</v>
      </c>
      <c r="I369" s="2" t="s">
        <v>202</v>
      </c>
      <c r="J369" s="1" t="s">
        <v>833</v>
      </c>
      <c r="L369" s="2">
        <v>46021</v>
      </c>
      <c r="M369" s="2" t="s">
        <v>1294</v>
      </c>
    </row>
    <row r="370" spans="1:13">
      <c r="A370">
        <v>80813610</v>
      </c>
      <c r="B370" t="s">
        <v>263</v>
      </c>
      <c r="C370" s="1" t="s">
        <v>154</v>
      </c>
      <c r="D370" t="s">
        <v>428</v>
      </c>
      <c r="E370" t="s">
        <v>168</v>
      </c>
      <c r="F370" s="2">
        <v>46034</v>
      </c>
      <c r="G370">
        <v>168</v>
      </c>
      <c r="H370" s="2">
        <v>46021</v>
      </c>
      <c r="I370" s="2" t="s">
        <v>202</v>
      </c>
      <c r="J370" s="1" t="s">
        <v>834</v>
      </c>
      <c r="L370" s="2">
        <v>46021</v>
      </c>
      <c r="M370" s="2" t="s">
        <v>1294</v>
      </c>
    </row>
    <row r="371" spans="1:13">
      <c r="A371">
        <v>80813610</v>
      </c>
      <c r="B371" t="s">
        <v>263</v>
      </c>
      <c r="C371" s="1" t="s">
        <v>155</v>
      </c>
      <c r="D371" t="s">
        <v>428</v>
      </c>
      <c r="E371" t="s">
        <v>168</v>
      </c>
      <c r="F371" s="2">
        <v>46034</v>
      </c>
      <c r="G371">
        <v>202</v>
      </c>
      <c r="H371" s="2">
        <v>46021</v>
      </c>
      <c r="I371" s="2" t="s">
        <v>202</v>
      </c>
      <c r="J371" s="1" t="s">
        <v>835</v>
      </c>
      <c r="L371" s="2">
        <v>46021</v>
      </c>
      <c r="M371" s="2" t="s">
        <v>1294</v>
      </c>
    </row>
    <row r="372" spans="1:13">
      <c r="A372">
        <v>80813619</v>
      </c>
      <c r="B372" t="s">
        <v>264</v>
      </c>
      <c r="C372" s="1" t="s">
        <v>143</v>
      </c>
      <c r="D372" t="s">
        <v>428</v>
      </c>
      <c r="E372" t="s">
        <v>168</v>
      </c>
      <c r="F372" s="2">
        <v>46034</v>
      </c>
      <c r="G372">
        <v>140</v>
      </c>
      <c r="H372" s="2">
        <v>46021</v>
      </c>
      <c r="I372" s="2" t="s">
        <v>202</v>
      </c>
      <c r="J372" s="1" t="s">
        <v>836</v>
      </c>
      <c r="L372" s="2">
        <v>46021</v>
      </c>
      <c r="M372" s="2" t="s">
        <v>1294</v>
      </c>
    </row>
    <row r="373" spans="1:13">
      <c r="A373">
        <v>80813619</v>
      </c>
      <c r="B373" t="s">
        <v>264</v>
      </c>
      <c r="C373" s="1" t="s">
        <v>150</v>
      </c>
      <c r="D373" t="s">
        <v>428</v>
      </c>
      <c r="E373" t="s">
        <v>168</v>
      </c>
      <c r="F373" s="2">
        <v>46034</v>
      </c>
      <c r="G373">
        <v>1666</v>
      </c>
      <c r="H373" s="2">
        <v>46021</v>
      </c>
      <c r="I373" s="2" t="s">
        <v>202</v>
      </c>
      <c r="J373" s="1" t="s">
        <v>837</v>
      </c>
      <c r="L373" s="2">
        <v>46021</v>
      </c>
      <c r="M373" s="2" t="s">
        <v>1294</v>
      </c>
    </row>
    <row r="374" spans="1:13">
      <c r="A374">
        <v>80813619</v>
      </c>
      <c r="B374" t="s">
        <v>264</v>
      </c>
      <c r="C374" s="1" t="s">
        <v>151</v>
      </c>
      <c r="D374" t="s">
        <v>428</v>
      </c>
      <c r="E374" t="s">
        <v>168</v>
      </c>
      <c r="F374" s="2">
        <v>46034</v>
      </c>
      <c r="G374">
        <v>1108</v>
      </c>
      <c r="H374" s="2">
        <v>46021</v>
      </c>
      <c r="I374" s="2" t="s">
        <v>202</v>
      </c>
      <c r="J374" s="1" t="s">
        <v>838</v>
      </c>
      <c r="L374" s="2">
        <v>46021</v>
      </c>
      <c r="M374" s="2" t="s">
        <v>1294</v>
      </c>
    </row>
    <row r="375" spans="1:13">
      <c r="A375">
        <v>80813619</v>
      </c>
      <c r="B375" t="s">
        <v>264</v>
      </c>
      <c r="C375" s="1" t="s">
        <v>152</v>
      </c>
      <c r="D375" t="s">
        <v>428</v>
      </c>
      <c r="E375" t="s">
        <v>168</v>
      </c>
      <c r="F375" s="2">
        <v>46034</v>
      </c>
      <c r="G375">
        <v>283</v>
      </c>
      <c r="H375" s="2">
        <v>46021</v>
      </c>
      <c r="I375" s="2" t="s">
        <v>202</v>
      </c>
      <c r="J375" s="1" t="s">
        <v>839</v>
      </c>
      <c r="L375" s="2">
        <v>46021</v>
      </c>
      <c r="M375" s="2" t="s">
        <v>1294</v>
      </c>
    </row>
    <row r="376" spans="1:13">
      <c r="A376">
        <v>80813619</v>
      </c>
      <c r="B376" t="s">
        <v>264</v>
      </c>
      <c r="C376" s="1" t="s">
        <v>153</v>
      </c>
      <c r="D376" t="s">
        <v>428</v>
      </c>
      <c r="E376" t="s">
        <v>168</v>
      </c>
      <c r="F376" s="2">
        <v>46034</v>
      </c>
      <c r="G376">
        <v>206</v>
      </c>
      <c r="H376" s="2">
        <v>46021</v>
      </c>
      <c r="I376" s="2" t="s">
        <v>202</v>
      </c>
      <c r="J376" s="1" t="s">
        <v>840</v>
      </c>
      <c r="L376" s="2">
        <v>46021</v>
      </c>
      <c r="M376" s="2" t="s">
        <v>1294</v>
      </c>
    </row>
    <row r="377" spans="1:13">
      <c r="A377">
        <v>80813619</v>
      </c>
      <c r="B377" t="s">
        <v>264</v>
      </c>
      <c r="C377" s="1" t="s">
        <v>154</v>
      </c>
      <c r="D377" t="s">
        <v>428</v>
      </c>
      <c r="E377" t="s">
        <v>168</v>
      </c>
      <c r="F377" s="2">
        <v>46034</v>
      </c>
      <c r="G377">
        <v>176</v>
      </c>
      <c r="H377" s="2">
        <v>46021</v>
      </c>
      <c r="I377" s="2" t="s">
        <v>202</v>
      </c>
      <c r="J377" s="1" t="s">
        <v>841</v>
      </c>
      <c r="L377" s="2">
        <v>46021</v>
      </c>
      <c r="M377" s="2" t="s">
        <v>1294</v>
      </c>
    </row>
    <row r="378" spans="1:13">
      <c r="A378">
        <v>80813619</v>
      </c>
      <c r="B378" t="s">
        <v>264</v>
      </c>
      <c r="C378" s="1" t="s">
        <v>155</v>
      </c>
      <c r="D378" t="s">
        <v>428</v>
      </c>
      <c r="E378" t="s">
        <v>168</v>
      </c>
      <c r="F378" s="2">
        <v>46034</v>
      </c>
      <c r="G378">
        <v>441</v>
      </c>
      <c r="H378" s="2">
        <v>46021</v>
      </c>
      <c r="I378" s="2" t="s">
        <v>202</v>
      </c>
      <c r="J378" s="1" t="s">
        <v>842</v>
      </c>
      <c r="L378" s="2">
        <v>46021</v>
      </c>
      <c r="M378" s="2" t="s">
        <v>1294</v>
      </c>
    </row>
    <row r="379" spans="1:13">
      <c r="A379">
        <v>80813621</v>
      </c>
      <c r="B379" t="s">
        <v>843</v>
      </c>
      <c r="C379" s="1" t="s">
        <v>143</v>
      </c>
      <c r="D379" t="s">
        <v>428</v>
      </c>
      <c r="E379" t="s">
        <v>168</v>
      </c>
      <c r="F379" s="2">
        <v>46034</v>
      </c>
      <c r="G379">
        <v>57</v>
      </c>
      <c r="H379" s="2">
        <v>46021</v>
      </c>
      <c r="I379" s="2" t="s">
        <v>202</v>
      </c>
      <c r="J379" s="1" t="s">
        <v>844</v>
      </c>
      <c r="L379" s="2">
        <v>46021</v>
      </c>
      <c r="M379" s="2" t="s">
        <v>1294</v>
      </c>
    </row>
    <row r="380" spans="1:13">
      <c r="A380">
        <v>80813621</v>
      </c>
      <c r="B380" t="s">
        <v>843</v>
      </c>
      <c r="C380" s="1" t="s">
        <v>150</v>
      </c>
      <c r="D380" t="s">
        <v>428</v>
      </c>
      <c r="E380" t="s">
        <v>168</v>
      </c>
      <c r="F380" s="2">
        <v>46034</v>
      </c>
      <c r="G380">
        <v>682</v>
      </c>
      <c r="H380" s="2">
        <v>46021</v>
      </c>
      <c r="I380" s="2" t="s">
        <v>202</v>
      </c>
      <c r="J380" s="1" t="s">
        <v>845</v>
      </c>
      <c r="L380" s="2">
        <v>46021</v>
      </c>
      <c r="M380" s="2" t="s">
        <v>1294</v>
      </c>
    </row>
    <row r="381" spans="1:13">
      <c r="A381">
        <v>80813621</v>
      </c>
      <c r="B381" t="s">
        <v>843</v>
      </c>
      <c r="C381" s="1" t="s">
        <v>151</v>
      </c>
      <c r="D381" t="s">
        <v>428</v>
      </c>
      <c r="E381" t="s">
        <v>168</v>
      </c>
      <c r="F381" s="2">
        <v>46034</v>
      </c>
      <c r="G381">
        <v>481</v>
      </c>
      <c r="H381" s="2">
        <v>46021</v>
      </c>
      <c r="I381" s="2" t="s">
        <v>202</v>
      </c>
      <c r="J381" s="1" t="s">
        <v>846</v>
      </c>
      <c r="L381" s="2">
        <v>46021</v>
      </c>
      <c r="M381" s="2" t="s">
        <v>1294</v>
      </c>
    </row>
    <row r="382" spans="1:13">
      <c r="A382">
        <v>80813621</v>
      </c>
      <c r="B382" t="s">
        <v>843</v>
      </c>
      <c r="C382" s="1" t="s">
        <v>152</v>
      </c>
      <c r="D382" t="s">
        <v>428</v>
      </c>
      <c r="E382" t="s">
        <v>168</v>
      </c>
      <c r="F382" s="2">
        <v>46034</v>
      </c>
      <c r="G382">
        <v>88</v>
      </c>
      <c r="H382" s="2">
        <v>46021</v>
      </c>
      <c r="I382" s="2" t="s">
        <v>202</v>
      </c>
      <c r="J382" s="1" t="s">
        <v>847</v>
      </c>
      <c r="L382" s="2">
        <v>46021</v>
      </c>
      <c r="M382" s="2" t="s">
        <v>1294</v>
      </c>
    </row>
    <row r="383" spans="1:13">
      <c r="A383">
        <v>80813621</v>
      </c>
      <c r="B383" t="s">
        <v>843</v>
      </c>
      <c r="C383" s="1" t="s">
        <v>153</v>
      </c>
      <c r="D383" t="s">
        <v>428</v>
      </c>
      <c r="E383" t="s">
        <v>168</v>
      </c>
      <c r="F383" s="2">
        <v>46034</v>
      </c>
      <c r="G383">
        <v>93</v>
      </c>
      <c r="H383" s="2">
        <v>46021</v>
      </c>
      <c r="I383" s="2" t="s">
        <v>202</v>
      </c>
      <c r="J383" s="1" t="s">
        <v>848</v>
      </c>
      <c r="L383" s="2">
        <v>46021</v>
      </c>
      <c r="M383" s="2" t="s">
        <v>1294</v>
      </c>
    </row>
    <row r="384" spans="1:13">
      <c r="A384">
        <v>80813621</v>
      </c>
      <c r="B384" t="s">
        <v>843</v>
      </c>
      <c r="C384" s="1" t="s">
        <v>154</v>
      </c>
      <c r="D384" t="s">
        <v>428</v>
      </c>
      <c r="E384" t="s">
        <v>168</v>
      </c>
      <c r="F384" s="2">
        <v>46034</v>
      </c>
      <c r="G384">
        <v>56</v>
      </c>
      <c r="H384" s="2">
        <v>46021</v>
      </c>
      <c r="I384" s="2" t="s">
        <v>202</v>
      </c>
      <c r="J384" s="1" t="s">
        <v>849</v>
      </c>
      <c r="L384" s="2">
        <v>46021</v>
      </c>
      <c r="M384" s="2" t="s">
        <v>1294</v>
      </c>
    </row>
    <row r="385" spans="1:13">
      <c r="A385">
        <v>80813621</v>
      </c>
      <c r="B385" t="s">
        <v>843</v>
      </c>
      <c r="C385" s="1" t="s">
        <v>155</v>
      </c>
      <c r="D385" t="s">
        <v>428</v>
      </c>
      <c r="E385" t="s">
        <v>168</v>
      </c>
      <c r="F385" s="2">
        <v>46034</v>
      </c>
      <c r="G385">
        <v>230</v>
      </c>
      <c r="H385" s="2">
        <v>46021</v>
      </c>
      <c r="I385" s="2" t="s">
        <v>202</v>
      </c>
      <c r="J385" s="1" t="s">
        <v>850</v>
      </c>
      <c r="L385" s="2">
        <v>46021</v>
      </c>
      <c r="M385" s="2" t="s">
        <v>1294</v>
      </c>
    </row>
    <row r="386" spans="1:13">
      <c r="A386">
        <v>80813625</v>
      </c>
      <c r="B386" t="s">
        <v>851</v>
      </c>
      <c r="C386" s="1" t="s">
        <v>143</v>
      </c>
      <c r="D386" t="s">
        <v>428</v>
      </c>
      <c r="E386" t="s">
        <v>168</v>
      </c>
      <c r="F386" s="2">
        <v>46034</v>
      </c>
      <c r="G386">
        <v>72</v>
      </c>
      <c r="H386" s="2">
        <v>46021</v>
      </c>
      <c r="I386" s="2" t="s">
        <v>202</v>
      </c>
      <c r="J386" s="1" t="s">
        <v>852</v>
      </c>
      <c r="L386" s="2">
        <v>46021</v>
      </c>
      <c r="M386" s="2" t="s">
        <v>1294</v>
      </c>
    </row>
    <row r="387" spans="1:13">
      <c r="A387">
        <v>80813625</v>
      </c>
      <c r="B387" t="s">
        <v>851</v>
      </c>
      <c r="C387" s="1" t="s">
        <v>150</v>
      </c>
      <c r="D387" t="s">
        <v>428</v>
      </c>
      <c r="E387" t="s">
        <v>168</v>
      </c>
      <c r="F387" s="2">
        <v>46034</v>
      </c>
      <c r="G387">
        <v>898</v>
      </c>
      <c r="H387" s="2">
        <v>46021</v>
      </c>
      <c r="I387" s="2" t="s">
        <v>202</v>
      </c>
      <c r="J387" s="1" t="s">
        <v>853</v>
      </c>
      <c r="L387" s="2">
        <v>46021</v>
      </c>
      <c r="M387" s="2" t="s">
        <v>1294</v>
      </c>
    </row>
    <row r="388" spans="1:13">
      <c r="A388">
        <v>80813625</v>
      </c>
      <c r="B388" t="s">
        <v>851</v>
      </c>
      <c r="C388" s="1" t="s">
        <v>151</v>
      </c>
      <c r="D388" t="s">
        <v>428</v>
      </c>
      <c r="E388" t="s">
        <v>168</v>
      </c>
      <c r="F388" s="2">
        <v>46034</v>
      </c>
      <c r="G388">
        <v>575</v>
      </c>
      <c r="H388" s="2">
        <v>46021</v>
      </c>
      <c r="I388" s="2" t="s">
        <v>202</v>
      </c>
      <c r="J388" s="1" t="s">
        <v>854</v>
      </c>
      <c r="L388" s="2">
        <v>46021</v>
      </c>
      <c r="M388" s="2" t="s">
        <v>1294</v>
      </c>
    </row>
    <row r="389" spans="1:13">
      <c r="A389">
        <v>80813625</v>
      </c>
      <c r="B389" t="s">
        <v>851</v>
      </c>
      <c r="C389" s="1" t="s">
        <v>152</v>
      </c>
      <c r="D389" t="s">
        <v>428</v>
      </c>
      <c r="E389" t="s">
        <v>168</v>
      </c>
      <c r="F389" s="2">
        <v>46034</v>
      </c>
      <c r="G389">
        <v>115</v>
      </c>
      <c r="H389" s="2">
        <v>46021</v>
      </c>
      <c r="I389" s="2" t="s">
        <v>202</v>
      </c>
      <c r="J389" s="1" t="s">
        <v>855</v>
      </c>
      <c r="L389" s="2">
        <v>46021</v>
      </c>
      <c r="M389" s="2" t="s">
        <v>1294</v>
      </c>
    </row>
    <row r="390" spans="1:13">
      <c r="A390">
        <v>80813625</v>
      </c>
      <c r="B390" t="s">
        <v>851</v>
      </c>
      <c r="C390" s="1" t="s">
        <v>153</v>
      </c>
      <c r="D390" t="s">
        <v>428</v>
      </c>
      <c r="E390" t="s">
        <v>168</v>
      </c>
      <c r="F390" s="2">
        <v>46034</v>
      </c>
      <c r="G390">
        <v>131</v>
      </c>
      <c r="H390" s="2">
        <v>46021</v>
      </c>
      <c r="I390" s="2" t="s">
        <v>202</v>
      </c>
      <c r="J390" s="1" t="s">
        <v>856</v>
      </c>
      <c r="L390" s="2">
        <v>46021</v>
      </c>
      <c r="M390" s="2" t="s">
        <v>1294</v>
      </c>
    </row>
    <row r="391" spans="1:13">
      <c r="A391">
        <v>80813625</v>
      </c>
      <c r="B391" t="s">
        <v>851</v>
      </c>
      <c r="C391" s="1" t="s">
        <v>154</v>
      </c>
      <c r="D391" t="s">
        <v>428</v>
      </c>
      <c r="E391" t="s">
        <v>168</v>
      </c>
      <c r="F391" s="2">
        <v>46034</v>
      </c>
      <c r="G391">
        <v>85</v>
      </c>
      <c r="H391" s="2">
        <v>46021</v>
      </c>
      <c r="I391" s="2" t="s">
        <v>202</v>
      </c>
      <c r="J391" s="1" t="s">
        <v>857</v>
      </c>
      <c r="L391" s="2">
        <v>46021</v>
      </c>
      <c r="M391" s="2" t="s">
        <v>1294</v>
      </c>
    </row>
    <row r="392" spans="1:13">
      <c r="A392">
        <v>80813625</v>
      </c>
      <c r="B392" t="s">
        <v>851</v>
      </c>
      <c r="C392" s="1" t="s">
        <v>155</v>
      </c>
      <c r="D392" t="s">
        <v>428</v>
      </c>
      <c r="E392" t="s">
        <v>168</v>
      </c>
      <c r="F392" s="2">
        <v>46034</v>
      </c>
      <c r="G392">
        <v>203</v>
      </c>
      <c r="H392" s="2">
        <v>46021</v>
      </c>
      <c r="I392" s="2" t="s">
        <v>202</v>
      </c>
      <c r="J392" s="1" t="s">
        <v>858</v>
      </c>
      <c r="L392" s="2">
        <v>46021</v>
      </c>
      <c r="M392" s="2" t="s">
        <v>1294</v>
      </c>
    </row>
    <row r="393" spans="1:13">
      <c r="A393">
        <v>80813632</v>
      </c>
      <c r="B393" t="s">
        <v>859</v>
      </c>
      <c r="C393" s="1" t="s">
        <v>143</v>
      </c>
      <c r="D393" t="s">
        <v>428</v>
      </c>
      <c r="E393" t="s">
        <v>168</v>
      </c>
      <c r="F393" s="2">
        <v>46034</v>
      </c>
      <c r="G393">
        <v>146</v>
      </c>
      <c r="H393" s="2">
        <v>46021</v>
      </c>
      <c r="I393" s="2" t="s">
        <v>202</v>
      </c>
      <c r="J393" s="1" t="s">
        <v>860</v>
      </c>
      <c r="L393" s="2">
        <v>46021</v>
      </c>
      <c r="M393" s="2" t="s">
        <v>1294</v>
      </c>
    </row>
    <row r="394" spans="1:13">
      <c r="A394">
        <v>80813632</v>
      </c>
      <c r="B394" t="s">
        <v>859</v>
      </c>
      <c r="C394" s="1" t="s">
        <v>150</v>
      </c>
      <c r="D394" t="s">
        <v>428</v>
      </c>
      <c r="E394" t="s">
        <v>168</v>
      </c>
      <c r="F394" s="2">
        <v>46034</v>
      </c>
      <c r="G394">
        <v>905</v>
      </c>
      <c r="H394" s="2">
        <v>46021</v>
      </c>
      <c r="I394" s="2" t="s">
        <v>202</v>
      </c>
      <c r="J394" s="1" t="s">
        <v>861</v>
      </c>
      <c r="L394" s="2">
        <v>46021</v>
      </c>
      <c r="M394" s="2" t="s">
        <v>1294</v>
      </c>
    </row>
    <row r="395" spans="1:13">
      <c r="A395">
        <v>80813632</v>
      </c>
      <c r="B395" t="s">
        <v>859</v>
      </c>
      <c r="C395" s="1" t="s">
        <v>151</v>
      </c>
      <c r="D395" t="s">
        <v>428</v>
      </c>
      <c r="E395" t="s">
        <v>168</v>
      </c>
      <c r="F395" s="2">
        <v>46034</v>
      </c>
      <c r="G395">
        <v>840</v>
      </c>
      <c r="H395" s="2">
        <v>46021</v>
      </c>
      <c r="I395" s="2" t="s">
        <v>202</v>
      </c>
      <c r="J395" s="1" t="s">
        <v>862</v>
      </c>
      <c r="L395" s="2">
        <v>46021</v>
      </c>
      <c r="M395" s="2" t="s">
        <v>1294</v>
      </c>
    </row>
    <row r="396" spans="1:13">
      <c r="A396">
        <v>80813632</v>
      </c>
      <c r="B396" t="s">
        <v>859</v>
      </c>
      <c r="C396" s="1" t="s">
        <v>152</v>
      </c>
      <c r="D396" t="s">
        <v>428</v>
      </c>
      <c r="E396" t="s">
        <v>168</v>
      </c>
      <c r="F396" s="2">
        <v>46034</v>
      </c>
      <c r="G396">
        <v>313</v>
      </c>
      <c r="H396" s="2">
        <v>46021</v>
      </c>
      <c r="I396" s="2" t="s">
        <v>202</v>
      </c>
      <c r="J396" s="1" t="s">
        <v>863</v>
      </c>
      <c r="L396" s="2">
        <v>46021</v>
      </c>
      <c r="M396" s="2" t="s">
        <v>1294</v>
      </c>
    </row>
    <row r="397" spans="1:13">
      <c r="A397">
        <v>80813632</v>
      </c>
      <c r="B397" t="s">
        <v>859</v>
      </c>
      <c r="C397" s="1" t="s">
        <v>153</v>
      </c>
      <c r="D397" t="s">
        <v>428</v>
      </c>
      <c r="E397" t="s">
        <v>168</v>
      </c>
      <c r="F397" s="2">
        <v>46034</v>
      </c>
      <c r="G397">
        <v>95</v>
      </c>
      <c r="H397" s="2">
        <v>46021</v>
      </c>
      <c r="I397" s="2" t="s">
        <v>202</v>
      </c>
      <c r="J397" s="1" t="s">
        <v>864</v>
      </c>
      <c r="L397" s="2">
        <v>46021</v>
      </c>
      <c r="M397" s="2" t="s">
        <v>1294</v>
      </c>
    </row>
    <row r="398" spans="1:13">
      <c r="A398">
        <v>80813632</v>
      </c>
      <c r="B398" t="s">
        <v>859</v>
      </c>
      <c r="C398" s="1" t="s">
        <v>154</v>
      </c>
      <c r="D398" t="s">
        <v>428</v>
      </c>
      <c r="E398" t="s">
        <v>168</v>
      </c>
      <c r="F398" s="2">
        <v>46034</v>
      </c>
      <c r="G398">
        <v>147</v>
      </c>
      <c r="H398" s="2">
        <v>46021</v>
      </c>
      <c r="I398" s="2" t="s">
        <v>202</v>
      </c>
      <c r="J398" s="1" t="s">
        <v>865</v>
      </c>
      <c r="L398" s="2">
        <v>46021</v>
      </c>
      <c r="M398" s="2" t="s">
        <v>1294</v>
      </c>
    </row>
    <row r="399" spans="1:13">
      <c r="A399">
        <v>80813632</v>
      </c>
      <c r="B399" t="s">
        <v>859</v>
      </c>
      <c r="C399" s="1" t="s">
        <v>155</v>
      </c>
      <c r="D399" t="s">
        <v>428</v>
      </c>
      <c r="E399" t="s">
        <v>168</v>
      </c>
      <c r="F399" s="2">
        <v>46034</v>
      </c>
      <c r="G399">
        <v>444</v>
      </c>
      <c r="H399" s="2">
        <v>46021</v>
      </c>
      <c r="I399" s="2" t="s">
        <v>202</v>
      </c>
      <c r="J399" s="1" t="s">
        <v>866</v>
      </c>
      <c r="L399" s="2">
        <v>46021</v>
      </c>
      <c r="M399" s="2" t="s">
        <v>1294</v>
      </c>
    </row>
    <row r="400" spans="1:13">
      <c r="A400">
        <v>80813638</v>
      </c>
      <c r="B400" t="s">
        <v>867</v>
      </c>
      <c r="C400" s="1" t="s">
        <v>143</v>
      </c>
      <c r="D400" t="s">
        <v>428</v>
      </c>
      <c r="E400" t="s">
        <v>168</v>
      </c>
      <c r="F400" s="2">
        <v>46034</v>
      </c>
      <c r="G400">
        <v>8</v>
      </c>
      <c r="H400" s="2">
        <v>46021</v>
      </c>
      <c r="I400" s="2" t="s">
        <v>202</v>
      </c>
      <c r="J400" s="1" t="s">
        <v>868</v>
      </c>
      <c r="L400" s="2">
        <v>46021</v>
      </c>
      <c r="M400" s="2" t="s">
        <v>1294</v>
      </c>
    </row>
    <row r="401" spans="1:13">
      <c r="A401">
        <v>80813638</v>
      </c>
      <c r="B401" t="s">
        <v>867</v>
      </c>
      <c r="C401" s="1" t="s">
        <v>150</v>
      </c>
      <c r="D401" t="s">
        <v>428</v>
      </c>
      <c r="E401" t="s">
        <v>168</v>
      </c>
      <c r="F401" s="2">
        <v>46034</v>
      </c>
      <c r="G401">
        <v>252</v>
      </c>
      <c r="H401" s="2">
        <v>46021</v>
      </c>
      <c r="I401" s="2" t="s">
        <v>202</v>
      </c>
      <c r="J401" s="1" t="s">
        <v>869</v>
      </c>
      <c r="L401" s="2">
        <v>46021</v>
      </c>
      <c r="M401" s="2" t="s">
        <v>1294</v>
      </c>
    </row>
    <row r="402" spans="1:13">
      <c r="A402">
        <v>80813638</v>
      </c>
      <c r="B402" t="s">
        <v>867</v>
      </c>
      <c r="C402" s="1" t="s">
        <v>151</v>
      </c>
      <c r="D402" t="s">
        <v>428</v>
      </c>
      <c r="E402" t="s">
        <v>168</v>
      </c>
      <c r="F402" s="2">
        <v>46034</v>
      </c>
      <c r="G402">
        <v>228</v>
      </c>
      <c r="H402" s="2">
        <v>46021</v>
      </c>
      <c r="I402" s="2" t="s">
        <v>202</v>
      </c>
      <c r="J402" s="1" t="s">
        <v>870</v>
      </c>
      <c r="L402" s="2">
        <v>46021</v>
      </c>
      <c r="M402" s="2" t="s">
        <v>1294</v>
      </c>
    </row>
    <row r="403" spans="1:13">
      <c r="A403">
        <v>80813638</v>
      </c>
      <c r="B403" t="s">
        <v>867</v>
      </c>
      <c r="C403" s="1" t="s">
        <v>152</v>
      </c>
      <c r="D403" t="s">
        <v>428</v>
      </c>
      <c r="E403" t="s">
        <v>168</v>
      </c>
      <c r="F403" s="2">
        <v>46034</v>
      </c>
      <c r="G403">
        <v>27</v>
      </c>
      <c r="H403" s="2">
        <v>46021</v>
      </c>
      <c r="I403" s="2" t="s">
        <v>202</v>
      </c>
      <c r="J403" s="1" t="s">
        <v>871</v>
      </c>
      <c r="L403" s="2">
        <v>46021</v>
      </c>
      <c r="M403" s="2" t="s">
        <v>1294</v>
      </c>
    </row>
    <row r="404" spans="1:13">
      <c r="A404">
        <v>80813638</v>
      </c>
      <c r="B404" t="s">
        <v>867</v>
      </c>
      <c r="C404" s="1" t="s">
        <v>153</v>
      </c>
      <c r="D404" t="s">
        <v>428</v>
      </c>
      <c r="E404" t="s">
        <v>168</v>
      </c>
      <c r="F404" s="2">
        <v>46034</v>
      </c>
      <c r="G404">
        <v>30</v>
      </c>
      <c r="H404" s="2">
        <v>46021</v>
      </c>
      <c r="I404" s="2" t="s">
        <v>202</v>
      </c>
      <c r="J404" s="1" t="s">
        <v>872</v>
      </c>
      <c r="L404" s="2">
        <v>46021</v>
      </c>
      <c r="M404" s="2" t="s">
        <v>1294</v>
      </c>
    </row>
    <row r="405" spans="1:13">
      <c r="A405">
        <v>80813638</v>
      </c>
      <c r="B405" t="s">
        <v>867</v>
      </c>
      <c r="C405" s="1" t="s">
        <v>154</v>
      </c>
      <c r="D405" t="s">
        <v>428</v>
      </c>
      <c r="E405" t="s">
        <v>168</v>
      </c>
      <c r="F405" s="2">
        <v>46034</v>
      </c>
      <c r="G405">
        <v>52</v>
      </c>
      <c r="H405" s="2">
        <v>46021</v>
      </c>
      <c r="I405" s="2" t="s">
        <v>202</v>
      </c>
      <c r="J405" s="1" t="s">
        <v>873</v>
      </c>
      <c r="L405" s="2">
        <v>46021</v>
      </c>
      <c r="M405" s="2" t="s">
        <v>1294</v>
      </c>
    </row>
    <row r="406" spans="1:13">
      <c r="A406">
        <v>80813638</v>
      </c>
      <c r="B406" t="s">
        <v>867</v>
      </c>
      <c r="C406" s="1" t="s">
        <v>155</v>
      </c>
      <c r="D406" t="s">
        <v>428</v>
      </c>
      <c r="E406" t="s">
        <v>168</v>
      </c>
      <c r="F406" s="2">
        <v>46034</v>
      </c>
      <c r="G406">
        <v>28</v>
      </c>
      <c r="H406" s="2">
        <v>46021</v>
      </c>
      <c r="I406" s="2" t="s">
        <v>202</v>
      </c>
      <c r="J406" s="1" t="s">
        <v>874</v>
      </c>
      <c r="L406" s="2">
        <v>46021</v>
      </c>
      <c r="M406" s="2" t="s">
        <v>1294</v>
      </c>
    </row>
    <row r="407" spans="1:13">
      <c r="A407">
        <v>80813641</v>
      </c>
      <c r="B407" t="s">
        <v>875</v>
      </c>
      <c r="C407" s="1" t="s">
        <v>143</v>
      </c>
      <c r="D407" t="s">
        <v>428</v>
      </c>
      <c r="E407" t="s">
        <v>168</v>
      </c>
      <c r="F407" s="2">
        <v>46034</v>
      </c>
      <c r="G407">
        <v>78</v>
      </c>
      <c r="H407" s="2">
        <v>46021</v>
      </c>
      <c r="I407" s="2" t="s">
        <v>202</v>
      </c>
      <c r="J407" s="1" t="s">
        <v>876</v>
      </c>
      <c r="L407" s="2">
        <v>46021</v>
      </c>
      <c r="M407" s="2" t="s">
        <v>1294</v>
      </c>
    </row>
    <row r="408" spans="1:13">
      <c r="A408">
        <v>80813641</v>
      </c>
      <c r="B408" t="s">
        <v>875</v>
      </c>
      <c r="C408" s="1" t="s">
        <v>150</v>
      </c>
      <c r="D408" t="s">
        <v>428</v>
      </c>
      <c r="E408" t="s">
        <v>168</v>
      </c>
      <c r="F408" s="2">
        <v>46034</v>
      </c>
      <c r="G408">
        <v>725</v>
      </c>
      <c r="H408" s="2">
        <v>46021</v>
      </c>
      <c r="I408" s="2" t="s">
        <v>202</v>
      </c>
      <c r="J408" s="1" t="s">
        <v>877</v>
      </c>
      <c r="L408" s="2">
        <v>46021</v>
      </c>
      <c r="M408" s="2" t="s">
        <v>1294</v>
      </c>
    </row>
    <row r="409" spans="1:13">
      <c r="A409">
        <v>80813641</v>
      </c>
      <c r="B409" t="s">
        <v>875</v>
      </c>
      <c r="C409" s="1" t="s">
        <v>151</v>
      </c>
      <c r="D409" t="s">
        <v>428</v>
      </c>
      <c r="E409" t="s">
        <v>168</v>
      </c>
      <c r="F409" s="2">
        <v>46034</v>
      </c>
      <c r="G409">
        <v>685</v>
      </c>
      <c r="H409" s="2">
        <v>46021</v>
      </c>
      <c r="I409" s="2" t="s">
        <v>202</v>
      </c>
      <c r="J409" s="1" t="s">
        <v>878</v>
      </c>
      <c r="L409" s="2">
        <v>46021</v>
      </c>
      <c r="M409" s="2" t="s">
        <v>1294</v>
      </c>
    </row>
    <row r="410" spans="1:13">
      <c r="A410">
        <v>80813641</v>
      </c>
      <c r="B410" t="s">
        <v>875</v>
      </c>
      <c r="C410" s="1" t="s">
        <v>152</v>
      </c>
      <c r="D410" t="s">
        <v>428</v>
      </c>
      <c r="E410" t="s">
        <v>168</v>
      </c>
      <c r="F410" s="2">
        <v>46034</v>
      </c>
      <c r="G410">
        <v>375</v>
      </c>
      <c r="H410" s="2">
        <v>46021</v>
      </c>
      <c r="I410" s="2" t="s">
        <v>202</v>
      </c>
      <c r="J410" s="1" t="s">
        <v>879</v>
      </c>
      <c r="L410" s="2">
        <v>46021</v>
      </c>
      <c r="M410" s="2" t="s">
        <v>1294</v>
      </c>
    </row>
    <row r="411" spans="1:13">
      <c r="A411">
        <v>80813641</v>
      </c>
      <c r="B411" t="s">
        <v>875</v>
      </c>
      <c r="C411" s="1" t="s">
        <v>153</v>
      </c>
      <c r="D411" t="s">
        <v>428</v>
      </c>
      <c r="E411" t="s">
        <v>168</v>
      </c>
      <c r="F411" s="2">
        <v>46034</v>
      </c>
      <c r="G411">
        <v>101</v>
      </c>
      <c r="H411" s="2">
        <v>46021</v>
      </c>
      <c r="I411" s="2" t="s">
        <v>202</v>
      </c>
      <c r="J411" s="1" t="s">
        <v>880</v>
      </c>
      <c r="L411" s="2">
        <v>46021</v>
      </c>
      <c r="M411" s="2" t="s">
        <v>1294</v>
      </c>
    </row>
    <row r="412" spans="1:13">
      <c r="A412">
        <v>80813641</v>
      </c>
      <c r="B412" t="s">
        <v>875</v>
      </c>
      <c r="C412" s="1" t="s">
        <v>154</v>
      </c>
      <c r="D412" t="s">
        <v>428</v>
      </c>
      <c r="E412" t="s">
        <v>168</v>
      </c>
      <c r="F412" s="2">
        <v>46034</v>
      </c>
      <c r="G412">
        <v>122</v>
      </c>
      <c r="H412" s="2">
        <v>46021</v>
      </c>
      <c r="I412" s="2" t="s">
        <v>202</v>
      </c>
      <c r="J412" s="1" t="s">
        <v>881</v>
      </c>
      <c r="L412" s="2">
        <v>46021</v>
      </c>
      <c r="M412" s="2" t="s">
        <v>1294</v>
      </c>
    </row>
    <row r="413" spans="1:13">
      <c r="A413">
        <v>80813641</v>
      </c>
      <c r="B413" t="s">
        <v>875</v>
      </c>
      <c r="C413" s="1" t="s">
        <v>155</v>
      </c>
      <c r="D413" t="s">
        <v>428</v>
      </c>
      <c r="E413" t="s">
        <v>168</v>
      </c>
      <c r="F413" s="2">
        <v>46034</v>
      </c>
      <c r="G413">
        <v>250</v>
      </c>
      <c r="H413" s="2">
        <v>46021</v>
      </c>
      <c r="I413" s="2" t="s">
        <v>202</v>
      </c>
      <c r="J413" s="1" t="s">
        <v>882</v>
      </c>
      <c r="L413" s="2">
        <v>46021</v>
      </c>
      <c r="M413" s="2" t="s">
        <v>1294</v>
      </c>
    </row>
    <row r="414" spans="1:13">
      <c r="A414">
        <v>80823372</v>
      </c>
      <c r="B414" t="s">
        <v>883</v>
      </c>
      <c r="C414" s="1" t="s">
        <v>143</v>
      </c>
      <c r="D414" t="s">
        <v>428</v>
      </c>
      <c r="E414" t="s">
        <v>168</v>
      </c>
      <c r="F414" s="2">
        <v>46034</v>
      </c>
      <c r="G414">
        <v>3</v>
      </c>
      <c r="H414" s="2">
        <v>46021</v>
      </c>
      <c r="I414" s="2" t="s">
        <v>202</v>
      </c>
      <c r="J414" s="1" t="s">
        <v>884</v>
      </c>
      <c r="L414" s="2">
        <v>46021</v>
      </c>
      <c r="M414" s="2" t="s">
        <v>1294</v>
      </c>
    </row>
    <row r="415" spans="1:13">
      <c r="A415">
        <v>80823372</v>
      </c>
      <c r="B415" t="s">
        <v>883</v>
      </c>
      <c r="C415" s="1" t="s">
        <v>150</v>
      </c>
      <c r="D415" t="s">
        <v>428</v>
      </c>
      <c r="E415" t="s">
        <v>168</v>
      </c>
      <c r="F415" s="2">
        <v>46034</v>
      </c>
      <c r="G415">
        <v>12</v>
      </c>
      <c r="H415" s="2">
        <v>46021</v>
      </c>
      <c r="I415" s="2" t="s">
        <v>202</v>
      </c>
      <c r="J415" s="1" t="s">
        <v>885</v>
      </c>
      <c r="L415" s="2">
        <v>46021</v>
      </c>
      <c r="M415" s="2" t="s">
        <v>1294</v>
      </c>
    </row>
    <row r="416" spans="1:13">
      <c r="A416">
        <v>80823372</v>
      </c>
      <c r="B416" t="s">
        <v>883</v>
      </c>
      <c r="C416" s="1" t="s">
        <v>151</v>
      </c>
      <c r="D416" t="s">
        <v>428</v>
      </c>
      <c r="E416" t="s">
        <v>168</v>
      </c>
      <c r="F416" s="2">
        <v>46034</v>
      </c>
      <c r="G416">
        <v>13</v>
      </c>
      <c r="H416" s="2">
        <v>46021</v>
      </c>
      <c r="I416" s="2" t="s">
        <v>202</v>
      </c>
      <c r="J416" s="1" t="s">
        <v>886</v>
      </c>
      <c r="L416" s="2">
        <v>46021</v>
      </c>
      <c r="M416" s="2" t="s">
        <v>1294</v>
      </c>
    </row>
    <row r="417" spans="1:13">
      <c r="A417">
        <v>80823372</v>
      </c>
      <c r="B417" t="s">
        <v>883</v>
      </c>
      <c r="C417" s="1" t="s">
        <v>152</v>
      </c>
      <c r="D417" t="s">
        <v>428</v>
      </c>
      <c r="E417" t="s">
        <v>168</v>
      </c>
      <c r="F417" s="2">
        <v>46034</v>
      </c>
      <c r="G417">
        <v>11</v>
      </c>
      <c r="H417" s="2">
        <v>46021</v>
      </c>
      <c r="I417" s="2" t="s">
        <v>202</v>
      </c>
      <c r="J417" s="1" t="s">
        <v>887</v>
      </c>
      <c r="L417" s="2">
        <v>46021</v>
      </c>
      <c r="M417" s="2" t="s">
        <v>1294</v>
      </c>
    </row>
    <row r="418" spans="1:13">
      <c r="A418">
        <v>80823372</v>
      </c>
      <c r="B418" t="s">
        <v>883</v>
      </c>
      <c r="C418" s="1" t="s">
        <v>153</v>
      </c>
      <c r="D418" t="s">
        <v>428</v>
      </c>
      <c r="E418" t="s">
        <v>168</v>
      </c>
      <c r="F418" s="2">
        <v>46034</v>
      </c>
      <c r="G418">
        <v>11</v>
      </c>
      <c r="H418" s="2">
        <v>46021</v>
      </c>
      <c r="I418" s="2" t="s">
        <v>202</v>
      </c>
      <c r="J418" s="1" t="s">
        <v>888</v>
      </c>
      <c r="L418" s="2">
        <v>46021</v>
      </c>
      <c r="M418" s="2" t="s">
        <v>1294</v>
      </c>
    </row>
    <row r="419" spans="1:13">
      <c r="A419">
        <v>80823372</v>
      </c>
      <c r="B419" t="s">
        <v>883</v>
      </c>
      <c r="C419" s="1" t="s">
        <v>154</v>
      </c>
      <c r="D419" t="s">
        <v>428</v>
      </c>
      <c r="E419" t="s">
        <v>168</v>
      </c>
      <c r="F419" s="2">
        <v>46034</v>
      </c>
      <c r="G419">
        <v>11</v>
      </c>
      <c r="H419" s="2">
        <v>46021</v>
      </c>
      <c r="I419" s="2" t="s">
        <v>202</v>
      </c>
      <c r="J419" s="1" t="s">
        <v>889</v>
      </c>
      <c r="L419" s="2">
        <v>46021</v>
      </c>
      <c r="M419" s="2" t="s">
        <v>1294</v>
      </c>
    </row>
    <row r="420" spans="1:13">
      <c r="A420">
        <v>80823372</v>
      </c>
      <c r="B420" t="s">
        <v>883</v>
      </c>
      <c r="C420" s="1" t="s">
        <v>155</v>
      </c>
      <c r="D420" t="s">
        <v>428</v>
      </c>
      <c r="E420" t="s">
        <v>168</v>
      </c>
      <c r="F420" s="2">
        <v>46034</v>
      </c>
      <c r="G420">
        <v>10</v>
      </c>
      <c r="H420" s="2">
        <v>46021</v>
      </c>
      <c r="I420" s="2" t="s">
        <v>202</v>
      </c>
      <c r="J420" s="1" t="s">
        <v>890</v>
      </c>
      <c r="L420" s="2">
        <v>46021</v>
      </c>
      <c r="M420" s="2" t="s">
        <v>1294</v>
      </c>
    </row>
    <row r="421" spans="1:13">
      <c r="A421">
        <v>80823374</v>
      </c>
      <c r="B421" t="s">
        <v>891</v>
      </c>
      <c r="C421" s="1" t="s">
        <v>143</v>
      </c>
      <c r="D421" t="s">
        <v>428</v>
      </c>
      <c r="E421" t="s">
        <v>168</v>
      </c>
      <c r="F421" s="2">
        <v>46034</v>
      </c>
      <c r="G421">
        <v>7</v>
      </c>
      <c r="H421" s="2">
        <v>46021</v>
      </c>
      <c r="I421" s="2" t="s">
        <v>202</v>
      </c>
      <c r="J421" s="1" t="s">
        <v>892</v>
      </c>
      <c r="L421" s="2">
        <v>46021</v>
      </c>
      <c r="M421" s="2" t="s">
        <v>1294</v>
      </c>
    </row>
    <row r="422" spans="1:13">
      <c r="A422">
        <v>80823374</v>
      </c>
      <c r="B422" t="s">
        <v>891</v>
      </c>
      <c r="C422" s="1" t="s">
        <v>150</v>
      </c>
      <c r="D422" t="s">
        <v>428</v>
      </c>
      <c r="E422" t="s">
        <v>168</v>
      </c>
      <c r="F422" s="2">
        <v>46034</v>
      </c>
      <c r="G422">
        <v>11</v>
      </c>
      <c r="H422" s="2">
        <v>46021</v>
      </c>
      <c r="I422" s="2" t="s">
        <v>202</v>
      </c>
      <c r="J422" s="1" t="s">
        <v>893</v>
      </c>
      <c r="L422" s="2">
        <v>46021</v>
      </c>
      <c r="M422" s="2" t="s">
        <v>1294</v>
      </c>
    </row>
    <row r="423" spans="1:13">
      <c r="A423">
        <v>80823374</v>
      </c>
      <c r="B423" t="s">
        <v>891</v>
      </c>
      <c r="C423" s="1" t="s">
        <v>151</v>
      </c>
      <c r="D423" t="s">
        <v>428</v>
      </c>
      <c r="E423" t="s">
        <v>168</v>
      </c>
      <c r="F423" s="2">
        <v>46034</v>
      </c>
      <c r="G423">
        <v>32</v>
      </c>
      <c r="H423" s="2">
        <v>46021</v>
      </c>
      <c r="I423" s="2" t="s">
        <v>202</v>
      </c>
      <c r="J423" s="1" t="s">
        <v>894</v>
      </c>
      <c r="L423" s="2">
        <v>46021</v>
      </c>
      <c r="M423" s="2" t="s">
        <v>1294</v>
      </c>
    </row>
    <row r="424" spans="1:13">
      <c r="A424">
        <v>80823374</v>
      </c>
      <c r="B424" t="s">
        <v>891</v>
      </c>
      <c r="C424" s="1" t="s">
        <v>152</v>
      </c>
      <c r="D424" t="s">
        <v>428</v>
      </c>
      <c r="E424" t="s">
        <v>168</v>
      </c>
      <c r="F424" s="2">
        <v>46034</v>
      </c>
      <c r="G424">
        <v>11</v>
      </c>
      <c r="H424" s="2">
        <v>46021</v>
      </c>
      <c r="I424" s="2" t="s">
        <v>202</v>
      </c>
      <c r="J424" s="1" t="s">
        <v>895</v>
      </c>
      <c r="L424" s="2">
        <v>46021</v>
      </c>
      <c r="M424" s="2" t="s">
        <v>1294</v>
      </c>
    </row>
    <row r="425" spans="1:13">
      <c r="A425">
        <v>80823374</v>
      </c>
      <c r="B425" t="s">
        <v>891</v>
      </c>
      <c r="C425" s="1" t="s">
        <v>153</v>
      </c>
      <c r="D425" t="s">
        <v>428</v>
      </c>
      <c r="E425" t="s">
        <v>168</v>
      </c>
      <c r="F425" s="2">
        <v>46034</v>
      </c>
      <c r="G425">
        <v>11</v>
      </c>
      <c r="H425" s="2">
        <v>46021</v>
      </c>
      <c r="I425" s="2" t="s">
        <v>202</v>
      </c>
      <c r="J425" s="1" t="s">
        <v>896</v>
      </c>
      <c r="L425" s="2">
        <v>46021</v>
      </c>
      <c r="M425" s="2" t="s">
        <v>1294</v>
      </c>
    </row>
    <row r="426" spans="1:13">
      <c r="A426">
        <v>80823374</v>
      </c>
      <c r="B426" t="s">
        <v>891</v>
      </c>
      <c r="C426" s="1" t="s">
        <v>154</v>
      </c>
      <c r="D426" t="s">
        <v>428</v>
      </c>
      <c r="E426" t="s">
        <v>168</v>
      </c>
      <c r="F426" s="2">
        <v>46034</v>
      </c>
      <c r="G426">
        <v>12</v>
      </c>
      <c r="H426" s="2">
        <v>46021</v>
      </c>
      <c r="I426" s="2" t="s">
        <v>202</v>
      </c>
      <c r="J426" s="1" t="s">
        <v>897</v>
      </c>
      <c r="L426" s="2">
        <v>46021</v>
      </c>
      <c r="M426" s="2" t="s">
        <v>1294</v>
      </c>
    </row>
    <row r="427" spans="1:13">
      <c r="A427">
        <v>80823374</v>
      </c>
      <c r="B427" t="s">
        <v>891</v>
      </c>
      <c r="C427" s="1" t="s">
        <v>155</v>
      </c>
      <c r="D427" t="s">
        <v>428</v>
      </c>
      <c r="E427" t="s">
        <v>168</v>
      </c>
      <c r="F427" s="2">
        <v>46034</v>
      </c>
      <c r="G427">
        <v>10</v>
      </c>
      <c r="H427" s="2">
        <v>46021</v>
      </c>
      <c r="I427" s="2" t="s">
        <v>202</v>
      </c>
      <c r="J427" s="1" t="s">
        <v>898</v>
      </c>
      <c r="L427" s="2">
        <v>46021</v>
      </c>
      <c r="M427" s="2" t="s">
        <v>1294</v>
      </c>
    </row>
    <row r="428" spans="1:13">
      <c r="A428">
        <v>80823944</v>
      </c>
      <c r="B428" t="s">
        <v>899</v>
      </c>
      <c r="C428" s="1" t="s">
        <v>143</v>
      </c>
      <c r="D428" t="s">
        <v>428</v>
      </c>
      <c r="E428" t="s">
        <v>168</v>
      </c>
      <c r="F428" s="2">
        <v>46034</v>
      </c>
      <c r="G428">
        <v>6</v>
      </c>
      <c r="H428" s="2">
        <v>46021</v>
      </c>
      <c r="I428" s="2" t="s">
        <v>202</v>
      </c>
      <c r="J428" s="1" t="s">
        <v>900</v>
      </c>
      <c r="L428" s="2">
        <v>46021</v>
      </c>
      <c r="M428" s="2" t="s">
        <v>1294</v>
      </c>
    </row>
    <row r="429" spans="1:13">
      <c r="A429">
        <v>80823944</v>
      </c>
      <c r="B429" t="s">
        <v>899</v>
      </c>
      <c r="C429" s="1" t="s">
        <v>150</v>
      </c>
      <c r="D429" t="s">
        <v>428</v>
      </c>
      <c r="E429" t="s">
        <v>168</v>
      </c>
      <c r="F429" s="2">
        <v>46034</v>
      </c>
      <c r="G429">
        <v>12</v>
      </c>
      <c r="H429" s="2">
        <v>46021</v>
      </c>
      <c r="I429" s="2" t="s">
        <v>202</v>
      </c>
      <c r="J429" s="1" t="s">
        <v>901</v>
      </c>
      <c r="L429" s="2">
        <v>46021</v>
      </c>
      <c r="M429" s="2" t="s">
        <v>1294</v>
      </c>
    </row>
    <row r="430" spans="1:13">
      <c r="A430">
        <v>80823944</v>
      </c>
      <c r="B430" t="s">
        <v>899</v>
      </c>
      <c r="C430" s="1" t="s">
        <v>151</v>
      </c>
      <c r="D430" t="s">
        <v>428</v>
      </c>
      <c r="E430" t="s">
        <v>168</v>
      </c>
      <c r="F430" s="2">
        <v>46034</v>
      </c>
      <c r="G430">
        <v>13</v>
      </c>
      <c r="H430" s="2">
        <v>46021</v>
      </c>
      <c r="I430" s="2" t="s">
        <v>202</v>
      </c>
      <c r="J430" s="1" t="s">
        <v>902</v>
      </c>
      <c r="L430" s="2">
        <v>46021</v>
      </c>
      <c r="M430" s="2" t="s">
        <v>1294</v>
      </c>
    </row>
    <row r="431" spans="1:13">
      <c r="A431">
        <v>80823944</v>
      </c>
      <c r="B431" t="s">
        <v>899</v>
      </c>
      <c r="C431" s="1" t="s">
        <v>152</v>
      </c>
      <c r="D431" t="s">
        <v>428</v>
      </c>
      <c r="E431" t="s">
        <v>168</v>
      </c>
      <c r="F431" s="2">
        <v>46034</v>
      </c>
      <c r="G431">
        <v>11</v>
      </c>
      <c r="H431" s="2">
        <v>46021</v>
      </c>
      <c r="I431" s="2" t="s">
        <v>202</v>
      </c>
      <c r="J431" s="1" t="s">
        <v>903</v>
      </c>
      <c r="L431" s="2">
        <v>46021</v>
      </c>
      <c r="M431" s="2" t="s">
        <v>1294</v>
      </c>
    </row>
    <row r="432" spans="1:13">
      <c r="A432">
        <v>80823944</v>
      </c>
      <c r="B432" t="s">
        <v>899</v>
      </c>
      <c r="C432" s="1" t="s">
        <v>153</v>
      </c>
      <c r="D432" t="s">
        <v>428</v>
      </c>
      <c r="E432" t="s">
        <v>168</v>
      </c>
      <c r="F432" s="2">
        <v>46034</v>
      </c>
      <c r="G432">
        <v>11</v>
      </c>
      <c r="H432" s="2">
        <v>46021</v>
      </c>
      <c r="I432" s="2" t="s">
        <v>202</v>
      </c>
      <c r="J432" s="1" t="s">
        <v>904</v>
      </c>
      <c r="L432" s="2">
        <v>46021</v>
      </c>
      <c r="M432" s="2" t="s">
        <v>1294</v>
      </c>
    </row>
    <row r="433" spans="1:13">
      <c r="A433">
        <v>80823944</v>
      </c>
      <c r="B433" t="s">
        <v>899</v>
      </c>
      <c r="C433" s="1" t="s">
        <v>154</v>
      </c>
      <c r="D433" t="s">
        <v>428</v>
      </c>
      <c r="E433" t="s">
        <v>168</v>
      </c>
      <c r="F433" s="2">
        <v>46034</v>
      </c>
      <c r="G433">
        <v>11</v>
      </c>
      <c r="H433" s="2">
        <v>46021</v>
      </c>
      <c r="I433" s="2" t="s">
        <v>202</v>
      </c>
      <c r="J433" s="1" t="s">
        <v>905</v>
      </c>
      <c r="L433" s="2">
        <v>46021</v>
      </c>
      <c r="M433" s="2" t="s">
        <v>1294</v>
      </c>
    </row>
    <row r="434" spans="1:13">
      <c r="A434">
        <v>80823944</v>
      </c>
      <c r="B434" t="s">
        <v>899</v>
      </c>
      <c r="C434" s="1" t="s">
        <v>155</v>
      </c>
      <c r="D434" t="s">
        <v>428</v>
      </c>
      <c r="E434" t="s">
        <v>168</v>
      </c>
      <c r="F434" s="2">
        <v>46034</v>
      </c>
      <c r="G434">
        <v>11</v>
      </c>
      <c r="H434" s="2">
        <v>46021</v>
      </c>
      <c r="I434" s="2" t="s">
        <v>202</v>
      </c>
      <c r="J434" s="1" t="s">
        <v>906</v>
      </c>
      <c r="L434" s="2">
        <v>46021</v>
      </c>
      <c r="M434" s="2" t="s">
        <v>1294</v>
      </c>
    </row>
    <row r="435" spans="1:13">
      <c r="A435">
        <v>80754074</v>
      </c>
      <c r="B435" t="s">
        <v>907</v>
      </c>
      <c r="C435" s="1" t="s">
        <v>143</v>
      </c>
      <c r="D435" t="s">
        <v>428</v>
      </c>
      <c r="E435" t="s">
        <v>168</v>
      </c>
      <c r="F435" s="2">
        <v>46034</v>
      </c>
      <c r="G435">
        <v>19</v>
      </c>
      <c r="H435" s="2">
        <v>46021</v>
      </c>
      <c r="I435" s="2" t="s">
        <v>202</v>
      </c>
      <c r="J435" s="1" t="s">
        <v>908</v>
      </c>
      <c r="L435" s="2">
        <v>46021</v>
      </c>
      <c r="M435" s="2" t="s">
        <v>1294</v>
      </c>
    </row>
    <row r="436" spans="1:13">
      <c r="A436">
        <v>80754074</v>
      </c>
      <c r="B436" t="s">
        <v>907</v>
      </c>
      <c r="C436" s="1" t="s">
        <v>150</v>
      </c>
      <c r="D436" t="s">
        <v>428</v>
      </c>
      <c r="E436" t="s">
        <v>168</v>
      </c>
      <c r="F436" s="2">
        <v>46034</v>
      </c>
      <c r="G436">
        <v>225</v>
      </c>
      <c r="H436" s="2">
        <v>46021</v>
      </c>
      <c r="I436" s="2" t="s">
        <v>202</v>
      </c>
      <c r="J436" s="1" t="s">
        <v>909</v>
      </c>
      <c r="L436" s="2">
        <v>46021</v>
      </c>
      <c r="M436" s="2" t="s">
        <v>1294</v>
      </c>
    </row>
    <row r="437" spans="1:13">
      <c r="A437">
        <v>80754074</v>
      </c>
      <c r="B437" t="s">
        <v>907</v>
      </c>
      <c r="C437" s="1" t="s">
        <v>151</v>
      </c>
      <c r="D437" t="s">
        <v>428</v>
      </c>
      <c r="E437" t="s">
        <v>168</v>
      </c>
      <c r="F437" s="2">
        <v>46034</v>
      </c>
      <c r="G437">
        <v>212</v>
      </c>
      <c r="H437" s="2">
        <v>46021</v>
      </c>
      <c r="I437" s="2" t="s">
        <v>202</v>
      </c>
      <c r="J437" s="1" t="s">
        <v>910</v>
      </c>
      <c r="L437" s="2">
        <v>46021</v>
      </c>
      <c r="M437" s="2" t="s">
        <v>1294</v>
      </c>
    </row>
    <row r="438" spans="1:13">
      <c r="A438">
        <v>80754074</v>
      </c>
      <c r="B438" t="s">
        <v>907</v>
      </c>
      <c r="C438" s="1" t="s">
        <v>152</v>
      </c>
      <c r="D438" t="s">
        <v>428</v>
      </c>
      <c r="E438" t="s">
        <v>168</v>
      </c>
      <c r="F438" s="2">
        <v>46034</v>
      </c>
      <c r="G438">
        <v>29</v>
      </c>
      <c r="H438" s="2">
        <v>46021</v>
      </c>
      <c r="I438" s="2" t="s">
        <v>202</v>
      </c>
      <c r="J438" s="1" t="s">
        <v>911</v>
      </c>
      <c r="L438" s="2">
        <v>46021</v>
      </c>
      <c r="M438" s="2" t="s">
        <v>1294</v>
      </c>
    </row>
    <row r="439" spans="1:13">
      <c r="A439">
        <v>80754074</v>
      </c>
      <c r="B439" t="s">
        <v>907</v>
      </c>
      <c r="C439" s="1" t="s">
        <v>153</v>
      </c>
      <c r="D439" t="s">
        <v>428</v>
      </c>
      <c r="E439" t="s">
        <v>168</v>
      </c>
      <c r="F439" s="2">
        <v>46034</v>
      </c>
      <c r="G439">
        <v>18</v>
      </c>
      <c r="H439" s="2">
        <v>46021</v>
      </c>
      <c r="I439" s="2" t="s">
        <v>202</v>
      </c>
      <c r="J439" s="1" t="s">
        <v>912</v>
      </c>
      <c r="L439" s="2">
        <v>46021</v>
      </c>
      <c r="M439" s="2" t="s">
        <v>1294</v>
      </c>
    </row>
    <row r="440" spans="1:13">
      <c r="A440">
        <v>80754074</v>
      </c>
      <c r="B440" t="s">
        <v>907</v>
      </c>
      <c r="C440" s="1" t="s">
        <v>154</v>
      </c>
      <c r="D440" t="s">
        <v>428</v>
      </c>
      <c r="E440" t="s">
        <v>168</v>
      </c>
      <c r="F440" s="2">
        <v>46034</v>
      </c>
      <c r="G440">
        <v>22</v>
      </c>
      <c r="H440" s="2">
        <v>46021</v>
      </c>
      <c r="I440" s="2" t="s">
        <v>202</v>
      </c>
      <c r="J440" s="1" t="s">
        <v>913</v>
      </c>
      <c r="L440" s="2">
        <v>46021</v>
      </c>
      <c r="M440" s="2" t="s">
        <v>1294</v>
      </c>
    </row>
    <row r="441" spans="1:13">
      <c r="A441">
        <v>80754074</v>
      </c>
      <c r="B441" t="s">
        <v>907</v>
      </c>
      <c r="C441" s="1" t="s">
        <v>155</v>
      </c>
      <c r="D441" t="s">
        <v>428</v>
      </c>
      <c r="E441" t="s">
        <v>168</v>
      </c>
      <c r="F441" s="2">
        <v>46034</v>
      </c>
      <c r="G441">
        <v>108</v>
      </c>
      <c r="H441" s="2">
        <v>46021</v>
      </c>
      <c r="I441" s="2" t="s">
        <v>202</v>
      </c>
      <c r="J441" s="1" t="s">
        <v>914</v>
      </c>
      <c r="L441" s="2">
        <v>46021</v>
      </c>
      <c r="M441" s="2" t="s">
        <v>1294</v>
      </c>
    </row>
    <row r="442" spans="1:13">
      <c r="A442">
        <v>80754089</v>
      </c>
      <c r="B442" t="s">
        <v>915</v>
      </c>
      <c r="C442" s="1" t="s">
        <v>143</v>
      </c>
      <c r="D442" t="s">
        <v>428</v>
      </c>
      <c r="E442" t="s">
        <v>168</v>
      </c>
      <c r="F442" s="2">
        <v>46034</v>
      </c>
      <c r="G442">
        <v>17</v>
      </c>
      <c r="H442" s="2">
        <v>46021</v>
      </c>
      <c r="I442" s="2" t="s">
        <v>202</v>
      </c>
      <c r="J442" s="1" t="s">
        <v>916</v>
      </c>
      <c r="L442" s="2">
        <v>46021</v>
      </c>
      <c r="M442" s="2" t="s">
        <v>1294</v>
      </c>
    </row>
    <row r="443" spans="1:13">
      <c r="A443">
        <v>80754089</v>
      </c>
      <c r="B443" t="s">
        <v>915</v>
      </c>
      <c r="C443" s="1" t="s">
        <v>150</v>
      </c>
      <c r="D443" t="s">
        <v>428</v>
      </c>
      <c r="E443" t="s">
        <v>168</v>
      </c>
      <c r="F443" s="2">
        <v>46034</v>
      </c>
      <c r="G443">
        <v>203</v>
      </c>
      <c r="H443" s="2">
        <v>46021</v>
      </c>
      <c r="I443" s="2" t="s">
        <v>202</v>
      </c>
      <c r="J443" s="1" t="s">
        <v>917</v>
      </c>
      <c r="L443" s="2">
        <v>46021</v>
      </c>
      <c r="M443" s="2" t="s">
        <v>1294</v>
      </c>
    </row>
    <row r="444" spans="1:13">
      <c r="A444">
        <v>80754089</v>
      </c>
      <c r="B444" t="s">
        <v>915</v>
      </c>
      <c r="C444" s="1" t="s">
        <v>151</v>
      </c>
      <c r="D444" t="s">
        <v>428</v>
      </c>
      <c r="E444" t="s">
        <v>168</v>
      </c>
      <c r="F444" s="2">
        <v>46034</v>
      </c>
      <c r="G444">
        <v>207</v>
      </c>
      <c r="H444" s="2">
        <v>46021</v>
      </c>
      <c r="I444" s="2" t="s">
        <v>202</v>
      </c>
      <c r="J444" s="1" t="s">
        <v>918</v>
      </c>
      <c r="L444" s="2">
        <v>46021</v>
      </c>
      <c r="M444" s="2" t="s">
        <v>1294</v>
      </c>
    </row>
    <row r="445" spans="1:13">
      <c r="A445">
        <v>80754089</v>
      </c>
      <c r="B445" t="s">
        <v>915</v>
      </c>
      <c r="C445" s="1" t="s">
        <v>152</v>
      </c>
      <c r="D445" t="s">
        <v>428</v>
      </c>
      <c r="E445" t="s">
        <v>168</v>
      </c>
      <c r="F445" s="2">
        <v>46034</v>
      </c>
      <c r="G445">
        <v>14</v>
      </c>
      <c r="H445" s="2">
        <v>46021</v>
      </c>
      <c r="I445" s="2" t="s">
        <v>202</v>
      </c>
      <c r="J445" s="1" t="s">
        <v>919</v>
      </c>
      <c r="L445" s="2">
        <v>46021</v>
      </c>
      <c r="M445" s="2" t="s">
        <v>1294</v>
      </c>
    </row>
    <row r="446" spans="1:13">
      <c r="A446">
        <v>80754089</v>
      </c>
      <c r="B446" t="s">
        <v>915</v>
      </c>
      <c r="C446" s="1" t="s">
        <v>153</v>
      </c>
      <c r="D446" t="s">
        <v>428</v>
      </c>
      <c r="E446" t="s">
        <v>168</v>
      </c>
      <c r="F446" s="2">
        <v>46034</v>
      </c>
      <c r="G446">
        <v>17</v>
      </c>
      <c r="H446" s="2">
        <v>46021</v>
      </c>
      <c r="I446" s="2" t="s">
        <v>202</v>
      </c>
      <c r="J446" s="1" t="s">
        <v>920</v>
      </c>
      <c r="L446" s="2">
        <v>46021</v>
      </c>
      <c r="M446" s="2" t="s">
        <v>1294</v>
      </c>
    </row>
    <row r="447" spans="1:13">
      <c r="A447">
        <v>80754089</v>
      </c>
      <c r="B447" t="s">
        <v>915</v>
      </c>
      <c r="C447" s="1" t="s">
        <v>154</v>
      </c>
      <c r="D447" t="s">
        <v>428</v>
      </c>
      <c r="E447" t="s">
        <v>168</v>
      </c>
      <c r="F447" s="2">
        <v>46034</v>
      </c>
      <c r="G447">
        <v>8</v>
      </c>
      <c r="H447" s="2">
        <v>46021</v>
      </c>
      <c r="I447" s="2" t="s">
        <v>202</v>
      </c>
      <c r="J447" s="1" t="s">
        <v>921</v>
      </c>
      <c r="L447" s="2">
        <v>46021</v>
      </c>
      <c r="M447" s="2" t="s">
        <v>1294</v>
      </c>
    </row>
    <row r="448" spans="1:13">
      <c r="A448">
        <v>80754089</v>
      </c>
      <c r="B448" t="s">
        <v>915</v>
      </c>
      <c r="C448" s="1" t="s">
        <v>155</v>
      </c>
      <c r="D448" t="s">
        <v>428</v>
      </c>
      <c r="E448" t="s">
        <v>168</v>
      </c>
      <c r="F448" s="2">
        <v>46034</v>
      </c>
      <c r="G448">
        <v>307</v>
      </c>
      <c r="H448" s="2">
        <v>46021</v>
      </c>
      <c r="I448" s="2" t="s">
        <v>202</v>
      </c>
      <c r="J448" s="1" t="s">
        <v>922</v>
      </c>
      <c r="L448" s="2">
        <v>46021</v>
      </c>
      <c r="M448" s="2" t="s">
        <v>1294</v>
      </c>
    </row>
    <row r="449" spans="1:13">
      <c r="A449">
        <v>80769094</v>
      </c>
      <c r="B449" t="s">
        <v>923</v>
      </c>
      <c r="C449" s="1" t="s">
        <v>151</v>
      </c>
      <c r="D449" t="s">
        <v>428</v>
      </c>
      <c r="E449" t="s">
        <v>168</v>
      </c>
      <c r="F449" s="2">
        <v>46034</v>
      </c>
      <c r="G449">
        <v>21</v>
      </c>
      <c r="H449" s="2">
        <v>46021</v>
      </c>
      <c r="I449" s="2" t="s">
        <v>202</v>
      </c>
      <c r="J449" s="1" t="s">
        <v>924</v>
      </c>
      <c r="L449" s="2">
        <v>46021</v>
      </c>
      <c r="M449" s="2" t="s">
        <v>1294</v>
      </c>
    </row>
    <row r="450" spans="1:13">
      <c r="A450">
        <v>80769094</v>
      </c>
      <c r="B450" t="s">
        <v>923</v>
      </c>
      <c r="C450" s="1" t="s">
        <v>153</v>
      </c>
      <c r="D450" t="s">
        <v>428</v>
      </c>
      <c r="E450" t="s">
        <v>168</v>
      </c>
      <c r="F450" s="2">
        <v>46034</v>
      </c>
      <c r="G450">
        <v>11</v>
      </c>
      <c r="H450" s="2">
        <v>46021</v>
      </c>
      <c r="I450" s="2" t="s">
        <v>202</v>
      </c>
      <c r="J450" s="1" t="s">
        <v>925</v>
      </c>
      <c r="L450" s="2">
        <v>46021</v>
      </c>
      <c r="M450" s="2" t="s">
        <v>1294</v>
      </c>
    </row>
    <row r="451" spans="1:13">
      <c r="A451">
        <v>80769094</v>
      </c>
      <c r="B451" t="s">
        <v>923</v>
      </c>
      <c r="C451" s="1" t="s">
        <v>154</v>
      </c>
      <c r="D451" t="s">
        <v>428</v>
      </c>
      <c r="E451" t="s">
        <v>168</v>
      </c>
      <c r="F451" s="2">
        <v>46034</v>
      </c>
      <c r="G451">
        <v>11</v>
      </c>
      <c r="H451" s="2">
        <v>46021</v>
      </c>
      <c r="I451" s="2" t="s">
        <v>202</v>
      </c>
      <c r="J451" s="1" t="s">
        <v>926</v>
      </c>
      <c r="L451" s="2">
        <v>46021</v>
      </c>
      <c r="M451" s="2" t="s">
        <v>1294</v>
      </c>
    </row>
    <row r="452" spans="1:13">
      <c r="A452">
        <v>80769094</v>
      </c>
      <c r="B452" t="s">
        <v>923</v>
      </c>
      <c r="C452" s="1" t="s">
        <v>155</v>
      </c>
      <c r="D452" t="s">
        <v>428</v>
      </c>
      <c r="E452" t="s">
        <v>168</v>
      </c>
      <c r="F452" s="2">
        <v>46034</v>
      </c>
      <c r="G452">
        <v>1</v>
      </c>
      <c r="H452" s="2">
        <v>46021</v>
      </c>
      <c r="I452" s="2" t="s">
        <v>202</v>
      </c>
      <c r="J452" s="1" t="s">
        <v>927</v>
      </c>
      <c r="L452" s="2">
        <v>46021</v>
      </c>
      <c r="M452" s="2" t="s">
        <v>1294</v>
      </c>
    </row>
    <row r="453" spans="1:13">
      <c r="A453">
        <v>80883604</v>
      </c>
      <c r="B453" t="s">
        <v>928</v>
      </c>
      <c r="C453" s="1" t="s">
        <v>143</v>
      </c>
      <c r="D453" t="s">
        <v>428</v>
      </c>
      <c r="E453" t="s">
        <v>168</v>
      </c>
      <c r="F453" s="2">
        <v>46034</v>
      </c>
      <c r="G453">
        <v>2</v>
      </c>
      <c r="H453" s="2">
        <v>46021</v>
      </c>
      <c r="I453" s="2" t="s">
        <v>202</v>
      </c>
      <c r="J453" s="1" t="s">
        <v>929</v>
      </c>
      <c r="L453" s="2">
        <v>46021</v>
      </c>
      <c r="M453" s="2" t="s">
        <v>1294</v>
      </c>
    </row>
    <row r="454" spans="1:13">
      <c r="A454">
        <v>80883604</v>
      </c>
      <c r="B454" t="s">
        <v>928</v>
      </c>
      <c r="C454" s="1" t="s">
        <v>150</v>
      </c>
      <c r="D454" t="s">
        <v>428</v>
      </c>
      <c r="E454" t="s">
        <v>168</v>
      </c>
      <c r="F454" s="2">
        <v>46034</v>
      </c>
      <c r="G454">
        <v>34</v>
      </c>
      <c r="H454" s="2">
        <v>46021</v>
      </c>
      <c r="I454" s="2" t="s">
        <v>202</v>
      </c>
      <c r="J454" s="1" t="s">
        <v>930</v>
      </c>
      <c r="L454" s="2">
        <v>46021</v>
      </c>
      <c r="M454" s="2" t="s">
        <v>1294</v>
      </c>
    </row>
    <row r="455" spans="1:13">
      <c r="A455">
        <v>80883604</v>
      </c>
      <c r="B455" t="s">
        <v>928</v>
      </c>
      <c r="C455" s="1" t="s">
        <v>151</v>
      </c>
      <c r="D455" t="s">
        <v>428</v>
      </c>
      <c r="E455" t="s">
        <v>168</v>
      </c>
      <c r="F455" s="2">
        <v>46034</v>
      </c>
      <c r="G455">
        <v>48</v>
      </c>
      <c r="H455" s="2">
        <v>46021</v>
      </c>
      <c r="I455" s="2" t="s">
        <v>202</v>
      </c>
      <c r="J455" s="1" t="s">
        <v>931</v>
      </c>
      <c r="L455" s="2">
        <v>46021</v>
      </c>
      <c r="M455" s="2" t="s">
        <v>1294</v>
      </c>
    </row>
    <row r="456" spans="1:13">
      <c r="A456">
        <v>80883604</v>
      </c>
      <c r="B456" t="s">
        <v>928</v>
      </c>
      <c r="C456" s="1" t="s">
        <v>152</v>
      </c>
      <c r="D456" t="s">
        <v>428</v>
      </c>
      <c r="E456" t="s">
        <v>168</v>
      </c>
      <c r="F456" s="2">
        <v>46034</v>
      </c>
      <c r="G456">
        <v>10</v>
      </c>
      <c r="H456" s="2">
        <v>46021</v>
      </c>
      <c r="I456" s="2" t="s">
        <v>202</v>
      </c>
      <c r="J456" s="1" t="s">
        <v>932</v>
      </c>
      <c r="L456" s="2">
        <v>46021</v>
      </c>
      <c r="M456" s="2" t="s">
        <v>1294</v>
      </c>
    </row>
    <row r="457" spans="1:13">
      <c r="A457">
        <v>80883604</v>
      </c>
      <c r="B457" t="s">
        <v>928</v>
      </c>
      <c r="C457" s="1" t="s">
        <v>153</v>
      </c>
      <c r="D457" t="s">
        <v>428</v>
      </c>
      <c r="E457" t="s">
        <v>168</v>
      </c>
      <c r="F457" s="2">
        <v>46034</v>
      </c>
      <c r="G457">
        <v>2</v>
      </c>
      <c r="H457" s="2">
        <v>46021</v>
      </c>
      <c r="I457" s="2" t="s">
        <v>202</v>
      </c>
      <c r="J457" s="1" t="s">
        <v>933</v>
      </c>
      <c r="L457" s="2">
        <v>46021</v>
      </c>
      <c r="M457" s="2" t="s">
        <v>1294</v>
      </c>
    </row>
    <row r="458" spans="1:13">
      <c r="A458">
        <v>80883604</v>
      </c>
      <c r="B458" t="s">
        <v>928</v>
      </c>
      <c r="C458" s="1" t="s">
        <v>154</v>
      </c>
      <c r="D458" t="s">
        <v>428</v>
      </c>
      <c r="E458" t="s">
        <v>168</v>
      </c>
      <c r="F458" s="2">
        <v>46034</v>
      </c>
      <c r="G458">
        <v>5</v>
      </c>
      <c r="H458" s="2">
        <v>46021</v>
      </c>
      <c r="I458" s="2" t="s">
        <v>202</v>
      </c>
      <c r="J458" s="1" t="s">
        <v>934</v>
      </c>
      <c r="L458" s="2">
        <v>46021</v>
      </c>
      <c r="M458" s="2" t="s">
        <v>1294</v>
      </c>
    </row>
    <row r="459" spans="1:13">
      <c r="A459">
        <v>80883604</v>
      </c>
      <c r="B459" t="s">
        <v>928</v>
      </c>
      <c r="C459" s="1" t="s">
        <v>155</v>
      </c>
      <c r="D459" t="s">
        <v>428</v>
      </c>
      <c r="E459" t="s">
        <v>168</v>
      </c>
      <c r="F459" s="2">
        <v>46034</v>
      </c>
      <c r="G459">
        <v>28</v>
      </c>
      <c r="H459" s="2">
        <v>46021</v>
      </c>
      <c r="I459" s="2" t="s">
        <v>202</v>
      </c>
      <c r="J459" s="1" t="s">
        <v>935</v>
      </c>
      <c r="L459" s="2">
        <v>46021</v>
      </c>
      <c r="M459" s="2" t="s">
        <v>1294</v>
      </c>
    </row>
    <row r="460" spans="1:13">
      <c r="A460">
        <v>80883602</v>
      </c>
      <c r="B460" t="s">
        <v>936</v>
      </c>
      <c r="C460" s="1" t="s">
        <v>143</v>
      </c>
      <c r="D460" t="s">
        <v>428</v>
      </c>
      <c r="E460" t="s">
        <v>168</v>
      </c>
      <c r="F460" s="2">
        <v>46034</v>
      </c>
      <c r="G460">
        <v>51</v>
      </c>
      <c r="H460" s="2">
        <v>46021</v>
      </c>
      <c r="I460" s="2" t="s">
        <v>202</v>
      </c>
      <c r="J460" s="1" t="s">
        <v>937</v>
      </c>
      <c r="L460" s="2">
        <v>46021</v>
      </c>
      <c r="M460" s="2" t="s">
        <v>1294</v>
      </c>
    </row>
    <row r="461" spans="1:13">
      <c r="A461">
        <v>80883602</v>
      </c>
      <c r="B461" t="s">
        <v>936</v>
      </c>
      <c r="C461" s="1" t="s">
        <v>150</v>
      </c>
      <c r="D461" t="s">
        <v>428</v>
      </c>
      <c r="E461" t="s">
        <v>168</v>
      </c>
      <c r="F461" s="2">
        <v>46034</v>
      </c>
      <c r="G461">
        <v>649</v>
      </c>
      <c r="H461" s="2">
        <v>46021</v>
      </c>
      <c r="I461" s="2" t="s">
        <v>202</v>
      </c>
      <c r="J461" s="1" t="s">
        <v>938</v>
      </c>
      <c r="L461" s="2">
        <v>46021</v>
      </c>
      <c r="M461" s="2" t="s">
        <v>1294</v>
      </c>
    </row>
    <row r="462" spans="1:13">
      <c r="A462">
        <v>80883602</v>
      </c>
      <c r="B462" t="s">
        <v>936</v>
      </c>
      <c r="C462" s="1" t="s">
        <v>151</v>
      </c>
      <c r="D462" t="s">
        <v>428</v>
      </c>
      <c r="E462" t="s">
        <v>168</v>
      </c>
      <c r="F462" s="2">
        <v>46034</v>
      </c>
      <c r="G462">
        <v>425</v>
      </c>
      <c r="H462" s="2">
        <v>46021</v>
      </c>
      <c r="I462" s="2" t="s">
        <v>202</v>
      </c>
      <c r="J462" s="1" t="s">
        <v>939</v>
      </c>
      <c r="L462" s="2">
        <v>46021</v>
      </c>
      <c r="M462" s="2" t="s">
        <v>1294</v>
      </c>
    </row>
    <row r="463" spans="1:13">
      <c r="A463">
        <v>80883602</v>
      </c>
      <c r="B463" t="s">
        <v>936</v>
      </c>
      <c r="C463" s="1" t="s">
        <v>152</v>
      </c>
      <c r="D463" t="s">
        <v>428</v>
      </c>
      <c r="E463" t="s">
        <v>168</v>
      </c>
      <c r="F463" s="2">
        <v>46034</v>
      </c>
      <c r="G463">
        <v>51</v>
      </c>
      <c r="H463" s="2">
        <v>46021</v>
      </c>
      <c r="I463" s="2" t="s">
        <v>202</v>
      </c>
      <c r="J463" s="1" t="s">
        <v>940</v>
      </c>
      <c r="L463" s="2">
        <v>46021</v>
      </c>
      <c r="M463" s="2" t="s">
        <v>1294</v>
      </c>
    </row>
    <row r="464" spans="1:13">
      <c r="A464">
        <v>80883602</v>
      </c>
      <c r="B464" t="s">
        <v>936</v>
      </c>
      <c r="C464" s="1" t="s">
        <v>153</v>
      </c>
      <c r="D464" t="s">
        <v>428</v>
      </c>
      <c r="E464" t="s">
        <v>168</v>
      </c>
      <c r="F464" s="2">
        <v>46034</v>
      </c>
      <c r="G464">
        <v>39</v>
      </c>
      <c r="H464" s="2">
        <v>46021</v>
      </c>
      <c r="I464" s="2" t="s">
        <v>202</v>
      </c>
      <c r="J464" s="1" t="s">
        <v>941</v>
      </c>
      <c r="L464" s="2">
        <v>46021</v>
      </c>
      <c r="M464" s="2" t="s">
        <v>1294</v>
      </c>
    </row>
    <row r="465" spans="1:13">
      <c r="A465">
        <v>80883602</v>
      </c>
      <c r="B465" t="s">
        <v>936</v>
      </c>
      <c r="C465" s="1" t="s">
        <v>154</v>
      </c>
      <c r="D465" t="s">
        <v>428</v>
      </c>
      <c r="E465" t="s">
        <v>168</v>
      </c>
      <c r="F465" s="2">
        <v>46034</v>
      </c>
      <c r="G465">
        <v>33</v>
      </c>
      <c r="H465" s="2">
        <v>46021</v>
      </c>
      <c r="I465" s="2" t="s">
        <v>202</v>
      </c>
      <c r="J465" s="1" t="s">
        <v>942</v>
      </c>
      <c r="L465" s="2">
        <v>46021</v>
      </c>
      <c r="M465" s="2" t="s">
        <v>1294</v>
      </c>
    </row>
    <row r="466" spans="1:13">
      <c r="A466">
        <v>80883602</v>
      </c>
      <c r="B466" t="s">
        <v>936</v>
      </c>
      <c r="C466" s="1" t="s">
        <v>155</v>
      </c>
      <c r="D466" t="s">
        <v>428</v>
      </c>
      <c r="E466" t="s">
        <v>168</v>
      </c>
      <c r="F466" s="2">
        <v>46034</v>
      </c>
      <c r="G466">
        <v>267</v>
      </c>
      <c r="H466" s="2">
        <v>46021</v>
      </c>
      <c r="I466" s="2" t="s">
        <v>202</v>
      </c>
      <c r="J466" s="1" t="s">
        <v>943</v>
      </c>
      <c r="L466" s="2">
        <v>46021</v>
      </c>
      <c r="M466" s="2" t="s">
        <v>1294</v>
      </c>
    </row>
    <row r="467" spans="1:13">
      <c r="A467">
        <v>80881081</v>
      </c>
      <c r="B467" t="s">
        <v>944</v>
      </c>
      <c r="C467" s="1" t="s">
        <v>143</v>
      </c>
      <c r="D467" t="s">
        <v>428</v>
      </c>
      <c r="E467" t="s">
        <v>168</v>
      </c>
      <c r="F467" s="2">
        <v>46034</v>
      </c>
      <c r="G467">
        <v>2</v>
      </c>
      <c r="H467" s="2">
        <v>46021</v>
      </c>
      <c r="I467" s="2" t="s">
        <v>202</v>
      </c>
      <c r="J467" s="1" t="s">
        <v>945</v>
      </c>
      <c r="L467" s="2">
        <v>46021</v>
      </c>
      <c r="M467" s="2" t="s">
        <v>1294</v>
      </c>
    </row>
    <row r="468" spans="1:13">
      <c r="A468">
        <v>80881081</v>
      </c>
      <c r="B468" t="s">
        <v>944</v>
      </c>
      <c r="C468" s="1" t="s">
        <v>150</v>
      </c>
      <c r="D468" t="s">
        <v>428</v>
      </c>
      <c r="E468" t="s">
        <v>168</v>
      </c>
      <c r="F468" s="2">
        <v>46034</v>
      </c>
      <c r="G468">
        <v>29</v>
      </c>
      <c r="H468" s="2">
        <v>46021</v>
      </c>
      <c r="I468" s="2" t="s">
        <v>202</v>
      </c>
      <c r="J468" s="1" t="s">
        <v>946</v>
      </c>
      <c r="L468" s="2">
        <v>46021</v>
      </c>
      <c r="M468" s="2" t="s">
        <v>1294</v>
      </c>
    </row>
    <row r="469" spans="1:13">
      <c r="A469">
        <v>80881081</v>
      </c>
      <c r="B469" t="s">
        <v>944</v>
      </c>
      <c r="C469" s="1" t="s">
        <v>151</v>
      </c>
      <c r="D469" t="s">
        <v>428</v>
      </c>
      <c r="E469" t="s">
        <v>168</v>
      </c>
      <c r="F469" s="2">
        <v>46034</v>
      </c>
      <c r="G469">
        <v>31</v>
      </c>
      <c r="H469" s="2">
        <v>46021</v>
      </c>
      <c r="I469" s="2" t="s">
        <v>202</v>
      </c>
      <c r="J469" s="1" t="s">
        <v>947</v>
      </c>
      <c r="L469" s="2">
        <v>46021</v>
      </c>
      <c r="M469" s="2" t="s">
        <v>1294</v>
      </c>
    </row>
    <row r="470" spans="1:13">
      <c r="A470">
        <v>80881081</v>
      </c>
      <c r="B470" t="s">
        <v>944</v>
      </c>
      <c r="C470" s="1" t="s">
        <v>152</v>
      </c>
      <c r="D470" t="s">
        <v>428</v>
      </c>
      <c r="E470" t="s">
        <v>168</v>
      </c>
      <c r="F470" s="2">
        <v>46034</v>
      </c>
      <c r="G470">
        <v>8</v>
      </c>
      <c r="H470" s="2">
        <v>46021</v>
      </c>
      <c r="I470" s="2" t="s">
        <v>202</v>
      </c>
      <c r="J470" s="1" t="s">
        <v>948</v>
      </c>
      <c r="L470" s="2">
        <v>46021</v>
      </c>
      <c r="M470" s="2" t="s">
        <v>1294</v>
      </c>
    </row>
    <row r="471" spans="1:13">
      <c r="A471">
        <v>80881081</v>
      </c>
      <c r="B471" t="s">
        <v>944</v>
      </c>
      <c r="C471" s="1" t="s">
        <v>153</v>
      </c>
      <c r="D471" t="s">
        <v>428</v>
      </c>
      <c r="E471" t="s">
        <v>168</v>
      </c>
      <c r="F471" s="2">
        <v>46034</v>
      </c>
      <c r="G471">
        <v>2</v>
      </c>
      <c r="H471" s="2">
        <v>46021</v>
      </c>
      <c r="I471" s="2" t="s">
        <v>202</v>
      </c>
      <c r="J471" s="1" t="s">
        <v>949</v>
      </c>
      <c r="L471" s="2">
        <v>46021</v>
      </c>
      <c r="M471" s="2" t="s">
        <v>1294</v>
      </c>
    </row>
    <row r="472" spans="1:13">
      <c r="A472">
        <v>80881081</v>
      </c>
      <c r="B472" t="s">
        <v>944</v>
      </c>
      <c r="C472" s="1" t="s">
        <v>154</v>
      </c>
      <c r="D472" t="s">
        <v>428</v>
      </c>
      <c r="E472" t="s">
        <v>168</v>
      </c>
      <c r="F472" s="2">
        <v>46034</v>
      </c>
      <c r="G472">
        <v>4</v>
      </c>
      <c r="H472" s="2">
        <v>46021</v>
      </c>
      <c r="I472" s="2" t="s">
        <v>202</v>
      </c>
      <c r="J472" s="1" t="s">
        <v>950</v>
      </c>
      <c r="L472" s="2">
        <v>46021</v>
      </c>
      <c r="M472" s="2" t="s">
        <v>1294</v>
      </c>
    </row>
    <row r="473" spans="1:13">
      <c r="A473">
        <v>80881081</v>
      </c>
      <c r="B473" t="s">
        <v>944</v>
      </c>
      <c r="C473" s="1" t="s">
        <v>155</v>
      </c>
      <c r="D473" t="s">
        <v>428</v>
      </c>
      <c r="E473" t="s">
        <v>168</v>
      </c>
      <c r="F473" s="2">
        <v>46034</v>
      </c>
      <c r="G473">
        <v>17</v>
      </c>
      <c r="H473" s="2">
        <v>46021</v>
      </c>
      <c r="I473" s="2" t="s">
        <v>202</v>
      </c>
      <c r="J473" s="1" t="s">
        <v>951</v>
      </c>
      <c r="L473" s="2">
        <v>46021</v>
      </c>
      <c r="M473" s="2" t="s">
        <v>1294</v>
      </c>
    </row>
    <row r="474" spans="1:13">
      <c r="A474">
        <v>80820470</v>
      </c>
      <c r="B474" t="s">
        <v>952</v>
      </c>
      <c r="C474" s="1" t="s">
        <v>143</v>
      </c>
      <c r="D474" t="s">
        <v>428</v>
      </c>
      <c r="E474" t="s">
        <v>168</v>
      </c>
      <c r="F474" s="2">
        <v>46034</v>
      </c>
      <c r="G474">
        <v>57</v>
      </c>
      <c r="H474" s="2">
        <v>46021</v>
      </c>
      <c r="I474" s="2" t="s">
        <v>202</v>
      </c>
      <c r="J474" s="1" t="s">
        <v>953</v>
      </c>
      <c r="L474" s="2">
        <v>46021</v>
      </c>
      <c r="M474" s="2" t="s">
        <v>1294</v>
      </c>
    </row>
    <row r="475" spans="1:13">
      <c r="A475">
        <v>80820470</v>
      </c>
      <c r="B475" t="s">
        <v>952</v>
      </c>
      <c r="C475" s="1" t="s">
        <v>150</v>
      </c>
      <c r="D475" t="s">
        <v>428</v>
      </c>
      <c r="E475" t="s">
        <v>168</v>
      </c>
      <c r="F475" s="2">
        <v>46034</v>
      </c>
      <c r="G475">
        <v>699</v>
      </c>
      <c r="H475" s="2">
        <v>46021</v>
      </c>
      <c r="I475" s="2" t="s">
        <v>202</v>
      </c>
      <c r="J475" s="1" t="s">
        <v>954</v>
      </c>
      <c r="L475" s="2">
        <v>46021</v>
      </c>
      <c r="M475" s="2" t="s">
        <v>1294</v>
      </c>
    </row>
    <row r="476" spans="1:13">
      <c r="A476">
        <v>80820470</v>
      </c>
      <c r="B476" t="s">
        <v>952</v>
      </c>
      <c r="C476" s="1" t="s">
        <v>151</v>
      </c>
      <c r="D476" t="s">
        <v>428</v>
      </c>
      <c r="E476" t="s">
        <v>168</v>
      </c>
      <c r="F476" s="2">
        <v>46034</v>
      </c>
      <c r="G476">
        <v>529</v>
      </c>
      <c r="H476" s="2">
        <v>46021</v>
      </c>
      <c r="I476" s="2" t="s">
        <v>202</v>
      </c>
      <c r="J476" s="1" t="s">
        <v>955</v>
      </c>
      <c r="L476" s="2">
        <v>46021</v>
      </c>
      <c r="M476" s="2" t="s">
        <v>1294</v>
      </c>
    </row>
    <row r="477" spans="1:13">
      <c r="A477">
        <v>80820470</v>
      </c>
      <c r="B477" t="s">
        <v>952</v>
      </c>
      <c r="C477" s="1" t="s">
        <v>152</v>
      </c>
      <c r="D477" t="s">
        <v>428</v>
      </c>
      <c r="E477" t="s">
        <v>168</v>
      </c>
      <c r="F477" s="2">
        <v>46034</v>
      </c>
      <c r="G477">
        <v>94</v>
      </c>
      <c r="H477" s="2">
        <v>46021</v>
      </c>
      <c r="I477" s="2" t="s">
        <v>202</v>
      </c>
      <c r="J477" s="1" t="s">
        <v>956</v>
      </c>
      <c r="L477" s="2">
        <v>46021</v>
      </c>
      <c r="M477" s="2" t="s">
        <v>1294</v>
      </c>
    </row>
    <row r="478" spans="1:13">
      <c r="A478">
        <v>80820470</v>
      </c>
      <c r="B478" t="s">
        <v>952</v>
      </c>
      <c r="C478" s="1" t="s">
        <v>153</v>
      </c>
      <c r="D478" t="s">
        <v>428</v>
      </c>
      <c r="E478" t="s">
        <v>168</v>
      </c>
      <c r="F478" s="2">
        <v>46034</v>
      </c>
      <c r="G478">
        <v>47</v>
      </c>
      <c r="H478" s="2">
        <v>46021</v>
      </c>
      <c r="I478" s="2" t="s">
        <v>202</v>
      </c>
      <c r="J478" s="1" t="s">
        <v>957</v>
      </c>
      <c r="L478" s="2">
        <v>46021</v>
      </c>
      <c r="M478" s="2" t="s">
        <v>1294</v>
      </c>
    </row>
    <row r="479" spans="1:13">
      <c r="A479">
        <v>80820470</v>
      </c>
      <c r="B479" t="s">
        <v>952</v>
      </c>
      <c r="C479" s="1" t="s">
        <v>154</v>
      </c>
      <c r="D479" t="s">
        <v>428</v>
      </c>
      <c r="E479" t="s">
        <v>168</v>
      </c>
      <c r="F479" s="2">
        <v>46034</v>
      </c>
      <c r="G479">
        <v>52</v>
      </c>
      <c r="H479" s="2">
        <v>46021</v>
      </c>
      <c r="I479" s="2" t="s">
        <v>202</v>
      </c>
      <c r="J479" s="1" t="s">
        <v>958</v>
      </c>
      <c r="L479" s="2">
        <v>46021</v>
      </c>
      <c r="M479" s="2" t="s">
        <v>1294</v>
      </c>
    </row>
    <row r="480" spans="1:13">
      <c r="A480">
        <v>80820470</v>
      </c>
      <c r="B480" t="s">
        <v>952</v>
      </c>
      <c r="C480" s="1" t="s">
        <v>155</v>
      </c>
      <c r="D480" t="s">
        <v>428</v>
      </c>
      <c r="E480" t="s">
        <v>168</v>
      </c>
      <c r="F480" s="2">
        <v>46034</v>
      </c>
      <c r="G480">
        <v>251</v>
      </c>
      <c r="H480" s="2">
        <v>46021</v>
      </c>
      <c r="I480" s="2" t="s">
        <v>202</v>
      </c>
      <c r="J480" s="1" t="s">
        <v>959</v>
      </c>
      <c r="L480" s="2">
        <v>46021</v>
      </c>
      <c r="M480" s="2" t="s">
        <v>1294</v>
      </c>
    </row>
    <row r="481" spans="1:13">
      <c r="A481">
        <v>80829598</v>
      </c>
      <c r="B481" t="s">
        <v>960</v>
      </c>
      <c r="C481" s="1" t="s">
        <v>143</v>
      </c>
      <c r="D481" t="s">
        <v>428</v>
      </c>
      <c r="E481" t="s">
        <v>168</v>
      </c>
      <c r="F481" s="2">
        <v>46034</v>
      </c>
      <c r="G481">
        <v>27</v>
      </c>
      <c r="H481" s="2">
        <v>46021</v>
      </c>
      <c r="I481" s="2" t="s">
        <v>202</v>
      </c>
      <c r="J481" s="1" t="s">
        <v>961</v>
      </c>
      <c r="L481" s="2">
        <v>46021</v>
      </c>
      <c r="M481" s="2" t="s">
        <v>1294</v>
      </c>
    </row>
    <row r="482" spans="1:13">
      <c r="A482">
        <v>80829598</v>
      </c>
      <c r="B482" t="s">
        <v>960</v>
      </c>
      <c r="C482" s="1" t="s">
        <v>150</v>
      </c>
      <c r="D482" t="s">
        <v>428</v>
      </c>
      <c r="E482" t="s">
        <v>168</v>
      </c>
      <c r="F482" s="2">
        <v>46034</v>
      </c>
      <c r="G482">
        <v>378</v>
      </c>
      <c r="H482" s="2">
        <v>46021</v>
      </c>
      <c r="I482" s="2" t="s">
        <v>202</v>
      </c>
      <c r="J482" s="1" t="s">
        <v>962</v>
      </c>
      <c r="L482" s="2">
        <v>46021</v>
      </c>
      <c r="M482" s="2" t="s">
        <v>1294</v>
      </c>
    </row>
    <row r="483" spans="1:13">
      <c r="A483">
        <v>80829598</v>
      </c>
      <c r="B483" t="s">
        <v>960</v>
      </c>
      <c r="C483" s="1" t="s">
        <v>151</v>
      </c>
      <c r="D483" t="s">
        <v>428</v>
      </c>
      <c r="E483" t="s">
        <v>168</v>
      </c>
      <c r="F483" s="2">
        <v>46034</v>
      </c>
      <c r="G483">
        <v>374</v>
      </c>
      <c r="H483" s="2">
        <v>46021</v>
      </c>
      <c r="I483" s="2" t="s">
        <v>202</v>
      </c>
      <c r="J483" s="1" t="s">
        <v>963</v>
      </c>
      <c r="L483" s="2">
        <v>46021</v>
      </c>
      <c r="M483" s="2" t="s">
        <v>1294</v>
      </c>
    </row>
    <row r="484" spans="1:13">
      <c r="A484">
        <v>80829598</v>
      </c>
      <c r="B484" t="s">
        <v>960</v>
      </c>
      <c r="C484" s="1" t="s">
        <v>152</v>
      </c>
      <c r="D484" t="s">
        <v>428</v>
      </c>
      <c r="E484" t="s">
        <v>168</v>
      </c>
      <c r="F484" s="2">
        <v>46034</v>
      </c>
      <c r="G484">
        <v>56</v>
      </c>
      <c r="H484" s="2">
        <v>46021</v>
      </c>
      <c r="I484" s="2" t="s">
        <v>202</v>
      </c>
      <c r="J484" s="1" t="s">
        <v>964</v>
      </c>
      <c r="L484" s="2">
        <v>46021</v>
      </c>
      <c r="M484" s="2" t="s">
        <v>1294</v>
      </c>
    </row>
    <row r="485" spans="1:13">
      <c r="A485">
        <v>80829598</v>
      </c>
      <c r="B485" t="s">
        <v>960</v>
      </c>
      <c r="C485" s="1" t="s">
        <v>153</v>
      </c>
      <c r="D485" t="s">
        <v>428</v>
      </c>
      <c r="E485" t="s">
        <v>168</v>
      </c>
      <c r="F485" s="2">
        <v>46034</v>
      </c>
      <c r="G485">
        <v>7</v>
      </c>
      <c r="H485" s="2">
        <v>46021</v>
      </c>
      <c r="I485" s="2" t="s">
        <v>202</v>
      </c>
      <c r="J485" s="1" t="s">
        <v>965</v>
      </c>
      <c r="L485" s="2">
        <v>46021</v>
      </c>
      <c r="M485" s="2" t="s">
        <v>1294</v>
      </c>
    </row>
    <row r="486" spans="1:13">
      <c r="A486">
        <v>80829598</v>
      </c>
      <c r="B486" t="s">
        <v>960</v>
      </c>
      <c r="C486" s="1" t="s">
        <v>154</v>
      </c>
      <c r="D486" t="s">
        <v>428</v>
      </c>
      <c r="E486" t="s">
        <v>168</v>
      </c>
      <c r="F486" s="2">
        <v>46034</v>
      </c>
      <c r="G486">
        <v>26</v>
      </c>
      <c r="H486" s="2">
        <v>46021</v>
      </c>
      <c r="I486" s="2" t="s">
        <v>202</v>
      </c>
      <c r="J486" s="1" t="s">
        <v>966</v>
      </c>
      <c r="L486" s="2">
        <v>46021</v>
      </c>
      <c r="M486" s="2" t="s">
        <v>1294</v>
      </c>
    </row>
    <row r="487" spans="1:13">
      <c r="A487">
        <v>80829598</v>
      </c>
      <c r="B487" t="s">
        <v>960</v>
      </c>
      <c r="C487" s="1" t="s">
        <v>155</v>
      </c>
      <c r="D487" t="s">
        <v>428</v>
      </c>
      <c r="E487" t="s">
        <v>168</v>
      </c>
      <c r="F487" s="2">
        <v>46034</v>
      </c>
      <c r="G487">
        <v>513</v>
      </c>
      <c r="H487" s="2">
        <v>46021</v>
      </c>
      <c r="I487" s="2" t="s">
        <v>202</v>
      </c>
      <c r="J487" s="1" t="s">
        <v>967</v>
      </c>
      <c r="L487" s="2">
        <v>46021</v>
      </c>
      <c r="M487" s="2" t="s">
        <v>1294</v>
      </c>
    </row>
    <row r="488" spans="1:13">
      <c r="A488">
        <v>80833448</v>
      </c>
      <c r="B488" t="s">
        <v>968</v>
      </c>
      <c r="C488" s="1" t="s">
        <v>143</v>
      </c>
      <c r="D488" t="s">
        <v>428</v>
      </c>
      <c r="E488" t="s">
        <v>168</v>
      </c>
      <c r="F488" s="2">
        <v>46034</v>
      </c>
      <c r="G488">
        <v>5</v>
      </c>
      <c r="H488" s="2">
        <v>46021</v>
      </c>
      <c r="I488" s="2" t="s">
        <v>202</v>
      </c>
      <c r="J488" s="1" t="s">
        <v>969</v>
      </c>
      <c r="L488" s="2">
        <v>46021</v>
      </c>
      <c r="M488" s="2" t="s">
        <v>1294</v>
      </c>
    </row>
    <row r="489" spans="1:13">
      <c r="A489">
        <v>80833448</v>
      </c>
      <c r="B489" t="s">
        <v>968</v>
      </c>
      <c r="C489" s="1" t="s">
        <v>150</v>
      </c>
      <c r="D489" t="s">
        <v>428</v>
      </c>
      <c r="E489" t="s">
        <v>168</v>
      </c>
      <c r="F489" s="2">
        <v>46034</v>
      </c>
      <c r="G489">
        <v>33</v>
      </c>
      <c r="H489" s="2">
        <v>46021</v>
      </c>
      <c r="I489" s="2" t="s">
        <v>202</v>
      </c>
      <c r="J489" s="1" t="s">
        <v>970</v>
      </c>
      <c r="L489" s="2">
        <v>46021</v>
      </c>
      <c r="M489" s="2" t="s">
        <v>1294</v>
      </c>
    </row>
    <row r="490" spans="1:13">
      <c r="A490">
        <v>80833448</v>
      </c>
      <c r="B490" t="s">
        <v>968</v>
      </c>
      <c r="C490" s="1" t="s">
        <v>153</v>
      </c>
      <c r="D490" t="s">
        <v>428</v>
      </c>
      <c r="E490" t="s">
        <v>168</v>
      </c>
      <c r="F490" s="2">
        <v>46034</v>
      </c>
      <c r="G490">
        <v>2</v>
      </c>
      <c r="H490" s="2">
        <v>46021</v>
      </c>
      <c r="I490" s="2" t="s">
        <v>202</v>
      </c>
      <c r="J490" s="1" t="s">
        <v>971</v>
      </c>
      <c r="L490" s="2">
        <v>46021</v>
      </c>
      <c r="M490" s="2" t="s">
        <v>1294</v>
      </c>
    </row>
    <row r="491" spans="1:13">
      <c r="A491">
        <v>80833448</v>
      </c>
      <c r="B491" t="s">
        <v>968</v>
      </c>
      <c r="C491" s="1" t="s">
        <v>155</v>
      </c>
      <c r="D491" t="s">
        <v>428</v>
      </c>
      <c r="E491" t="s">
        <v>168</v>
      </c>
      <c r="F491" s="2">
        <v>46034</v>
      </c>
      <c r="G491">
        <v>19</v>
      </c>
      <c r="H491" s="2">
        <v>46021</v>
      </c>
      <c r="I491" s="2" t="s">
        <v>202</v>
      </c>
      <c r="J491" s="1" t="s">
        <v>972</v>
      </c>
      <c r="L491" s="2">
        <v>46021</v>
      </c>
      <c r="M491" s="2" t="s">
        <v>1294</v>
      </c>
    </row>
    <row r="492" spans="1:13">
      <c r="A492">
        <v>80880191</v>
      </c>
      <c r="B492" t="s">
        <v>973</v>
      </c>
      <c r="C492" s="1" t="s">
        <v>143</v>
      </c>
      <c r="D492" t="s">
        <v>428</v>
      </c>
      <c r="E492" t="s">
        <v>168</v>
      </c>
      <c r="F492" s="2">
        <v>46034</v>
      </c>
      <c r="G492">
        <v>152</v>
      </c>
      <c r="H492" s="2">
        <v>46021</v>
      </c>
      <c r="I492" s="2" t="s">
        <v>202</v>
      </c>
      <c r="J492" s="1" t="s">
        <v>974</v>
      </c>
      <c r="L492" s="2">
        <v>46021</v>
      </c>
      <c r="M492" s="2" t="s">
        <v>1294</v>
      </c>
    </row>
    <row r="493" spans="1:13">
      <c r="A493">
        <v>80880191</v>
      </c>
      <c r="B493" t="s">
        <v>973</v>
      </c>
      <c r="C493" s="1" t="s">
        <v>150</v>
      </c>
      <c r="D493" t="s">
        <v>428</v>
      </c>
      <c r="E493" t="s">
        <v>168</v>
      </c>
      <c r="F493" s="2">
        <v>46034</v>
      </c>
      <c r="G493">
        <v>1931</v>
      </c>
      <c r="H493" s="2">
        <v>46021</v>
      </c>
      <c r="I493" s="2" t="s">
        <v>202</v>
      </c>
      <c r="J493" s="1" t="s">
        <v>975</v>
      </c>
      <c r="L493" s="2">
        <v>46021</v>
      </c>
      <c r="M493" s="2" t="s">
        <v>1294</v>
      </c>
    </row>
    <row r="494" spans="1:13">
      <c r="A494">
        <v>80880191</v>
      </c>
      <c r="B494" t="s">
        <v>973</v>
      </c>
      <c r="C494" s="1" t="s">
        <v>151</v>
      </c>
      <c r="D494" t="s">
        <v>428</v>
      </c>
      <c r="E494" t="s">
        <v>168</v>
      </c>
      <c r="F494" s="2">
        <v>46034</v>
      </c>
      <c r="G494">
        <v>2137</v>
      </c>
      <c r="H494" s="2">
        <v>46021</v>
      </c>
      <c r="I494" s="2" t="s">
        <v>202</v>
      </c>
      <c r="J494" s="1" t="s">
        <v>976</v>
      </c>
      <c r="L494" s="2">
        <v>46021</v>
      </c>
      <c r="M494" s="2" t="s">
        <v>1294</v>
      </c>
    </row>
    <row r="495" spans="1:13">
      <c r="A495">
        <v>80880191</v>
      </c>
      <c r="B495" t="s">
        <v>973</v>
      </c>
      <c r="C495" s="1" t="s">
        <v>152</v>
      </c>
      <c r="D495" t="s">
        <v>428</v>
      </c>
      <c r="E495" t="s">
        <v>168</v>
      </c>
      <c r="F495" s="2">
        <v>46034</v>
      </c>
      <c r="G495">
        <v>271</v>
      </c>
      <c r="H495" s="2">
        <v>46021</v>
      </c>
      <c r="I495" s="2" t="s">
        <v>202</v>
      </c>
      <c r="J495" s="1" t="s">
        <v>977</v>
      </c>
      <c r="L495" s="2">
        <v>46021</v>
      </c>
      <c r="M495" s="2" t="s">
        <v>1294</v>
      </c>
    </row>
    <row r="496" spans="1:13">
      <c r="A496">
        <v>80880191</v>
      </c>
      <c r="B496" t="s">
        <v>973</v>
      </c>
      <c r="C496" s="1" t="s">
        <v>153</v>
      </c>
      <c r="D496" t="s">
        <v>428</v>
      </c>
      <c r="E496" t="s">
        <v>168</v>
      </c>
      <c r="F496" s="2">
        <v>46034</v>
      </c>
      <c r="G496">
        <v>103</v>
      </c>
      <c r="H496" s="2">
        <v>46021</v>
      </c>
      <c r="I496" s="2" t="s">
        <v>202</v>
      </c>
      <c r="J496" s="1" t="s">
        <v>978</v>
      </c>
      <c r="L496" s="2">
        <v>46021</v>
      </c>
      <c r="M496" s="2" t="s">
        <v>1294</v>
      </c>
    </row>
    <row r="497" spans="1:13">
      <c r="A497">
        <v>80880191</v>
      </c>
      <c r="B497" t="s">
        <v>973</v>
      </c>
      <c r="C497" s="1" t="s">
        <v>154</v>
      </c>
      <c r="D497" t="s">
        <v>428</v>
      </c>
      <c r="E497" t="s">
        <v>168</v>
      </c>
      <c r="F497" s="2">
        <v>46034</v>
      </c>
      <c r="G497">
        <v>111</v>
      </c>
      <c r="H497" s="2">
        <v>46021</v>
      </c>
      <c r="I497" s="2" t="s">
        <v>202</v>
      </c>
      <c r="J497" s="1" t="s">
        <v>979</v>
      </c>
      <c r="L497" s="2">
        <v>46021</v>
      </c>
      <c r="M497" s="2" t="s">
        <v>1294</v>
      </c>
    </row>
    <row r="498" spans="1:13">
      <c r="A498">
        <v>80880191</v>
      </c>
      <c r="B498" t="s">
        <v>973</v>
      </c>
      <c r="C498" s="1" t="s">
        <v>155</v>
      </c>
      <c r="D498" t="s">
        <v>428</v>
      </c>
      <c r="E498" t="s">
        <v>168</v>
      </c>
      <c r="F498" s="2">
        <v>46034</v>
      </c>
      <c r="G498">
        <v>1539</v>
      </c>
      <c r="H498" s="2">
        <v>46021</v>
      </c>
      <c r="I498" s="2" t="s">
        <v>202</v>
      </c>
      <c r="J498" s="1" t="s">
        <v>980</v>
      </c>
      <c r="L498" s="2">
        <v>46021</v>
      </c>
      <c r="M498" s="2" t="s">
        <v>1294</v>
      </c>
    </row>
    <row r="499" spans="1:13">
      <c r="A499">
        <v>80881081</v>
      </c>
      <c r="B499" t="s">
        <v>944</v>
      </c>
      <c r="C499" s="1" t="s">
        <v>143</v>
      </c>
      <c r="D499" t="s">
        <v>428</v>
      </c>
      <c r="E499" t="s">
        <v>168</v>
      </c>
      <c r="F499" s="2">
        <v>46034</v>
      </c>
      <c r="G499">
        <v>28</v>
      </c>
      <c r="H499" s="2">
        <v>46021</v>
      </c>
      <c r="I499" s="2" t="s">
        <v>202</v>
      </c>
      <c r="J499" s="1" t="s">
        <v>981</v>
      </c>
      <c r="L499" s="2">
        <v>46021</v>
      </c>
      <c r="M499" s="2" t="s">
        <v>1294</v>
      </c>
    </row>
    <row r="500" spans="1:13">
      <c r="A500">
        <v>80881081</v>
      </c>
      <c r="B500" t="s">
        <v>944</v>
      </c>
      <c r="C500" s="1" t="s">
        <v>150</v>
      </c>
      <c r="D500" t="s">
        <v>428</v>
      </c>
      <c r="E500" t="s">
        <v>168</v>
      </c>
      <c r="F500" s="2">
        <v>46034</v>
      </c>
      <c r="G500">
        <v>373</v>
      </c>
      <c r="H500" s="2">
        <v>46021</v>
      </c>
      <c r="I500" s="2" t="s">
        <v>202</v>
      </c>
      <c r="J500" s="1" t="s">
        <v>982</v>
      </c>
      <c r="L500" s="2">
        <v>46021</v>
      </c>
      <c r="M500" s="2" t="s">
        <v>1294</v>
      </c>
    </row>
    <row r="501" spans="1:13">
      <c r="A501">
        <v>80881081</v>
      </c>
      <c r="B501" t="s">
        <v>944</v>
      </c>
      <c r="C501" s="1" t="s">
        <v>151</v>
      </c>
      <c r="D501" t="s">
        <v>428</v>
      </c>
      <c r="E501" t="s">
        <v>168</v>
      </c>
      <c r="F501" s="2">
        <v>46034</v>
      </c>
      <c r="G501">
        <v>400</v>
      </c>
      <c r="H501" s="2">
        <v>46021</v>
      </c>
      <c r="I501" s="2" t="s">
        <v>202</v>
      </c>
      <c r="J501" s="1" t="s">
        <v>983</v>
      </c>
      <c r="L501" s="2">
        <v>46021</v>
      </c>
      <c r="M501" s="2" t="s">
        <v>1294</v>
      </c>
    </row>
    <row r="502" spans="1:13">
      <c r="A502">
        <v>80881081</v>
      </c>
      <c r="B502" t="s">
        <v>944</v>
      </c>
      <c r="C502" s="1" t="s">
        <v>152</v>
      </c>
      <c r="D502" t="s">
        <v>428</v>
      </c>
      <c r="E502" t="s">
        <v>168</v>
      </c>
      <c r="F502" s="2">
        <v>46034</v>
      </c>
      <c r="G502">
        <v>104</v>
      </c>
      <c r="H502" s="2">
        <v>46021</v>
      </c>
      <c r="I502" s="2" t="s">
        <v>202</v>
      </c>
      <c r="J502" s="1" t="s">
        <v>984</v>
      </c>
      <c r="L502" s="2">
        <v>46021</v>
      </c>
      <c r="M502" s="2" t="s">
        <v>1294</v>
      </c>
    </row>
    <row r="503" spans="1:13">
      <c r="A503">
        <v>80881081</v>
      </c>
      <c r="B503" t="s">
        <v>944</v>
      </c>
      <c r="C503" s="1" t="s">
        <v>153</v>
      </c>
      <c r="D503" t="s">
        <v>428</v>
      </c>
      <c r="E503" t="s">
        <v>168</v>
      </c>
      <c r="F503" s="2">
        <v>46034</v>
      </c>
      <c r="G503">
        <v>25</v>
      </c>
      <c r="H503" s="2">
        <v>46021</v>
      </c>
      <c r="I503" s="2" t="s">
        <v>202</v>
      </c>
      <c r="J503" s="1" t="s">
        <v>985</v>
      </c>
      <c r="L503" s="2">
        <v>46021</v>
      </c>
      <c r="M503" s="2" t="s">
        <v>1294</v>
      </c>
    </row>
    <row r="504" spans="1:13">
      <c r="A504">
        <v>80881081</v>
      </c>
      <c r="B504" t="s">
        <v>944</v>
      </c>
      <c r="C504" s="1" t="s">
        <v>154</v>
      </c>
      <c r="D504" t="s">
        <v>428</v>
      </c>
      <c r="E504" t="s">
        <v>168</v>
      </c>
      <c r="F504" s="2">
        <v>46034</v>
      </c>
      <c r="G504">
        <v>36</v>
      </c>
      <c r="H504" s="2">
        <v>46021</v>
      </c>
      <c r="I504" s="2" t="s">
        <v>202</v>
      </c>
      <c r="J504" s="1" t="s">
        <v>986</v>
      </c>
      <c r="L504" s="2">
        <v>46021</v>
      </c>
      <c r="M504" s="2" t="s">
        <v>1294</v>
      </c>
    </row>
    <row r="505" spans="1:13">
      <c r="A505">
        <v>80881081</v>
      </c>
      <c r="B505" t="s">
        <v>944</v>
      </c>
      <c r="C505" s="1" t="s">
        <v>155</v>
      </c>
      <c r="D505" t="s">
        <v>428</v>
      </c>
      <c r="E505" t="s">
        <v>168</v>
      </c>
      <c r="F505" s="2">
        <v>46034</v>
      </c>
      <c r="G505">
        <v>206</v>
      </c>
      <c r="H505" s="2">
        <v>46021</v>
      </c>
      <c r="I505" s="2" t="s">
        <v>202</v>
      </c>
      <c r="J505" s="1" t="s">
        <v>987</v>
      </c>
      <c r="L505" s="2">
        <v>46021</v>
      </c>
      <c r="M505" s="2" t="s">
        <v>1294</v>
      </c>
    </row>
    <row r="506" spans="1:13">
      <c r="A506">
        <v>80883602</v>
      </c>
      <c r="B506" t="s">
        <v>936</v>
      </c>
      <c r="C506" s="1" t="s">
        <v>143</v>
      </c>
      <c r="D506" t="s">
        <v>428</v>
      </c>
      <c r="E506" t="s">
        <v>168</v>
      </c>
      <c r="F506" s="2">
        <v>46034</v>
      </c>
      <c r="G506">
        <v>19</v>
      </c>
      <c r="H506" s="2">
        <v>46021</v>
      </c>
      <c r="I506" s="2" t="s">
        <v>202</v>
      </c>
      <c r="J506" s="1" t="s">
        <v>988</v>
      </c>
      <c r="L506" s="2">
        <v>46021</v>
      </c>
      <c r="M506" s="2" t="s">
        <v>1294</v>
      </c>
    </row>
    <row r="507" spans="1:13">
      <c r="A507">
        <v>80883602</v>
      </c>
      <c r="B507" t="s">
        <v>936</v>
      </c>
      <c r="C507" s="1" t="s">
        <v>150</v>
      </c>
      <c r="D507" t="s">
        <v>428</v>
      </c>
      <c r="E507" t="s">
        <v>168</v>
      </c>
      <c r="F507" s="2">
        <v>46034</v>
      </c>
      <c r="G507">
        <v>234</v>
      </c>
      <c r="H507" s="2">
        <v>46021</v>
      </c>
      <c r="I507" s="2" t="s">
        <v>202</v>
      </c>
      <c r="J507" s="1" t="s">
        <v>989</v>
      </c>
      <c r="L507" s="2">
        <v>46021</v>
      </c>
      <c r="M507" s="2" t="s">
        <v>1294</v>
      </c>
    </row>
    <row r="508" spans="1:13">
      <c r="A508">
        <v>80883602</v>
      </c>
      <c r="B508" t="s">
        <v>936</v>
      </c>
      <c r="C508" s="1" t="s">
        <v>151</v>
      </c>
      <c r="D508" t="s">
        <v>428</v>
      </c>
      <c r="E508" t="s">
        <v>168</v>
      </c>
      <c r="F508" s="2">
        <v>46034</v>
      </c>
      <c r="G508">
        <v>153</v>
      </c>
      <c r="H508" s="2">
        <v>46021</v>
      </c>
      <c r="I508" s="2" t="s">
        <v>202</v>
      </c>
      <c r="J508" s="1" t="s">
        <v>990</v>
      </c>
      <c r="L508" s="2">
        <v>46021</v>
      </c>
      <c r="M508" s="2" t="s">
        <v>1294</v>
      </c>
    </row>
    <row r="509" spans="1:13">
      <c r="A509">
        <v>80883602</v>
      </c>
      <c r="B509" t="s">
        <v>936</v>
      </c>
      <c r="C509" s="1" t="s">
        <v>152</v>
      </c>
      <c r="D509" t="s">
        <v>428</v>
      </c>
      <c r="E509" t="s">
        <v>168</v>
      </c>
      <c r="F509" s="2">
        <v>46034</v>
      </c>
      <c r="G509">
        <v>14</v>
      </c>
      <c r="H509" s="2">
        <v>46021</v>
      </c>
      <c r="I509" s="2" t="s">
        <v>202</v>
      </c>
      <c r="J509" s="1" t="s">
        <v>991</v>
      </c>
      <c r="L509" s="2">
        <v>46021</v>
      </c>
      <c r="M509" s="2" t="s">
        <v>1294</v>
      </c>
    </row>
    <row r="510" spans="1:13">
      <c r="A510">
        <v>80883602</v>
      </c>
      <c r="B510" t="s">
        <v>936</v>
      </c>
      <c r="C510" s="1" t="s">
        <v>153</v>
      </c>
      <c r="D510" t="s">
        <v>428</v>
      </c>
      <c r="E510" t="s">
        <v>168</v>
      </c>
      <c r="F510" s="2">
        <v>46034</v>
      </c>
      <c r="G510">
        <v>15</v>
      </c>
      <c r="H510" s="2">
        <v>46021</v>
      </c>
      <c r="I510" s="2" t="s">
        <v>202</v>
      </c>
      <c r="J510" s="1" t="s">
        <v>992</v>
      </c>
      <c r="L510" s="2">
        <v>46021</v>
      </c>
      <c r="M510" s="2" t="s">
        <v>1294</v>
      </c>
    </row>
    <row r="511" spans="1:13">
      <c r="A511">
        <v>80883602</v>
      </c>
      <c r="B511" t="s">
        <v>936</v>
      </c>
      <c r="C511" s="1" t="s">
        <v>154</v>
      </c>
      <c r="D511" t="s">
        <v>428</v>
      </c>
      <c r="E511" t="s">
        <v>168</v>
      </c>
      <c r="F511" s="2">
        <v>46034</v>
      </c>
      <c r="G511">
        <v>12</v>
      </c>
      <c r="H511" s="2">
        <v>46021</v>
      </c>
      <c r="I511" s="2" t="s">
        <v>202</v>
      </c>
      <c r="J511" s="1" t="s">
        <v>993</v>
      </c>
      <c r="L511" s="2">
        <v>46021</v>
      </c>
      <c r="M511" s="2" t="s">
        <v>1294</v>
      </c>
    </row>
    <row r="512" spans="1:13">
      <c r="A512">
        <v>80883602</v>
      </c>
      <c r="B512" t="s">
        <v>936</v>
      </c>
      <c r="C512" s="1" t="s">
        <v>155</v>
      </c>
      <c r="D512" t="s">
        <v>428</v>
      </c>
      <c r="E512" t="s">
        <v>168</v>
      </c>
      <c r="F512" s="2">
        <v>46034</v>
      </c>
      <c r="G512">
        <v>91</v>
      </c>
      <c r="H512" s="2">
        <v>46021</v>
      </c>
      <c r="I512" s="2" t="s">
        <v>202</v>
      </c>
      <c r="J512" s="1" t="s">
        <v>994</v>
      </c>
      <c r="L512" s="2">
        <v>46021</v>
      </c>
      <c r="M512" s="2" t="s">
        <v>1294</v>
      </c>
    </row>
    <row r="513" spans="1:13">
      <c r="A513">
        <v>80883604</v>
      </c>
      <c r="B513" t="s">
        <v>928</v>
      </c>
      <c r="C513" s="1" t="s">
        <v>143</v>
      </c>
      <c r="D513" t="s">
        <v>428</v>
      </c>
      <c r="E513" t="s">
        <v>168</v>
      </c>
      <c r="F513" s="2">
        <v>46034</v>
      </c>
      <c r="G513">
        <v>50</v>
      </c>
      <c r="H513" s="2">
        <v>46021</v>
      </c>
      <c r="I513" s="2" t="s">
        <v>202</v>
      </c>
      <c r="J513" s="1" t="s">
        <v>995</v>
      </c>
      <c r="L513" s="2">
        <v>46021</v>
      </c>
      <c r="M513" s="2" t="s">
        <v>1294</v>
      </c>
    </row>
    <row r="514" spans="1:13">
      <c r="A514">
        <v>80883604</v>
      </c>
      <c r="B514" t="s">
        <v>928</v>
      </c>
      <c r="C514" s="1" t="s">
        <v>150</v>
      </c>
      <c r="D514" t="s">
        <v>428</v>
      </c>
      <c r="E514" t="s">
        <v>168</v>
      </c>
      <c r="F514" s="2">
        <v>46034</v>
      </c>
      <c r="G514">
        <v>461</v>
      </c>
      <c r="H514" s="2">
        <v>46021</v>
      </c>
      <c r="I514" s="2" t="s">
        <v>202</v>
      </c>
      <c r="J514" s="1" t="s">
        <v>996</v>
      </c>
      <c r="L514" s="2">
        <v>46021</v>
      </c>
      <c r="M514" s="2" t="s">
        <v>1294</v>
      </c>
    </row>
    <row r="515" spans="1:13">
      <c r="A515">
        <v>80883604</v>
      </c>
      <c r="B515" t="s">
        <v>928</v>
      </c>
      <c r="C515" s="1" t="s">
        <v>151</v>
      </c>
      <c r="D515" t="s">
        <v>428</v>
      </c>
      <c r="E515" t="s">
        <v>168</v>
      </c>
      <c r="F515" s="2">
        <v>46034</v>
      </c>
      <c r="G515">
        <v>611</v>
      </c>
      <c r="H515" s="2">
        <v>46021</v>
      </c>
      <c r="I515" s="2" t="s">
        <v>202</v>
      </c>
      <c r="J515" s="1" t="s">
        <v>997</v>
      </c>
      <c r="L515" s="2">
        <v>46021</v>
      </c>
      <c r="M515" s="2" t="s">
        <v>1294</v>
      </c>
    </row>
    <row r="516" spans="1:13">
      <c r="A516">
        <v>80883604</v>
      </c>
      <c r="B516" t="s">
        <v>928</v>
      </c>
      <c r="C516" s="1" t="s">
        <v>152</v>
      </c>
      <c r="D516" t="s">
        <v>428</v>
      </c>
      <c r="E516" t="s">
        <v>168</v>
      </c>
      <c r="F516" s="2">
        <v>46034</v>
      </c>
      <c r="G516">
        <v>131</v>
      </c>
      <c r="H516" s="2">
        <v>46021</v>
      </c>
      <c r="I516" s="2" t="s">
        <v>202</v>
      </c>
      <c r="J516" s="1" t="s">
        <v>998</v>
      </c>
      <c r="L516" s="2">
        <v>46021</v>
      </c>
      <c r="M516" s="2" t="s">
        <v>1294</v>
      </c>
    </row>
    <row r="517" spans="1:13">
      <c r="A517">
        <v>80883604</v>
      </c>
      <c r="B517" t="s">
        <v>928</v>
      </c>
      <c r="C517" s="1" t="s">
        <v>153</v>
      </c>
      <c r="D517" t="s">
        <v>428</v>
      </c>
      <c r="E517" t="s">
        <v>168</v>
      </c>
      <c r="F517" s="2">
        <v>46034</v>
      </c>
      <c r="G517">
        <v>46</v>
      </c>
      <c r="H517" s="2">
        <v>46021</v>
      </c>
      <c r="I517" s="2" t="s">
        <v>202</v>
      </c>
      <c r="J517" s="1" t="s">
        <v>999</v>
      </c>
      <c r="L517" s="2">
        <v>46021</v>
      </c>
      <c r="M517" s="2" t="s">
        <v>1294</v>
      </c>
    </row>
    <row r="518" spans="1:13">
      <c r="A518">
        <v>80883604</v>
      </c>
      <c r="B518" t="s">
        <v>928</v>
      </c>
      <c r="C518" s="1" t="s">
        <v>154</v>
      </c>
      <c r="D518" t="s">
        <v>428</v>
      </c>
      <c r="E518" t="s">
        <v>168</v>
      </c>
      <c r="F518" s="2">
        <v>46034</v>
      </c>
      <c r="G518">
        <v>62</v>
      </c>
      <c r="H518" s="2">
        <v>46021</v>
      </c>
      <c r="I518" s="2" t="s">
        <v>202</v>
      </c>
      <c r="J518" s="1" t="s">
        <v>1000</v>
      </c>
      <c r="L518" s="2">
        <v>46021</v>
      </c>
      <c r="M518" s="2" t="s">
        <v>1294</v>
      </c>
    </row>
    <row r="519" spans="1:13">
      <c r="A519">
        <v>80883604</v>
      </c>
      <c r="B519" t="s">
        <v>928</v>
      </c>
      <c r="C519" s="1" t="s">
        <v>155</v>
      </c>
      <c r="D519" t="s">
        <v>428</v>
      </c>
      <c r="E519" t="s">
        <v>168</v>
      </c>
      <c r="F519" s="2">
        <v>46034</v>
      </c>
      <c r="G519">
        <v>343</v>
      </c>
      <c r="H519" s="2">
        <v>46021</v>
      </c>
      <c r="I519" s="2" t="s">
        <v>202</v>
      </c>
      <c r="J519" s="1" t="s">
        <v>1001</v>
      </c>
      <c r="L519" s="2">
        <v>46021</v>
      </c>
      <c r="M519" s="2" t="s">
        <v>1294</v>
      </c>
    </row>
    <row r="520" spans="1:13">
      <c r="A520">
        <v>80754073</v>
      </c>
      <c r="B520" t="s">
        <v>1002</v>
      </c>
      <c r="C520" s="1" t="s">
        <v>143</v>
      </c>
      <c r="D520" t="s">
        <v>428</v>
      </c>
      <c r="E520" t="s">
        <v>168</v>
      </c>
      <c r="F520" s="2">
        <v>46034</v>
      </c>
      <c r="G520">
        <v>33</v>
      </c>
      <c r="H520" s="2">
        <v>46021</v>
      </c>
      <c r="I520" s="2" t="s">
        <v>202</v>
      </c>
      <c r="J520" s="1" t="s">
        <v>1003</v>
      </c>
      <c r="L520" s="2">
        <v>46021</v>
      </c>
      <c r="M520" s="2" t="s">
        <v>1294</v>
      </c>
    </row>
    <row r="521" spans="1:13">
      <c r="A521">
        <v>80754073</v>
      </c>
      <c r="B521" t="s">
        <v>1002</v>
      </c>
      <c r="C521" s="1" t="s">
        <v>150</v>
      </c>
      <c r="D521" t="s">
        <v>428</v>
      </c>
      <c r="E521" t="s">
        <v>168</v>
      </c>
      <c r="F521" s="2">
        <v>46034</v>
      </c>
      <c r="G521">
        <v>324</v>
      </c>
      <c r="H521" s="2">
        <v>46021</v>
      </c>
      <c r="I521" s="2" t="s">
        <v>202</v>
      </c>
      <c r="J521" s="1" t="s">
        <v>1004</v>
      </c>
      <c r="L521" s="2">
        <v>46021</v>
      </c>
      <c r="M521" s="2" t="s">
        <v>1294</v>
      </c>
    </row>
    <row r="522" spans="1:13">
      <c r="A522">
        <v>80754073</v>
      </c>
      <c r="B522" t="s">
        <v>1002</v>
      </c>
      <c r="C522" s="1" t="s">
        <v>151</v>
      </c>
      <c r="D522" t="s">
        <v>428</v>
      </c>
      <c r="E522" t="s">
        <v>168</v>
      </c>
      <c r="F522" s="2">
        <v>46034</v>
      </c>
      <c r="G522">
        <v>279</v>
      </c>
      <c r="H522" s="2">
        <v>46021</v>
      </c>
      <c r="I522" s="2" t="s">
        <v>202</v>
      </c>
      <c r="J522" s="1" t="s">
        <v>1005</v>
      </c>
      <c r="L522" s="2">
        <v>46021</v>
      </c>
      <c r="M522" s="2" t="s">
        <v>1294</v>
      </c>
    </row>
    <row r="523" spans="1:13">
      <c r="A523">
        <v>80754073</v>
      </c>
      <c r="B523" t="s">
        <v>1002</v>
      </c>
      <c r="C523" s="1" t="s">
        <v>152</v>
      </c>
      <c r="D523" t="s">
        <v>428</v>
      </c>
      <c r="E523" t="s">
        <v>168</v>
      </c>
      <c r="F523" s="2">
        <v>46034</v>
      </c>
      <c r="G523">
        <v>72</v>
      </c>
      <c r="H523" s="2">
        <v>46021</v>
      </c>
      <c r="I523" s="2" t="s">
        <v>202</v>
      </c>
      <c r="J523" s="1" t="s">
        <v>1006</v>
      </c>
      <c r="L523" s="2">
        <v>46021</v>
      </c>
      <c r="M523" s="2" t="s">
        <v>1294</v>
      </c>
    </row>
    <row r="524" spans="1:13">
      <c r="A524">
        <v>80754073</v>
      </c>
      <c r="B524" t="s">
        <v>1002</v>
      </c>
      <c r="C524" s="1" t="s">
        <v>153</v>
      </c>
      <c r="D524" t="s">
        <v>428</v>
      </c>
      <c r="E524" t="s">
        <v>168</v>
      </c>
      <c r="F524" s="2">
        <v>46034</v>
      </c>
      <c r="G524">
        <v>16</v>
      </c>
      <c r="H524" s="2">
        <v>46021</v>
      </c>
      <c r="I524" s="2" t="s">
        <v>202</v>
      </c>
      <c r="J524" s="1" t="s">
        <v>1007</v>
      </c>
      <c r="L524" s="2">
        <v>46021</v>
      </c>
      <c r="M524" s="2" t="s">
        <v>1294</v>
      </c>
    </row>
    <row r="525" spans="1:13">
      <c r="A525">
        <v>80754073</v>
      </c>
      <c r="B525" t="s">
        <v>1002</v>
      </c>
      <c r="C525" s="1" t="s">
        <v>154</v>
      </c>
      <c r="D525" t="s">
        <v>428</v>
      </c>
      <c r="E525" t="s">
        <v>168</v>
      </c>
      <c r="F525" s="2">
        <v>46034</v>
      </c>
      <c r="G525">
        <v>25</v>
      </c>
      <c r="H525" s="2">
        <v>46021</v>
      </c>
      <c r="I525" s="2" t="s">
        <v>202</v>
      </c>
      <c r="J525" s="1" t="s">
        <v>1008</v>
      </c>
      <c r="L525" s="2">
        <v>46021</v>
      </c>
      <c r="M525" s="2" t="s">
        <v>1294</v>
      </c>
    </row>
    <row r="526" spans="1:13">
      <c r="A526">
        <v>80754073</v>
      </c>
      <c r="B526" t="s">
        <v>1002</v>
      </c>
      <c r="C526" s="1" t="s">
        <v>155</v>
      </c>
      <c r="D526" t="s">
        <v>428</v>
      </c>
      <c r="E526" t="s">
        <v>168</v>
      </c>
      <c r="F526" s="2">
        <v>46034</v>
      </c>
      <c r="G526">
        <v>255</v>
      </c>
      <c r="H526" s="2">
        <v>46021</v>
      </c>
      <c r="I526" s="2" t="s">
        <v>202</v>
      </c>
      <c r="J526" s="1" t="s">
        <v>1009</v>
      </c>
      <c r="L526" s="2">
        <v>46021</v>
      </c>
      <c r="M526" s="2" t="s">
        <v>1294</v>
      </c>
    </row>
    <row r="527" spans="1:13">
      <c r="A527">
        <v>80754088</v>
      </c>
      <c r="B527" t="s">
        <v>1010</v>
      </c>
      <c r="C527" s="1" t="s">
        <v>143</v>
      </c>
      <c r="D527" t="s">
        <v>428</v>
      </c>
      <c r="E527" t="s">
        <v>168</v>
      </c>
      <c r="F527" s="2">
        <v>46034</v>
      </c>
      <c r="G527">
        <v>10</v>
      </c>
      <c r="H527" s="2">
        <v>46021</v>
      </c>
      <c r="I527" s="2" t="s">
        <v>202</v>
      </c>
      <c r="J527" s="1" t="s">
        <v>1011</v>
      </c>
      <c r="L527" s="2">
        <v>46021</v>
      </c>
      <c r="M527" s="2" t="s">
        <v>1294</v>
      </c>
    </row>
    <row r="528" spans="1:13">
      <c r="A528">
        <v>80754088</v>
      </c>
      <c r="B528" t="s">
        <v>1010</v>
      </c>
      <c r="C528" s="1" t="s">
        <v>150</v>
      </c>
      <c r="D528" t="s">
        <v>428</v>
      </c>
      <c r="E528" t="s">
        <v>168</v>
      </c>
      <c r="F528" s="2">
        <v>46034</v>
      </c>
      <c r="G528">
        <v>383</v>
      </c>
      <c r="H528" s="2">
        <v>46021</v>
      </c>
      <c r="I528" s="2" t="s">
        <v>202</v>
      </c>
      <c r="J528" s="1" t="s">
        <v>1012</v>
      </c>
      <c r="L528" s="2">
        <v>46021</v>
      </c>
      <c r="M528" s="2" t="s">
        <v>1294</v>
      </c>
    </row>
    <row r="529" spans="1:13">
      <c r="A529">
        <v>80754088</v>
      </c>
      <c r="B529" t="s">
        <v>1010</v>
      </c>
      <c r="C529" s="1" t="s">
        <v>151</v>
      </c>
      <c r="D529" t="s">
        <v>428</v>
      </c>
      <c r="E529" t="s">
        <v>168</v>
      </c>
      <c r="F529" s="2">
        <v>46034</v>
      </c>
      <c r="G529">
        <v>315</v>
      </c>
      <c r="H529" s="2">
        <v>46021</v>
      </c>
      <c r="I529" s="2" t="s">
        <v>202</v>
      </c>
      <c r="J529" s="1" t="s">
        <v>1013</v>
      </c>
      <c r="L529" s="2">
        <v>46021</v>
      </c>
      <c r="M529" s="2" t="s">
        <v>1294</v>
      </c>
    </row>
    <row r="530" spans="1:13">
      <c r="A530">
        <v>80754088</v>
      </c>
      <c r="B530" t="s">
        <v>1010</v>
      </c>
      <c r="C530" s="1" t="s">
        <v>152</v>
      </c>
      <c r="D530" t="s">
        <v>428</v>
      </c>
      <c r="E530" t="s">
        <v>168</v>
      </c>
      <c r="F530" s="2">
        <v>46034</v>
      </c>
      <c r="G530">
        <v>45</v>
      </c>
      <c r="H530" s="2">
        <v>46021</v>
      </c>
      <c r="I530" s="2" t="s">
        <v>202</v>
      </c>
      <c r="J530" s="1" t="s">
        <v>1014</v>
      </c>
      <c r="L530" s="2">
        <v>46021</v>
      </c>
      <c r="M530" s="2" t="s">
        <v>1294</v>
      </c>
    </row>
    <row r="531" spans="1:13">
      <c r="A531">
        <v>80754088</v>
      </c>
      <c r="B531" t="s">
        <v>1010</v>
      </c>
      <c r="C531" s="1" t="s">
        <v>153</v>
      </c>
      <c r="D531" t="s">
        <v>428</v>
      </c>
      <c r="E531" t="s">
        <v>168</v>
      </c>
      <c r="F531" s="2">
        <v>46034</v>
      </c>
      <c r="G531">
        <v>19</v>
      </c>
      <c r="H531" s="2">
        <v>46021</v>
      </c>
      <c r="I531" s="2" t="s">
        <v>202</v>
      </c>
      <c r="J531" s="1" t="s">
        <v>1015</v>
      </c>
      <c r="L531" s="2">
        <v>46021</v>
      </c>
      <c r="M531" s="2" t="s">
        <v>1294</v>
      </c>
    </row>
    <row r="532" spans="1:13">
      <c r="A532">
        <v>80754088</v>
      </c>
      <c r="B532" t="s">
        <v>1010</v>
      </c>
      <c r="C532" s="1" t="s">
        <v>154</v>
      </c>
      <c r="D532" t="s">
        <v>428</v>
      </c>
      <c r="E532" t="s">
        <v>168</v>
      </c>
      <c r="F532" s="2">
        <v>46034</v>
      </c>
      <c r="G532">
        <v>15</v>
      </c>
      <c r="H532" s="2">
        <v>46021</v>
      </c>
      <c r="I532" s="2" t="s">
        <v>202</v>
      </c>
      <c r="J532" s="1" t="s">
        <v>1016</v>
      </c>
      <c r="L532" s="2">
        <v>46021</v>
      </c>
      <c r="M532" s="2" t="s">
        <v>1294</v>
      </c>
    </row>
    <row r="533" spans="1:13">
      <c r="A533">
        <v>80754088</v>
      </c>
      <c r="B533" t="s">
        <v>1010</v>
      </c>
      <c r="C533" s="1" t="s">
        <v>155</v>
      </c>
      <c r="D533" t="s">
        <v>428</v>
      </c>
      <c r="E533" t="s">
        <v>168</v>
      </c>
      <c r="F533" s="2">
        <v>46034</v>
      </c>
      <c r="G533">
        <v>266</v>
      </c>
      <c r="H533" s="2">
        <v>46021</v>
      </c>
      <c r="I533" s="2" t="s">
        <v>202</v>
      </c>
      <c r="J533" s="1" t="s">
        <v>1017</v>
      </c>
      <c r="L533" s="2">
        <v>46021</v>
      </c>
      <c r="M533" s="2" t="s">
        <v>1294</v>
      </c>
    </row>
    <row r="534" spans="1:13">
      <c r="A534">
        <v>80883614</v>
      </c>
      <c r="B534" t="s">
        <v>1018</v>
      </c>
      <c r="C534" s="1" t="s">
        <v>143</v>
      </c>
      <c r="D534" t="s">
        <v>428</v>
      </c>
      <c r="E534" t="s">
        <v>168</v>
      </c>
      <c r="F534" s="2">
        <v>46034</v>
      </c>
      <c r="G534">
        <v>152</v>
      </c>
      <c r="H534" s="2">
        <v>46021</v>
      </c>
      <c r="I534" s="2" t="s">
        <v>202</v>
      </c>
      <c r="J534" s="1" t="s">
        <v>1019</v>
      </c>
      <c r="L534" s="2">
        <v>46021</v>
      </c>
      <c r="M534" s="2" t="s">
        <v>1294</v>
      </c>
    </row>
    <row r="535" spans="1:13">
      <c r="A535">
        <v>80883614</v>
      </c>
      <c r="B535" t="s">
        <v>1018</v>
      </c>
      <c r="C535" s="1" t="s">
        <v>150</v>
      </c>
      <c r="D535" t="s">
        <v>428</v>
      </c>
      <c r="E535" t="s">
        <v>168</v>
      </c>
      <c r="F535" s="2">
        <v>46034</v>
      </c>
      <c r="G535">
        <v>963</v>
      </c>
      <c r="H535" s="2">
        <v>46021</v>
      </c>
      <c r="I535" s="2" t="s">
        <v>202</v>
      </c>
      <c r="J535" s="1" t="s">
        <v>1020</v>
      </c>
      <c r="L535" s="2">
        <v>46021</v>
      </c>
      <c r="M535" s="2" t="s">
        <v>1294</v>
      </c>
    </row>
    <row r="536" spans="1:13">
      <c r="A536">
        <v>80883614</v>
      </c>
      <c r="B536" t="s">
        <v>1018</v>
      </c>
      <c r="C536" s="1" t="s">
        <v>151</v>
      </c>
      <c r="D536" t="s">
        <v>428</v>
      </c>
      <c r="E536" t="s">
        <v>168</v>
      </c>
      <c r="F536" s="2">
        <v>46034</v>
      </c>
      <c r="G536">
        <v>959</v>
      </c>
      <c r="H536" s="2">
        <v>46021</v>
      </c>
      <c r="I536" s="2" t="s">
        <v>202</v>
      </c>
      <c r="J536" s="1" t="s">
        <v>1021</v>
      </c>
      <c r="L536" s="2">
        <v>46021</v>
      </c>
      <c r="M536" s="2" t="s">
        <v>1294</v>
      </c>
    </row>
    <row r="537" spans="1:13">
      <c r="A537">
        <v>80883614</v>
      </c>
      <c r="B537" t="s">
        <v>1018</v>
      </c>
      <c r="C537" s="1" t="s">
        <v>152</v>
      </c>
      <c r="D537" t="s">
        <v>428</v>
      </c>
      <c r="E537" t="s">
        <v>168</v>
      </c>
      <c r="F537" s="2">
        <v>46034</v>
      </c>
      <c r="G537">
        <v>128</v>
      </c>
      <c r="H537" s="2">
        <v>46021</v>
      </c>
      <c r="I537" s="2" t="s">
        <v>202</v>
      </c>
      <c r="J537" s="1" t="s">
        <v>1022</v>
      </c>
      <c r="L537" s="2">
        <v>46021</v>
      </c>
      <c r="M537" s="2" t="s">
        <v>1294</v>
      </c>
    </row>
    <row r="538" spans="1:13">
      <c r="A538">
        <v>80883614</v>
      </c>
      <c r="B538" t="s">
        <v>1018</v>
      </c>
      <c r="C538" s="1" t="s">
        <v>153</v>
      </c>
      <c r="D538" t="s">
        <v>428</v>
      </c>
      <c r="E538" t="s">
        <v>168</v>
      </c>
      <c r="F538" s="2">
        <v>46034</v>
      </c>
      <c r="G538">
        <v>68</v>
      </c>
      <c r="H538" s="2">
        <v>46021</v>
      </c>
      <c r="I538" s="2" t="s">
        <v>202</v>
      </c>
      <c r="J538" s="1" t="s">
        <v>1023</v>
      </c>
      <c r="L538" s="2">
        <v>46021</v>
      </c>
      <c r="M538" s="2" t="s">
        <v>1294</v>
      </c>
    </row>
    <row r="539" spans="1:13">
      <c r="A539">
        <v>80883614</v>
      </c>
      <c r="B539" t="s">
        <v>1018</v>
      </c>
      <c r="C539" s="1" t="s">
        <v>154</v>
      </c>
      <c r="D539" t="s">
        <v>428</v>
      </c>
      <c r="E539" t="s">
        <v>168</v>
      </c>
      <c r="F539" s="2">
        <v>46034</v>
      </c>
      <c r="G539">
        <v>74</v>
      </c>
      <c r="H539" s="2">
        <v>46021</v>
      </c>
      <c r="I539" s="2" t="s">
        <v>202</v>
      </c>
      <c r="J539" s="1" t="s">
        <v>1024</v>
      </c>
      <c r="L539" s="2">
        <v>46021</v>
      </c>
      <c r="M539" s="2" t="s">
        <v>1294</v>
      </c>
    </row>
    <row r="540" spans="1:13">
      <c r="A540">
        <v>80883614</v>
      </c>
      <c r="B540" t="s">
        <v>1018</v>
      </c>
      <c r="C540" s="1" t="s">
        <v>155</v>
      </c>
      <c r="D540" t="s">
        <v>428</v>
      </c>
      <c r="E540" t="s">
        <v>168</v>
      </c>
      <c r="F540" s="2">
        <v>46034</v>
      </c>
      <c r="G540">
        <v>573</v>
      </c>
      <c r="H540" s="2">
        <v>46021</v>
      </c>
      <c r="I540" s="2" t="s">
        <v>202</v>
      </c>
      <c r="J540" s="1" t="s">
        <v>1025</v>
      </c>
      <c r="L540" s="2">
        <v>46021</v>
      </c>
      <c r="M540" s="2" t="s">
        <v>1294</v>
      </c>
    </row>
    <row r="541" spans="1:13">
      <c r="A541">
        <v>80883596</v>
      </c>
      <c r="B541" t="s">
        <v>1026</v>
      </c>
      <c r="C541" s="1" t="s">
        <v>143</v>
      </c>
      <c r="D541" t="s">
        <v>428</v>
      </c>
      <c r="E541" t="s">
        <v>168</v>
      </c>
      <c r="F541" s="2">
        <v>46034</v>
      </c>
      <c r="G541">
        <v>89</v>
      </c>
      <c r="H541" s="2">
        <v>46021</v>
      </c>
      <c r="I541" s="2" t="s">
        <v>202</v>
      </c>
      <c r="J541" s="1" t="s">
        <v>1027</v>
      </c>
      <c r="L541" s="2">
        <v>46021</v>
      </c>
      <c r="M541" s="2" t="s">
        <v>1294</v>
      </c>
    </row>
    <row r="542" spans="1:13">
      <c r="A542">
        <v>80883596</v>
      </c>
      <c r="B542" t="s">
        <v>1026</v>
      </c>
      <c r="C542" s="1" t="s">
        <v>150</v>
      </c>
      <c r="D542" t="s">
        <v>428</v>
      </c>
      <c r="E542" t="s">
        <v>168</v>
      </c>
      <c r="F542" s="2">
        <v>46034</v>
      </c>
      <c r="G542">
        <v>337</v>
      </c>
      <c r="H542" s="2">
        <v>46021</v>
      </c>
      <c r="I542" s="2" t="s">
        <v>202</v>
      </c>
      <c r="J542" s="1" t="s">
        <v>1028</v>
      </c>
      <c r="L542" s="2">
        <v>46021</v>
      </c>
      <c r="M542" s="2" t="s">
        <v>1294</v>
      </c>
    </row>
    <row r="543" spans="1:13">
      <c r="A543">
        <v>80883596</v>
      </c>
      <c r="B543" t="s">
        <v>1026</v>
      </c>
      <c r="C543" s="1" t="s">
        <v>151</v>
      </c>
      <c r="D543" t="s">
        <v>428</v>
      </c>
      <c r="E543" t="s">
        <v>168</v>
      </c>
      <c r="F543" s="2">
        <v>46034</v>
      </c>
      <c r="G543">
        <v>634</v>
      </c>
      <c r="H543" s="2">
        <v>46021</v>
      </c>
      <c r="I543" s="2" t="s">
        <v>202</v>
      </c>
      <c r="J543" s="1" t="s">
        <v>1029</v>
      </c>
      <c r="L543" s="2">
        <v>46021</v>
      </c>
      <c r="M543" s="2" t="s">
        <v>1294</v>
      </c>
    </row>
    <row r="544" spans="1:13">
      <c r="A544">
        <v>80883596</v>
      </c>
      <c r="B544" t="s">
        <v>1026</v>
      </c>
      <c r="C544" s="1" t="s">
        <v>152</v>
      </c>
      <c r="D544" t="s">
        <v>428</v>
      </c>
      <c r="E544" t="s">
        <v>168</v>
      </c>
      <c r="F544" s="2">
        <v>46034</v>
      </c>
      <c r="G544">
        <v>186</v>
      </c>
      <c r="H544" s="2">
        <v>46021</v>
      </c>
      <c r="I544" s="2" t="s">
        <v>202</v>
      </c>
      <c r="J544" s="1" t="s">
        <v>1030</v>
      </c>
      <c r="L544" s="2">
        <v>46021</v>
      </c>
      <c r="M544" s="2" t="s">
        <v>1294</v>
      </c>
    </row>
    <row r="545" spans="1:13">
      <c r="A545">
        <v>80883596</v>
      </c>
      <c r="B545" t="s">
        <v>1026</v>
      </c>
      <c r="C545" s="1" t="s">
        <v>153</v>
      </c>
      <c r="D545" t="s">
        <v>428</v>
      </c>
      <c r="E545" t="s">
        <v>168</v>
      </c>
      <c r="F545" s="2">
        <v>46034</v>
      </c>
      <c r="G545">
        <v>27</v>
      </c>
      <c r="H545" s="2">
        <v>46021</v>
      </c>
      <c r="I545" s="2" t="s">
        <v>202</v>
      </c>
      <c r="J545" s="1" t="s">
        <v>1031</v>
      </c>
      <c r="L545" s="2">
        <v>46021</v>
      </c>
      <c r="M545" s="2" t="s">
        <v>1294</v>
      </c>
    </row>
    <row r="546" spans="1:13">
      <c r="A546">
        <v>80883596</v>
      </c>
      <c r="B546" t="s">
        <v>1026</v>
      </c>
      <c r="C546" s="1" t="s">
        <v>154</v>
      </c>
      <c r="D546" t="s">
        <v>428</v>
      </c>
      <c r="E546" t="s">
        <v>168</v>
      </c>
      <c r="F546" s="2">
        <v>46034</v>
      </c>
      <c r="G546">
        <v>43</v>
      </c>
      <c r="H546" s="2">
        <v>46021</v>
      </c>
      <c r="I546" s="2" t="s">
        <v>202</v>
      </c>
      <c r="J546" s="1" t="s">
        <v>1032</v>
      </c>
      <c r="L546" s="2">
        <v>46021</v>
      </c>
      <c r="M546" s="2" t="s">
        <v>1294</v>
      </c>
    </row>
    <row r="547" spans="1:13">
      <c r="A547">
        <v>80883596</v>
      </c>
      <c r="B547" t="s">
        <v>1026</v>
      </c>
      <c r="C547" s="1" t="s">
        <v>155</v>
      </c>
      <c r="D547" t="s">
        <v>428</v>
      </c>
      <c r="E547" t="s">
        <v>168</v>
      </c>
      <c r="F547" s="2">
        <v>46034</v>
      </c>
      <c r="G547">
        <v>237</v>
      </c>
      <c r="H547" s="2">
        <v>46021</v>
      </c>
      <c r="I547" s="2" t="s">
        <v>202</v>
      </c>
      <c r="J547" s="1" t="s">
        <v>1033</v>
      </c>
      <c r="L547" s="2">
        <v>46021</v>
      </c>
      <c r="M547" s="2" t="s">
        <v>1294</v>
      </c>
    </row>
    <row r="548" spans="1:13">
      <c r="A548">
        <v>80820464</v>
      </c>
      <c r="B548" t="s">
        <v>1034</v>
      </c>
      <c r="C548" s="1" t="s">
        <v>143</v>
      </c>
      <c r="D548" t="s">
        <v>428</v>
      </c>
      <c r="E548" t="s">
        <v>168</v>
      </c>
      <c r="F548" s="2">
        <v>46034</v>
      </c>
      <c r="G548">
        <v>122</v>
      </c>
      <c r="H548" s="2">
        <v>46021</v>
      </c>
      <c r="I548" s="2" t="s">
        <v>202</v>
      </c>
      <c r="J548" s="1" t="s">
        <v>1035</v>
      </c>
      <c r="L548" s="2">
        <v>46021</v>
      </c>
      <c r="M548" s="2" t="s">
        <v>1294</v>
      </c>
    </row>
    <row r="549" spans="1:13">
      <c r="A549">
        <v>80820464</v>
      </c>
      <c r="B549" t="s">
        <v>1034</v>
      </c>
      <c r="C549" s="1" t="s">
        <v>150</v>
      </c>
      <c r="D549" t="s">
        <v>428</v>
      </c>
      <c r="E549" t="s">
        <v>168</v>
      </c>
      <c r="F549" s="2">
        <v>46034</v>
      </c>
      <c r="G549">
        <v>882</v>
      </c>
      <c r="H549" s="2">
        <v>46021</v>
      </c>
      <c r="I549" s="2" t="s">
        <v>202</v>
      </c>
      <c r="J549" s="1" t="s">
        <v>1036</v>
      </c>
      <c r="L549" s="2">
        <v>46021</v>
      </c>
      <c r="M549" s="2" t="s">
        <v>1294</v>
      </c>
    </row>
    <row r="550" spans="1:13">
      <c r="A550">
        <v>80820464</v>
      </c>
      <c r="B550" t="s">
        <v>1034</v>
      </c>
      <c r="C550" s="1" t="s">
        <v>151</v>
      </c>
      <c r="D550" t="s">
        <v>428</v>
      </c>
      <c r="E550" t="s">
        <v>168</v>
      </c>
      <c r="F550" s="2">
        <v>46034</v>
      </c>
      <c r="G550">
        <v>892</v>
      </c>
      <c r="H550" s="2">
        <v>46021</v>
      </c>
      <c r="I550" s="2" t="s">
        <v>202</v>
      </c>
      <c r="J550" s="1" t="s">
        <v>1037</v>
      </c>
      <c r="L550" s="2">
        <v>46021</v>
      </c>
      <c r="M550" s="2" t="s">
        <v>1294</v>
      </c>
    </row>
    <row r="551" spans="1:13">
      <c r="A551">
        <v>80820464</v>
      </c>
      <c r="B551" t="s">
        <v>1034</v>
      </c>
      <c r="C551" s="1" t="s">
        <v>152</v>
      </c>
      <c r="D551" t="s">
        <v>428</v>
      </c>
      <c r="E551" t="s">
        <v>168</v>
      </c>
      <c r="F551" s="2">
        <v>46034</v>
      </c>
      <c r="G551">
        <v>126</v>
      </c>
      <c r="H551" s="2">
        <v>46021</v>
      </c>
      <c r="I551" s="2" t="s">
        <v>202</v>
      </c>
      <c r="J551" s="1" t="s">
        <v>1038</v>
      </c>
      <c r="L551" s="2">
        <v>46021</v>
      </c>
      <c r="M551" s="2" t="s">
        <v>1294</v>
      </c>
    </row>
    <row r="552" spans="1:13">
      <c r="A552">
        <v>80820464</v>
      </c>
      <c r="B552" t="s">
        <v>1034</v>
      </c>
      <c r="C552" s="1" t="s">
        <v>153</v>
      </c>
      <c r="D552" t="s">
        <v>428</v>
      </c>
      <c r="E552" t="s">
        <v>168</v>
      </c>
      <c r="F552" s="2">
        <v>46034</v>
      </c>
      <c r="G552">
        <v>18</v>
      </c>
      <c r="H552" s="2">
        <v>46021</v>
      </c>
      <c r="I552" s="2" t="s">
        <v>202</v>
      </c>
      <c r="J552" s="1" t="s">
        <v>1039</v>
      </c>
      <c r="L552" s="2">
        <v>46021</v>
      </c>
      <c r="M552" s="2" t="s">
        <v>1294</v>
      </c>
    </row>
    <row r="553" spans="1:13">
      <c r="A553">
        <v>80820464</v>
      </c>
      <c r="B553" t="s">
        <v>1034</v>
      </c>
      <c r="C553" s="1" t="s">
        <v>154</v>
      </c>
      <c r="D553" t="s">
        <v>428</v>
      </c>
      <c r="E553" t="s">
        <v>168</v>
      </c>
      <c r="F553" s="2">
        <v>46034</v>
      </c>
      <c r="G553">
        <v>119</v>
      </c>
      <c r="H553" s="2">
        <v>46021</v>
      </c>
      <c r="I553" s="2" t="s">
        <v>202</v>
      </c>
      <c r="J553" s="1" t="s">
        <v>1040</v>
      </c>
      <c r="L553" s="2">
        <v>46021</v>
      </c>
      <c r="M553" s="2" t="s">
        <v>1294</v>
      </c>
    </row>
    <row r="554" spans="1:13">
      <c r="A554">
        <v>80820464</v>
      </c>
      <c r="B554" t="s">
        <v>1034</v>
      </c>
      <c r="C554" s="1" t="s">
        <v>155</v>
      </c>
      <c r="D554" t="s">
        <v>428</v>
      </c>
      <c r="E554" t="s">
        <v>168</v>
      </c>
      <c r="F554" s="2">
        <v>46034</v>
      </c>
      <c r="G554">
        <v>291</v>
      </c>
      <c r="H554" s="2">
        <v>46021</v>
      </c>
      <c r="I554" s="2" t="s">
        <v>202</v>
      </c>
      <c r="J554" s="1" t="s">
        <v>1041</v>
      </c>
      <c r="L554" s="2">
        <v>46021</v>
      </c>
      <c r="M554" s="2" t="s">
        <v>1294</v>
      </c>
    </row>
    <row r="555" spans="1:13">
      <c r="A555">
        <v>80881082</v>
      </c>
      <c r="B555" t="s">
        <v>1042</v>
      </c>
      <c r="C555" s="1" t="s">
        <v>143</v>
      </c>
      <c r="D555" t="s">
        <v>428</v>
      </c>
      <c r="E555" t="s">
        <v>168</v>
      </c>
      <c r="F555" s="2">
        <v>46034</v>
      </c>
      <c r="G555">
        <v>29</v>
      </c>
      <c r="H555" s="2">
        <v>46021</v>
      </c>
      <c r="I555" s="2" t="s">
        <v>202</v>
      </c>
      <c r="J555" s="1" t="s">
        <v>1043</v>
      </c>
      <c r="L555" s="2">
        <v>46021</v>
      </c>
      <c r="M555" s="2" t="s">
        <v>1294</v>
      </c>
    </row>
    <row r="556" spans="1:13">
      <c r="A556">
        <v>80881082</v>
      </c>
      <c r="B556" t="s">
        <v>1042</v>
      </c>
      <c r="C556" s="1" t="s">
        <v>150</v>
      </c>
      <c r="D556" t="s">
        <v>428</v>
      </c>
      <c r="E556" t="s">
        <v>168</v>
      </c>
      <c r="F556" s="2">
        <v>46034</v>
      </c>
      <c r="G556">
        <v>155</v>
      </c>
      <c r="H556" s="2">
        <v>46021</v>
      </c>
      <c r="I556" s="2" t="s">
        <v>202</v>
      </c>
      <c r="J556" s="1" t="s">
        <v>1044</v>
      </c>
      <c r="L556" s="2">
        <v>46021</v>
      </c>
      <c r="M556" s="2" t="s">
        <v>1294</v>
      </c>
    </row>
    <row r="557" spans="1:13">
      <c r="A557">
        <v>80881082</v>
      </c>
      <c r="B557" t="s">
        <v>1042</v>
      </c>
      <c r="C557" s="1" t="s">
        <v>151</v>
      </c>
      <c r="D557" t="s">
        <v>428</v>
      </c>
      <c r="E557" t="s">
        <v>168</v>
      </c>
      <c r="F557" s="2">
        <v>46034</v>
      </c>
      <c r="G557">
        <v>164</v>
      </c>
      <c r="H557" s="2">
        <v>46021</v>
      </c>
      <c r="I557" s="2" t="s">
        <v>202</v>
      </c>
      <c r="J557" s="1" t="s">
        <v>1045</v>
      </c>
      <c r="L557" s="2">
        <v>46021</v>
      </c>
      <c r="M557" s="2" t="s">
        <v>1294</v>
      </c>
    </row>
    <row r="558" spans="1:13">
      <c r="A558">
        <v>80881082</v>
      </c>
      <c r="B558" t="s">
        <v>1042</v>
      </c>
      <c r="C558" s="1" t="s">
        <v>152</v>
      </c>
      <c r="D558" t="s">
        <v>428</v>
      </c>
      <c r="E558" t="s">
        <v>168</v>
      </c>
      <c r="F558" s="2">
        <v>46034</v>
      </c>
      <c r="G558">
        <v>50</v>
      </c>
      <c r="H558" s="2">
        <v>46021</v>
      </c>
      <c r="I558" s="2" t="s">
        <v>202</v>
      </c>
      <c r="J558" s="1" t="s">
        <v>1046</v>
      </c>
      <c r="L558" s="2">
        <v>46021</v>
      </c>
      <c r="M558" s="2" t="s">
        <v>1294</v>
      </c>
    </row>
    <row r="559" spans="1:13">
      <c r="A559">
        <v>80881082</v>
      </c>
      <c r="B559" t="s">
        <v>1042</v>
      </c>
      <c r="C559" s="1" t="s">
        <v>153</v>
      </c>
      <c r="D559" t="s">
        <v>428</v>
      </c>
      <c r="E559" t="s">
        <v>168</v>
      </c>
      <c r="F559" s="2">
        <v>46034</v>
      </c>
      <c r="G559">
        <v>19</v>
      </c>
      <c r="H559" s="2">
        <v>46021</v>
      </c>
      <c r="I559" s="2" t="s">
        <v>202</v>
      </c>
      <c r="J559" s="1" t="s">
        <v>1047</v>
      </c>
      <c r="L559" s="2">
        <v>46021</v>
      </c>
      <c r="M559" s="2" t="s">
        <v>1294</v>
      </c>
    </row>
    <row r="560" spans="1:13">
      <c r="A560">
        <v>80881082</v>
      </c>
      <c r="B560" t="s">
        <v>1042</v>
      </c>
      <c r="C560" s="1" t="s">
        <v>154</v>
      </c>
      <c r="D560" t="s">
        <v>428</v>
      </c>
      <c r="E560" t="s">
        <v>168</v>
      </c>
      <c r="F560" s="2">
        <v>46034</v>
      </c>
      <c r="G560">
        <v>19</v>
      </c>
      <c r="H560" s="2">
        <v>46021</v>
      </c>
      <c r="I560" s="2" t="s">
        <v>202</v>
      </c>
      <c r="J560" s="1" t="s">
        <v>1048</v>
      </c>
      <c r="L560" s="2">
        <v>46021</v>
      </c>
      <c r="M560" s="2" t="s">
        <v>1294</v>
      </c>
    </row>
    <row r="561" spans="1:13">
      <c r="A561">
        <v>80881082</v>
      </c>
      <c r="B561" t="s">
        <v>1042</v>
      </c>
      <c r="C561" s="1" t="s">
        <v>155</v>
      </c>
      <c r="D561" t="s">
        <v>428</v>
      </c>
      <c r="E561" t="s">
        <v>168</v>
      </c>
      <c r="F561" s="2">
        <v>46034</v>
      </c>
      <c r="G561">
        <v>90</v>
      </c>
      <c r="H561" s="2">
        <v>46021</v>
      </c>
      <c r="I561" s="2" t="s">
        <v>202</v>
      </c>
      <c r="J561" s="1" t="s">
        <v>1049</v>
      </c>
      <c r="L561" s="2">
        <v>46021</v>
      </c>
      <c r="M561" s="2" t="s">
        <v>1294</v>
      </c>
    </row>
    <row r="562" spans="1:13">
      <c r="A562">
        <v>80883599</v>
      </c>
      <c r="B562" t="s">
        <v>1050</v>
      </c>
      <c r="C562" s="1" t="s">
        <v>143</v>
      </c>
      <c r="D562" t="s">
        <v>428</v>
      </c>
      <c r="E562" t="s">
        <v>168</v>
      </c>
      <c r="F562" s="2">
        <v>46034</v>
      </c>
      <c r="G562">
        <v>9</v>
      </c>
      <c r="H562" s="2">
        <v>46021</v>
      </c>
      <c r="I562" s="2" t="s">
        <v>202</v>
      </c>
      <c r="J562" s="1" t="s">
        <v>1051</v>
      </c>
      <c r="L562" s="2">
        <v>46021</v>
      </c>
      <c r="M562" s="2" t="s">
        <v>1294</v>
      </c>
    </row>
    <row r="563" spans="1:13">
      <c r="A563">
        <v>80883599</v>
      </c>
      <c r="B563" t="s">
        <v>1050</v>
      </c>
      <c r="C563" s="1" t="s">
        <v>150</v>
      </c>
      <c r="D563" t="s">
        <v>428</v>
      </c>
      <c r="E563" t="s">
        <v>168</v>
      </c>
      <c r="F563" s="2">
        <v>46034</v>
      </c>
      <c r="G563">
        <v>41</v>
      </c>
      <c r="H563" s="2">
        <v>46021</v>
      </c>
      <c r="I563" s="2" t="s">
        <v>202</v>
      </c>
      <c r="J563" s="1" t="s">
        <v>1052</v>
      </c>
      <c r="L563" s="2">
        <v>46021</v>
      </c>
      <c r="M563" s="2" t="s">
        <v>1294</v>
      </c>
    </row>
    <row r="564" spans="1:13">
      <c r="A564">
        <v>80883599</v>
      </c>
      <c r="B564" t="s">
        <v>1050</v>
      </c>
      <c r="C564" s="1" t="s">
        <v>151</v>
      </c>
      <c r="D564" t="s">
        <v>428</v>
      </c>
      <c r="E564" t="s">
        <v>168</v>
      </c>
      <c r="F564" s="2">
        <v>46034</v>
      </c>
      <c r="G564">
        <v>40</v>
      </c>
      <c r="H564" s="2">
        <v>46021</v>
      </c>
      <c r="I564" s="2" t="s">
        <v>202</v>
      </c>
      <c r="J564" s="1" t="s">
        <v>1053</v>
      </c>
      <c r="L564" s="2">
        <v>46021</v>
      </c>
      <c r="M564" s="2" t="s">
        <v>1294</v>
      </c>
    </row>
    <row r="565" spans="1:13">
      <c r="A565">
        <v>80883599</v>
      </c>
      <c r="B565" t="s">
        <v>1050</v>
      </c>
      <c r="C565" s="1" t="s">
        <v>152</v>
      </c>
      <c r="D565" t="s">
        <v>428</v>
      </c>
      <c r="E565" t="s">
        <v>168</v>
      </c>
      <c r="F565" s="2">
        <v>46034</v>
      </c>
      <c r="G565">
        <v>8</v>
      </c>
      <c r="H565" s="2">
        <v>46021</v>
      </c>
      <c r="I565" s="2" t="s">
        <v>202</v>
      </c>
      <c r="J565" s="1" t="s">
        <v>1054</v>
      </c>
      <c r="L565" s="2">
        <v>46021</v>
      </c>
      <c r="M565" s="2" t="s">
        <v>1294</v>
      </c>
    </row>
    <row r="566" spans="1:13">
      <c r="A566">
        <v>80883599</v>
      </c>
      <c r="B566" t="s">
        <v>1050</v>
      </c>
      <c r="C566" s="1" t="s">
        <v>153</v>
      </c>
      <c r="D566" t="s">
        <v>428</v>
      </c>
      <c r="E566" t="s">
        <v>168</v>
      </c>
      <c r="F566" s="2">
        <v>46034</v>
      </c>
      <c r="G566">
        <v>6</v>
      </c>
      <c r="H566" s="2">
        <v>46021</v>
      </c>
      <c r="I566" s="2" t="s">
        <v>202</v>
      </c>
      <c r="J566" s="1" t="s">
        <v>1055</v>
      </c>
      <c r="L566" s="2">
        <v>46021</v>
      </c>
      <c r="M566" s="2" t="s">
        <v>1294</v>
      </c>
    </row>
    <row r="567" spans="1:13">
      <c r="A567">
        <v>80883599</v>
      </c>
      <c r="B567" t="s">
        <v>1050</v>
      </c>
      <c r="C567" s="1" t="s">
        <v>154</v>
      </c>
      <c r="D567" t="s">
        <v>428</v>
      </c>
      <c r="E567" t="s">
        <v>168</v>
      </c>
      <c r="F567" s="2">
        <v>46034</v>
      </c>
      <c r="G567">
        <v>3</v>
      </c>
      <c r="H567" s="2">
        <v>46021</v>
      </c>
      <c r="I567" s="2" t="s">
        <v>202</v>
      </c>
      <c r="J567" s="1" t="s">
        <v>1056</v>
      </c>
      <c r="L567" s="2">
        <v>46021</v>
      </c>
      <c r="M567" s="2" t="s">
        <v>1294</v>
      </c>
    </row>
    <row r="568" spans="1:13">
      <c r="A568">
        <v>80883599</v>
      </c>
      <c r="B568" t="s">
        <v>1050</v>
      </c>
      <c r="C568" s="1" t="s">
        <v>155</v>
      </c>
      <c r="D568" t="s">
        <v>428</v>
      </c>
      <c r="E568" t="s">
        <v>168</v>
      </c>
      <c r="F568" s="2">
        <v>46034</v>
      </c>
      <c r="G568">
        <v>39</v>
      </c>
      <c r="H568" s="2">
        <v>46021</v>
      </c>
      <c r="I568" s="2" t="s">
        <v>202</v>
      </c>
      <c r="J568" s="1" t="s">
        <v>1057</v>
      </c>
      <c r="L568" s="2">
        <v>46021</v>
      </c>
      <c r="M568" s="2" t="s">
        <v>1294</v>
      </c>
    </row>
    <row r="569" spans="1:13">
      <c r="A569">
        <v>80883613</v>
      </c>
      <c r="B569" t="s">
        <v>1058</v>
      </c>
      <c r="C569" s="1" t="s">
        <v>143</v>
      </c>
      <c r="D569" t="s">
        <v>428</v>
      </c>
      <c r="E569" t="s">
        <v>168</v>
      </c>
      <c r="F569" s="2">
        <v>46034</v>
      </c>
      <c r="G569">
        <v>40</v>
      </c>
      <c r="H569" s="2">
        <v>46021</v>
      </c>
      <c r="I569" s="2" t="s">
        <v>202</v>
      </c>
      <c r="J569" s="1" t="s">
        <v>1059</v>
      </c>
      <c r="L569" s="2">
        <v>46021</v>
      </c>
      <c r="M569" s="2" t="s">
        <v>1294</v>
      </c>
    </row>
    <row r="570" spans="1:13">
      <c r="A570">
        <v>80883613</v>
      </c>
      <c r="B570" t="s">
        <v>1058</v>
      </c>
      <c r="C570" s="1" t="s">
        <v>150</v>
      </c>
      <c r="D570" t="s">
        <v>428</v>
      </c>
      <c r="E570" t="s">
        <v>168</v>
      </c>
      <c r="F570" s="2">
        <v>46034</v>
      </c>
      <c r="G570">
        <v>144</v>
      </c>
      <c r="H570" s="2">
        <v>46021</v>
      </c>
      <c r="I570" s="2" t="s">
        <v>202</v>
      </c>
      <c r="J570" s="1" t="s">
        <v>1060</v>
      </c>
      <c r="L570" s="2">
        <v>46021</v>
      </c>
      <c r="M570" s="2" t="s">
        <v>1294</v>
      </c>
    </row>
    <row r="571" spans="1:13">
      <c r="A571">
        <v>80883613</v>
      </c>
      <c r="B571" t="s">
        <v>1058</v>
      </c>
      <c r="C571" s="1" t="s">
        <v>151</v>
      </c>
      <c r="D571" t="s">
        <v>428</v>
      </c>
      <c r="E571" t="s">
        <v>168</v>
      </c>
      <c r="F571" s="2">
        <v>46034</v>
      </c>
      <c r="G571">
        <v>176</v>
      </c>
      <c r="H571" s="2">
        <v>46021</v>
      </c>
      <c r="I571" s="2" t="s">
        <v>202</v>
      </c>
      <c r="J571" s="1" t="s">
        <v>1061</v>
      </c>
      <c r="L571" s="2">
        <v>46021</v>
      </c>
      <c r="M571" s="2" t="s">
        <v>1294</v>
      </c>
    </row>
    <row r="572" spans="1:13">
      <c r="A572">
        <v>80883613</v>
      </c>
      <c r="B572" t="s">
        <v>1058</v>
      </c>
      <c r="C572" s="1" t="s">
        <v>152</v>
      </c>
      <c r="D572" t="s">
        <v>428</v>
      </c>
      <c r="E572" t="s">
        <v>168</v>
      </c>
      <c r="F572" s="2">
        <v>46034</v>
      </c>
      <c r="G572">
        <v>35</v>
      </c>
      <c r="H572" s="2">
        <v>46021</v>
      </c>
      <c r="I572" s="2" t="s">
        <v>202</v>
      </c>
      <c r="J572" s="1" t="s">
        <v>1062</v>
      </c>
      <c r="L572" s="2">
        <v>46021</v>
      </c>
      <c r="M572" s="2" t="s">
        <v>1294</v>
      </c>
    </row>
    <row r="573" spans="1:13">
      <c r="A573">
        <v>80883613</v>
      </c>
      <c r="B573" t="s">
        <v>1058</v>
      </c>
      <c r="C573" s="1" t="s">
        <v>153</v>
      </c>
      <c r="D573" t="s">
        <v>428</v>
      </c>
      <c r="E573" t="s">
        <v>168</v>
      </c>
      <c r="F573" s="2">
        <v>46034</v>
      </c>
      <c r="G573">
        <v>24</v>
      </c>
      <c r="H573" s="2">
        <v>46021</v>
      </c>
      <c r="I573" s="2" t="s">
        <v>202</v>
      </c>
      <c r="J573" s="1" t="s">
        <v>1063</v>
      </c>
      <c r="L573" s="2">
        <v>46021</v>
      </c>
      <c r="M573" s="2" t="s">
        <v>1294</v>
      </c>
    </row>
    <row r="574" spans="1:13">
      <c r="A574">
        <v>80883613</v>
      </c>
      <c r="B574" t="s">
        <v>1058</v>
      </c>
      <c r="C574" s="1" t="s">
        <v>154</v>
      </c>
      <c r="D574" t="s">
        <v>428</v>
      </c>
      <c r="E574" t="s">
        <v>168</v>
      </c>
      <c r="F574" s="2">
        <v>46034</v>
      </c>
      <c r="G574">
        <v>12</v>
      </c>
      <c r="H574" s="2">
        <v>46021</v>
      </c>
      <c r="I574" s="2" t="s">
        <v>202</v>
      </c>
      <c r="J574" s="1" t="s">
        <v>1064</v>
      </c>
      <c r="L574" s="2">
        <v>46021</v>
      </c>
      <c r="M574" s="2" t="s">
        <v>1294</v>
      </c>
    </row>
    <row r="575" spans="1:13">
      <c r="A575">
        <v>80883613</v>
      </c>
      <c r="B575" t="s">
        <v>1058</v>
      </c>
      <c r="C575" s="1" t="s">
        <v>155</v>
      </c>
      <c r="D575" t="s">
        <v>428</v>
      </c>
      <c r="E575" t="s">
        <v>168</v>
      </c>
      <c r="F575" s="2">
        <v>46034</v>
      </c>
      <c r="G575">
        <v>99</v>
      </c>
      <c r="H575" s="2">
        <v>46021</v>
      </c>
      <c r="I575" s="2" t="s">
        <v>202</v>
      </c>
      <c r="J575" s="1" t="s">
        <v>1065</v>
      </c>
      <c r="L575" s="2">
        <v>46021</v>
      </c>
      <c r="M575" s="2" t="s">
        <v>1294</v>
      </c>
    </row>
    <row r="576" spans="1:13">
      <c r="A576">
        <v>80829597</v>
      </c>
      <c r="B576" t="s">
        <v>1066</v>
      </c>
      <c r="C576" s="1" t="s">
        <v>143</v>
      </c>
      <c r="D576" t="s">
        <v>428</v>
      </c>
      <c r="E576" t="s">
        <v>168</v>
      </c>
      <c r="F576" s="2">
        <v>46034</v>
      </c>
      <c r="G576">
        <v>43</v>
      </c>
      <c r="H576" s="2">
        <v>46021</v>
      </c>
      <c r="I576" s="2" t="s">
        <v>202</v>
      </c>
      <c r="J576" s="1" t="s">
        <v>1067</v>
      </c>
      <c r="L576" s="2">
        <v>46021</v>
      </c>
      <c r="M576" s="2" t="s">
        <v>1294</v>
      </c>
    </row>
    <row r="577" spans="1:13">
      <c r="A577">
        <v>80829597</v>
      </c>
      <c r="B577" t="s">
        <v>1066</v>
      </c>
      <c r="C577" s="1" t="s">
        <v>150</v>
      </c>
      <c r="D577" t="s">
        <v>428</v>
      </c>
      <c r="E577" t="s">
        <v>168</v>
      </c>
      <c r="F577" s="2">
        <v>46034</v>
      </c>
      <c r="G577">
        <v>413</v>
      </c>
      <c r="H577" s="2">
        <v>46021</v>
      </c>
      <c r="I577" s="2" t="s">
        <v>202</v>
      </c>
      <c r="J577" s="1" t="s">
        <v>1068</v>
      </c>
      <c r="L577" s="2">
        <v>46021</v>
      </c>
      <c r="M577" s="2" t="s">
        <v>1294</v>
      </c>
    </row>
    <row r="578" spans="1:13">
      <c r="A578">
        <v>80829597</v>
      </c>
      <c r="B578" t="s">
        <v>1066</v>
      </c>
      <c r="C578" s="1" t="s">
        <v>151</v>
      </c>
      <c r="D578" t="s">
        <v>428</v>
      </c>
      <c r="E578" t="s">
        <v>168</v>
      </c>
      <c r="F578" s="2">
        <v>46034</v>
      </c>
      <c r="G578">
        <v>554</v>
      </c>
      <c r="H578" s="2">
        <v>46021</v>
      </c>
      <c r="I578" s="2" t="s">
        <v>202</v>
      </c>
      <c r="J578" s="1" t="s">
        <v>1069</v>
      </c>
      <c r="L578" s="2">
        <v>46021</v>
      </c>
      <c r="M578" s="2" t="s">
        <v>1294</v>
      </c>
    </row>
    <row r="579" spans="1:13">
      <c r="A579">
        <v>80829597</v>
      </c>
      <c r="B579" t="s">
        <v>1066</v>
      </c>
      <c r="C579" s="1" t="s">
        <v>152</v>
      </c>
      <c r="D579" t="s">
        <v>428</v>
      </c>
      <c r="E579" t="s">
        <v>168</v>
      </c>
      <c r="F579" s="2">
        <v>46034</v>
      </c>
      <c r="G579">
        <v>112</v>
      </c>
      <c r="H579" s="2">
        <v>46021</v>
      </c>
      <c r="I579" s="2" t="s">
        <v>202</v>
      </c>
      <c r="J579" s="1" t="s">
        <v>1070</v>
      </c>
      <c r="L579" s="2">
        <v>46021</v>
      </c>
      <c r="M579" s="2" t="s">
        <v>1294</v>
      </c>
    </row>
    <row r="580" spans="1:13">
      <c r="A580">
        <v>80829597</v>
      </c>
      <c r="B580" t="s">
        <v>1066</v>
      </c>
      <c r="C580" s="1" t="s">
        <v>153</v>
      </c>
      <c r="D580" t="s">
        <v>428</v>
      </c>
      <c r="E580" t="s">
        <v>168</v>
      </c>
      <c r="F580" s="2">
        <v>46034</v>
      </c>
      <c r="G580">
        <v>30</v>
      </c>
      <c r="H580" s="2">
        <v>46021</v>
      </c>
      <c r="I580" s="2" t="s">
        <v>202</v>
      </c>
      <c r="J580" s="1" t="s">
        <v>1071</v>
      </c>
      <c r="L580" s="2">
        <v>46021</v>
      </c>
      <c r="M580" s="2" t="s">
        <v>1294</v>
      </c>
    </row>
    <row r="581" spans="1:13">
      <c r="A581">
        <v>80829597</v>
      </c>
      <c r="B581" t="s">
        <v>1066</v>
      </c>
      <c r="C581" s="1" t="s">
        <v>154</v>
      </c>
      <c r="D581" t="s">
        <v>428</v>
      </c>
      <c r="E581" t="s">
        <v>168</v>
      </c>
      <c r="F581" s="2">
        <v>46034</v>
      </c>
      <c r="G581">
        <v>38</v>
      </c>
      <c r="H581" s="2">
        <v>46021</v>
      </c>
      <c r="I581" s="2" t="s">
        <v>202</v>
      </c>
      <c r="J581" s="1" t="s">
        <v>1072</v>
      </c>
      <c r="L581" s="2">
        <v>46021</v>
      </c>
      <c r="M581" s="2" t="s">
        <v>1294</v>
      </c>
    </row>
    <row r="582" spans="1:13">
      <c r="A582">
        <v>80829597</v>
      </c>
      <c r="B582" t="s">
        <v>1066</v>
      </c>
      <c r="C582" s="1" t="s">
        <v>155</v>
      </c>
      <c r="D582" t="s">
        <v>428</v>
      </c>
      <c r="E582" t="s">
        <v>168</v>
      </c>
      <c r="F582" s="2">
        <v>46034</v>
      </c>
      <c r="G582">
        <v>877</v>
      </c>
      <c r="H582" s="2">
        <v>46021</v>
      </c>
      <c r="I582" s="2" t="s">
        <v>202</v>
      </c>
      <c r="J582" s="1" t="s">
        <v>1073</v>
      </c>
      <c r="L582" s="2">
        <v>46021</v>
      </c>
      <c r="M582" s="2" t="s">
        <v>1294</v>
      </c>
    </row>
    <row r="583" spans="1:13">
      <c r="A583">
        <v>80833447</v>
      </c>
      <c r="B583" t="s">
        <v>1074</v>
      </c>
      <c r="C583" s="1" t="s">
        <v>143</v>
      </c>
      <c r="D583" t="s">
        <v>428</v>
      </c>
      <c r="E583" t="s">
        <v>168</v>
      </c>
      <c r="F583" s="2">
        <v>46034</v>
      </c>
      <c r="G583">
        <v>13</v>
      </c>
      <c r="H583" s="2">
        <v>46021</v>
      </c>
      <c r="I583" s="2" t="s">
        <v>202</v>
      </c>
      <c r="J583" s="1" t="s">
        <v>1075</v>
      </c>
      <c r="L583" s="2">
        <v>46021</v>
      </c>
      <c r="M583" s="2" t="s">
        <v>1294</v>
      </c>
    </row>
    <row r="584" spans="1:13">
      <c r="A584">
        <v>80833447</v>
      </c>
      <c r="B584" t="s">
        <v>1074</v>
      </c>
      <c r="C584" s="1" t="s">
        <v>150</v>
      </c>
      <c r="D584" t="s">
        <v>428</v>
      </c>
      <c r="E584" t="s">
        <v>168</v>
      </c>
      <c r="F584" s="2">
        <v>46034</v>
      </c>
      <c r="G584">
        <v>21</v>
      </c>
      <c r="H584" s="2">
        <v>46021</v>
      </c>
      <c r="I584" s="2" t="s">
        <v>202</v>
      </c>
      <c r="J584" s="1" t="s">
        <v>1076</v>
      </c>
      <c r="L584" s="2">
        <v>46021</v>
      </c>
      <c r="M584" s="2" t="s">
        <v>1294</v>
      </c>
    </row>
    <row r="585" spans="1:13">
      <c r="A585">
        <v>80833447</v>
      </c>
      <c r="B585" t="s">
        <v>1074</v>
      </c>
      <c r="C585" s="1" t="s">
        <v>151</v>
      </c>
      <c r="D585" t="s">
        <v>428</v>
      </c>
      <c r="E585" t="s">
        <v>168</v>
      </c>
      <c r="F585" s="2">
        <v>46034</v>
      </c>
      <c r="G585">
        <v>17</v>
      </c>
      <c r="H585" s="2">
        <v>46021</v>
      </c>
      <c r="I585" s="2" t="s">
        <v>202</v>
      </c>
      <c r="J585" s="1" t="s">
        <v>1077</v>
      </c>
      <c r="L585" s="2">
        <v>46021</v>
      </c>
      <c r="M585" s="2" t="s">
        <v>1294</v>
      </c>
    </row>
    <row r="586" spans="1:13">
      <c r="A586">
        <v>80833447</v>
      </c>
      <c r="B586" t="s">
        <v>1074</v>
      </c>
      <c r="C586" s="1" t="s">
        <v>152</v>
      </c>
      <c r="D586" t="s">
        <v>428</v>
      </c>
      <c r="E586" t="s">
        <v>168</v>
      </c>
      <c r="F586" s="2">
        <v>46034</v>
      </c>
      <c r="G586">
        <v>14</v>
      </c>
      <c r="H586" s="2">
        <v>46021</v>
      </c>
      <c r="I586" s="2" t="s">
        <v>202</v>
      </c>
      <c r="J586" s="1" t="s">
        <v>1078</v>
      </c>
      <c r="L586" s="2">
        <v>46021</v>
      </c>
      <c r="M586" s="2" t="s">
        <v>1294</v>
      </c>
    </row>
    <row r="587" spans="1:13">
      <c r="A587">
        <v>80833447</v>
      </c>
      <c r="B587" t="s">
        <v>1074</v>
      </c>
      <c r="C587" s="1" t="s">
        <v>153</v>
      </c>
      <c r="D587" t="s">
        <v>428</v>
      </c>
      <c r="E587" t="s">
        <v>168</v>
      </c>
      <c r="F587" s="2">
        <v>46034</v>
      </c>
      <c r="G587">
        <v>12</v>
      </c>
      <c r="H587" s="2">
        <v>46021</v>
      </c>
      <c r="I587" s="2" t="s">
        <v>202</v>
      </c>
      <c r="J587" s="1" t="s">
        <v>1079</v>
      </c>
      <c r="L587" s="2">
        <v>46021</v>
      </c>
      <c r="M587" s="2" t="s">
        <v>1294</v>
      </c>
    </row>
    <row r="588" spans="1:13">
      <c r="A588">
        <v>80833447</v>
      </c>
      <c r="B588" t="s">
        <v>1074</v>
      </c>
      <c r="C588" s="1" t="s">
        <v>154</v>
      </c>
      <c r="D588" t="s">
        <v>428</v>
      </c>
      <c r="E588" t="s">
        <v>168</v>
      </c>
      <c r="F588" s="2">
        <v>46034</v>
      </c>
      <c r="G588">
        <v>13</v>
      </c>
      <c r="H588" s="2">
        <v>46021</v>
      </c>
      <c r="I588" s="2" t="s">
        <v>202</v>
      </c>
      <c r="J588" s="1" t="s">
        <v>1080</v>
      </c>
      <c r="L588" s="2">
        <v>46021</v>
      </c>
      <c r="M588" s="2" t="s">
        <v>1294</v>
      </c>
    </row>
    <row r="589" spans="1:13">
      <c r="A589">
        <v>80833447</v>
      </c>
      <c r="B589" t="s">
        <v>1074</v>
      </c>
      <c r="C589" s="1" t="s">
        <v>155</v>
      </c>
      <c r="D589" t="s">
        <v>428</v>
      </c>
      <c r="E589" t="s">
        <v>168</v>
      </c>
      <c r="F589" s="2">
        <v>46034</v>
      </c>
      <c r="G589">
        <v>21</v>
      </c>
      <c r="H589" s="2">
        <v>46021</v>
      </c>
      <c r="I589" s="2" t="s">
        <v>202</v>
      </c>
      <c r="J589" s="1" t="s">
        <v>1081</v>
      </c>
      <c r="L589" s="2">
        <v>46021</v>
      </c>
      <c r="M589" s="2" t="s">
        <v>1294</v>
      </c>
    </row>
    <row r="590" spans="1:13">
      <c r="A590">
        <v>80880197</v>
      </c>
      <c r="B590" t="s">
        <v>1082</v>
      </c>
      <c r="C590" s="1" t="s">
        <v>143</v>
      </c>
      <c r="D590" t="s">
        <v>428</v>
      </c>
      <c r="E590" t="s">
        <v>168</v>
      </c>
      <c r="F590" s="2">
        <v>46034</v>
      </c>
      <c r="G590">
        <v>315</v>
      </c>
      <c r="H590" s="2">
        <v>46021</v>
      </c>
      <c r="I590" s="2" t="s">
        <v>202</v>
      </c>
      <c r="J590" s="1" t="s">
        <v>1083</v>
      </c>
      <c r="L590" s="2">
        <v>46021</v>
      </c>
      <c r="M590" s="2" t="s">
        <v>1294</v>
      </c>
    </row>
    <row r="591" spans="1:13">
      <c r="A591">
        <v>80880197</v>
      </c>
      <c r="B591" t="s">
        <v>1082</v>
      </c>
      <c r="C591" s="1" t="s">
        <v>150</v>
      </c>
      <c r="D591" t="s">
        <v>428</v>
      </c>
      <c r="E591" t="s">
        <v>168</v>
      </c>
      <c r="F591" s="2">
        <v>46034</v>
      </c>
      <c r="G591">
        <v>1848</v>
      </c>
      <c r="H591" s="2">
        <v>46021</v>
      </c>
      <c r="I591" s="2" t="s">
        <v>202</v>
      </c>
      <c r="J591" s="1" t="s">
        <v>1084</v>
      </c>
      <c r="L591" s="2">
        <v>46021</v>
      </c>
      <c r="M591" s="2" t="s">
        <v>1294</v>
      </c>
    </row>
    <row r="592" spans="1:13">
      <c r="A592">
        <v>80880197</v>
      </c>
      <c r="B592" t="s">
        <v>1082</v>
      </c>
      <c r="C592" s="1" t="s">
        <v>151</v>
      </c>
      <c r="D592" t="s">
        <v>428</v>
      </c>
      <c r="E592" t="s">
        <v>168</v>
      </c>
      <c r="F592" s="2">
        <v>46034</v>
      </c>
      <c r="G592">
        <v>2512</v>
      </c>
      <c r="H592" s="2">
        <v>46021</v>
      </c>
      <c r="I592" s="2" t="s">
        <v>202</v>
      </c>
      <c r="J592" s="1" t="s">
        <v>1085</v>
      </c>
      <c r="L592" s="2">
        <v>46021</v>
      </c>
      <c r="M592" s="2" t="s">
        <v>1294</v>
      </c>
    </row>
    <row r="593" spans="1:13">
      <c r="A593">
        <v>80880197</v>
      </c>
      <c r="B593" t="s">
        <v>1082</v>
      </c>
      <c r="C593" s="1" t="s">
        <v>152</v>
      </c>
      <c r="D593" t="s">
        <v>428</v>
      </c>
      <c r="E593" t="s">
        <v>168</v>
      </c>
      <c r="F593" s="2">
        <v>46034</v>
      </c>
      <c r="G593">
        <v>420</v>
      </c>
      <c r="H593" s="2">
        <v>46021</v>
      </c>
      <c r="I593" s="2" t="s">
        <v>202</v>
      </c>
      <c r="J593" s="1" t="s">
        <v>1086</v>
      </c>
      <c r="L593" s="2">
        <v>46021</v>
      </c>
      <c r="M593" s="2" t="s">
        <v>1294</v>
      </c>
    </row>
    <row r="594" spans="1:13">
      <c r="A594">
        <v>80880197</v>
      </c>
      <c r="B594" t="s">
        <v>1082</v>
      </c>
      <c r="C594" s="1" t="s">
        <v>153</v>
      </c>
      <c r="D594" t="s">
        <v>428</v>
      </c>
      <c r="E594" t="s">
        <v>168</v>
      </c>
      <c r="F594" s="2">
        <v>46034</v>
      </c>
      <c r="G594">
        <v>216</v>
      </c>
      <c r="H594" s="2">
        <v>46021</v>
      </c>
      <c r="I594" s="2" t="s">
        <v>202</v>
      </c>
      <c r="J594" s="1" t="s">
        <v>1087</v>
      </c>
      <c r="L594" s="2">
        <v>46021</v>
      </c>
      <c r="M594" s="2" t="s">
        <v>1294</v>
      </c>
    </row>
    <row r="595" spans="1:13">
      <c r="A595">
        <v>80880197</v>
      </c>
      <c r="B595" t="s">
        <v>1082</v>
      </c>
      <c r="C595" s="1" t="s">
        <v>154</v>
      </c>
      <c r="D595" t="s">
        <v>428</v>
      </c>
      <c r="E595" t="s">
        <v>168</v>
      </c>
      <c r="F595" s="2">
        <v>46034</v>
      </c>
      <c r="G595">
        <v>156</v>
      </c>
      <c r="H595" s="2">
        <v>46021</v>
      </c>
      <c r="I595" s="2" t="s">
        <v>202</v>
      </c>
      <c r="J595" s="1" t="s">
        <v>1088</v>
      </c>
      <c r="L595" s="2">
        <v>46021</v>
      </c>
      <c r="M595" s="2" t="s">
        <v>1294</v>
      </c>
    </row>
    <row r="596" spans="1:13">
      <c r="A596">
        <v>80880197</v>
      </c>
      <c r="B596" t="s">
        <v>1082</v>
      </c>
      <c r="C596" s="1" t="s">
        <v>155</v>
      </c>
      <c r="D596" t="s">
        <v>428</v>
      </c>
      <c r="E596" t="s">
        <v>168</v>
      </c>
      <c r="F596" s="2">
        <v>46034</v>
      </c>
      <c r="G596">
        <v>1725</v>
      </c>
      <c r="H596" s="2">
        <v>46021</v>
      </c>
      <c r="I596" s="2" t="s">
        <v>202</v>
      </c>
      <c r="J596" s="1" t="s">
        <v>1089</v>
      </c>
      <c r="L596" s="2">
        <v>46021</v>
      </c>
      <c r="M596" s="2" t="s">
        <v>1294</v>
      </c>
    </row>
    <row r="597" spans="1:13">
      <c r="A597">
        <v>80881082</v>
      </c>
      <c r="B597" t="s">
        <v>1042</v>
      </c>
      <c r="C597" s="1" t="s">
        <v>143</v>
      </c>
      <c r="D597" t="s">
        <v>428</v>
      </c>
      <c r="E597" t="s">
        <v>168</v>
      </c>
      <c r="F597" s="2">
        <v>46034</v>
      </c>
      <c r="G597">
        <v>70</v>
      </c>
      <c r="H597" s="2">
        <v>46021</v>
      </c>
      <c r="I597" s="2" t="s">
        <v>202</v>
      </c>
      <c r="J597" s="1" t="s">
        <v>1090</v>
      </c>
      <c r="L597" s="2">
        <v>46021</v>
      </c>
      <c r="M597" s="2" t="s">
        <v>1294</v>
      </c>
    </row>
    <row r="598" spans="1:13">
      <c r="A598">
        <v>80881082</v>
      </c>
      <c r="B598" t="s">
        <v>1042</v>
      </c>
      <c r="C598" s="1" t="s">
        <v>150</v>
      </c>
      <c r="D598" t="s">
        <v>428</v>
      </c>
      <c r="E598" t="s">
        <v>168</v>
      </c>
      <c r="F598" s="2">
        <v>46034</v>
      </c>
      <c r="G598">
        <v>356</v>
      </c>
      <c r="H598" s="2">
        <v>46021</v>
      </c>
      <c r="I598" s="2" t="s">
        <v>202</v>
      </c>
      <c r="J598" s="1" t="s">
        <v>1091</v>
      </c>
      <c r="L598" s="2">
        <v>46021</v>
      </c>
      <c r="M598" s="2" t="s">
        <v>1294</v>
      </c>
    </row>
    <row r="599" spans="1:13">
      <c r="A599">
        <v>80881082</v>
      </c>
      <c r="B599" t="s">
        <v>1042</v>
      </c>
      <c r="C599" s="1" t="s">
        <v>151</v>
      </c>
      <c r="D599" t="s">
        <v>428</v>
      </c>
      <c r="E599" t="s">
        <v>168</v>
      </c>
      <c r="F599" s="2">
        <v>46034</v>
      </c>
      <c r="G599">
        <v>375</v>
      </c>
      <c r="H599" s="2">
        <v>46021</v>
      </c>
      <c r="I599" s="2" t="s">
        <v>202</v>
      </c>
      <c r="J599" s="1" t="s">
        <v>1092</v>
      </c>
      <c r="L599" s="2">
        <v>46021</v>
      </c>
      <c r="M599" s="2" t="s">
        <v>1294</v>
      </c>
    </row>
    <row r="600" spans="1:13">
      <c r="A600">
        <v>80881082</v>
      </c>
      <c r="B600" t="s">
        <v>1042</v>
      </c>
      <c r="C600" s="1" t="s">
        <v>152</v>
      </c>
      <c r="D600" t="s">
        <v>428</v>
      </c>
      <c r="E600" t="s">
        <v>168</v>
      </c>
      <c r="F600" s="2">
        <v>46034</v>
      </c>
      <c r="G600">
        <v>104</v>
      </c>
      <c r="H600" s="2">
        <v>46021</v>
      </c>
      <c r="I600" s="2" t="s">
        <v>202</v>
      </c>
      <c r="J600" s="1" t="s">
        <v>1093</v>
      </c>
      <c r="L600" s="2">
        <v>46021</v>
      </c>
      <c r="M600" s="2" t="s">
        <v>1294</v>
      </c>
    </row>
    <row r="601" spans="1:13">
      <c r="A601">
        <v>80881082</v>
      </c>
      <c r="B601" t="s">
        <v>1042</v>
      </c>
      <c r="C601" s="1" t="s">
        <v>153</v>
      </c>
      <c r="D601" t="s">
        <v>428</v>
      </c>
      <c r="E601" t="s">
        <v>168</v>
      </c>
      <c r="F601" s="2">
        <v>46034</v>
      </c>
      <c r="G601">
        <v>47</v>
      </c>
      <c r="H601" s="2">
        <v>46021</v>
      </c>
      <c r="I601" s="2" t="s">
        <v>202</v>
      </c>
      <c r="J601" s="1" t="s">
        <v>1094</v>
      </c>
      <c r="L601" s="2">
        <v>46021</v>
      </c>
      <c r="M601" s="2" t="s">
        <v>1294</v>
      </c>
    </row>
    <row r="602" spans="1:13">
      <c r="A602">
        <v>80881082</v>
      </c>
      <c r="B602" t="s">
        <v>1042</v>
      </c>
      <c r="C602" s="1" t="s">
        <v>154</v>
      </c>
      <c r="D602" t="s">
        <v>428</v>
      </c>
      <c r="E602" t="s">
        <v>168</v>
      </c>
      <c r="F602" s="2">
        <v>46034</v>
      </c>
      <c r="G602">
        <v>43</v>
      </c>
      <c r="H602" s="2">
        <v>46021</v>
      </c>
      <c r="I602" s="2" t="s">
        <v>202</v>
      </c>
      <c r="J602" s="1" t="s">
        <v>1095</v>
      </c>
      <c r="L602" s="2">
        <v>46021</v>
      </c>
      <c r="M602" s="2" t="s">
        <v>1294</v>
      </c>
    </row>
    <row r="603" spans="1:13">
      <c r="A603">
        <v>80881082</v>
      </c>
      <c r="B603" t="s">
        <v>1042</v>
      </c>
      <c r="C603" s="1" t="s">
        <v>155</v>
      </c>
      <c r="D603" t="s">
        <v>428</v>
      </c>
      <c r="E603" t="s">
        <v>168</v>
      </c>
      <c r="F603" s="2">
        <v>46034</v>
      </c>
      <c r="G603">
        <v>192</v>
      </c>
      <c r="H603" s="2">
        <v>46021</v>
      </c>
      <c r="I603" s="2" t="s">
        <v>202</v>
      </c>
      <c r="J603" s="1" t="s">
        <v>1096</v>
      </c>
      <c r="L603" s="2">
        <v>46021</v>
      </c>
      <c r="M603" s="2" t="s">
        <v>1294</v>
      </c>
    </row>
    <row r="604" spans="1:13">
      <c r="A604">
        <v>80883596</v>
      </c>
      <c r="B604" t="s">
        <v>1026</v>
      </c>
      <c r="C604" s="1" t="s">
        <v>143</v>
      </c>
      <c r="D604" t="s">
        <v>428</v>
      </c>
      <c r="E604" t="s">
        <v>168</v>
      </c>
      <c r="F604" s="2">
        <v>46034</v>
      </c>
      <c r="G604">
        <v>86</v>
      </c>
      <c r="H604" s="2">
        <v>46021</v>
      </c>
      <c r="I604" s="2" t="s">
        <v>202</v>
      </c>
      <c r="J604" s="1" t="s">
        <v>1097</v>
      </c>
      <c r="L604" s="2">
        <v>46021</v>
      </c>
      <c r="M604" s="2" t="s">
        <v>1294</v>
      </c>
    </row>
    <row r="605" spans="1:13">
      <c r="A605">
        <v>80883596</v>
      </c>
      <c r="B605" t="s">
        <v>1026</v>
      </c>
      <c r="C605" s="1" t="s">
        <v>150</v>
      </c>
      <c r="D605" t="s">
        <v>428</v>
      </c>
      <c r="E605" t="s">
        <v>168</v>
      </c>
      <c r="F605" s="2">
        <v>46034</v>
      </c>
      <c r="G605">
        <v>310</v>
      </c>
      <c r="H605" s="2">
        <v>46021</v>
      </c>
      <c r="I605" s="2" t="s">
        <v>202</v>
      </c>
      <c r="J605" s="1" t="s">
        <v>1098</v>
      </c>
      <c r="L605" s="2">
        <v>46021</v>
      </c>
      <c r="M605" s="2" t="s">
        <v>1294</v>
      </c>
    </row>
    <row r="606" spans="1:13">
      <c r="A606">
        <v>80883596</v>
      </c>
      <c r="B606" t="s">
        <v>1026</v>
      </c>
      <c r="C606" s="1" t="s">
        <v>151</v>
      </c>
      <c r="D606" t="s">
        <v>428</v>
      </c>
      <c r="E606" t="s">
        <v>168</v>
      </c>
      <c r="F606" s="2">
        <v>46034</v>
      </c>
      <c r="G606">
        <v>532</v>
      </c>
      <c r="H606" s="2">
        <v>46021</v>
      </c>
      <c r="I606" s="2" t="s">
        <v>202</v>
      </c>
      <c r="J606" s="1" t="s">
        <v>1099</v>
      </c>
      <c r="L606" s="2">
        <v>46021</v>
      </c>
      <c r="M606" s="2" t="s">
        <v>1294</v>
      </c>
    </row>
    <row r="607" spans="1:13">
      <c r="A607">
        <v>80883596</v>
      </c>
      <c r="B607" t="s">
        <v>1026</v>
      </c>
      <c r="C607" s="1" t="s">
        <v>152</v>
      </c>
      <c r="D607" t="s">
        <v>428</v>
      </c>
      <c r="E607" t="s">
        <v>168</v>
      </c>
      <c r="F607" s="2">
        <v>46034</v>
      </c>
      <c r="G607">
        <v>134</v>
      </c>
      <c r="H607" s="2">
        <v>46021</v>
      </c>
      <c r="I607" s="2" t="s">
        <v>202</v>
      </c>
      <c r="J607" s="1" t="s">
        <v>1100</v>
      </c>
      <c r="L607" s="2">
        <v>46021</v>
      </c>
      <c r="M607" s="2" t="s">
        <v>1294</v>
      </c>
    </row>
    <row r="608" spans="1:13">
      <c r="A608">
        <v>80883596</v>
      </c>
      <c r="B608" t="s">
        <v>1026</v>
      </c>
      <c r="C608" s="1" t="s">
        <v>153</v>
      </c>
      <c r="D608" t="s">
        <v>428</v>
      </c>
      <c r="E608" t="s">
        <v>168</v>
      </c>
      <c r="F608" s="2">
        <v>46034</v>
      </c>
      <c r="G608">
        <v>27</v>
      </c>
      <c r="H608" s="2">
        <v>46021</v>
      </c>
      <c r="I608" s="2" t="s">
        <v>202</v>
      </c>
      <c r="J608" s="1" t="s">
        <v>1101</v>
      </c>
      <c r="L608" s="2">
        <v>46021</v>
      </c>
      <c r="M608" s="2" t="s">
        <v>1294</v>
      </c>
    </row>
    <row r="609" spans="1:13">
      <c r="A609">
        <v>80883596</v>
      </c>
      <c r="B609" t="s">
        <v>1026</v>
      </c>
      <c r="C609" s="1" t="s">
        <v>154</v>
      </c>
      <c r="D609" t="s">
        <v>428</v>
      </c>
      <c r="E609" t="s">
        <v>168</v>
      </c>
      <c r="F609" s="2">
        <v>46034</v>
      </c>
      <c r="G609">
        <v>39</v>
      </c>
      <c r="H609" s="2">
        <v>46021</v>
      </c>
      <c r="I609" s="2" t="s">
        <v>202</v>
      </c>
      <c r="J609" s="1" t="s">
        <v>1102</v>
      </c>
      <c r="L609" s="2">
        <v>46021</v>
      </c>
      <c r="M609" s="2" t="s">
        <v>1294</v>
      </c>
    </row>
    <row r="610" spans="1:13">
      <c r="A610">
        <v>80883596</v>
      </c>
      <c r="B610" t="s">
        <v>1026</v>
      </c>
      <c r="C610" s="1" t="s">
        <v>155</v>
      </c>
      <c r="D610" t="s">
        <v>428</v>
      </c>
      <c r="E610" t="s">
        <v>168</v>
      </c>
      <c r="F610" s="2">
        <v>46034</v>
      </c>
      <c r="G610">
        <v>197</v>
      </c>
      <c r="H610" s="2">
        <v>46021</v>
      </c>
      <c r="I610" s="2" t="s">
        <v>202</v>
      </c>
      <c r="J610" s="1" t="s">
        <v>1103</v>
      </c>
      <c r="L610" s="2">
        <v>46021</v>
      </c>
      <c r="M610" s="2" t="s">
        <v>1294</v>
      </c>
    </row>
    <row r="611" spans="1:13">
      <c r="A611">
        <v>80883599</v>
      </c>
      <c r="B611" t="s">
        <v>1050</v>
      </c>
      <c r="C611" s="1" t="s">
        <v>143</v>
      </c>
      <c r="D611" t="s">
        <v>428</v>
      </c>
      <c r="E611" t="s">
        <v>168</v>
      </c>
      <c r="F611" s="2">
        <v>46034</v>
      </c>
      <c r="G611">
        <v>110</v>
      </c>
      <c r="H611" s="2">
        <v>46021</v>
      </c>
      <c r="I611" s="2" t="s">
        <v>202</v>
      </c>
      <c r="J611" s="1" t="s">
        <v>1104</v>
      </c>
      <c r="L611" s="2">
        <v>46021</v>
      </c>
      <c r="M611" s="2" t="s">
        <v>1294</v>
      </c>
    </row>
    <row r="612" spans="1:13">
      <c r="A612">
        <v>80883599</v>
      </c>
      <c r="B612" t="s">
        <v>1050</v>
      </c>
      <c r="C612" s="1" t="s">
        <v>150</v>
      </c>
      <c r="D612" t="s">
        <v>428</v>
      </c>
      <c r="E612" t="s">
        <v>168</v>
      </c>
      <c r="F612" s="2">
        <v>46034</v>
      </c>
      <c r="G612">
        <v>500</v>
      </c>
      <c r="H612" s="2">
        <v>46021</v>
      </c>
      <c r="I612" s="2" t="s">
        <v>202</v>
      </c>
      <c r="J612" s="1" t="s">
        <v>1105</v>
      </c>
      <c r="L612" s="2">
        <v>46021</v>
      </c>
      <c r="M612" s="2" t="s">
        <v>1294</v>
      </c>
    </row>
    <row r="613" spans="1:13">
      <c r="A613">
        <v>80883599</v>
      </c>
      <c r="B613" t="s">
        <v>1050</v>
      </c>
      <c r="C613" s="1" t="s">
        <v>151</v>
      </c>
      <c r="D613" t="s">
        <v>428</v>
      </c>
      <c r="E613" t="s">
        <v>168</v>
      </c>
      <c r="F613" s="2">
        <v>46034</v>
      </c>
      <c r="G613">
        <v>492</v>
      </c>
      <c r="H613" s="2">
        <v>46021</v>
      </c>
      <c r="I613" s="2" t="s">
        <v>202</v>
      </c>
      <c r="J613" s="1" t="s">
        <v>1106</v>
      </c>
      <c r="L613" s="2">
        <v>46021</v>
      </c>
      <c r="M613" s="2" t="s">
        <v>1294</v>
      </c>
    </row>
    <row r="614" spans="1:13">
      <c r="A614">
        <v>80883599</v>
      </c>
      <c r="B614" t="s">
        <v>1050</v>
      </c>
      <c r="C614" s="1" t="s">
        <v>152</v>
      </c>
      <c r="D614" t="s">
        <v>428</v>
      </c>
      <c r="E614" t="s">
        <v>168</v>
      </c>
      <c r="F614" s="2">
        <v>46034</v>
      </c>
      <c r="G614">
        <v>84</v>
      </c>
      <c r="H614" s="2">
        <v>46021</v>
      </c>
      <c r="I614" s="2" t="s">
        <v>202</v>
      </c>
      <c r="J614" s="1" t="s">
        <v>1107</v>
      </c>
      <c r="L614" s="2">
        <v>46021</v>
      </c>
      <c r="M614" s="2" t="s">
        <v>1294</v>
      </c>
    </row>
    <row r="615" spans="1:13">
      <c r="A615">
        <v>80883599</v>
      </c>
      <c r="B615" t="s">
        <v>1050</v>
      </c>
      <c r="C615" s="1" t="s">
        <v>153</v>
      </c>
      <c r="D615" t="s">
        <v>428</v>
      </c>
      <c r="E615" t="s">
        <v>168</v>
      </c>
      <c r="F615" s="2">
        <v>46034</v>
      </c>
      <c r="G615">
        <v>66</v>
      </c>
      <c r="H615" s="2">
        <v>46021</v>
      </c>
      <c r="I615" s="2" t="s">
        <v>202</v>
      </c>
      <c r="J615" s="1" t="s">
        <v>1108</v>
      </c>
      <c r="L615" s="2">
        <v>46021</v>
      </c>
      <c r="M615" s="2" t="s">
        <v>1294</v>
      </c>
    </row>
    <row r="616" spans="1:13">
      <c r="A616">
        <v>80883599</v>
      </c>
      <c r="B616" t="s">
        <v>1050</v>
      </c>
      <c r="C616" s="1" t="s">
        <v>154</v>
      </c>
      <c r="D616" t="s">
        <v>428</v>
      </c>
      <c r="E616" t="s">
        <v>168</v>
      </c>
      <c r="F616" s="2">
        <v>46034</v>
      </c>
      <c r="G616">
        <v>32</v>
      </c>
      <c r="H616" s="2">
        <v>46021</v>
      </c>
      <c r="I616" s="2" t="s">
        <v>202</v>
      </c>
      <c r="J616" s="1" t="s">
        <v>1109</v>
      </c>
      <c r="L616" s="2">
        <v>46021</v>
      </c>
      <c r="M616" s="2" t="s">
        <v>1294</v>
      </c>
    </row>
    <row r="617" spans="1:13">
      <c r="A617">
        <v>80883599</v>
      </c>
      <c r="B617" t="s">
        <v>1050</v>
      </c>
      <c r="C617" s="1" t="s">
        <v>155</v>
      </c>
      <c r="D617" t="s">
        <v>428</v>
      </c>
      <c r="E617" t="s">
        <v>168</v>
      </c>
      <c r="F617" s="2">
        <v>46034</v>
      </c>
      <c r="G617">
        <v>438</v>
      </c>
      <c r="H617" s="2">
        <v>46021</v>
      </c>
      <c r="I617" s="2" t="s">
        <v>202</v>
      </c>
      <c r="J617" s="1" t="s">
        <v>1110</v>
      </c>
      <c r="L617" s="2">
        <v>46021</v>
      </c>
      <c r="M617" s="2" t="s">
        <v>1294</v>
      </c>
    </row>
    <row r="618" spans="1:13">
      <c r="A618">
        <v>80883613</v>
      </c>
      <c r="B618" t="s">
        <v>1058</v>
      </c>
      <c r="C618" s="1" t="s">
        <v>143</v>
      </c>
      <c r="D618" t="s">
        <v>428</v>
      </c>
      <c r="E618" t="s">
        <v>168</v>
      </c>
      <c r="F618" s="2">
        <v>46034</v>
      </c>
      <c r="G618">
        <v>104</v>
      </c>
      <c r="H618" s="2">
        <v>46021</v>
      </c>
      <c r="I618" s="2" t="s">
        <v>202</v>
      </c>
      <c r="J618" s="1" t="s">
        <v>1111</v>
      </c>
      <c r="L618" s="2">
        <v>46021</v>
      </c>
      <c r="M618" s="2" t="s">
        <v>1294</v>
      </c>
    </row>
    <row r="619" spans="1:13">
      <c r="A619">
        <v>80883613</v>
      </c>
      <c r="B619" t="s">
        <v>1058</v>
      </c>
      <c r="C619" s="1" t="s">
        <v>150</v>
      </c>
      <c r="D619" t="s">
        <v>428</v>
      </c>
      <c r="E619" t="s">
        <v>168</v>
      </c>
      <c r="F619" s="2">
        <v>46034</v>
      </c>
      <c r="G619">
        <v>376</v>
      </c>
      <c r="H619" s="2">
        <v>46021</v>
      </c>
      <c r="I619" s="2" t="s">
        <v>202</v>
      </c>
      <c r="J619" s="1" t="s">
        <v>1112</v>
      </c>
      <c r="L619" s="2">
        <v>46021</v>
      </c>
      <c r="M619" s="2" t="s">
        <v>1294</v>
      </c>
    </row>
    <row r="620" spans="1:13">
      <c r="A620">
        <v>80883613</v>
      </c>
      <c r="B620" t="s">
        <v>1058</v>
      </c>
      <c r="C620" s="1" t="s">
        <v>151</v>
      </c>
      <c r="D620" t="s">
        <v>428</v>
      </c>
      <c r="E620" t="s">
        <v>168</v>
      </c>
      <c r="F620" s="2">
        <v>46034</v>
      </c>
      <c r="G620">
        <v>461</v>
      </c>
      <c r="H620" s="2">
        <v>46021</v>
      </c>
      <c r="I620" s="2" t="s">
        <v>202</v>
      </c>
      <c r="J620" s="1" t="s">
        <v>1113</v>
      </c>
      <c r="L620" s="2">
        <v>46021</v>
      </c>
      <c r="M620" s="2" t="s">
        <v>1294</v>
      </c>
    </row>
    <row r="621" spans="1:13">
      <c r="A621">
        <v>80883613</v>
      </c>
      <c r="B621" t="s">
        <v>1058</v>
      </c>
      <c r="C621" s="1" t="s">
        <v>152</v>
      </c>
      <c r="D621" t="s">
        <v>428</v>
      </c>
      <c r="E621" t="s">
        <v>168</v>
      </c>
      <c r="F621" s="2">
        <v>46034</v>
      </c>
      <c r="G621">
        <v>82</v>
      </c>
      <c r="H621" s="2">
        <v>46021</v>
      </c>
      <c r="I621" s="2" t="s">
        <v>202</v>
      </c>
      <c r="J621" s="1" t="s">
        <v>1114</v>
      </c>
      <c r="L621" s="2">
        <v>46021</v>
      </c>
      <c r="M621" s="2" t="s">
        <v>1294</v>
      </c>
    </row>
    <row r="622" spans="1:13">
      <c r="A622">
        <v>80883613</v>
      </c>
      <c r="B622" t="s">
        <v>1058</v>
      </c>
      <c r="C622" s="1" t="s">
        <v>153</v>
      </c>
      <c r="D622" t="s">
        <v>428</v>
      </c>
      <c r="E622" t="s">
        <v>168</v>
      </c>
      <c r="F622" s="2">
        <v>46034</v>
      </c>
      <c r="G622">
        <v>59</v>
      </c>
      <c r="H622" s="2">
        <v>46021</v>
      </c>
      <c r="I622" s="2" t="s">
        <v>202</v>
      </c>
      <c r="J622" s="1" t="s">
        <v>1115</v>
      </c>
      <c r="L622" s="2">
        <v>46021</v>
      </c>
      <c r="M622" s="2" t="s">
        <v>1294</v>
      </c>
    </row>
    <row r="623" spans="1:13">
      <c r="A623">
        <v>80883613</v>
      </c>
      <c r="B623" t="s">
        <v>1058</v>
      </c>
      <c r="C623" s="1" t="s">
        <v>154</v>
      </c>
      <c r="D623" t="s">
        <v>428</v>
      </c>
      <c r="E623" t="s">
        <v>168</v>
      </c>
      <c r="F623" s="2">
        <v>46034</v>
      </c>
      <c r="G623">
        <v>31</v>
      </c>
      <c r="H623" s="2">
        <v>46021</v>
      </c>
      <c r="I623" s="2" t="s">
        <v>202</v>
      </c>
      <c r="J623" s="1" t="s">
        <v>1116</v>
      </c>
      <c r="L623" s="2">
        <v>46021</v>
      </c>
      <c r="M623" s="2" t="s">
        <v>1294</v>
      </c>
    </row>
    <row r="624" spans="1:13">
      <c r="A624">
        <v>80883613</v>
      </c>
      <c r="B624" t="s">
        <v>1058</v>
      </c>
      <c r="C624" s="1" t="s">
        <v>155</v>
      </c>
      <c r="D624" t="s">
        <v>428</v>
      </c>
      <c r="E624" t="s">
        <v>168</v>
      </c>
      <c r="F624" s="2">
        <v>46034</v>
      </c>
      <c r="G624">
        <v>201</v>
      </c>
      <c r="H624" s="2">
        <v>46021</v>
      </c>
      <c r="I624" s="2" t="s">
        <v>202</v>
      </c>
      <c r="J624" s="1" t="s">
        <v>1117</v>
      </c>
      <c r="L624" s="2">
        <v>46021</v>
      </c>
      <c r="M624" s="2" t="s">
        <v>1294</v>
      </c>
    </row>
    <row r="625" spans="1:13">
      <c r="A625">
        <v>80883614</v>
      </c>
      <c r="B625" t="s">
        <v>1018</v>
      </c>
      <c r="C625" s="1" t="s">
        <v>143</v>
      </c>
      <c r="D625" t="s">
        <v>428</v>
      </c>
      <c r="E625" t="s">
        <v>168</v>
      </c>
      <c r="F625" s="2">
        <v>46034</v>
      </c>
      <c r="G625">
        <v>51</v>
      </c>
      <c r="H625" s="2">
        <v>46021</v>
      </c>
      <c r="I625" s="2" t="s">
        <v>202</v>
      </c>
      <c r="J625" s="1" t="s">
        <v>1118</v>
      </c>
      <c r="L625" s="2">
        <v>46021</v>
      </c>
      <c r="M625" s="2" t="s">
        <v>1294</v>
      </c>
    </row>
    <row r="626" spans="1:13">
      <c r="A626">
        <v>80883614</v>
      </c>
      <c r="B626" t="s">
        <v>1018</v>
      </c>
      <c r="C626" s="1" t="s">
        <v>150</v>
      </c>
      <c r="D626" t="s">
        <v>428</v>
      </c>
      <c r="E626" t="s">
        <v>168</v>
      </c>
      <c r="F626" s="2">
        <v>46034</v>
      </c>
      <c r="G626">
        <v>321</v>
      </c>
      <c r="H626" s="2">
        <v>46021</v>
      </c>
      <c r="I626" s="2" t="s">
        <v>202</v>
      </c>
      <c r="J626" s="1" t="s">
        <v>1119</v>
      </c>
      <c r="L626" s="2">
        <v>46021</v>
      </c>
      <c r="M626" s="2" t="s">
        <v>1294</v>
      </c>
    </row>
    <row r="627" spans="1:13">
      <c r="A627">
        <v>80883614</v>
      </c>
      <c r="B627" t="s">
        <v>1018</v>
      </c>
      <c r="C627" s="1" t="s">
        <v>151</v>
      </c>
      <c r="D627" t="s">
        <v>428</v>
      </c>
      <c r="E627" t="s">
        <v>168</v>
      </c>
      <c r="F627" s="2">
        <v>46034</v>
      </c>
      <c r="G627">
        <v>319</v>
      </c>
      <c r="H627" s="2">
        <v>46021</v>
      </c>
      <c r="I627" s="2" t="s">
        <v>202</v>
      </c>
      <c r="J627" s="1" t="s">
        <v>1120</v>
      </c>
      <c r="L627" s="2">
        <v>46021</v>
      </c>
      <c r="M627" s="2" t="s">
        <v>1294</v>
      </c>
    </row>
    <row r="628" spans="1:13">
      <c r="A628">
        <v>80883614</v>
      </c>
      <c r="B628" t="s">
        <v>1018</v>
      </c>
      <c r="C628" s="1" t="s">
        <v>152</v>
      </c>
      <c r="D628" t="s">
        <v>428</v>
      </c>
      <c r="E628" t="s">
        <v>168</v>
      </c>
      <c r="F628" s="2">
        <v>46034</v>
      </c>
      <c r="G628">
        <v>32</v>
      </c>
      <c r="H628" s="2">
        <v>46021</v>
      </c>
      <c r="I628" s="2" t="s">
        <v>202</v>
      </c>
      <c r="J628" s="1" t="s">
        <v>1121</v>
      </c>
      <c r="L628" s="2">
        <v>46021</v>
      </c>
      <c r="M628" s="2" t="s">
        <v>1294</v>
      </c>
    </row>
    <row r="629" spans="1:13">
      <c r="A629">
        <v>80883614</v>
      </c>
      <c r="B629" t="s">
        <v>1018</v>
      </c>
      <c r="C629" s="1" t="s">
        <v>153</v>
      </c>
      <c r="D629" t="s">
        <v>428</v>
      </c>
      <c r="E629" t="s">
        <v>168</v>
      </c>
      <c r="F629" s="2">
        <v>46034</v>
      </c>
      <c r="G629">
        <v>23</v>
      </c>
      <c r="H629" s="2">
        <v>46021</v>
      </c>
      <c r="I629" s="2" t="s">
        <v>202</v>
      </c>
      <c r="J629" s="1" t="s">
        <v>1122</v>
      </c>
      <c r="L629" s="2">
        <v>46021</v>
      </c>
      <c r="M629" s="2" t="s">
        <v>1294</v>
      </c>
    </row>
    <row r="630" spans="1:13">
      <c r="A630">
        <v>80883614</v>
      </c>
      <c r="B630" t="s">
        <v>1018</v>
      </c>
      <c r="C630" s="1" t="s">
        <v>154</v>
      </c>
      <c r="D630" t="s">
        <v>428</v>
      </c>
      <c r="E630" t="s">
        <v>168</v>
      </c>
      <c r="F630" s="2">
        <v>46034</v>
      </c>
      <c r="G630">
        <v>25</v>
      </c>
      <c r="H630" s="2">
        <v>46021</v>
      </c>
      <c r="I630" s="2" t="s">
        <v>202</v>
      </c>
      <c r="J630" s="1" t="s">
        <v>1123</v>
      </c>
      <c r="L630" s="2">
        <v>46021</v>
      </c>
      <c r="M630" s="2" t="s">
        <v>1294</v>
      </c>
    </row>
    <row r="631" spans="1:13">
      <c r="A631">
        <v>80883614</v>
      </c>
      <c r="B631" t="s">
        <v>1018</v>
      </c>
      <c r="C631" s="1" t="s">
        <v>155</v>
      </c>
      <c r="D631" t="s">
        <v>428</v>
      </c>
      <c r="E631" t="s">
        <v>168</v>
      </c>
      <c r="F631" s="2">
        <v>46034</v>
      </c>
      <c r="G631">
        <v>183</v>
      </c>
      <c r="H631" s="2">
        <v>46021</v>
      </c>
      <c r="I631" s="2" t="s">
        <v>202</v>
      </c>
      <c r="J631" s="1" t="s">
        <v>1124</v>
      </c>
      <c r="L631" s="2">
        <v>46021</v>
      </c>
      <c r="M631" s="2" t="s">
        <v>1294</v>
      </c>
    </row>
    <row r="632" spans="1:13">
      <c r="A632">
        <v>80754072</v>
      </c>
      <c r="B632" t="s">
        <v>1125</v>
      </c>
      <c r="C632" s="1" t="s">
        <v>143</v>
      </c>
      <c r="D632" t="s">
        <v>428</v>
      </c>
      <c r="E632" t="s">
        <v>168</v>
      </c>
      <c r="F632" s="2">
        <v>46034</v>
      </c>
      <c r="G632">
        <v>7</v>
      </c>
      <c r="H632" s="2">
        <v>46021</v>
      </c>
      <c r="I632" s="2" t="s">
        <v>202</v>
      </c>
      <c r="J632" s="1" t="s">
        <v>1126</v>
      </c>
      <c r="L632" s="2">
        <v>46021</v>
      </c>
      <c r="M632" s="2" t="s">
        <v>1294</v>
      </c>
    </row>
    <row r="633" spans="1:13">
      <c r="A633">
        <v>80754072</v>
      </c>
      <c r="B633" t="s">
        <v>1125</v>
      </c>
      <c r="C633" s="1" t="s">
        <v>150</v>
      </c>
      <c r="D633" t="s">
        <v>428</v>
      </c>
      <c r="E633" t="s">
        <v>168</v>
      </c>
      <c r="F633" s="2">
        <v>46034</v>
      </c>
      <c r="G633">
        <v>67</v>
      </c>
      <c r="H633" s="2">
        <v>46021</v>
      </c>
      <c r="I633" s="2" t="s">
        <v>202</v>
      </c>
      <c r="J633" s="1" t="s">
        <v>1127</v>
      </c>
      <c r="L633" s="2">
        <v>46021</v>
      </c>
      <c r="M633" s="2" t="s">
        <v>1294</v>
      </c>
    </row>
    <row r="634" spans="1:13">
      <c r="A634">
        <v>80754072</v>
      </c>
      <c r="B634" t="s">
        <v>1125</v>
      </c>
      <c r="C634" s="1" t="s">
        <v>151</v>
      </c>
      <c r="D634" t="s">
        <v>428</v>
      </c>
      <c r="E634" t="s">
        <v>168</v>
      </c>
      <c r="F634" s="2">
        <v>46034</v>
      </c>
      <c r="G634">
        <v>191</v>
      </c>
      <c r="H634" s="2">
        <v>46021</v>
      </c>
      <c r="I634" s="2" t="s">
        <v>202</v>
      </c>
      <c r="J634" s="1" t="s">
        <v>1128</v>
      </c>
      <c r="L634" s="2">
        <v>46021</v>
      </c>
      <c r="M634" s="2" t="s">
        <v>1294</v>
      </c>
    </row>
    <row r="635" spans="1:13">
      <c r="A635">
        <v>80754072</v>
      </c>
      <c r="B635" t="s">
        <v>1125</v>
      </c>
      <c r="C635" s="1" t="s">
        <v>152</v>
      </c>
      <c r="D635" t="s">
        <v>428</v>
      </c>
      <c r="E635" t="s">
        <v>168</v>
      </c>
      <c r="F635" s="2">
        <v>46034</v>
      </c>
      <c r="G635">
        <v>37</v>
      </c>
      <c r="H635" s="2">
        <v>46021</v>
      </c>
      <c r="I635" s="2" t="s">
        <v>202</v>
      </c>
      <c r="J635" s="1" t="s">
        <v>1129</v>
      </c>
      <c r="L635" s="2">
        <v>46021</v>
      </c>
      <c r="M635" s="2" t="s">
        <v>1294</v>
      </c>
    </row>
    <row r="636" spans="1:13">
      <c r="A636">
        <v>80754072</v>
      </c>
      <c r="B636" t="s">
        <v>1125</v>
      </c>
      <c r="C636" s="1" t="s">
        <v>153</v>
      </c>
      <c r="D636" t="s">
        <v>428</v>
      </c>
      <c r="E636" t="s">
        <v>168</v>
      </c>
      <c r="F636" s="2">
        <v>46034</v>
      </c>
      <c r="G636">
        <v>8</v>
      </c>
      <c r="H636" s="2">
        <v>46021</v>
      </c>
      <c r="I636" s="2" t="s">
        <v>202</v>
      </c>
      <c r="J636" s="1" t="s">
        <v>1130</v>
      </c>
      <c r="L636" s="2">
        <v>46021</v>
      </c>
      <c r="M636" s="2" t="s">
        <v>1294</v>
      </c>
    </row>
    <row r="637" spans="1:13">
      <c r="A637">
        <v>80754072</v>
      </c>
      <c r="B637" t="s">
        <v>1125</v>
      </c>
      <c r="C637" s="1" t="s">
        <v>154</v>
      </c>
      <c r="D637" t="s">
        <v>428</v>
      </c>
      <c r="E637" t="s">
        <v>168</v>
      </c>
      <c r="F637" s="2">
        <v>46034</v>
      </c>
      <c r="G637">
        <v>9</v>
      </c>
      <c r="H637" s="2">
        <v>46021</v>
      </c>
      <c r="I637" s="2" t="s">
        <v>202</v>
      </c>
      <c r="J637" s="1" t="s">
        <v>1131</v>
      </c>
      <c r="L637" s="2">
        <v>46021</v>
      </c>
      <c r="M637" s="2" t="s">
        <v>1294</v>
      </c>
    </row>
    <row r="638" spans="1:13">
      <c r="A638">
        <v>80754072</v>
      </c>
      <c r="B638" t="s">
        <v>1125</v>
      </c>
      <c r="C638" s="1" t="s">
        <v>155</v>
      </c>
      <c r="D638" t="s">
        <v>428</v>
      </c>
      <c r="E638" t="s">
        <v>168</v>
      </c>
      <c r="F638" s="2">
        <v>46034</v>
      </c>
      <c r="G638">
        <v>252</v>
      </c>
      <c r="H638" s="2">
        <v>46021</v>
      </c>
      <c r="I638" s="2" t="s">
        <v>202</v>
      </c>
      <c r="J638" s="1" t="s">
        <v>1132</v>
      </c>
      <c r="L638" s="2">
        <v>46021</v>
      </c>
      <c r="M638" s="2" t="s">
        <v>1294</v>
      </c>
    </row>
    <row r="639" spans="1:13">
      <c r="A639">
        <v>80754087</v>
      </c>
      <c r="B639" t="s">
        <v>1133</v>
      </c>
      <c r="C639" s="1" t="s">
        <v>143</v>
      </c>
      <c r="D639" t="s">
        <v>428</v>
      </c>
      <c r="E639" t="s">
        <v>168</v>
      </c>
      <c r="F639" s="2">
        <v>46034</v>
      </c>
      <c r="G639">
        <v>15</v>
      </c>
      <c r="H639" s="2">
        <v>46021</v>
      </c>
      <c r="I639" s="2" t="s">
        <v>202</v>
      </c>
      <c r="J639" s="1" t="s">
        <v>1134</v>
      </c>
      <c r="L639" s="2">
        <v>46021</v>
      </c>
      <c r="M639" s="2" t="s">
        <v>1294</v>
      </c>
    </row>
    <row r="640" spans="1:13">
      <c r="A640">
        <v>80754087</v>
      </c>
      <c r="B640" t="s">
        <v>1133</v>
      </c>
      <c r="C640" s="1" t="s">
        <v>150</v>
      </c>
      <c r="D640" t="s">
        <v>428</v>
      </c>
      <c r="E640" t="s">
        <v>168</v>
      </c>
      <c r="F640" s="2">
        <v>46034</v>
      </c>
      <c r="G640">
        <v>56</v>
      </c>
      <c r="H640" s="2">
        <v>46021</v>
      </c>
      <c r="I640" s="2" t="s">
        <v>202</v>
      </c>
      <c r="J640" s="1" t="s">
        <v>1135</v>
      </c>
      <c r="L640" s="2">
        <v>46021</v>
      </c>
      <c r="M640" s="2" t="s">
        <v>1294</v>
      </c>
    </row>
    <row r="641" spans="1:13">
      <c r="A641">
        <v>80754087</v>
      </c>
      <c r="B641" t="s">
        <v>1133</v>
      </c>
      <c r="C641" s="1" t="s">
        <v>151</v>
      </c>
      <c r="D641" t="s">
        <v>428</v>
      </c>
      <c r="E641" t="s">
        <v>168</v>
      </c>
      <c r="F641" s="2">
        <v>46034</v>
      </c>
      <c r="G641">
        <v>241</v>
      </c>
      <c r="H641" s="2">
        <v>46021</v>
      </c>
      <c r="I641" s="2" t="s">
        <v>202</v>
      </c>
      <c r="J641" s="1" t="s">
        <v>1136</v>
      </c>
      <c r="L641" s="2">
        <v>46021</v>
      </c>
      <c r="M641" s="2" t="s">
        <v>1294</v>
      </c>
    </row>
    <row r="642" spans="1:13">
      <c r="A642">
        <v>80754087</v>
      </c>
      <c r="B642" t="s">
        <v>1133</v>
      </c>
      <c r="C642" s="1" t="s">
        <v>152</v>
      </c>
      <c r="D642" t="s">
        <v>428</v>
      </c>
      <c r="E642" t="s">
        <v>168</v>
      </c>
      <c r="F642" s="2">
        <v>46034</v>
      </c>
      <c r="G642">
        <v>18</v>
      </c>
      <c r="H642" s="2">
        <v>46021</v>
      </c>
      <c r="I642" s="2" t="s">
        <v>202</v>
      </c>
      <c r="J642" s="1" t="s">
        <v>1137</v>
      </c>
      <c r="L642" s="2">
        <v>46021</v>
      </c>
      <c r="M642" s="2" t="s">
        <v>1294</v>
      </c>
    </row>
    <row r="643" spans="1:13">
      <c r="A643">
        <v>80754087</v>
      </c>
      <c r="B643" t="s">
        <v>1133</v>
      </c>
      <c r="C643" s="1" t="s">
        <v>153</v>
      </c>
      <c r="D643" t="s">
        <v>428</v>
      </c>
      <c r="E643" t="s">
        <v>168</v>
      </c>
      <c r="F643" s="2">
        <v>46034</v>
      </c>
      <c r="G643">
        <v>8</v>
      </c>
      <c r="H643" s="2">
        <v>46021</v>
      </c>
      <c r="I643" s="2" t="s">
        <v>202</v>
      </c>
      <c r="J643" s="1" t="s">
        <v>1138</v>
      </c>
      <c r="L643" s="2">
        <v>46021</v>
      </c>
      <c r="M643" s="2" t="s">
        <v>1294</v>
      </c>
    </row>
    <row r="644" spans="1:13">
      <c r="A644">
        <v>80754087</v>
      </c>
      <c r="B644" t="s">
        <v>1133</v>
      </c>
      <c r="C644" s="1" t="s">
        <v>154</v>
      </c>
      <c r="D644" t="s">
        <v>428</v>
      </c>
      <c r="E644" t="s">
        <v>168</v>
      </c>
      <c r="F644" s="2">
        <v>46034</v>
      </c>
      <c r="G644">
        <v>7</v>
      </c>
      <c r="H644" s="2">
        <v>46021</v>
      </c>
      <c r="I644" s="2" t="s">
        <v>202</v>
      </c>
      <c r="J644" s="1" t="s">
        <v>1139</v>
      </c>
      <c r="L644" s="2">
        <v>46021</v>
      </c>
      <c r="M644" s="2" t="s">
        <v>1294</v>
      </c>
    </row>
    <row r="645" spans="1:13">
      <c r="A645">
        <v>80754087</v>
      </c>
      <c r="B645" t="s">
        <v>1133</v>
      </c>
      <c r="C645" s="1" t="s">
        <v>155</v>
      </c>
      <c r="D645" t="s">
        <v>428</v>
      </c>
      <c r="E645" t="s">
        <v>168</v>
      </c>
      <c r="F645" s="2">
        <v>46034</v>
      </c>
      <c r="G645">
        <v>425</v>
      </c>
      <c r="H645" s="2">
        <v>46021</v>
      </c>
      <c r="I645" s="2" t="s">
        <v>202</v>
      </c>
      <c r="J645" s="1" t="s">
        <v>1140</v>
      </c>
      <c r="L645" s="2">
        <v>46021</v>
      </c>
      <c r="M645" s="2" t="s">
        <v>1294</v>
      </c>
    </row>
    <row r="646" spans="1:13">
      <c r="A646">
        <v>80883615</v>
      </c>
      <c r="B646" t="s">
        <v>1141</v>
      </c>
      <c r="C646" s="1" t="s">
        <v>143</v>
      </c>
      <c r="D646" t="s">
        <v>428</v>
      </c>
      <c r="E646" t="s">
        <v>168</v>
      </c>
      <c r="F646" s="2">
        <v>46034</v>
      </c>
      <c r="G646">
        <v>98</v>
      </c>
      <c r="H646" s="2">
        <v>46021</v>
      </c>
      <c r="I646" s="2" t="s">
        <v>202</v>
      </c>
      <c r="J646" s="1" t="s">
        <v>1142</v>
      </c>
      <c r="L646" s="2">
        <v>46021</v>
      </c>
      <c r="M646" s="2" t="s">
        <v>1294</v>
      </c>
    </row>
    <row r="647" spans="1:13">
      <c r="A647">
        <v>80883615</v>
      </c>
      <c r="B647" t="s">
        <v>1141</v>
      </c>
      <c r="C647" s="1" t="s">
        <v>150</v>
      </c>
      <c r="D647" t="s">
        <v>428</v>
      </c>
      <c r="E647" t="s">
        <v>168</v>
      </c>
      <c r="F647" s="2">
        <v>46034</v>
      </c>
      <c r="G647">
        <v>804</v>
      </c>
      <c r="H647" s="2">
        <v>46021</v>
      </c>
      <c r="I647" s="2" t="s">
        <v>202</v>
      </c>
      <c r="J647" s="1" t="s">
        <v>1143</v>
      </c>
      <c r="L647" s="2">
        <v>46021</v>
      </c>
      <c r="M647" s="2" t="s">
        <v>1294</v>
      </c>
    </row>
    <row r="648" spans="1:13">
      <c r="A648">
        <v>80883615</v>
      </c>
      <c r="B648" t="s">
        <v>1141</v>
      </c>
      <c r="C648" s="1" t="s">
        <v>151</v>
      </c>
      <c r="D648" t="s">
        <v>428</v>
      </c>
      <c r="E648" t="s">
        <v>168</v>
      </c>
      <c r="F648" s="2">
        <v>46034</v>
      </c>
      <c r="G648">
        <v>1513</v>
      </c>
      <c r="H648" s="2">
        <v>46021</v>
      </c>
      <c r="I648" s="2" t="s">
        <v>202</v>
      </c>
      <c r="J648" s="1" t="s">
        <v>1144</v>
      </c>
      <c r="L648" s="2">
        <v>46021</v>
      </c>
      <c r="M648" s="2" t="s">
        <v>1294</v>
      </c>
    </row>
    <row r="649" spans="1:13">
      <c r="A649">
        <v>80883615</v>
      </c>
      <c r="B649" t="s">
        <v>1141</v>
      </c>
      <c r="C649" s="1" t="s">
        <v>152</v>
      </c>
      <c r="D649" t="s">
        <v>428</v>
      </c>
      <c r="E649" t="s">
        <v>168</v>
      </c>
      <c r="F649" s="2">
        <v>46034</v>
      </c>
      <c r="G649">
        <v>146</v>
      </c>
      <c r="H649" s="2">
        <v>46021</v>
      </c>
      <c r="I649" s="2" t="s">
        <v>202</v>
      </c>
      <c r="J649" s="1" t="s">
        <v>1145</v>
      </c>
      <c r="L649" s="2">
        <v>46021</v>
      </c>
      <c r="M649" s="2" t="s">
        <v>1294</v>
      </c>
    </row>
    <row r="650" spans="1:13">
      <c r="A650">
        <v>80883615</v>
      </c>
      <c r="B650" t="s">
        <v>1141</v>
      </c>
      <c r="C650" s="1" t="s">
        <v>153</v>
      </c>
      <c r="D650" t="s">
        <v>428</v>
      </c>
      <c r="E650" t="s">
        <v>168</v>
      </c>
      <c r="F650" s="2">
        <v>46034</v>
      </c>
      <c r="G650">
        <v>68</v>
      </c>
      <c r="H650" s="2">
        <v>46021</v>
      </c>
      <c r="I650" s="2" t="s">
        <v>202</v>
      </c>
      <c r="J650" s="1" t="s">
        <v>1146</v>
      </c>
      <c r="L650" s="2">
        <v>46021</v>
      </c>
      <c r="M650" s="2" t="s">
        <v>1294</v>
      </c>
    </row>
    <row r="651" spans="1:13">
      <c r="A651">
        <v>80883615</v>
      </c>
      <c r="B651" t="s">
        <v>1141</v>
      </c>
      <c r="C651" s="1" t="s">
        <v>154</v>
      </c>
      <c r="D651" t="s">
        <v>428</v>
      </c>
      <c r="E651" t="s">
        <v>168</v>
      </c>
      <c r="F651" s="2">
        <v>46034</v>
      </c>
      <c r="G651">
        <v>67</v>
      </c>
      <c r="H651" s="2">
        <v>46021</v>
      </c>
      <c r="I651" s="2" t="s">
        <v>202</v>
      </c>
      <c r="J651" s="1" t="s">
        <v>1147</v>
      </c>
      <c r="L651" s="2">
        <v>46021</v>
      </c>
      <c r="M651" s="2" t="s">
        <v>1294</v>
      </c>
    </row>
    <row r="652" spans="1:13">
      <c r="A652">
        <v>80883615</v>
      </c>
      <c r="B652" t="s">
        <v>1141</v>
      </c>
      <c r="C652" s="1" t="s">
        <v>155</v>
      </c>
      <c r="D652" t="s">
        <v>428</v>
      </c>
      <c r="E652" t="s">
        <v>168</v>
      </c>
      <c r="F652" s="2">
        <v>46034</v>
      </c>
      <c r="G652">
        <v>1384</v>
      </c>
      <c r="H652" s="2">
        <v>46021</v>
      </c>
      <c r="I652" s="2" t="s">
        <v>202</v>
      </c>
      <c r="J652" s="1" t="s">
        <v>1148</v>
      </c>
      <c r="L652" s="2">
        <v>46021</v>
      </c>
      <c r="M652" s="2" t="s">
        <v>1294</v>
      </c>
    </row>
    <row r="653" spans="1:13">
      <c r="A653">
        <v>80880192</v>
      </c>
      <c r="B653" t="s">
        <v>1149</v>
      </c>
      <c r="C653" s="1" t="s">
        <v>143</v>
      </c>
      <c r="D653" t="s">
        <v>428</v>
      </c>
      <c r="E653" t="s">
        <v>168</v>
      </c>
      <c r="F653" s="2">
        <v>46034</v>
      </c>
      <c r="G653">
        <v>27</v>
      </c>
      <c r="H653" s="2">
        <v>46021</v>
      </c>
      <c r="I653" s="2" t="s">
        <v>202</v>
      </c>
      <c r="J653" s="1" t="s">
        <v>1150</v>
      </c>
      <c r="L653" s="2">
        <v>46021</v>
      </c>
      <c r="M653" s="2" t="s">
        <v>1294</v>
      </c>
    </row>
    <row r="654" spans="1:13">
      <c r="A654">
        <v>80880192</v>
      </c>
      <c r="B654" t="s">
        <v>1149</v>
      </c>
      <c r="C654" s="1" t="s">
        <v>150</v>
      </c>
      <c r="D654" t="s">
        <v>428</v>
      </c>
      <c r="E654" t="s">
        <v>168</v>
      </c>
      <c r="F654" s="2">
        <v>46034</v>
      </c>
      <c r="G654">
        <v>141</v>
      </c>
      <c r="H654" s="2">
        <v>46021</v>
      </c>
      <c r="I654" s="2" t="s">
        <v>202</v>
      </c>
      <c r="J654" s="1" t="s">
        <v>1151</v>
      </c>
      <c r="L654" s="2">
        <v>46021</v>
      </c>
      <c r="M654" s="2" t="s">
        <v>1294</v>
      </c>
    </row>
    <row r="655" spans="1:13">
      <c r="A655">
        <v>80880192</v>
      </c>
      <c r="B655" t="s">
        <v>1149</v>
      </c>
      <c r="C655" s="1" t="s">
        <v>151</v>
      </c>
      <c r="D655" t="s">
        <v>428</v>
      </c>
      <c r="E655" t="s">
        <v>168</v>
      </c>
      <c r="F655" s="2">
        <v>46034</v>
      </c>
      <c r="G655">
        <v>412</v>
      </c>
      <c r="H655" s="2">
        <v>46021</v>
      </c>
      <c r="I655" s="2" t="s">
        <v>202</v>
      </c>
      <c r="J655" s="1" t="s">
        <v>1152</v>
      </c>
      <c r="L655" s="2">
        <v>46021</v>
      </c>
      <c r="M655" s="2" t="s">
        <v>1294</v>
      </c>
    </row>
    <row r="656" spans="1:13">
      <c r="A656">
        <v>80880192</v>
      </c>
      <c r="B656" t="s">
        <v>1149</v>
      </c>
      <c r="C656" s="1" t="s">
        <v>152</v>
      </c>
      <c r="D656" t="s">
        <v>428</v>
      </c>
      <c r="E656" t="s">
        <v>168</v>
      </c>
      <c r="F656" s="2">
        <v>46034</v>
      </c>
      <c r="G656">
        <v>55</v>
      </c>
      <c r="H656" s="2">
        <v>46021</v>
      </c>
      <c r="I656" s="2" t="s">
        <v>202</v>
      </c>
      <c r="J656" s="1" t="s">
        <v>1153</v>
      </c>
      <c r="L656" s="2">
        <v>46021</v>
      </c>
      <c r="M656" s="2" t="s">
        <v>1294</v>
      </c>
    </row>
    <row r="657" spans="1:13">
      <c r="A657">
        <v>80880192</v>
      </c>
      <c r="B657" t="s">
        <v>1149</v>
      </c>
      <c r="C657" s="1" t="s">
        <v>153</v>
      </c>
      <c r="D657" t="s">
        <v>428</v>
      </c>
      <c r="E657" t="s">
        <v>168</v>
      </c>
      <c r="F657" s="2">
        <v>46034</v>
      </c>
      <c r="G657">
        <v>17</v>
      </c>
      <c r="H657" s="2">
        <v>46021</v>
      </c>
      <c r="I657" s="2" t="s">
        <v>202</v>
      </c>
      <c r="J657" s="1" t="s">
        <v>1154</v>
      </c>
      <c r="L657" s="2">
        <v>46021</v>
      </c>
      <c r="M657" s="2" t="s">
        <v>1294</v>
      </c>
    </row>
    <row r="658" spans="1:13">
      <c r="A658">
        <v>80880192</v>
      </c>
      <c r="B658" t="s">
        <v>1149</v>
      </c>
      <c r="C658" s="1" t="s">
        <v>154</v>
      </c>
      <c r="D658" t="s">
        <v>428</v>
      </c>
      <c r="E658" t="s">
        <v>168</v>
      </c>
      <c r="F658" s="2">
        <v>46034</v>
      </c>
      <c r="G658">
        <v>15</v>
      </c>
      <c r="H658" s="2">
        <v>46021</v>
      </c>
      <c r="I658" s="2" t="s">
        <v>202</v>
      </c>
      <c r="J658" s="1" t="s">
        <v>1155</v>
      </c>
      <c r="L658" s="2">
        <v>46021</v>
      </c>
      <c r="M658" s="2" t="s">
        <v>1294</v>
      </c>
    </row>
    <row r="659" spans="1:13">
      <c r="A659">
        <v>80880192</v>
      </c>
      <c r="B659" t="s">
        <v>1149</v>
      </c>
      <c r="C659" s="1" t="s">
        <v>155</v>
      </c>
      <c r="D659" t="s">
        <v>428</v>
      </c>
      <c r="E659" t="s">
        <v>168</v>
      </c>
      <c r="F659" s="2">
        <v>46034</v>
      </c>
      <c r="G659">
        <v>369</v>
      </c>
      <c r="H659" s="2">
        <v>46021</v>
      </c>
      <c r="I659" s="2" t="s">
        <v>202</v>
      </c>
      <c r="J659" s="1" t="s">
        <v>1156</v>
      </c>
      <c r="L659" s="2">
        <v>46021</v>
      </c>
      <c r="M659" s="2" t="s">
        <v>1294</v>
      </c>
    </row>
    <row r="660" spans="1:13">
      <c r="A660">
        <v>80820463</v>
      </c>
      <c r="B660" t="s">
        <v>1157</v>
      </c>
      <c r="C660" s="1" t="s">
        <v>143</v>
      </c>
      <c r="D660" t="s">
        <v>428</v>
      </c>
      <c r="E660" t="s">
        <v>168</v>
      </c>
      <c r="F660" s="2">
        <v>46034</v>
      </c>
      <c r="G660">
        <v>52</v>
      </c>
      <c r="H660" s="2">
        <v>46021</v>
      </c>
      <c r="I660" s="2" t="s">
        <v>202</v>
      </c>
      <c r="J660" s="1" t="s">
        <v>1158</v>
      </c>
      <c r="L660" s="2">
        <v>46021</v>
      </c>
      <c r="M660" s="2" t="s">
        <v>1294</v>
      </c>
    </row>
    <row r="661" spans="1:13">
      <c r="A661">
        <v>80820463</v>
      </c>
      <c r="B661" t="s">
        <v>1157</v>
      </c>
      <c r="C661" s="1" t="s">
        <v>150</v>
      </c>
      <c r="D661" t="s">
        <v>428</v>
      </c>
      <c r="E661" t="s">
        <v>168</v>
      </c>
      <c r="F661" s="2">
        <v>46034</v>
      </c>
      <c r="G661">
        <v>277</v>
      </c>
      <c r="H661" s="2">
        <v>46021</v>
      </c>
      <c r="I661" s="2" t="s">
        <v>202</v>
      </c>
      <c r="J661" s="1" t="s">
        <v>1159</v>
      </c>
      <c r="L661" s="2">
        <v>46021</v>
      </c>
      <c r="M661" s="2" t="s">
        <v>1294</v>
      </c>
    </row>
    <row r="662" spans="1:13">
      <c r="A662">
        <v>80820463</v>
      </c>
      <c r="B662" t="s">
        <v>1157</v>
      </c>
      <c r="C662" s="1" t="s">
        <v>151</v>
      </c>
      <c r="D662" t="s">
        <v>428</v>
      </c>
      <c r="E662" t="s">
        <v>168</v>
      </c>
      <c r="F662" s="2">
        <v>46034</v>
      </c>
      <c r="G662">
        <v>712</v>
      </c>
      <c r="H662" s="2">
        <v>46021</v>
      </c>
      <c r="I662" s="2" t="s">
        <v>202</v>
      </c>
      <c r="J662" s="1" t="s">
        <v>1160</v>
      </c>
      <c r="L662" s="2">
        <v>46021</v>
      </c>
      <c r="M662" s="2" t="s">
        <v>1294</v>
      </c>
    </row>
    <row r="663" spans="1:13">
      <c r="A663">
        <v>80820463</v>
      </c>
      <c r="B663" t="s">
        <v>1157</v>
      </c>
      <c r="C663" s="1" t="s">
        <v>152</v>
      </c>
      <c r="D663" t="s">
        <v>428</v>
      </c>
      <c r="E663" t="s">
        <v>168</v>
      </c>
      <c r="F663" s="2">
        <v>46034</v>
      </c>
      <c r="G663">
        <v>100</v>
      </c>
      <c r="H663" s="2">
        <v>46021</v>
      </c>
      <c r="I663" s="2" t="s">
        <v>202</v>
      </c>
      <c r="J663" s="1" t="s">
        <v>1161</v>
      </c>
      <c r="L663" s="2">
        <v>46021</v>
      </c>
      <c r="M663" s="2" t="s">
        <v>1294</v>
      </c>
    </row>
    <row r="664" spans="1:13">
      <c r="A664">
        <v>80820463</v>
      </c>
      <c r="B664" t="s">
        <v>1157</v>
      </c>
      <c r="C664" s="1" t="s">
        <v>153</v>
      </c>
      <c r="D664" t="s">
        <v>428</v>
      </c>
      <c r="E664" t="s">
        <v>168</v>
      </c>
      <c r="F664" s="2">
        <v>46034</v>
      </c>
      <c r="G664">
        <v>28</v>
      </c>
      <c r="H664" s="2">
        <v>46021</v>
      </c>
      <c r="I664" s="2" t="s">
        <v>202</v>
      </c>
      <c r="J664" s="1" t="s">
        <v>1162</v>
      </c>
      <c r="L664" s="2">
        <v>46021</v>
      </c>
      <c r="M664" s="2" t="s">
        <v>1294</v>
      </c>
    </row>
    <row r="665" spans="1:13">
      <c r="A665">
        <v>80820463</v>
      </c>
      <c r="B665" t="s">
        <v>1157</v>
      </c>
      <c r="C665" s="1" t="s">
        <v>154</v>
      </c>
      <c r="D665" t="s">
        <v>428</v>
      </c>
      <c r="E665" t="s">
        <v>168</v>
      </c>
      <c r="F665" s="2">
        <v>46034</v>
      </c>
      <c r="G665">
        <v>22</v>
      </c>
      <c r="H665" s="2">
        <v>46021</v>
      </c>
      <c r="I665" s="2" t="s">
        <v>202</v>
      </c>
      <c r="J665" s="1" t="s">
        <v>1163</v>
      </c>
      <c r="L665" s="2">
        <v>46021</v>
      </c>
      <c r="M665" s="2" t="s">
        <v>1294</v>
      </c>
    </row>
    <row r="666" spans="1:13">
      <c r="A666">
        <v>80820463</v>
      </c>
      <c r="B666" t="s">
        <v>1157</v>
      </c>
      <c r="C666" s="1" t="s">
        <v>155</v>
      </c>
      <c r="D666" t="s">
        <v>428</v>
      </c>
      <c r="E666" t="s">
        <v>168</v>
      </c>
      <c r="F666" s="2">
        <v>46034</v>
      </c>
      <c r="G666">
        <v>580</v>
      </c>
      <c r="H666" s="2">
        <v>46021</v>
      </c>
      <c r="I666" s="2" t="s">
        <v>202</v>
      </c>
      <c r="J666" s="1" t="s">
        <v>1164</v>
      </c>
      <c r="L666" s="2">
        <v>46021</v>
      </c>
      <c r="M666" s="2" t="s">
        <v>1294</v>
      </c>
    </row>
    <row r="667" spans="1:13">
      <c r="A667">
        <v>80883616</v>
      </c>
      <c r="B667" t="s">
        <v>1165</v>
      </c>
      <c r="C667" s="1" t="s">
        <v>143</v>
      </c>
      <c r="D667" t="s">
        <v>428</v>
      </c>
      <c r="E667" t="s">
        <v>168</v>
      </c>
      <c r="F667" s="2">
        <v>46034</v>
      </c>
      <c r="G667">
        <v>33</v>
      </c>
      <c r="H667" s="2">
        <v>46021</v>
      </c>
      <c r="I667" s="2" t="s">
        <v>202</v>
      </c>
      <c r="J667" s="1" t="s">
        <v>1166</v>
      </c>
      <c r="L667" s="2">
        <v>46021</v>
      </c>
      <c r="M667" s="2" t="s">
        <v>1294</v>
      </c>
    </row>
    <row r="668" spans="1:13">
      <c r="A668">
        <v>80883616</v>
      </c>
      <c r="B668" t="s">
        <v>1165</v>
      </c>
      <c r="C668" s="1" t="s">
        <v>150</v>
      </c>
      <c r="D668" t="s">
        <v>428</v>
      </c>
      <c r="E668" t="s">
        <v>168</v>
      </c>
      <c r="F668" s="2">
        <v>46034</v>
      </c>
      <c r="G668">
        <v>144</v>
      </c>
      <c r="H668" s="2">
        <v>46021</v>
      </c>
      <c r="I668" s="2" t="s">
        <v>202</v>
      </c>
      <c r="J668" s="1" t="s">
        <v>1167</v>
      </c>
      <c r="L668" s="2">
        <v>46021</v>
      </c>
      <c r="M668" s="2" t="s">
        <v>1294</v>
      </c>
    </row>
    <row r="669" spans="1:13">
      <c r="A669">
        <v>80883616</v>
      </c>
      <c r="B669" t="s">
        <v>1165</v>
      </c>
      <c r="C669" s="1" t="s">
        <v>151</v>
      </c>
      <c r="D669" t="s">
        <v>428</v>
      </c>
      <c r="E669" t="s">
        <v>168</v>
      </c>
      <c r="F669" s="2">
        <v>46034</v>
      </c>
      <c r="G669">
        <v>241</v>
      </c>
      <c r="H669" s="2">
        <v>46021</v>
      </c>
      <c r="I669" s="2" t="s">
        <v>202</v>
      </c>
      <c r="J669" s="1" t="s">
        <v>1168</v>
      </c>
      <c r="L669" s="2">
        <v>46021</v>
      </c>
      <c r="M669" s="2" t="s">
        <v>1294</v>
      </c>
    </row>
    <row r="670" spans="1:13">
      <c r="A670">
        <v>80883616</v>
      </c>
      <c r="B670" t="s">
        <v>1165</v>
      </c>
      <c r="C670" s="1" t="s">
        <v>152</v>
      </c>
      <c r="D670" t="s">
        <v>428</v>
      </c>
      <c r="E670" t="s">
        <v>168</v>
      </c>
      <c r="F670" s="2">
        <v>46034</v>
      </c>
      <c r="G670">
        <v>24</v>
      </c>
      <c r="H670" s="2">
        <v>46021</v>
      </c>
      <c r="I670" s="2" t="s">
        <v>202</v>
      </c>
      <c r="J670" s="1" t="s">
        <v>1169</v>
      </c>
      <c r="L670" s="2">
        <v>46021</v>
      </c>
      <c r="M670" s="2" t="s">
        <v>1294</v>
      </c>
    </row>
    <row r="671" spans="1:13">
      <c r="A671">
        <v>80883616</v>
      </c>
      <c r="B671" t="s">
        <v>1165</v>
      </c>
      <c r="C671" s="1" t="s">
        <v>153</v>
      </c>
      <c r="D671" t="s">
        <v>428</v>
      </c>
      <c r="E671" t="s">
        <v>168</v>
      </c>
      <c r="F671" s="2">
        <v>46034</v>
      </c>
      <c r="G671">
        <v>18</v>
      </c>
      <c r="H671" s="2">
        <v>46021</v>
      </c>
      <c r="I671" s="2" t="s">
        <v>202</v>
      </c>
      <c r="J671" s="1" t="s">
        <v>1170</v>
      </c>
      <c r="L671" s="2">
        <v>46021</v>
      </c>
      <c r="M671" s="2" t="s">
        <v>1294</v>
      </c>
    </row>
    <row r="672" spans="1:13">
      <c r="A672">
        <v>80883616</v>
      </c>
      <c r="B672" t="s">
        <v>1165</v>
      </c>
      <c r="C672" s="1" t="s">
        <v>154</v>
      </c>
      <c r="D672" t="s">
        <v>428</v>
      </c>
      <c r="E672" t="s">
        <v>168</v>
      </c>
      <c r="F672" s="2">
        <v>46034</v>
      </c>
      <c r="G672">
        <v>12</v>
      </c>
      <c r="H672" s="2">
        <v>46021</v>
      </c>
      <c r="I672" s="2" t="s">
        <v>202</v>
      </c>
      <c r="J672" s="1" t="s">
        <v>1171</v>
      </c>
      <c r="L672" s="2">
        <v>46021</v>
      </c>
      <c r="M672" s="2" t="s">
        <v>1294</v>
      </c>
    </row>
    <row r="673" spans="1:13">
      <c r="A673">
        <v>80883616</v>
      </c>
      <c r="B673" t="s">
        <v>1165</v>
      </c>
      <c r="C673" s="1" t="s">
        <v>155</v>
      </c>
      <c r="D673" t="s">
        <v>428</v>
      </c>
      <c r="E673" t="s">
        <v>168</v>
      </c>
      <c r="F673" s="2">
        <v>46034</v>
      </c>
      <c r="G673">
        <v>68</v>
      </c>
      <c r="H673" s="2">
        <v>46021</v>
      </c>
      <c r="I673" s="2" t="s">
        <v>202</v>
      </c>
      <c r="J673" s="1" t="s">
        <v>1172</v>
      </c>
      <c r="L673" s="2">
        <v>46021</v>
      </c>
      <c r="M673" s="2" t="s">
        <v>1294</v>
      </c>
    </row>
    <row r="674" spans="1:13">
      <c r="A674">
        <v>80883611</v>
      </c>
      <c r="B674" t="s">
        <v>1173</v>
      </c>
      <c r="C674" s="1" t="s">
        <v>143</v>
      </c>
      <c r="D674" t="s">
        <v>428</v>
      </c>
      <c r="E674" t="s">
        <v>168</v>
      </c>
      <c r="F674" s="2">
        <v>46034</v>
      </c>
      <c r="G674">
        <v>75</v>
      </c>
      <c r="H674" s="2">
        <v>46021</v>
      </c>
      <c r="I674" s="2" t="s">
        <v>202</v>
      </c>
      <c r="J674" s="1" t="s">
        <v>1174</v>
      </c>
      <c r="L674" s="2">
        <v>46021</v>
      </c>
      <c r="M674" s="2" t="s">
        <v>1294</v>
      </c>
    </row>
    <row r="675" spans="1:13">
      <c r="A675">
        <v>80883611</v>
      </c>
      <c r="B675" t="s">
        <v>1173</v>
      </c>
      <c r="C675" s="1" t="s">
        <v>150</v>
      </c>
      <c r="D675" t="s">
        <v>428</v>
      </c>
      <c r="E675" t="s">
        <v>168</v>
      </c>
      <c r="F675" s="2">
        <v>46034</v>
      </c>
      <c r="G675">
        <v>338</v>
      </c>
      <c r="H675" s="2">
        <v>46021</v>
      </c>
      <c r="I675" s="2" t="s">
        <v>202</v>
      </c>
      <c r="J675" s="1" t="s">
        <v>1175</v>
      </c>
      <c r="L675" s="2">
        <v>46021</v>
      </c>
      <c r="M675" s="2" t="s">
        <v>1294</v>
      </c>
    </row>
    <row r="676" spans="1:13">
      <c r="A676">
        <v>80883611</v>
      </c>
      <c r="B676" t="s">
        <v>1173</v>
      </c>
      <c r="C676" s="1" t="s">
        <v>151</v>
      </c>
      <c r="D676" t="s">
        <v>428</v>
      </c>
      <c r="E676" t="s">
        <v>168</v>
      </c>
      <c r="F676" s="2">
        <v>46034</v>
      </c>
      <c r="G676">
        <v>563</v>
      </c>
      <c r="H676" s="2">
        <v>46021</v>
      </c>
      <c r="I676" s="2" t="s">
        <v>202</v>
      </c>
      <c r="J676" s="1" t="s">
        <v>1176</v>
      </c>
      <c r="L676" s="2">
        <v>46021</v>
      </c>
      <c r="M676" s="2" t="s">
        <v>1294</v>
      </c>
    </row>
    <row r="677" spans="1:13">
      <c r="A677">
        <v>80883611</v>
      </c>
      <c r="B677" t="s">
        <v>1173</v>
      </c>
      <c r="C677" s="1" t="s">
        <v>152</v>
      </c>
      <c r="D677" t="s">
        <v>428</v>
      </c>
      <c r="E677" t="s">
        <v>168</v>
      </c>
      <c r="F677" s="2">
        <v>46034</v>
      </c>
      <c r="G677">
        <v>75</v>
      </c>
      <c r="H677" s="2">
        <v>46021</v>
      </c>
      <c r="I677" s="2" t="s">
        <v>202</v>
      </c>
      <c r="J677" s="1" t="s">
        <v>1177</v>
      </c>
      <c r="L677" s="2">
        <v>46021</v>
      </c>
      <c r="M677" s="2" t="s">
        <v>1294</v>
      </c>
    </row>
    <row r="678" spans="1:13">
      <c r="A678">
        <v>80883611</v>
      </c>
      <c r="B678" t="s">
        <v>1173</v>
      </c>
      <c r="C678" s="1" t="s">
        <v>153</v>
      </c>
      <c r="D678" t="s">
        <v>428</v>
      </c>
      <c r="E678" t="s">
        <v>168</v>
      </c>
      <c r="F678" s="2">
        <v>46034</v>
      </c>
      <c r="G678">
        <v>21</v>
      </c>
      <c r="H678" s="2">
        <v>46021</v>
      </c>
      <c r="I678" s="2" t="s">
        <v>202</v>
      </c>
      <c r="J678" s="1" t="s">
        <v>1178</v>
      </c>
      <c r="L678" s="2">
        <v>46021</v>
      </c>
      <c r="M678" s="2" t="s">
        <v>1294</v>
      </c>
    </row>
    <row r="679" spans="1:13">
      <c r="A679">
        <v>80883611</v>
      </c>
      <c r="B679" t="s">
        <v>1173</v>
      </c>
      <c r="C679" s="1" t="s">
        <v>154</v>
      </c>
      <c r="D679" t="s">
        <v>428</v>
      </c>
      <c r="E679" t="s">
        <v>168</v>
      </c>
      <c r="F679" s="2">
        <v>46034</v>
      </c>
      <c r="G679">
        <v>24</v>
      </c>
      <c r="H679" s="2">
        <v>46021</v>
      </c>
      <c r="I679" s="2" t="s">
        <v>202</v>
      </c>
      <c r="J679" s="1" t="s">
        <v>1179</v>
      </c>
      <c r="L679" s="2">
        <v>46021</v>
      </c>
      <c r="M679" s="2" t="s">
        <v>1294</v>
      </c>
    </row>
    <row r="680" spans="1:13">
      <c r="A680">
        <v>80883611</v>
      </c>
      <c r="B680" t="s">
        <v>1173</v>
      </c>
      <c r="C680" s="1" t="s">
        <v>155</v>
      </c>
      <c r="D680" t="s">
        <v>428</v>
      </c>
      <c r="E680" t="s">
        <v>168</v>
      </c>
      <c r="F680" s="2">
        <v>46034</v>
      </c>
      <c r="G680">
        <v>328</v>
      </c>
      <c r="H680" s="2">
        <v>46021</v>
      </c>
      <c r="I680" s="2" t="s">
        <v>202</v>
      </c>
      <c r="J680" s="1" t="s">
        <v>1180</v>
      </c>
      <c r="L680" s="2">
        <v>46021</v>
      </c>
      <c r="M680" s="2" t="s">
        <v>1294</v>
      </c>
    </row>
    <row r="681" spans="1:13">
      <c r="A681">
        <v>80883592</v>
      </c>
      <c r="B681" t="s">
        <v>1181</v>
      </c>
      <c r="C681" s="1" t="s">
        <v>143</v>
      </c>
      <c r="D681" t="s">
        <v>428</v>
      </c>
      <c r="E681" t="s">
        <v>168</v>
      </c>
      <c r="F681" s="2">
        <v>46034</v>
      </c>
      <c r="G681">
        <v>9</v>
      </c>
      <c r="H681" s="2">
        <v>46021</v>
      </c>
      <c r="I681" s="2" t="s">
        <v>202</v>
      </c>
      <c r="J681" s="1" t="s">
        <v>1182</v>
      </c>
      <c r="L681" s="2">
        <v>46021</v>
      </c>
      <c r="M681" s="2" t="s">
        <v>1294</v>
      </c>
    </row>
    <row r="682" spans="1:13">
      <c r="A682">
        <v>80883592</v>
      </c>
      <c r="B682" t="s">
        <v>1181</v>
      </c>
      <c r="C682" s="1" t="s">
        <v>150</v>
      </c>
      <c r="D682" t="s">
        <v>428</v>
      </c>
      <c r="E682" t="s">
        <v>168</v>
      </c>
      <c r="F682" s="2">
        <v>46034</v>
      </c>
      <c r="G682">
        <v>52</v>
      </c>
      <c r="H682" s="2">
        <v>46021</v>
      </c>
      <c r="I682" s="2" t="s">
        <v>202</v>
      </c>
      <c r="J682" s="1" t="s">
        <v>1183</v>
      </c>
      <c r="L682" s="2">
        <v>46021</v>
      </c>
      <c r="M682" s="2" t="s">
        <v>1294</v>
      </c>
    </row>
    <row r="683" spans="1:13">
      <c r="A683">
        <v>80883592</v>
      </c>
      <c r="B683" t="s">
        <v>1181</v>
      </c>
      <c r="C683" s="1" t="s">
        <v>151</v>
      </c>
      <c r="D683" t="s">
        <v>428</v>
      </c>
      <c r="E683" t="s">
        <v>168</v>
      </c>
      <c r="F683" s="2">
        <v>46034</v>
      </c>
      <c r="G683">
        <v>108</v>
      </c>
      <c r="H683" s="2">
        <v>46021</v>
      </c>
      <c r="I683" s="2" t="s">
        <v>202</v>
      </c>
      <c r="J683" s="1" t="s">
        <v>1184</v>
      </c>
      <c r="L683" s="2">
        <v>46021</v>
      </c>
      <c r="M683" s="2" t="s">
        <v>1294</v>
      </c>
    </row>
    <row r="684" spans="1:13">
      <c r="A684">
        <v>80883592</v>
      </c>
      <c r="B684" t="s">
        <v>1181</v>
      </c>
      <c r="C684" s="1" t="s">
        <v>152</v>
      </c>
      <c r="D684" t="s">
        <v>428</v>
      </c>
      <c r="E684" t="s">
        <v>168</v>
      </c>
      <c r="F684" s="2">
        <v>46034</v>
      </c>
      <c r="G684">
        <v>13</v>
      </c>
      <c r="H684" s="2">
        <v>46021</v>
      </c>
      <c r="I684" s="2" t="s">
        <v>202</v>
      </c>
      <c r="J684" s="1" t="s">
        <v>1185</v>
      </c>
      <c r="L684" s="2">
        <v>46021</v>
      </c>
      <c r="M684" s="2" t="s">
        <v>1294</v>
      </c>
    </row>
    <row r="685" spans="1:13">
      <c r="A685">
        <v>80883592</v>
      </c>
      <c r="B685" t="s">
        <v>1181</v>
      </c>
      <c r="C685" s="1" t="s">
        <v>153</v>
      </c>
      <c r="D685" t="s">
        <v>428</v>
      </c>
      <c r="E685" t="s">
        <v>168</v>
      </c>
      <c r="F685" s="2">
        <v>46034</v>
      </c>
      <c r="G685">
        <v>3</v>
      </c>
      <c r="H685" s="2">
        <v>46021</v>
      </c>
      <c r="I685" s="2" t="s">
        <v>202</v>
      </c>
      <c r="J685" s="1" t="s">
        <v>1186</v>
      </c>
      <c r="L685" s="2">
        <v>46021</v>
      </c>
      <c r="M685" s="2" t="s">
        <v>1294</v>
      </c>
    </row>
    <row r="686" spans="1:13">
      <c r="A686">
        <v>80883592</v>
      </c>
      <c r="B686" t="s">
        <v>1181</v>
      </c>
      <c r="C686" s="1" t="s">
        <v>154</v>
      </c>
      <c r="D686" t="s">
        <v>428</v>
      </c>
      <c r="E686" t="s">
        <v>168</v>
      </c>
      <c r="F686" s="2">
        <v>46034</v>
      </c>
      <c r="G686">
        <v>2</v>
      </c>
      <c r="H686" s="2">
        <v>46021</v>
      </c>
      <c r="I686" s="2" t="s">
        <v>202</v>
      </c>
      <c r="J686" s="1" t="s">
        <v>1187</v>
      </c>
      <c r="L686" s="2">
        <v>46021</v>
      </c>
      <c r="M686" s="2" t="s">
        <v>1294</v>
      </c>
    </row>
    <row r="687" spans="1:13">
      <c r="A687">
        <v>80883592</v>
      </c>
      <c r="B687" t="s">
        <v>1181</v>
      </c>
      <c r="C687" s="1" t="s">
        <v>155</v>
      </c>
      <c r="D687" t="s">
        <v>428</v>
      </c>
      <c r="E687" t="s">
        <v>168</v>
      </c>
      <c r="F687" s="2">
        <v>46034</v>
      </c>
      <c r="G687">
        <v>74</v>
      </c>
      <c r="H687" s="2">
        <v>46021</v>
      </c>
      <c r="I687" s="2" t="s">
        <v>202</v>
      </c>
      <c r="J687" s="1" t="s">
        <v>1188</v>
      </c>
      <c r="L687" s="2">
        <v>46021</v>
      </c>
      <c r="M687" s="2" t="s">
        <v>1294</v>
      </c>
    </row>
    <row r="688" spans="1:13">
      <c r="A688">
        <v>80829594</v>
      </c>
      <c r="B688" t="s">
        <v>1189</v>
      </c>
      <c r="C688" s="1" t="s">
        <v>143</v>
      </c>
      <c r="D688" t="s">
        <v>428</v>
      </c>
      <c r="E688" t="s">
        <v>168</v>
      </c>
      <c r="F688" s="2">
        <v>46034</v>
      </c>
      <c r="G688">
        <v>16</v>
      </c>
      <c r="H688" s="2">
        <v>46021</v>
      </c>
      <c r="I688" s="2" t="s">
        <v>202</v>
      </c>
      <c r="J688" s="1" t="s">
        <v>1190</v>
      </c>
      <c r="L688" s="2">
        <v>46021</v>
      </c>
      <c r="M688" s="2" t="s">
        <v>1294</v>
      </c>
    </row>
    <row r="689" spans="1:13">
      <c r="A689">
        <v>80829594</v>
      </c>
      <c r="B689" t="s">
        <v>1189</v>
      </c>
      <c r="C689" s="1" t="s">
        <v>150</v>
      </c>
      <c r="D689" t="s">
        <v>428</v>
      </c>
      <c r="E689" t="s">
        <v>168</v>
      </c>
      <c r="F689" s="2">
        <v>46034</v>
      </c>
      <c r="G689">
        <v>69</v>
      </c>
      <c r="H689" s="2">
        <v>46021</v>
      </c>
      <c r="I689" s="2" t="s">
        <v>202</v>
      </c>
      <c r="J689" s="1" t="s">
        <v>1191</v>
      </c>
      <c r="L689" s="2">
        <v>46021</v>
      </c>
      <c r="M689" s="2" t="s">
        <v>1294</v>
      </c>
    </row>
    <row r="690" spans="1:13">
      <c r="A690">
        <v>80829594</v>
      </c>
      <c r="B690" t="s">
        <v>1189</v>
      </c>
      <c r="C690" s="1" t="s">
        <v>151</v>
      </c>
      <c r="D690" t="s">
        <v>428</v>
      </c>
      <c r="E690" t="s">
        <v>168</v>
      </c>
      <c r="F690" s="2">
        <v>46034</v>
      </c>
      <c r="G690">
        <v>275</v>
      </c>
      <c r="H690" s="2">
        <v>46021</v>
      </c>
      <c r="I690" s="2" t="s">
        <v>202</v>
      </c>
      <c r="J690" s="1" t="s">
        <v>1192</v>
      </c>
      <c r="L690" s="2">
        <v>46021</v>
      </c>
      <c r="M690" s="2" t="s">
        <v>1294</v>
      </c>
    </row>
    <row r="691" spans="1:13">
      <c r="A691">
        <v>80829594</v>
      </c>
      <c r="B691" t="s">
        <v>1189</v>
      </c>
      <c r="C691" s="1" t="s">
        <v>152</v>
      </c>
      <c r="D691" t="s">
        <v>428</v>
      </c>
      <c r="E691" t="s">
        <v>168</v>
      </c>
      <c r="F691" s="2">
        <v>46034</v>
      </c>
      <c r="G691">
        <v>37</v>
      </c>
      <c r="H691" s="2">
        <v>46021</v>
      </c>
      <c r="I691" s="2" t="s">
        <v>202</v>
      </c>
      <c r="J691" s="1" t="s">
        <v>1193</v>
      </c>
      <c r="L691" s="2">
        <v>46021</v>
      </c>
      <c r="M691" s="2" t="s">
        <v>1294</v>
      </c>
    </row>
    <row r="692" spans="1:13">
      <c r="A692">
        <v>80829594</v>
      </c>
      <c r="B692" t="s">
        <v>1189</v>
      </c>
      <c r="C692" s="1" t="s">
        <v>153</v>
      </c>
      <c r="D692" t="s">
        <v>428</v>
      </c>
      <c r="E692" t="s">
        <v>168</v>
      </c>
      <c r="F692" s="2">
        <v>46034</v>
      </c>
      <c r="G692">
        <v>8</v>
      </c>
      <c r="H692" s="2">
        <v>46021</v>
      </c>
      <c r="I692" s="2" t="s">
        <v>202</v>
      </c>
      <c r="J692" s="1" t="s">
        <v>1194</v>
      </c>
      <c r="L692" s="2">
        <v>46021</v>
      </c>
      <c r="M692" s="2" t="s">
        <v>1294</v>
      </c>
    </row>
    <row r="693" spans="1:13">
      <c r="A693">
        <v>80829594</v>
      </c>
      <c r="B693" t="s">
        <v>1189</v>
      </c>
      <c r="C693" s="1" t="s">
        <v>154</v>
      </c>
      <c r="D693" t="s">
        <v>428</v>
      </c>
      <c r="E693" t="s">
        <v>168</v>
      </c>
      <c r="F693" s="2">
        <v>46034</v>
      </c>
      <c r="G693">
        <v>9</v>
      </c>
      <c r="H693" s="2">
        <v>46021</v>
      </c>
      <c r="I693" s="2" t="s">
        <v>202</v>
      </c>
      <c r="J693" s="1" t="s">
        <v>1195</v>
      </c>
      <c r="L693" s="2">
        <v>46021</v>
      </c>
      <c r="M693" s="2" t="s">
        <v>1294</v>
      </c>
    </row>
    <row r="694" spans="1:13">
      <c r="A694">
        <v>80829594</v>
      </c>
      <c r="B694" t="s">
        <v>1189</v>
      </c>
      <c r="C694" s="1" t="s">
        <v>155</v>
      </c>
      <c r="D694" t="s">
        <v>428</v>
      </c>
      <c r="E694" t="s">
        <v>168</v>
      </c>
      <c r="F694" s="2">
        <v>46034</v>
      </c>
      <c r="G694">
        <v>668</v>
      </c>
      <c r="H694" s="2">
        <v>46021</v>
      </c>
      <c r="I694" s="2" t="s">
        <v>202</v>
      </c>
      <c r="J694" s="1" t="s">
        <v>1196</v>
      </c>
      <c r="L694" s="2">
        <v>46021</v>
      </c>
      <c r="M694" s="2" t="s">
        <v>1294</v>
      </c>
    </row>
    <row r="695" spans="1:13">
      <c r="A695">
        <v>80880192</v>
      </c>
      <c r="B695" t="s">
        <v>1149</v>
      </c>
      <c r="C695" s="1" t="s">
        <v>143</v>
      </c>
      <c r="D695" t="s">
        <v>428</v>
      </c>
      <c r="E695" t="s">
        <v>168</v>
      </c>
      <c r="F695" s="2">
        <v>46034</v>
      </c>
      <c r="G695">
        <v>122</v>
      </c>
      <c r="H695" s="2">
        <v>46021</v>
      </c>
      <c r="I695" s="2" t="s">
        <v>202</v>
      </c>
      <c r="J695" s="1" t="s">
        <v>1197</v>
      </c>
      <c r="L695" s="2">
        <v>46021</v>
      </c>
      <c r="M695" s="2" t="s">
        <v>1294</v>
      </c>
    </row>
    <row r="696" spans="1:13">
      <c r="A696">
        <v>80880192</v>
      </c>
      <c r="B696" t="s">
        <v>1149</v>
      </c>
      <c r="C696" s="1" t="s">
        <v>150</v>
      </c>
      <c r="D696" t="s">
        <v>428</v>
      </c>
      <c r="E696" t="s">
        <v>168</v>
      </c>
      <c r="F696" s="2">
        <v>46034</v>
      </c>
      <c r="G696">
        <v>925</v>
      </c>
      <c r="H696" s="2">
        <v>46021</v>
      </c>
      <c r="I696" s="2" t="s">
        <v>202</v>
      </c>
      <c r="J696" s="1" t="s">
        <v>1198</v>
      </c>
      <c r="L696" s="2">
        <v>46021</v>
      </c>
      <c r="M696" s="2" t="s">
        <v>1294</v>
      </c>
    </row>
    <row r="697" spans="1:13">
      <c r="A697">
        <v>80880192</v>
      </c>
      <c r="B697" t="s">
        <v>1149</v>
      </c>
      <c r="C697" s="1" t="s">
        <v>151</v>
      </c>
      <c r="D697" t="s">
        <v>428</v>
      </c>
      <c r="E697" t="s">
        <v>168</v>
      </c>
      <c r="F697" s="2">
        <v>46034</v>
      </c>
      <c r="G697">
        <v>2950</v>
      </c>
      <c r="H697" s="2">
        <v>46021</v>
      </c>
      <c r="I697" s="2" t="s">
        <v>202</v>
      </c>
      <c r="J697" s="1" t="s">
        <v>1199</v>
      </c>
      <c r="L697" s="2">
        <v>46021</v>
      </c>
      <c r="M697" s="2" t="s">
        <v>1294</v>
      </c>
    </row>
    <row r="698" spans="1:13">
      <c r="A698">
        <v>80880192</v>
      </c>
      <c r="B698" t="s">
        <v>1149</v>
      </c>
      <c r="C698" s="1" t="s">
        <v>152</v>
      </c>
      <c r="D698" t="s">
        <v>428</v>
      </c>
      <c r="E698" t="s">
        <v>168</v>
      </c>
      <c r="F698" s="2">
        <v>46034</v>
      </c>
      <c r="G698">
        <v>355</v>
      </c>
      <c r="H698" s="2">
        <v>46021</v>
      </c>
      <c r="I698" s="2" t="s">
        <v>202</v>
      </c>
      <c r="J698" s="1" t="s">
        <v>1200</v>
      </c>
      <c r="L698" s="2">
        <v>46021</v>
      </c>
      <c r="M698" s="2" t="s">
        <v>1294</v>
      </c>
    </row>
    <row r="699" spans="1:13">
      <c r="A699">
        <v>80880192</v>
      </c>
      <c r="B699" t="s">
        <v>1149</v>
      </c>
      <c r="C699" s="1" t="s">
        <v>153</v>
      </c>
      <c r="D699" t="s">
        <v>428</v>
      </c>
      <c r="E699" t="s">
        <v>168</v>
      </c>
      <c r="F699" s="2">
        <v>46034</v>
      </c>
      <c r="G699">
        <v>107</v>
      </c>
      <c r="H699" s="2">
        <v>46021</v>
      </c>
      <c r="I699" s="2" t="s">
        <v>202</v>
      </c>
      <c r="J699" s="1" t="s">
        <v>1201</v>
      </c>
      <c r="L699" s="2">
        <v>46021</v>
      </c>
      <c r="M699" s="2" t="s">
        <v>1294</v>
      </c>
    </row>
    <row r="700" spans="1:13">
      <c r="A700">
        <v>80880192</v>
      </c>
      <c r="B700" t="s">
        <v>1149</v>
      </c>
      <c r="C700" s="1" t="s">
        <v>154</v>
      </c>
      <c r="D700" t="s">
        <v>428</v>
      </c>
      <c r="E700" t="s">
        <v>168</v>
      </c>
      <c r="F700" s="2">
        <v>46034</v>
      </c>
      <c r="G700">
        <v>117</v>
      </c>
      <c r="H700" s="2">
        <v>46021</v>
      </c>
      <c r="I700" s="2" t="s">
        <v>202</v>
      </c>
      <c r="J700" s="1" t="s">
        <v>1202</v>
      </c>
      <c r="L700" s="2">
        <v>46021</v>
      </c>
      <c r="M700" s="2" t="s">
        <v>1294</v>
      </c>
    </row>
    <row r="701" spans="1:13">
      <c r="A701">
        <v>80880192</v>
      </c>
      <c r="B701" t="s">
        <v>1149</v>
      </c>
      <c r="C701" s="1" t="s">
        <v>155</v>
      </c>
      <c r="D701" t="s">
        <v>428</v>
      </c>
      <c r="E701" t="s">
        <v>168</v>
      </c>
      <c r="F701" s="2">
        <v>46034</v>
      </c>
      <c r="G701">
        <v>3064</v>
      </c>
      <c r="H701" s="2">
        <v>46021</v>
      </c>
      <c r="I701" s="2" t="s">
        <v>202</v>
      </c>
      <c r="J701" s="1" t="s">
        <v>1203</v>
      </c>
      <c r="L701" s="2">
        <v>46021</v>
      </c>
      <c r="M701" s="2" t="s">
        <v>1294</v>
      </c>
    </row>
    <row r="702" spans="1:13">
      <c r="A702">
        <v>80883592</v>
      </c>
      <c r="B702" t="s">
        <v>1181</v>
      </c>
      <c r="C702" s="1" t="s">
        <v>143</v>
      </c>
      <c r="D702" t="s">
        <v>428</v>
      </c>
      <c r="E702" t="s">
        <v>168</v>
      </c>
      <c r="F702" s="2">
        <v>46034</v>
      </c>
      <c r="G702">
        <v>66</v>
      </c>
      <c r="H702" s="2">
        <v>46021</v>
      </c>
      <c r="I702" s="2" t="s">
        <v>202</v>
      </c>
      <c r="J702" s="1" t="s">
        <v>1204</v>
      </c>
      <c r="L702" s="2">
        <v>46021</v>
      </c>
      <c r="M702" s="2" t="s">
        <v>1294</v>
      </c>
    </row>
    <row r="703" spans="1:13">
      <c r="A703">
        <v>80883592</v>
      </c>
      <c r="B703" t="s">
        <v>1181</v>
      </c>
      <c r="C703" s="1" t="s">
        <v>150</v>
      </c>
      <c r="D703" t="s">
        <v>428</v>
      </c>
      <c r="E703" t="s">
        <v>168</v>
      </c>
      <c r="F703" s="2">
        <v>46034</v>
      </c>
      <c r="G703">
        <v>386</v>
      </c>
      <c r="H703" s="2">
        <v>46021</v>
      </c>
      <c r="I703" s="2" t="s">
        <v>202</v>
      </c>
      <c r="J703" s="1" t="s">
        <v>1205</v>
      </c>
      <c r="L703" s="2">
        <v>46021</v>
      </c>
      <c r="M703" s="2" t="s">
        <v>1294</v>
      </c>
    </row>
    <row r="704" spans="1:13">
      <c r="A704">
        <v>80883592</v>
      </c>
      <c r="B704" t="s">
        <v>1181</v>
      </c>
      <c r="C704" s="1" t="s">
        <v>151</v>
      </c>
      <c r="D704" t="s">
        <v>428</v>
      </c>
      <c r="E704" t="s">
        <v>168</v>
      </c>
      <c r="F704" s="2">
        <v>46034</v>
      </c>
      <c r="G704">
        <v>711</v>
      </c>
      <c r="H704" s="2">
        <v>46021</v>
      </c>
      <c r="I704" s="2" t="s">
        <v>202</v>
      </c>
      <c r="J704" s="1" t="s">
        <v>1206</v>
      </c>
      <c r="L704" s="2">
        <v>46021</v>
      </c>
      <c r="M704" s="2" t="s">
        <v>1294</v>
      </c>
    </row>
    <row r="705" spans="1:13">
      <c r="A705">
        <v>80883592</v>
      </c>
      <c r="B705" t="s">
        <v>1181</v>
      </c>
      <c r="C705" s="1" t="s">
        <v>152</v>
      </c>
      <c r="D705" t="s">
        <v>428</v>
      </c>
      <c r="E705" t="s">
        <v>168</v>
      </c>
      <c r="F705" s="2">
        <v>46034</v>
      </c>
      <c r="G705">
        <v>97</v>
      </c>
      <c r="H705" s="2">
        <v>46021</v>
      </c>
      <c r="I705" s="2" t="s">
        <v>202</v>
      </c>
      <c r="J705" s="1" t="s">
        <v>1207</v>
      </c>
      <c r="L705" s="2">
        <v>46021</v>
      </c>
      <c r="M705" s="2" t="s">
        <v>1294</v>
      </c>
    </row>
    <row r="706" spans="1:13">
      <c r="A706">
        <v>80883592</v>
      </c>
      <c r="B706" t="s">
        <v>1181</v>
      </c>
      <c r="C706" s="1" t="s">
        <v>153</v>
      </c>
      <c r="D706" t="s">
        <v>428</v>
      </c>
      <c r="E706" t="s">
        <v>168</v>
      </c>
      <c r="F706" s="2">
        <v>46034</v>
      </c>
      <c r="G706">
        <v>21</v>
      </c>
      <c r="H706" s="2">
        <v>46021</v>
      </c>
      <c r="I706" s="2" t="s">
        <v>202</v>
      </c>
      <c r="J706" s="1" t="s">
        <v>1208</v>
      </c>
      <c r="L706" s="2">
        <v>46021</v>
      </c>
      <c r="M706" s="2" t="s">
        <v>1294</v>
      </c>
    </row>
    <row r="707" spans="1:13">
      <c r="A707">
        <v>80883592</v>
      </c>
      <c r="B707" t="s">
        <v>1181</v>
      </c>
      <c r="C707" s="1" t="s">
        <v>154</v>
      </c>
      <c r="D707" t="s">
        <v>428</v>
      </c>
      <c r="E707" t="s">
        <v>168</v>
      </c>
      <c r="F707" s="2">
        <v>46034</v>
      </c>
      <c r="G707">
        <v>28</v>
      </c>
      <c r="H707" s="2">
        <v>46021</v>
      </c>
      <c r="I707" s="2" t="s">
        <v>202</v>
      </c>
      <c r="J707" s="1" t="s">
        <v>1209</v>
      </c>
      <c r="L707" s="2">
        <v>46021</v>
      </c>
      <c r="M707" s="2" t="s">
        <v>1294</v>
      </c>
    </row>
    <row r="708" spans="1:13">
      <c r="A708">
        <v>80883592</v>
      </c>
      <c r="B708" t="s">
        <v>1181</v>
      </c>
      <c r="C708" s="1" t="s">
        <v>155</v>
      </c>
      <c r="D708" t="s">
        <v>428</v>
      </c>
      <c r="E708" t="s">
        <v>168</v>
      </c>
      <c r="F708" s="2">
        <v>46034</v>
      </c>
      <c r="G708">
        <v>378</v>
      </c>
      <c r="H708" s="2">
        <v>46021</v>
      </c>
      <c r="I708" s="2" t="s">
        <v>202</v>
      </c>
      <c r="J708" s="1" t="s">
        <v>1210</v>
      </c>
      <c r="L708" s="2">
        <v>46021</v>
      </c>
      <c r="M708" s="2" t="s">
        <v>1294</v>
      </c>
    </row>
    <row r="709" spans="1:13">
      <c r="A709">
        <v>80883611</v>
      </c>
      <c r="B709" t="s">
        <v>1173</v>
      </c>
      <c r="C709" s="1" t="s">
        <v>143</v>
      </c>
      <c r="D709" t="s">
        <v>428</v>
      </c>
      <c r="E709" t="s">
        <v>168</v>
      </c>
      <c r="F709" s="2">
        <v>46034</v>
      </c>
      <c r="G709">
        <v>66</v>
      </c>
      <c r="H709" s="2">
        <v>46021</v>
      </c>
      <c r="I709" s="2" t="s">
        <v>202</v>
      </c>
      <c r="J709" s="1" t="s">
        <v>1211</v>
      </c>
      <c r="L709" s="2">
        <v>46021</v>
      </c>
      <c r="M709" s="2" t="s">
        <v>1294</v>
      </c>
    </row>
    <row r="710" spans="1:13">
      <c r="A710">
        <v>80883611</v>
      </c>
      <c r="B710" t="s">
        <v>1173</v>
      </c>
      <c r="C710" s="1" t="s">
        <v>150</v>
      </c>
      <c r="D710" t="s">
        <v>428</v>
      </c>
      <c r="E710" t="s">
        <v>168</v>
      </c>
      <c r="F710" s="2">
        <v>46034</v>
      </c>
      <c r="G710">
        <v>254</v>
      </c>
      <c r="H710" s="2">
        <v>46021</v>
      </c>
      <c r="I710" s="2" t="s">
        <v>202</v>
      </c>
      <c r="J710" s="1" t="s">
        <v>1212</v>
      </c>
      <c r="L710" s="2">
        <v>46021</v>
      </c>
      <c r="M710" s="2" t="s">
        <v>1294</v>
      </c>
    </row>
    <row r="711" spans="1:13">
      <c r="A711">
        <v>80883611</v>
      </c>
      <c r="B711" t="s">
        <v>1173</v>
      </c>
      <c r="C711" s="1" t="s">
        <v>151</v>
      </c>
      <c r="D711" t="s">
        <v>428</v>
      </c>
      <c r="E711" t="s">
        <v>168</v>
      </c>
      <c r="F711" s="2">
        <v>46034</v>
      </c>
      <c r="G711">
        <v>423</v>
      </c>
      <c r="H711" s="2">
        <v>46021</v>
      </c>
      <c r="I711" s="2" t="s">
        <v>202</v>
      </c>
      <c r="J711" s="1" t="s">
        <v>1213</v>
      </c>
      <c r="L711" s="2">
        <v>46021</v>
      </c>
      <c r="M711" s="2" t="s">
        <v>1294</v>
      </c>
    </row>
    <row r="712" spans="1:13">
      <c r="A712">
        <v>80883611</v>
      </c>
      <c r="B712" t="s">
        <v>1173</v>
      </c>
      <c r="C712" s="1" t="s">
        <v>152</v>
      </c>
      <c r="D712" t="s">
        <v>428</v>
      </c>
      <c r="E712" t="s">
        <v>168</v>
      </c>
      <c r="F712" s="2">
        <v>46034</v>
      </c>
      <c r="G712">
        <v>56</v>
      </c>
      <c r="H712" s="2">
        <v>46021</v>
      </c>
      <c r="I712" s="2" t="s">
        <v>202</v>
      </c>
      <c r="J712" s="1" t="s">
        <v>1214</v>
      </c>
      <c r="L712" s="2">
        <v>46021</v>
      </c>
      <c r="M712" s="2" t="s">
        <v>1294</v>
      </c>
    </row>
    <row r="713" spans="1:13">
      <c r="A713">
        <v>80883611</v>
      </c>
      <c r="B713" t="s">
        <v>1173</v>
      </c>
      <c r="C713" s="1" t="s">
        <v>153</v>
      </c>
      <c r="D713" t="s">
        <v>428</v>
      </c>
      <c r="E713" t="s">
        <v>168</v>
      </c>
      <c r="F713" s="2">
        <v>46034</v>
      </c>
      <c r="G713">
        <v>18</v>
      </c>
      <c r="H713" s="2">
        <v>46021</v>
      </c>
      <c r="I713" s="2" t="s">
        <v>202</v>
      </c>
      <c r="J713" s="1" t="s">
        <v>1215</v>
      </c>
      <c r="L713" s="2">
        <v>46021</v>
      </c>
      <c r="M713" s="2" t="s">
        <v>1294</v>
      </c>
    </row>
    <row r="714" spans="1:13">
      <c r="A714">
        <v>80883611</v>
      </c>
      <c r="B714" t="s">
        <v>1173</v>
      </c>
      <c r="C714" s="1" t="s">
        <v>154</v>
      </c>
      <c r="D714" t="s">
        <v>428</v>
      </c>
      <c r="E714" t="s">
        <v>168</v>
      </c>
      <c r="F714" s="2">
        <v>46034</v>
      </c>
      <c r="G714">
        <v>24</v>
      </c>
      <c r="H714" s="2">
        <v>46021</v>
      </c>
      <c r="I714" s="2" t="s">
        <v>202</v>
      </c>
      <c r="J714" s="1" t="s">
        <v>1216</v>
      </c>
      <c r="L714" s="2">
        <v>46021</v>
      </c>
      <c r="M714" s="2" t="s">
        <v>1294</v>
      </c>
    </row>
    <row r="715" spans="1:13">
      <c r="A715">
        <v>80883611</v>
      </c>
      <c r="B715" t="s">
        <v>1173</v>
      </c>
      <c r="C715" s="1" t="s">
        <v>155</v>
      </c>
      <c r="D715" t="s">
        <v>428</v>
      </c>
      <c r="E715" t="s">
        <v>168</v>
      </c>
      <c r="F715" s="2">
        <v>46034</v>
      </c>
      <c r="G715">
        <v>220</v>
      </c>
      <c r="H715" s="2">
        <v>46021</v>
      </c>
      <c r="I715" s="2" t="s">
        <v>202</v>
      </c>
      <c r="J715" s="1" t="s">
        <v>1217</v>
      </c>
      <c r="L715" s="2">
        <v>46021</v>
      </c>
      <c r="M715" s="2" t="s">
        <v>1294</v>
      </c>
    </row>
    <row r="716" spans="1:13">
      <c r="A716">
        <v>80883616</v>
      </c>
      <c r="B716" t="s">
        <v>1165</v>
      </c>
      <c r="C716" s="1" t="s">
        <v>143</v>
      </c>
      <c r="D716" t="s">
        <v>428</v>
      </c>
      <c r="E716" t="s">
        <v>168</v>
      </c>
      <c r="F716" s="2">
        <v>46034</v>
      </c>
      <c r="G716">
        <v>9</v>
      </c>
      <c r="H716" s="2">
        <v>46021</v>
      </c>
      <c r="I716" s="2" t="s">
        <v>202</v>
      </c>
      <c r="J716" s="1" t="s">
        <v>1218</v>
      </c>
      <c r="L716" s="2">
        <v>46021</v>
      </c>
      <c r="M716" s="2" t="s">
        <v>1294</v>
      </c>
    </row>
    <row r="717" spans="1:13">
      <c r="A717">
        <v>80883616</v>
      </c>
      <c r="B717" t="s">
        <v>1165</v>
      </c>
      <c r="C717" s="1" t="s">
        <v>150</v>
      </c>
      <c r="D717" t="s">
        <v>428</v>
      </c>
      <c r="E717" t="s">
        <v>168</v>
      </c>
      <c r="F717" s="2">
        <v>46034</v>
      </c>
      <c r="G717">
        <v>32</v>
      </c>
      <c r="H717" s="2">
        <v>46021</v>
      </c>
      <c r="I717" s="2" t="s">
        <v>202</v>
      </c>
      <c r="J717" s="1" t="s">
        <v>1219</v>
      </c>
      <c r="L717" s="2">
        <v>46021</v>
      </c>
      <c r="M717" s="2" t="s">
        <v>1294</v>
      </c>
    </row>
    <row r="718" spans="1:13">
      <c r="A718">
        <v>80883616</v>
      </c>
      <c r="B718" t="s">
        <v>1165</v>
      </c>
      <c r="C718" s="1" t="s">
        <v>151</v>
      </c>
      <c r="D718" t="s">
        <v>428</v>
      </c>
      <c r="E718" t="s">
        <v>168</v>
      </c>
      <c r="F718" s="2">
        <v>46034</v>
      </c>
      <c r="G718">
        <v>49</v>
      </c>
      <c r="H718" s="2">
        <v>46021</v>
      </c>
      <c r="I718" s="2" t="s">
        <v>202</v>
      </c>
      <c r="J718" s="1" t="s">
        <v>1220</v>
      </c>
      <c r="L718" s="2">
        <v>46021</v>
      </c>
      <c r="M718" s="2" t="s">
        <v>1294</v>
      </c>
    </row>
    <row r="719" spans="1:13">
      <c r="A719">
        <v>80883616</v>
      </c>
      <c r="B719" t="s">
        <v>1165</v>
      </c>
      <c r="C719" s="1" t="s">
        <v>152</v>
      </c>
      <c r="D719" t="s">
        <v>428</v>
      </c>
      <c r="E719" t="s">
        <v>168</v>
      </c>
      <c r="F719" s="2">
        <v>46034</v>
      </c>
      <c r="G719">
        <v>7</v>
      </c>
      <c r="H719" s="2">
        <v>46021</v>
      </c>
      <c r="I719" s="2" t="s">
        <v>202</v>
      </c>
      <c r="J719" s="1" t="s">
        <v>1221</v>
      </c>
      <c r="L719" s="2">
        <v>46021</v>
      </c>
      <c r="M719" s="2" t="s">
        <v>1294</v>
      </c>
    </row>
    <row r="720" spans="1:13">
      <c r="A720">
        <v>80883616</v>
      </c>
      <c r="B720" t="s">
        <v>1165</v>
      </c>
      <c r="C720" s="1" t="s">
        <v>153</v>
      </c>
      <c r="D720" t="s">
        <v>428</v>
      </c>
      <c r="E720" t="s">
        <v>168</v>
      </c>
      <c r="F720" s="2">
        <v>46034</v>
      </c>
      <c r="G720">
        <v>5</v>
      </c>
      <c r="H720" s="2">
        <v>46021</v>
      </c>
      <c r="I720" s="2" t="s">
        <v>202</v>
      </c>
      <c r="J720" s="1" t="s">
        <v>1222</v>
      </c>
      <c r="L720" s="2">
        <v>46021</v>
      </c>
      <c r="M720" s="2" t="s">
        <v>1294</v>
      </c>
    </row>
    <row r="721" spans="1:13">
      <c r="A721">
        <v>80883616</v>
      </c>
      <c r="B721" t="s">
        <v>1165</v>
      </c>
      <c r="C721" s="1" t="s">
        <v>154</v>
      </c>
      <c r="D721" t="s">
        <v>428</v>
      </c>
      <c r="E721" t="s">
        <v>168</v>
      </c>
      <c r="F721" s="2">
        <v>46034</v>
      </c>
      <c r="G721">
        <v>4</v>
      </c>
      <c r="H721" s="2">
        <v>46021</v>
      </c>
      <c r="I721" s="2" t="s">
        <v>202</v>
      </c>
      <c r="J721" s="1" t="s">
        <v>1223</v>
      </c>
      <c r="L721" s="2">
        <v>46021</v>
      </c>
      <c r="M721" s="2" t="s">
        <v>1294</v>
      </c>
    </row>
    <row r="722" spans="1:13">
      <c r="A722">
        <v>80883616</v>
      </c>
      <c r="B722" t="s">
        <v>1165</v>
      </c>
      <c r="C722" s="1" t="s">
        <v>155</v>
      </c>
      <c r="D722" t="s">
        <v>428</v>
      </c>
      <c r="E722" t="s">
        <v>168</v>
      </c>
      <c r="F722" s="2">
        <v>46034</v>
      </c>
      <c r="G722">
        <v>16</v>
      </c>
      <c r="H722" s="2">
        <v>46021</v>
      </c>
      <c r="I722" s="2" t="s">
        <v>202</v>
      </c>
      <c r="J722" s="1" t="s">
        <v>1224</v>
      </c>
      <c r="L722" s="2">
        <v>46021</v>
      </c>
      <c r="M722" s="2" t="s">
        <v>1294</v>
      </c>
    </row>
  </sheetData>
  <autoFilter ref="A1:M153" xr:uid="{C464D402-D485-41D8-A491-3091612FA228}"/>
  <phoneticPr fontId="14" type="noConversion"/>
  <conditionalFormatting sqref="J154:J1048576 J1:J57 J60:J69">
    <cfRule type="duplicateValues" dxfId="6" priority="1"/>
  </conditionalFormatting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457200</xdr:colOff>
                    <xdr:row>12</xdr:row>
                    <xdr:rowOff>0</xdr:rowOff>
                  </from>
                  <to>
                    <xdr:col>15</xdr:col>
                    <xdr:colOff>400050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371475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5"/>
  <sheetViews>
    <sheetView workbookViewId="0">
      <selection activeCell="F36" sqref="F36"/>
    </sheetView>
  </sheetViews>
  <sheetFormatPr defaultRowHeight="15"/>
  <cols>
    <col min="1" max="1" width="21.42578125" bestFit="1" customWidth="1"/>
    <col min="2" max="2" width="15" bestFit="1" customWidth="1"/>
  </cols>
  <sheetData>
    <row r="1" spans="1:2">
      <c r="A1" s="81" t="s">
        <v>1295</v>
      </c>
      <c r="B1" s="81" t="s">
        <v>1296</v>
      </c>
    </row>
    <row r="2" spans="1:2">
      <c r="A2" s="49" t="s">
        <v>1297</v>
      </c>
      <c r="B2" s="37" t="str">
        <f ca="1">IF(COUNTIF('MatRes to be uploaded'!J:J, "Yes") &gt; 0, "Yes", "No")</f>
        <v>No</v>
      </c>
    </row>
    <row r="3" spans="1:2">
      <c r="A3" s="49" t="s">
        <v>1298</v>
      </c>
      <c r="B3" s="37" t="str">
        <f ca="1">IF(COUNTIF('MatRes to be deleted'!L:L, "Yes") &gt; 0, "Yes", "No")</f>
        <v>No</v>
      </c>
    </row>
    <row r="4" spans="1:2">
      <c r="A4" s="49" t="s">
        <v>1299</v>
      </c>
      <c r="B4" s="37">
        <v>5</v>
      </c>
    </row>
    <row r="5" spans="1:2">
      <c r="A5" s="49" t="s">
        <v>1300</v>
      </c>
      <c r="B5" s="37" t="s">
        <v>323</v>
      </c>
    </row>
  </sheetData>
  <phoneticPr fontId="14" type="noConversion"/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J33" sqref="J33"/>
    </sheetView>
  </sheetViews>
  <sheetFormatPr defaultRowHeight="15"/>
  <cols>
    <col min="1" max="1" width="14.140625" style="23" bestFit="1" customWidth="1"/>
  </cols>
  <sheetData>
    <row r="1" spans="1:1">
      <c r="A1" s="82" t="s">
        <v>145</v>
      </c>
    </row>
    <row r="2" spans="1:1">
      <c r="A2" s="82" t="s">
        <v>168</v>
      </c>
    </row>
    <row r="3" spans="1:1">
      <c r="A3" s="82" t="s">
        <v>205</v>
      </c>
    </row>
    <row r="4" spans="1:1">
      <c r="A4" s="82" t="s">
        <v>355</v>
      </c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42578125" customWidth="1" collapsed="1"/>
    <col min="4" max="4" width="25.42578125" customWidth="1" collapsed="1"/>
    <col min="5" max="5" width="12.42578125" customWidth="1" collapsed="1"/>
    <col min="6" max="6" width="19.42578125" style="2" customWidth="1" collapsed="1"/>
    <col min="7" max="7" width="11.5703125" customWidth="1" collapsed="1"/>
    <col min="8" max="8" width="16" style="2" customWidth="1" collapsed="1"/>
    <col min="9" max="9" width="18.5703125" customWidth="1" collapsed="1"/>
    <col min="10" max="10" width="18.5703125" style="1" customWidth="1" collapsed="1"/>
    <col min="11" max="11" width="20.5703125" style="2" bestFit="1" customWidth="1" collapsed="1"/>
  </cols>
  <sheetData>
    <row r="1" spans="1:12">
      <c r="A1" s="76" t="s">
        <v>126</v>
      </c>
      <c r="B1" s="80" t="s">
        <v>92</v>
      </c>
      <c r="C1" s="80" t="s">
        <v>4</v>
      </c>
      <c r="D1" s="76" t="s">
        <v>134</v>
      </c>
      <c r="E1" s="76" t="s">
        <v>128</v>
      </c>
      <c r="F1" s="79" t="s">
        <v>129</v>
      </c>
      <c r="G1" s="76" t="s">
        <v>98</v>
      </c>
      <c r="H1" s="79" t="s">
        <v>93</v>
      </c>
      <c r="I1" s="76" t="s">
        <v>130</v>
      </c>
      <c r="J1" s="80" t="s">
        <v>132</v>
      </c>
      <c r="K1" s="79" t="s">
        <v>8</v>
      </c>
      <c r="L1" t="s">
        <v>1301</v>
      </c>
    </row>
    <row r="2" spans="1:12">
      <c r="A2" s="20"/>
      <c r="B2" s="21"/>
      <c r="C2" s="21"/>
      <c r="D2" s="20"/>
      <c r="E2" s="20"/>
      <c r="F2" s="19"/>
      <c r="G2" s="20"/>
      <c r="H2" s="19"/>
      <c r="I2" s="20"/>
      <c r="J2" s="21"/>
      <c r="K2" s="19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197"/>
  <sheetViews>
    <sheetView workbookViewId="0"/>
  </sheetViews>
  <sheetFormatPr defaultRowHeight="15"/>
  <cols>
    <col min="1" max="1" width="9" bestFit="1" customWidth="1"/>
    <col min="2" max="2" width="4.7109375" bestFit="1" customWidth="1"/>
    <col min="3" max="3" width="8.140625" bestFit="1" customWidth="1"/>
    <col min="4" max="4" width="8.42578125" bestFit="1" customWidth="1"/>
  </cols>
  <sheetData>
    <row r="1" spans="1:4">
      <c r="A1" t="s">
        <v>147</v>
      </c>
      <c r="B1" t="s">
        <v>1302</v>
      </c>
      <c r="C1" t="s">
        <v>1303</v>
      </c>
      <c r="D1" t="s">
        <v>1293</v>
      </c>
    </row>
    <row r="2" spans="1:4">
      <c r="A2">
        <v>80703933</v>
      </c>
      <c r="B2" t="s">
        <v>1304</v>
      </c>
      <c r="C2">
        <v>10000</v>
      </c>
      <c r="D2">
        <v>20392</v>
      </c>
    </row>
    <row r="3" spans="1:4">
      <c r="A3">
        <v>80720217</v>
      </c>
      <c r="B3" t="s">
        <v>1304</v>
      </c>
      <c r="C3">
        <v>10000</v>
      </c>
      <c r="D3">
        <v>13594</v>
      </c>
    </row>
    <row r="4" spans="1:4">
      <c r="A4">
        <v>80720843</v>
      </c>
      <c r="B4" t="s">
        <v>1304</v>
      </c>
      <c r="C4">
        <v>10000</v>
      </c>
      <c r="D4">
        <v>7250</v>
      </c>
    </row>
    <row r="5" spans="1:4">
      <c r="A5">
        <v>80754072</v>
      </c>
      <c r="B5" t="s">
        <v>1304</v>
      </c>
      <c r="C5">
        <v>10000</v>
      </c>
      <c r="D5">
        <v>33986</v>
      </c>
    </row>
    <row r="6" spans="1:4">
      <c r="A6">
        <v>80754073</v>
      </c>
      <c r="B6" t="s">
        <v>1304</v>
      </c>
      <c r="C6">
        <v>10000</v>
      </c>
      <c r="D6">
        <v>18126</v>
      </c>
    </row>
    <row r="7" spans="1:4">
      <c r="A7">
        <v>80754074</v>
      </c>
      <c r="B7" t="s">
        <v>1304</v>
      </c>
      <c r="C7">
        <v>10000</v>
      </c>
      <c r="D7">
        <v>18126</v>
      </c>
    </row>
    <row r="8" spans="1:4">
      <c r="A8">
        <v>80754087</v>
      </c>
      <c r="B8" t="s">
        <v>1304</v>
      </c>
      <c r="C8">
        <v>10000</v>
      </c>
      <c r="D8">
        <v>33986</v>
      </c>
    </row>
    <row r="9" spans="1:4">
      <c r="A9">
        <v>80754088</v>
      </c>
      <c r="B9" t="s">
        <v>1304</v>
      </c>
      <c r="C9">
        <v>10000</v>
      </c>
      <c r="D9">
        <v>18126</v>
      </c>
    </row>
    <row r="10" spans="1:4">
      <c r="A10">
        <v>80754089</v>
      </c>
      <c r="B10" t="s">
        <v>1304</v>
      </c>
      <c r="C10">
        <v>10000</v>
      </c>
      <c r="D10">
        <v>18126</v>
      </c>
    </row>
    <row r="11" spans="1:4">
      <c r="A11">
        <v>80769094</v>
      </c>
      <c r="B11" t="s">
        <v>1304</v>
      </c>
      <c r="C11">
        <v>10000</v>
      </c>
      <c r="D11">
        <v>4532</v>
      </c>
    </row>
    <row r="12" spans="1:4">
      <c r="A12">
        <v>80773752</v>
      </c>
      <c r="B12" t="s">
        <v>1304</v>
      </c>
      <c r="C12">
        <v>10000</v>
      </c>
      <c r="D12">
        <v>21298</v>
      </c>
    </row>
    <row r="13" spans="1:4">
      <c r="A13">
        <v>80799279</v>
      </c>
      <c r="B13" t="s">
        <v>1304</v>
      </c>
      <c r="C13">
        <v>10000</v>
      </c>
      <c r="D13">
        <v>21298</v>
      </c>
    </row>
    <row r="14" spans="1:4">
      <c r="A14">
        <v>80812158</v>
      </c>
      <c r="B14" t="s">
        <v>1304</v>
      </c>
      <c r="C14">
        <v>10000</v>
      </c>
      <c r="D14">
        <v>18126</v>
      </c>
    </row>
    <row r="15" spans="1:4">
      <c r="A15">
        <v>80812159</v>
      </c>
      <c r="B15" t="s">
        <v>1304</v>
      </c>
      <c r="C15">
        <v>10000</v>
      </c>
      <c r="D15">
        <v>12447</v>
      </c>
    </row>
    <row r="16" spans="1:4">
      <c r="A16">
        <v>80812161</v>
      </c>
      <c r="B16" t="s">
        <v>1304</v>
      </c>
      <c r="C16">
        <v>10000</v>
      </c>
      <c r="D16">
        <v>18126</v>
      </c>
    </row>
    <row r="17" spans="1:4">
      <c r="A17">
        <v>80812162</v>
      </c>
      <c r="B17" t="s">
        <v>1304</v>
      </c>
      <c r="C17">
        <v>10000</v>
      </c>
      <c r="D17">
        <v>18126</v>
      </c>
    </row>
    <row r="18" spans="1:4">
      <c r="A18">
        <v>80812165</v>
      </c>
      <c r="B18" t="s">
        <v>1304</v>
      </c>
      <c r="C18">
        <v>10000</v>
      </c>
      <c r="D18">
        <v>18126</v>
      </c>
    </row>
    <row r="19" spans="1:4">
      <c r="A19">
        <v>80812166</v>
      </c>
      <c r="B19" t="s">
        <v>1304</v>
      </c>
      <c r="C19">
        <v>10000</v>
      </c>
      <c r="D19">
        <v>33986</v>
      </c>
    </row>
    <row r="20" spans="1:4">
      <c r="A20">
        <v>80812167</v>
      </c>
      <c r="B20" t="s">
        <v>1304</v>
      </c>
      <c r="C20">
        <v>10000</v>
      </c>
      <c r="D20">
        <v>33986</v>
      </c>
    </row>
    <row r="21" spans="1:4">
      <c r="A21">
        <v>80813608</v>
      </c>
      <c r="B21" t="s">
        <v>1304</v>
      </c>
      <c r="C21">
        <v>10000</v>
      </c>
      <c r="D21">
        <v>33986</v>
      </c>
    </row>
    <row r="22" spans="1:4">
      <c r="A22">
        <v>80813610</v>
      </c>
      <c r="B22" t="s">
        <v>1304</v>
      </c>
      <c r="C22">
        <v>10000</v>
      </c>
      <c r="D22">
        <v>18126</v>
      </c>
    </row>
    <row r="23" spans="1:4">
      <c r="A23">
        <v>80813615</v>
      </c>
      <c r="B23" t="s">
        <v>1304</v>
      </c>
      <c r="C23">
        <v>10000</v>
      </c>
      <c r="D23">
        <v>18126</v>
      </c>
    </row>
    <row r="24" spans="1:4">
      <c r="A24">
        <v>80813616</v>
      </c>
      <c r="B24" t="s">
        <v>1304</v>
      </c>
      <c r="C24">
        <v>10000</v>
      </c>
      <c r="D24">
        <v>22657</v>
      </c>
    </row>
    <row r="25" spans="1:4">
      <c r="A25">
        <v>80813617</v>
      </c>
      <c r="B25" t="s">
        <v>1304</v>
      </c>
      <c r="C25">
        <v>10000</v>
      </c>
      <c r="D25">
        <v>18126</v>
      </c>
    </row>
    <row r="26" spans="1:4">
      <c r="A26">
        <v>80813618</v>
      </c>
      <c r="B26" t="s">
        <v>1304</v>
      </c>
      <c r="C26">
        <v>10000</v>
      </c>
      <c r="D26">
        <v>33986</v>
      </c>
    </row>
    <row r="27" spans="1:4">
      <c r="A27">
        <v>80813619</v>
      </c>
      <c r="B27" t="s">
        <v>1304</v>
      </c>
      <c r="C27">
        <v>10000</v>
      </c>
      <c r="D27">
        <v>18126</v>
      </c>
    </row>
    <row r="28" spans="1:4">
      <c r="A28">
        <v>80813621</v>
      </c>
      <c r="B28" t="s">
        <v>1304</v>
      </c>
      <c r="C28">
        <v>10000</v>
      </c>
      <c r="D28">
        <v>18126</v>
      </c>
    </row>
    <row r="29" spans="1:4">
      <c r="A29">
        <v>80813622</v>
      </c>
      <c r="B29" t="s">
        <v>1304</v>
      </c>
      <c r="C29">
        <v>10000</v>
      </c>
      <c r="D29">
        <v>23986</v>
      </c>
    </row>
    <row r="30" spans="1:4">
      <c r="A30">
        <v>80813623</v>
      </c>
      <c r="B30" t="s">
        <v>1304</v>
      </c>
      <c r="C30">
        <v>10000</v>
      </c>
      <c r="D30">
        <v>17503</v>
      </c>
    </row>
    <row r="31" spans="1:4">
      <c r="A31">
        <v>80813625</v>
      </c>
      <c r="B31" t="s">
        <v>1304</v>
      </c>
      <c r="C31">
        <v>10000</v>
      </c>
      <c r="D31">
        <v>18126</v>
      </c>
    </row>
    <row r="32" spans="1:4">
      <c r="A32">
        <v>80813626</v>
      </c>
      <c r="B32" t="s">
        <v>1304</v>
      </c>
      <c r="C32">
        <v>10000</v>
      </c>
      <c r="D32">
        <v>33986</v>
      </c>
    </row>
    <row r="33" spans="1:4">
      <c r="A33">
        <v>80813628</v>
      </c>
      <c r="B33" t="s">
        <v>1304</v>
      </c>
      <c r="C33">
        <v>10000</v>
      </c>
      <c r="D33">
        <v>17503</v>
      </c>
    </row>
    <row r="34" spans="1:4">
      <c r="A34">
        <v>80813629</v>
      </c>
      <c r="B34" t="s">
        <v>1304</v>
      </c>
      <c r="C34">
        <v>10000</v>
      </c>
      <c r="D34">
        <v>18126</v>
      </c>
    </row>
    <row r="35" spans="1:4">
      <c r="A35">
        <v>80813630</v>
      </c>
      <c r="B35" t="s">
        <v>1304</v>
      </c>
      <c r="C35">
        <v>10000</v>
      </c>
      <c r="D35">
        <v>12447</v>
      </c>
    </row>
    <row r="36" spans="1:4">
      <c r="A36">
        <v>80813631</v>
      </c>
      <c r="B36" t="s">
        <v>1304</v>
      </c>
      <c r="C36">
        <v>10000</v>
      </c>
      <c r="D36">
        <v>18126</v>
      </c>
    </row>
    <row r="37" spans="1:4">
      <c r="A37">
        <v>80813632</v>
      </c>
      <c r="B37" t="s">
        <v>1304</v>
      </c>
      <c r="C37">
        <v>10000</v>
      </c>
      <c r="D37">
        <v>9335</v>
      </c>
    </row>
    <row r="38" spans="1:4">
      <c r="A38">
        <v>80813633</v>
      </c>
      <c r="B38" t="s">
        <v>1304</v>
      </c>
      <c r="C38">
        <v>10000</v>
      </c>
      <c r="D38">
        <v>12447</v>
      </c>
    </row>
    <row r="39" spans="1:4">
      <c r="A39">
        <v>80813634</v>
      </c>
      <c r="B39" t="s">
        <v>1304</v>
      </c>
      <c r="C39">
        <v>10000</v>
      </c>
      <c r="D39">
        <v>18126</v>
      </c>
    </row>
    <row r="40" spans="1:4">
      <c r="A40">
        <v>80813635</v>
      </c>
      <c r="B40" t="s">
        <v>1304</v>
      </c>
      <c r="C40">
        <v>10000</v>
      </c>
      <c r="D40">
        <v>33986</v>
      </c>
    </row>
    <row r="41" spans="1:4">
      <c r="A41">
        <v>80813636</v>
      </c>
      <c r="B41" t="s">
        <v>1304</v>
      </c>
      <c r="C41">
        <v>10000</v>
      </c>
      <c r="D41">
        <v>12447</v>
      </c>
    </row>
    <row r="42" spans="1:4">
      <c r="A42">
        <v>80813637</v>
      </c>
      <c r="B42" t="s">
        <v>1304</v>
      </c>
      <c r="C42">
        <v>10000</v>
      </c>
      <c r="D42">
        <v>18126</v>
      </c>
    </row>
    <row r="43" spans="1:4">
      <c r="A43">
        <v>80813638</v>
      </c>
      <c r="B43" t="s">
        <v>1304</v>
      </c>
      <c r="C43">
        <v>10000</v>
      </c>
      <c r="D43">
        <v>18126</v>
      </c>
    </row>
    <row r="44" spans="1:4">
      <c r="A44">
        <v>80813640</v>
      </c>
      <c r="B44" t="s">
        <v>1304</v>
      </c>
      <c r="C44">
        <v>10000</v>
      </c>
      <c r="D44">
        <v>17503</v>
      </c>
    </row>
    <row r="45" spans="1:4">
      <c r="A45">
        <v>80813641</v>
      </c>
      <c r="B45" t="s">
        <v>1304</v>
      </c>
      <c r="C45">
        <v>10000</v>
      </c>
      <c r="D45">
        <v>9335</v>
      </c>
    </row>
    <row r="46" spans="1:4">
      <c r="A46">
        <v>80813642</v>
      </c>
      <c r="B46" t="s">
        <v>1304</v>
      </c>
      <c r="C46">
        <v>10000</v>
      </c>
      <c r="D46">
        <v>12447</v>
      </c>
    </row>
    <row r="47" spans="1:4">
      <c r="A47">
        <v>80813644</v>
      </c>
      <c r="B47" t="s">
        <v>1304</v>
      </c>
      <c r="C47">
        <v>10000</v>
      </c>
      <c r="D47">
        <v>33986</v>
      </c>
    </row>
    <row r="48" spans="1:4">
      <c r="A48">
        <v>80814062</v>
      </c>
      <c r="B48" t="s">
        <v>1304</v>
      </c>
      <c r="C48">
        <v>10000</v>
      </c>
      <c r="D48">
        <v>18126</v>
      </c>
    </row>
    <row r="49" spans="1:4">
      <c r="A49">
        <v>80814068</v>
      </c>
      <c r="B49" t="s">
        <v>1304</v>
      </c>
      <c r="C49">
        <v>10000</v>
      </c>
      <c r="D49">
        <v>18126</v>
      </c>
    </row>
    <row r="50" spans="1:4">
      <c r="A50">
        <v>80814071</v>
      </c>
      <c r="B50" t="s">
        <v>1304</v>
      </c>
      <c r="C50">
        <v>10000</v>
      </c>
      <c r="D50">
        <v>27189</v>
      </c>
    </row>
    <row r="51" spans="1:4">
      <c r="A51">
        <v>80814072</v>
      </c>
      <c r="B51" t="s">
        <v>1304</v>
      </c>
      <c r="C51">
        <v>10000</v>
      </c>
      <c r="D51">
        <v>7250</v>
      </c>
    </row>
    <row r="52" spans="1:4">
      <c r="A52">
        <v>80814073</v>
      </c>
      <c r="B52" t="s">
        <v>1304</v>
      </c>
      <c r="C52">
        <v>10000</v>
      </c>
      <c r="D52">
        <v>7250</v>
      </c>
    </row>
    <row r="53" spans="1:4">
      <c r="A53">
        <v>80814074</v>
      </c>
      <c r="B53" t="s">
        <v>1304</v>
      </c>
      <c r="C53">
        <v>10000</v>
      </c>
      <c r="D53">
        <v>27189</v>
      </c>
    </row>
    <row r="54" spans="1:4">
      <c r="A54">
        <v>80814077</v>
      </c>
      <c r="B54" t="s">
        <v>1304</v>
      </c>
      <c r="C54">
        <v>10000</v>
      </c>
      <c r="D54">
        <v>18125</v>
      </c>
    </row>
    <row r="55" spans="1:4">
      <c r="A55">
        <v>80814081</v>
      </c>
      <c r="B55" t="s">
        <v>1304</v>
      </c>
      <c r="C55">
        <v>10000</v>
      </c>
      <c r="D55">
        <v>18125</v>
      </c>
    </row>
    <row r="56" spans="1:4">
      <c r="A56">
        <v>80814084</v>
      </c>
      <c r="B56" t="s">
        <v>1304</v>
      </c>
      <c r="C56">
        <v>10000</v>
      </c>
      <c r="D56">
        <v>9440</v>
      </c>
    </row>
    <row r="57" spans="1:4">
      <c r="A57">
        <v>80814085</v>
      </c>
      <c r="B57" t="s">
        <v>1304</v>
      </c>
      <c r="C57">
        <v>10000</v>
      </c>
      <c r="D57">
        <v>18125</v>
      </c>
    </row>
    <row r="58" spans="1:4">
      <c r="A58">
        <v>80814086</v>
      </c>
      <c r="B58" t="s">
        <v>1304</v>
      </c>
      <c r="C58">
        <v>10000</v>
      </c>
      <c r="D58">
        <v>18125</v>
      </c>
    </row>
    <row r="59" spans="1:4">
      <c r="A59">
        <v>80814088</v>
      </c>
      <c r="B59" t="s">
        <v>1304</v>
      </c>
      <c r="C59">
        <v>10000</v>
      </c>
      <c r="D59">
        <v>18125</v>
      </c>
    </row>
    <row r="60" spans="1:4">
      <c r="A60">
        <v>80814089</v>
      </c>
      <c r="B60" t="s">
        <v>1304</v>
      </c>
      <c r="C60">
        <v>10000</v>
      </c>
      <c r="D60">
        <v>18125</v>
      </c>
    </row>
    <row r="61" spans="1:4">
      <c r="A61">
        <v>80814091</v>
      </c>
      <c r="B61" t="s">
        <v>1304</v>
      </c>
      <c r="C61">
        <v>10000</v>
      </c>
      <c r="D61">
        <v>22657</v>
      </c>
    </row>
    <row r="62" spans="1:4">
      <c r="A62">
        <v>80814095</v>
      </c>
      <c r="B62" t="s">
        <v>1304</v>
      </c>
      <c r="C62">
        <v>10000</v>
      </c>
      <c r="D62">
        <v>22657</v>
      </c>
    </row>
    <row r="63" spans="1:4">
      <c r="A63">
        <v>80814096</v>
      </c>
      <c r="B63" t="s">
        <v>1304</v>
      </c>
      <c r="C63">
        <v>10000</v>
      </c>
      <c r="D63">
        <v>22657</v>
      </c>
    </row>
    <row r="64" spans="1:4">
      <c r="A64">
        <v>80814097</v>
      </c>
      <c r="B64" t="s">
        <v>1304</v>
      </c>
      <c r="C64">
        <v>10000</v>
      </c>
      <c r="D64">
        <v>18125</v>
      </c>
    </row>
    <row r="65" spans="1:4">
      <c r="A65">
        <v>80814098</v>
      </c>
      <c r="B65" t="s">
        <v>1304</v>
      </c>
      <c r="C65">
        <v>10000</v>
      </c>
      <c r="D65">
        <v>18125</v>
      </c>
    </row>
    <row r="66" spans="1:4">
      <c r="A66">
        <v>80815642</v>
      </c>
      <c r="B66" t="s">
        <v>1304</v>
      </c>
      <c r="C66">
        <v>10000</v>
      </c>
      <c r="D66">
        <v>19485</v>
      </c>
    </row>
    <row r="67" spans="1:4">
      <c r="A67">
        <v>80815643</v>
      </c>
      <c r="B67" t="s">
        <v>1304</v>
      </c>
      <c r="C67">
        <v>10000</v>
      </c>
      <c r="D67">
        <v>19485</v>
      </c>
    </row>
    <row r="68" spans="1:4">
      <c r="A68">
        <v>80815644</v>
      </c>
      <c r="B68" t="s">
        <v>1304</v>
      </c>
      <c r="C68">
        <v>10000</v>
      </c>
      <c r="D68">
        <v>19485</v>
      </c>
    </row>
    <row r="69" spans="1:4">
      <c r="A69">
        <v>80815645</v>
      </c>
      <c r="B69" t="s">
        <v>1304</v>
      </c>
      <c r="C69">
        <v>10000</v>
      </c>
      <c r="D69">
        <v>19485</v>
      </c>
    </row>
    <row r="70" spans="1:4">
      <c r="A70">
        <v>80815646</v>
      </c>
      <c r="B70" t="s">
        <v>1304</v>
      </c>
      <c r="C70">
        <v>10000</v>
      </c>
      <c r="D70">
        <v>19485</v>
      </c>
    </row>
    <row r="71" spans="1:4">
      <c r="A71">
        <v>80815647</v>
      </c>
      <c r="B71" t="s">
        <v>1304</v>
      </c>
      <c r="C71">
        <v>10000</v>
      </c>
      <c r="D71">
        <v>19485</v>
      </c>
    </row>
    <row r="72" spans="1:4">
      <c r="A72">
        <v>80815648</v>
      </c>
      <c r="B72" t="s">
        <v>1304</v>
      </c>
      <c r="C72">
        <v>10000</v>
      </c>
      <c r="D72">
        <v>19485</v>
      </c>
    </row>
    <row r="73" spans="1:4">
      <c r="A73">
        <v>80815649</v>
      </c>
      <c r="B73" t="s">
        <v>1304</v>
      </c>
      <c r="C73">
        <v>10000</v>
      </c>
      <c r="D73">
        <v>19485</v>
      </c>
    </row>
    <row r="74" spans="1:4">
      <c r="A74">
        <v>80817092</v>
      </c>
      <c r="B74" t="s">
        <v>1304</v>
      </c>
      <c r="C74">
        <v>10000</v>
      </c>
      <c r="D74">
        <v>26282</v>
      </c>
    </row>
    <row r="75" spans="1:4">
      <c r="A75">
        <v>80817094</v>
      </c>
      <c r="B75" t="s">
        <v>1304</v>
      </c>
      <c r="C75">
        <v>10000</v>
      </c>
      <c r="D75">
        <v>26282</v>
      </c>
    </row>
    <row r="76" spans="1:4">
      <c r="A76">
        <v>80818365</v>
      </c>
      <c r="B76" t="s">
        <v>1304</v>
      </c>
      <c r="C76">
        <v>10000</v>
      </c>
      <c r="D76">
        <v>4531</v>
      </c>
    </row>
    <row r="77" spans="1:4">
      <c r="A77">
        <v>80820455</v>
      </c>
      <c r="B77" t="s">
        <v>1304</v>
      </c>
      <c r="C77">
        <v>10000</v>
      </c>
      <c r="D77">
        <v>33986</v>
      </c>
    </row>
    <row r="78" spans="1:4">
      <c r="A78">
        <v>80820458</v>
      </c>
      <c r="B78" t="s">
        <v>1304</v>
      </c>
      <c r="C78">
        <v>10000</v>
      </c>
      <c r="D78">
        <v>33986</v>
      </c>
    </row>
    <row r="79" spans="1:4">
      <c r="A79">
        <v>80820459</v>
      </c>
      <c r="B79" t="s">
        <v>1304</v>
      </c>
      <c r="C79">
        <v>10000</v>
      </c>
      <c r="D79">
        <v>18126</v>
      </c>
    </row>
    <row r="80" spans="1:4">
      <c r="A80">
        <v>80820460</v>
      </c>
      <c r="B80" t="s">
        <v>1304</v>
      </c>
      <c r="C80">
        <v>10000</v>
      </c>
      <c r="D80">
        <v>18126</v>
      </c>
    </row>
    <row r="81" spans="1:4">
      <c r="A81">
        <v>80820462</v>
      </c>
      <c r="B81" t="s">
        <v>1304</v>
      </c>
      <c r="C81">
        <v>10000</v>
      </c>
      <c r="D81">
        <v>18126</v>
      </c>
    </row>
    <row r="82" spans="1:4">
      <c r="A82">
        <v>80820463</v>
      </c>
      <c r="B82" t="s">
        <v>1304</v>
      </c>
      <c r="C82">
        <v>10000</v>
      </c>
      <c r="D82">
        <v>33986</v>
      </c>
    </row>
    <row r="83" spans="1:4">
      <c r="A83">
        <v>80820464</v>
      </c>
      <c r="B83" t="s">
        <v>1304</v>
      </c>
      <c r="C83">
        <v>10000</v>
      </c>
      <c r="D83">
        <v>18126</v>
      </c>
    </row>
    <row r="84" spans="1:4">
      <c r="A84">
        <v>80820469</v>
      </c>
      <c r="B84" t="s">
        <v>1304</v>
      </c>
      <c r="C84">
        <v>10000</v>
      </c>
      <c r="D84">
        <v>18126</v>
      </c>
    </row>
    <row r="85" spans="1:4">
      <c r="A85">
        <v>80820470</v>
      </c>
      <c r="B85" t="s">
        <v>1304</v>
      </c>
      <c r="C85">
        <v>10000</v>
      </c>
      <c r="D85">
        <v>18126</v>
      </c>
    </row>
    <row r="86" spans="1:4">
      <c r="A86">
        <v>80820478</v>
      </c>
      <c r="B86" t="s">
        <v>1304</v>
      </c>
      <c r="C86">
        <v>10000</v>
      </c>
      <c r="D86">
        <v>33986</v>
      </c>
    </row>
    <row r="87" spans="1:4">
      <c r="A87">
        <v>80820490</v>
      </c>
      <c r="B87" t="s">
        <v>1304</v>
      </c>
      <c r="C87">
        <v>10000</v>
      </c>
      <c r="D87">
        <v>33986</v>
      </c>
    </row>
    <row r="88" spans="1:4">
      <c r="A88">
        <v>80823132</v>
      </c>
      <c r="B88" t="s">
        <v>1304</v>
      </c>
      <c r="C88">
        <v>10000</v>
      </c>
      <c r="D88">
        <v>27461</v>
      </c>
    </row>
    <row r="89" spans="1:4">
      <c r="A89">
        <v>80823133</v>
      </c>
      <c r="B89" t="s">
        <v>1304</v>
      </c>
      <c r="C89">
        <v>10000</v>
      </c>
      <c r="D89">
        <v>27461</v>
      </c>
    </row>
    <row r="90" spans="1:4">
      <c r="A90">
        <v>80823143</v>
      </c>
      <c r="B90" t="s">
        <v>1304</v>
      </c>
      <c r="C90">
        <v>10000</v>
      </c>
      <c r="D90">
        <v>12447</v>
      </c>
    </row>
    <row r="91" spans="1:4">
      <c r="A91">
        <v>80823372</v>
      </c>
      <c r="B91" t="s">
        <v>1304</v>
      </c>
      <c r="C91">
        <v>10000</v>
      </c>
      <c r="D91">
        <v>4532</v>
      </c>
    </row>
    <row r="92" spans="1:4">
      <c r="A92">
        <v>80823373</v>
      </c>
      <c r="B92" t="s">
        <v>1304</v>
      </c>
      <c r="C92">
        <v>10000</v>
      </c>
      <c r="D92">
        <v>9063</v>
      </c>
    </row>
    <row r="93" spans="1:4">
      <c r="A93">
        <v>80823374</v>
      </c>
      <c r="B93" t="s">
        <v>1304</v>
      </c>
      <c r="C93">
        <v>10000</v>
      </c>
      <c r="D93">
        <v>4532</v>
      </c>
    </row>
    <row r="94" spans="1:4">
      <c r="A94">
        <v>80823918</v>
      </c>
      <c r="B94" t="s">
        <v>1304</v>
      </c>
      <c r="C94">
        <v>10000</v>
      </c>
      <c r="D94">
        <v>9742</v>
      </c>
    </row>
    <row r="95" spans="1:4">
      <c r="A95">
        <v>80823944</v>
      </c>
      <c r="B95" t="s">
        <v>1304</v>
      </c>
      <c r="C95">
        <v>10000</v>
      </c>
      <c r="D95">
        <v>9063</v>
      </c>
    </row>
    <row r="96" spans="1:4">
      <c r="A96">
        <v>80829594</v>
      </c>
      <c r="B96" t="s">
        <v>1304</v>
      </c>
      <c r="C96">
        <v>10000</v>
      </c>
      <c r="D96">
        <v>33986</v>
      </c>
    </row>
    <row r="97" spans="1:4">
      <c r="A97">
        <v>80829597</v>
      </c>
      <c r="B97" t="s">
        <v>1304</v>
      </c>
      <c r="C97">
        <v>10000</v>
      </c>
      <c r="D97">
        <v>18126</v>
      </c>
    </row>
    <row r="98" spans="1:4">
      <c r="A98">
        <v>80829598</v>
      </c>
      <c r="B98" t="s">
        <v>1304</v>
      </c>
      <c r="C98">
        <v>10000</v>
      </c>
      <c r="D98">
        <v>18126</v>
      </c>
    </row>
    <row r="99" spans="1:4">
      <c r="A99">
        <v>80830276</v>
      </c>
      <c r="B99" t="s">
        <v>1304</v>
      </c>
      <c r="C99">
        <v>10000</v>
      </c>
      <c r="D99">
        <v>18126</v>
      </c>
    </row>
    <row r="100" spans="1:4">
      <c r="A100">
        <v>80830278</v>
      </c>
      <c r="B100" t="s">
        <v>1304</v>
      </c>
      <c r="C100">
        <v>10000</v>
      </c>
      <c r="D100">
        <v>21751</v>
      </c>
    </row>
    <row r="101" spans="1:4">
      <c r="A101">
        <v>80833447</v>
      </c>
      <c r="B101" t="s">
        <v>1304</v>
      </c>
      <c r="C101">
        <v>10000</v>
      </c>
      <c r="D101">
        <v>9063</v>
      </c>
    </row>
    <row r="102" spans="1:4">
      <c r="A102">
        <v>80833448</v>
      </c>
      <c r="B102" t="s">
        <v>1304</v>
      </c>
      <c r="C102">
        <v>10000</v>
      </c>
      <c r="D102">
        <v>4532</v>
      </c>
    </row>
    <row r="103" spans="1:4">
      <c r="A103">
        <v>80841215</v>
      </c>
      <c r="B103" t="s">
        <v>1304</v>
      </c>
      <c r="C103">
        <v>10000</v>
      </c>
      <c r="D103">
        <v>33986</v>
      </c>
    </row>
    <row r="104" spans="1:4">
      <c r="A104">
        <v>80841216</v>
      </c>
      <c r="B104" t="s">
        <v>1304</v>
      </c>
      <c r="C104">
        <v>10000</v>
      </c>
      <c r="D104">
        <v>33986</v>
      </c>
    </row>
    <row r="105" spans="1:4">
      <c r="A105">
        <v>80841217</v>
      </c>
      <c r="B105" t="s">
        <v>1304</v>
      </c>
      <c r="C105">
        <v>10000</v>
      </c>
      <c r="D105">
        <v>33986</v>
      </c>
    </row>
    <row r="106" spans="1:4">
      <c r="A106">
        <v>80841218</v>
      </c>
      <c r="B106" t="s">
        <v>1304</v>
      </c>
      <c r="C106">
        <v>10000</v>
      </c>
      <c r="D106">
        <v>33986</v>
      </c>
    </row>
    <row r="107" spans="1:4">
      <c r="A107">
        <v>80841219</v>
      </c>
      <c r="B107" t="s">
        <v>1304</v>
      </c>
      <c r="C107">
        <v>10000</v>
      </c>
      <c r="D107">
        <v>33986</v>
      </c>
    </row>
    <row r="108" spans="1:4">
      <c r="A108">
        <v>80841220</v>
      </c>
      <c r="B108" t="s">
        <v>1304</v>
      </c>
      <c r="C108">
        <v>10000</v>
      </c>
      <c r="D108">
        <v>33986</v>
      </c>
    </row>
    <row r="109" spans="1:4">
      <c r="A109">
        <v>80841221</v>
      </c>
      <c r="B109" t="s">
        <v>1304</v>
      </c>
      <c r="C109">
        <v>10000</v>
      </c>
      <c r="D109">
        <v>33986</v>
      </c>
    </row>
    <row r="110" spans="1:4">
      <c r="A110">
        <v>80841222</v>
      </c>
      <c r="B110" t="s">
        <v>1304</v>
      </c>
      <c r="C110">
        <v>10000</v>
      </c>
      <c r="D110">
        <v>33986</v>
      </c>
    </row>
    <row r="111" spans="1:4">
      <c r="A111">
        <v>80843705</v>
      </c>
      <c r="B111" t="s">
        <v>1304</v>
      </c>
      <c r="C111">
        <v>10000</v>
      </c>
      <c r="D111">
        <v>29454</v>
      </c>
    </row>
    <row r="112" spans="1:4">
      <c r="A112">
        <v>80843710</v>
      </c>
      <c r="B112" t="s">
        <v>1304</v>
      </c>
      <c r="C112">
        <v>10000</v>
      </c>
      <c r="D112">
        <v>29454</v>
      </c>
    </row>
    <row r="113" spans="1:4">
      <c r="A113">
        <v>80849337</v>
      </c>
      <c r="B113" t="s">
        <v>1304</v>
      </c>
      <c r="C113">
        <v>10000</v>
      </c>
      <c r="D113">
        <v>21298</v>
      </c>
    </row>
    <row r="114" spans="1:4">
      <c r="A114">
        <v>80854030</v>
      </c>
      <c r="B114" t="s">
        <v>1304</v>
      </c>
      <c r="C114">
        <v>10000</v>
      </c>
      <c r="D114">
        <v>8401</v>
      </c>
    </row>
    <row r="115" spans="1:4">
      <c r="A115">
        <v>80854034</v>
      </c>
      <c r="B115" t="s">
        <v>1304</v>
      </c>
      <c r="C115">
        <v>10000</v>
      </c>
      <c r="D115">
        <v>3734</v>
      </c>
    </row>
    <row r="116" spans="1:4">
      <c r="A116">
        <v>80854035</v>
      </c>
      <c r="B116" t="s">
        <v>1304</v>
      </c>
      <c r="C116">
        <v>10000</v>
      </c>
      <c r="D116">
        <v>6534</v>
      </c>
    </row>
    <row r="117" spans="1:4">
      <c r="A117">
        <v>80856843</v>
      </c>
      <c r="B117" t="s">
        <v>1304</v>
      </c>
      <c r="C117">
        <v>10000</v>
      </c>
      <c r="D117">
        <v>30361</v>
      </c>
    </row>
    <row r="118" spans="1:4">
      <c r="A118">
        <v>80857339</v>
      </c>
      <c r="B118" t="s">
        <v>1304</v>
      </c>
      <c r="C118">
        <v>10000</v>
      </c>
      <c r="D118">
        <v>23591</v>
      </c>
    </row>
    <row r="119" spans="1:4">
      <c r="A119">
        <v>80858361</v>
      </c>
      <c r="B119" t="s">
        <v>1304</v>
      </c>
      <c r="C119">
        <v>10000</v>
      </c>
      <c r="D119">
        <v>24596</v>
      </c>
    </row>
    <row r="120" spans="1:4">
      <c r="A120">
        <v>80859226</v>
      </c>
      <c r="B120" t="s">
        <v>1304</v>
      </c>
      <c r="C120">
        <v>10000</v>
      </c>
      <c r="D120">
        <v>15407</v>
      </c>
    </row>
    <row r="121" spans="1:4">
      <c r="A121">
        <v>80859227</v>
      </c>
      <c r="B121" t="s">
        <v>1304</v>
      </c>
      <c r="C121">
        <v>10000</v>
      </c>
      <c r="D121">
        <v>15407</v>
      </c>
    </row>
    <row r="122" spans="1:4">
      <c r="A122">
        <v>80859229</v>
      </c>
      <c r="B122" t="s">
        <v>1304</v>
      </c>
      <c r="C122">
        <v>10000</v>
      </c>
      <c r="D122">
        <v>33986</v>
      </c>
    </row>
    <row r="123" spans="1:4">
      <c r="A123">
        <v>80859230</v>
      </c>
      <c r="B123" t="s">
        <v>1304</v>
      </c>
      <c r="C123">
        <v>10000</v>
      </c>
      <c r="D123">
        <v>45315</v>
      </c>
    </row>
    <row r="124" spans="1:4">
      <c r="A124">
        <v>80859231</v>
      </c>
      <c r="B124" t="s">
        <v>1304</v>
      </c>
      <c r="C124">
        <v>10000</v>
      </c>
      <c r="D124">
        <v>33986</v>
      </c>
    </row>
    <row r="125" spans="1:4">
      <c r="A125">
        <v>80859232</v>
      </c>
      <c r="B125" t="s">
        <v>1304</v>
      </c>
      <c r="C125">
        <v>10000</v>
      </c>
      <c r="D125">
        <v>16313</v>
      </c>
    </row>
    <row r="126" spans="1:4">
      <c r="A126">
        <v>80859233</v>
      </c>
      <c r="B126" t="s">
        <v>1304</v>
      </c>
      <c r="C126">
        <v>10000</v>
      </c>
      <c r="D126">
        <v>16313</v>
      </c>
    </row>
    <row r="127" spans="1:4">
      <c r="A127">
        <v>80859235</v>
      </c>
      <c r="B127" t="s">
        <v>1304</v>
      </c>
      <c r="C127">
        <v>10000</v>
      </c>
      <c r="D127">
        <v>33986</v>
      </c>
    </row>
    <row r="128" spans="1:4">
      <c r="A128">
        <v>80859236</v>
      </c>
      <c r="B128" t="s">
        <v>1304</v>
      </c>
      <c r="C128">
        <v>10000</v>
      </c>
      <c r="D128">
        <v>16313</v>
      </c>
    </row>
    <row r="129" spans="1:4">
      <c r="A129">
        <v>80859237</v>
      </c>
      <c r="B129" t="s">
        <v>1304</v>
      </c>
      <c r="C129">
        <v>10000</v>
      </c>
      <c r="D129">
        <v>45315</v>
      </c>
    </row>
    <row r="130" spans="1:4">
      <c r="A130">
        <v>80859238</v>
      </c>
      <c r="B130" t="s">
        <v>1304</v>
      </c>
      <c r="C130">
        <v>10000</v>
      </c>
      <c r="D130">
        <v>15407</v>
      </c>
    </row>
    <row r="131" spans="1:4">
      <c r="A131">
        <v>80859239</v>
      </c>
      <c r="B131" t="s">
        <v>1304</v>
      </c>
      <c r="C131">
        <v>10000</v>
      </c>
      <c r="D131">
        <v>33986</v>
      </c>
    </row>
    <row r="132" spans="1:4">
      <c r="A132">
        <v>80859240</v>
      </c>
      <c r="B132" t="s">
        <v>1304</v>
      </c>
      <c r="C132">
        <v>10000</v>
      </c>
      <c r="D132">
        <v>15407</v>
      </c>
    </row>
    <row r="133" spans="1:4">
      <c r="A133">
        <v>80859241</v>
      </c>
      <c r="B133" t="s">
        <v>1304</v>
      </c>
      <c r="C133">
        <v>10000</v>
      </c>
      <c r="D133">
        <v>16313</v>
      </c>
    </row>
    <row r="134" spans="1:4">
      <c r="A134">
        <v>80859242</v>
      </c>
      <c r="B134" t="s">
        <v>1304</v>
      </c>
      <c r="C134">
        <v>10000</v>
      </c>
      <c r="D134">
        <v>15407</v>
      </c>
    </row>
    <row r="135" spans="1:4">
      <c r="A135">
        <v>80859243</v>
      </c>
      <c r="B135" t="s">
        <v>1304</v>
      </c>
      <c r="C135">
        <v>10000</v>
      </c>
      <c r="D135">
        <v>33986</v>
      </c>
    </row>
    <row r="136" spans="1:4">
      <c r="A136">
        <v>80859244</v>
      </c>
      <c r="B136" t="s">
        <v>1304</v>
      </c>
      <c r="C136">
        <v>10000</v>
      </c>
      <c r="D136">
        <v>16313</v>
      </c>
    </row>
    <row r="137" spans="1:4">
      <c r="A137">
        <v>80859245</v>
      </c>
      <c r="B137" t="s">
        <v>1304</v>
      </c>
      <c r="C137">
        <v>10000</v>
      </c>
      <c r="D137">
        <v>33986</v>
      </c>
    </row>
    <row r="138" spans="1:4">
      <c r="A138">
        <v>80859246</v>
      </c>
      <c r="B138" t="s">
        <v>1304</v>
      </c>
      <c r="C138">
        <v>10000</v>
      </c>
      <c r="D138">
        <v>16313</v>
      </c>
    </row>
    <row r="139" spans="1:4">
      <c r="A139">
        <v>80859248</v>
      </c>
      <c r="B139" t="s">
        <v>1304</v>
      </c>
      <c r="C139">
        <v>10000</v>
      </c>
      <c r="D139">
        <v>45315</v>
      </c>
    </row>
    <row r="140" spans="1:4">
      <c r="A140">
        <v>80859250</v>
      </c>
      <c r="B140" t="s">
        <v>1304</v>
      </c>
      <c r="C140">
        <v>10000</v>
      </c>
      <c r="D140">
        <v>15407</v>
      </c>
    </row>
    <row r="141" spans="1:4">
      <c r="A141">
        <v>80863691</v>
      </c>
      <c r="B141" t="s">
        <v>1304</v>
      </c>
      <c r="C141">
        <v>10000</v>
      </c>
      <c r="D141">
        <v>28095</v>
      </c>
    </row>
    <row r="142" spans="1:4">
      <c r="A142">
        <v>80863700</v>
      </c>
      <c r="B142" t="s">
        <v>1304</v>
      </c>
      <c r="C142">
        <v>10000</v>
      </c>
      <c r="D142">
        <v>20845</v>
      </c>
    </row>
    <row r="143" spans="1:4">
      <c r="A143">
        <v>80863706</v>
      </c>
      <c r="B143" t="s">
        <v>1304</v>
      </c>
      <c r="C143">
        <v>10000</v>
      </c>
      <c r="D143">
        <v>24470</v>
      </c>
    </row>
    <row r="144" spans="1:4">
      <c r="A144">
        <v>80863707</v>
      </c>
      <c r="B144" t="s">
        <v>1304</v>
      </c>
      <c r="C144">
        <v>10000</v>
      </c>
      <c r="D144">
        <v>24470</v>
      </c>
    </row>
    <row r="145" spans="1:4">
      <c r="A145">
        <v>80864120</v>
      </c>
      <c r="B145" t="s">
        <v>1304</v>
      </c>
      <c r="C145">
        <v>10000</v>
      </c>
      <c r="D145">
        <v>33986</v>
      </c>
    </row>
    <row r="146" spans="1:4">
      <c r="A146">
        <v>80864127</v>
      </c>
      <c r="B146" t="s">
        <v>1304</v>
      </c>
      <c r="C146">
        <v>10000</v>
      </c>
      <c r="D146">
        <v>15408</v>
      </c>
    </row>
    <row r="147" spans="1:4">
      <c r="A147">
        <v>80864131</v>
      </c>
      <c r="B147" t="s">
        <v>1304</v>
      </c>
      <c r="C147">
        <v>10000</v>
      </c>
      <c r="D147">
        <v>16314</v>
      </c>
    </row>
    <row r="148" spans="1:4">
      <c r="A148">
        <v>80864679</v>
      </c>
      <c r="B148" t="s">
        <v>1304</v>
      </c>
      <c r="C148">
        <v>10000</v>
      </c>
      <c r="D148">
        <v>18013</v>
      </c>
    </row>
    <row r="149" spans="1:4">
      <c r="A149">
        <v>80865244</v>
      </c>
      <c r="B149" t="s">
        <v>1304</v>
      </c>
      <c r="C149">
        <v>10000</v>
      </c>
      <c r="D149">
        <v>21298</v>
      </c>
    </row>
    <row r="150" spans="1:4">
      <c r="A150">
        <v>80865245</v>
      </c>
      <c r="B150" t="s">
        <v>1304</v>
      </c>
      <c r="C150">
        <v>10000</v>
      </c>
      <c r="D150">
        <v>21298</v>
      </c>
    </row>
    <row r="151" spans="1:4">
      <c r="A151">
        <v>80868678</v>
      </c>
      <c r="B151" t="s">
        <v>1304</v>
      </c>
      <c r="C151">
        <v>10000</v>
      </c>
      <c r="D151">
        <v>8401</v>
      </c>
    </row>
    <row r="152" spans="1:4">
      <c r="A152">
        <v>80868686</v>
      </c>
      <c r="B152" t="s">
        <v>1304</v>
      </c>
      <c r="C152">
        <v>10000</v>
      </c>
      <c r="D152">
        <v>21298</v>
      </c>
    </row>
    <row r="153" spans="1:4">
      <c r="A153">
        <v>80869249</v>
      </c>
      <c r="B153" t="s">
        <v>1304</v>
      </c>
      <c r="C153">
        <v>10000</v>
      </c>
      <c r="D153">
        <v>29455</v>
      </c>
    </row>
    <row r="154" spans="1:4">
      <c r="A154">
        <v>80869250</v>
      </c>
      <c r="B154" t="s">
        <v>1304</v>
      </c>
      <c r="C154">
        <v>10000</v>
      </c>
      <c r="D154">
        <v>33986</v>
      </c>
    </row>
    <row r="155" spans="1:4">
      <c r="A155">
        <v>80869252</v>
      </c>
      <c r="B155" t="s">
        <v>1304</v>
      </c>
      <c r="C155">
        <v>10000</v>
      </c>
      <c r="D155">
        <v>31720</v>
      </c>
    </row>
    <row r="156" spans="1:4">
      <c r="A156">
        <v>80869255</v>
      </c>
      <c r="B156" t="s">
        <v>1304</v>
      </c>
      <c r="C156">
        <v>10000</v>
      </c>
      <c r="D156">
        <v>29455</v>
      </c>
    </row>
    <row r="157" spans="1:4">
      <c r="A157">
        <v>80870884</v>
      </c>
      <c r="B157" t="s">
        <v>1304</v>
      </c>
      <c r="C157">
        <v>10000</v>
      </c>
      <c r="D157">
        <v>7250</v>
      </c>
    </row>
    <row r="158" spans="1:4">
      <c r="A158">
        <v>80879045</v>
      </c>
      <c r="B158" t="s">
        <v>1304</v>
      </c>
      <c r="C158">
        <v>10000</v>
      </c>
      <c r="D158">
        <v>25829</v>
      </c>
    </row>
    <row r="159" spans="1:4">
      <c r="A159">
        <v>80880191</v>
      </c>
      <c r="B159" t="s">
        <v>1304</v>
      </c>
      <c r="C159">
        <v>10000</v>
      </c>
      <c r="D159">
        <v>18126</v>
      </c>
    </row>
    <row r="160" spans="1:4">
      <c r="A160">
        <v>80880192</v>
      </c>
      <c r="B160" t="s">
        <v>1304</v>
      </c>
      <c r="C160">
        <v>10000</v>
      </c>
      <c r="D160">
        <v>33986</v>
      </c>
    </row>
    <row r="161" spans="1:4">
      <c r="A161">
        <v>80880193</v>
      </c>
      <c r="B161" t="s">
        <v>1304</v>
      </c>
      <c r="C161">
        <v>10000</v>
      </c>
      <c r="D161">
        <v>22657</v>
      </c>
    </row>
    <row r="162" spans="1:4">
      <c r="A162">
        <v>80880197</v>
      </c>
      <c r="B162" t="s">
        <v>1304</v>
      </c>
      <c r="C162">
        <v>10000</v>
      </c>
      <c r="D162">
        <v>18126</v>
      </c>
    </row>
    <row r="163" spans="1:4">
      <c r="A163">
        <v>80881081</v>
      </c>
      <c r="B163" t="s">
        <v>1304</v>
      </c>
      <c r="C163">
        <v>10000</v>
      </c>
      <c r="D163">
        <v>9335</v>
      </c>
    </row>
    <row r="164" spans="1:4">
      <c r="A164">
        <v>80881082</v>
      </c>
      <c r="B164" t="s">
        <v>1304</v>
      </c>
      <c r="C164">
        <v>10000</v>
      </c>
      <c r="D164">
        <v>9335</v>
      </c>
    </row>
    <row r="165" spans="1:4">
      <c r="A165">
        <v>80883592</v>
      </c>
      <c r="B165" t="s">
        <v>1304</v>
      </c>
      <c r="C165">
        <v>10000</v>
      </c>
      <c r="D165">
        <v>33986</v>
      </c>
    </row>
    <row r="166" spans="1:4">
      <c r="A166">
        <v>80883593</v>
      </c>
      <c r="B166" t="s">
        <v>1304</v>
      </c>
      <c r="C166">
        <v>10000</v>
      </c>
      <c r="D166">
        <v>27189</v>
      </c>
    </row>
    <row r="167" spans="1:4">
      <c r="A167">
        <v>80883596</v>
      </c>
      <c r="B167" t="s">
        <v>1304</v>
      </c>
      <c r="C167">
        <v>10000</v>
      </c>
      <c r="D167">
        <v>9335</v>
      </c>
    </row>
    <row r="168" spans="1:4">
      <c r="A168">
        <v>80883599</v>
      </c>
      <c r="B168" t="s">
        <v>1304</v>
      </c>
      <c r="C168">
        <v>10000</v>
      </c>
      <c r="D168">
        <v>18126</v>
      </c>
    </row>
    <row r="169" spans="1:4">
      <c r="A169">
        <v>80883600</v>
      </c>
      <c r="B169" t="s">
        <v>1304</v>
      </c>
      <c r="C169">
        <v>10000</v>
      </c>
      <c r="D169">
        <v>22657</v>
      </c>
    </row>
    <row r="170" spans="1:4">
      <c r="A170">
        <v>80883601</v>
      </c>
      <c r="B170" t="s">
        <v>1304</v>
      </c>
      <c r="C170">
        <v>10000</v>
      </c>
      <c r="D170">
        <v>27189</v>
      </c>
    </row>
    <row r="171" spans="1:4">
      <c r="A171">
        <v>80883602</v>
      </c>
      <c r="B171" t="s">
        <v>1304</v>
      </c>
      <c r="C171">
        <v>10000</v>
      </c>
      <c r="D171">
        <v>18126</v>
      </c>
    </row>
    <row r="172" spans="1:4">
      <c r="A172">
        <v>80883604</v>
      </c>
      <c r="B172" t="s">
        <v>1304</v>
      </c>
      <c r="C172">
        <v>10000</v>
      </c>
      <c r="D172">
        <v>9335</v>
      </c>
    </row>
    <row r="173" spans="1:4">
      <c r="A173">
        <v>80883611</v>
      </c>
      <c r="B173" t="s">
        <v>1304</v>
      </c>
      <c r="C173">
        <v>10000</v>
      </c>
      <c r="D173">
        <v>33986</v>
      </c>
    </row>
    <row r="174" spans="1:4">
      <c r="A174">
        <v>80883613</v>
      </c>
      <c r="B174" t="s">
        <v>1304</v>
      </c>
      <c r="C174">
        <v>10000</v>
      </c>
      <c r="D174">
        <v>18126</v>
      </c>
    </row>
    <row r="175" spans="1:4">
      <c r="A175">
        <v>80883614</v>
      </c>
      <c r="B175" t="s">
        <v>1304</v>
      </c>
      <c r="C175">
        <v>10000</v>
      </c>
      <c r="D175">
        <v>18126</v>
      </c>
    </row>
    <row r="176" spans="1:4">
      <c r="A176">
        <v>80883615</v>
      </c>
      <c r="B176" t="s">
        <v>1304</v>
      </c>
      <c r="C176">
        <v>10000</v>
      </c>
      <c r="D176">
        <v>33986</v>
      </c>
    </row>
    <row r="177" spans="1:4">
      <c r="A177">
        <v>80883616</v>
      </c>
      <c r="B177" t="s">
        <v>1304</v>
      </c>
      <c r="C177">
        <v>10000</v>
      </c>
      <c r="D177">
        <v>17503</v>
      </c>
    </row>
    <row r="178" spans="1:4">
      <c r="A178">
        <v>80883623</v>
      </c>
      <c r="B178" t="s">
        <v>1304</v>
      </c>
      <c r="C178">
        <v>10000</v>
      </c>
      <c r="D178">
        <v>22657</v>
      </c>
    </row>
    <row r="179" spans="1:4">
      <c r="A179">
        <v>80885097</v>
      </c>
      <c r="B179" t="s">
        <v>1304</v>
      </c>
      <c r="C179">
        <v>10000</v>
      </c>
      <c r="D179">
        <v>17853</v>
      </c>
    </row>
    <row r="180" spans="1:4">
      <c r="A180">
        <v>80885099</v>
      </c>
      <c r="B180" t="s">
        <v>1304</v>
      </c>
      <c r="C180">
        <v>10000</v>
      </c>
      <c r="D180">
        <v>12688</v>
      </c>
    </row>
    <row r="181" spans="1:4">
      <c r="A181">
        <v>80885100</v>
      </c>
      <c r="B181" t="s">
        <v>1304</v>
      </c>
      <c r="C181">
        <v>10000</v>
      </c>
      <c r="D181">
        <v>12688</v>
      </c>
    </row>
    <row r="182" spans="1:4">
      <c r="A182">
        <v>80885101</v>
      </c>
      <c r="B182" t="s">
        <v>1304</v>
      </c>
      <c r="C182">
        <v>10000</v>
      </c>
      <c r="D182">
        <v>17333</v>
      </c>
    </row>
    <row r="183" spans="1:4">
      <c r="A183">
        <v>80885103</v>
      </c>
      <c r="B183" t="s">
        <v>1304</v>
      </c>
      <c r="C183">
        <v>10000</v>
      </c>
      <c r="D183">
        <v>17333</v>
      </c>
    </row>
    <row r="184" spans="1:4">
      <c r="A184">
        <v>80885105</v>
      </c>
      <c r="B184" t="s">
        <v>1304</v>
      </c>
      <c r="C184">
        <v>10000</v>
      </c>
      <c r="D184">
        <v>17850</v>
      </c>
    </row>
    <row r="185" spans="1:4">
      <c r="A185">
        <v>80885108</v>
      </c>
      <c r="B185" t="s">
        <v>1304</v>
      </c>
      <c r="C185">
        <v>10000</v>
      </c>
      <c r="D185">
        <v>17333</v>
      </c>
    </row>
    <row r="186" spans="1:4">
      <c r="A186">
        <v>80887125</v>
      </c>
      <c r="B186" t="s">
        <v>1304</v>
      </c>
      <c r="C186">
        <v>10000</v>
      </c>
      <c r="D186">
        <v>19335</v>
      </c>
    </row>
    <row r="187" spans="1:4">
      <c r="A187">
        <v>80889182</v>
      </c>
      <c r="B187" t="s">
        <v>1304</v>
      </c>
      <c r="C187">
        <v>10000</v>
      </c>
      <c r="D187">
        <v>30361</v>
      </c>
    </row>
    <row r="188" spans="1:4">
      <c r="A188">
        <v>80889183</v>
      </c>
      <c r="B188" t="s">
        <v>1304</v>
      </c>
      <c r="C188">
        <v>10000</v>
      </c>
      <c r="D188">
        <v>30361</v>
      </c>
    </row>
    <row r="189" spans="1:4">
      <c r="A189">
        <v>80889184</v>
      </c>
      <c r="B189" t="s">
        <v>1304</v>
      </c>
      <c r="C189">
        <v>10000</v>
      </c>
      <c r="D189">
        <v>16313</v>
      </c>
    </row>
    <row r="190" spans="1:4">
      <c r="A190">
        <v>80889185</v>
      </c>
      <c r="B190" t="s">
        <v>1304</v>
      </c>
      <c r="C190">
        <v>10000</v>
      </c>
      <c r="D190">
        <v>16313</v>
      </c>
    </row>
    <row r="191" spans="1:4">
      <c r="A191">
        <v>80891917</v>
      </c>
      <c r="B191" t="s">
        <v>1304</v>
      </c>
      <c r="C191">
        <v>10000</v>
      </c>
      <c r="D191">
        <v>8157</v>
      </c>
    </row>
    <row r="192" spans="1:4">
      <c r="A192">
        <v>80893099</v>
      </c>
      <c r="B192" t="s">
        <v>1304</v>
      </c>
      <c r="C192">
        <v>10000</v>
      </c>
      <c r="D192">
        <v>22657</v>
      </c>
    </row>
    <row r="193" spans="1:4">
      <c r="A193">
        <v>80893119</v>
      </c>
      <c r="B193" t="s">
        <v>1304</v>
      </c>
      <c r="C193">
        <v>10000</v>
      </c>
      <c r="D193">
        <v>45316</v>
      </c>
    </row>
    <row r="194" spans="1:4">
      <c r="A194">
        <v>80895890</v>
      </c>
      <c r="B194" t="s">
        <v>1304</v>
      </c>
      <c r="C194">
        <v>10000</v>
      </c>
      <c r="D194">
        <v>12008</v>
      </c>
    </row>
    <row r="195" spans="1:4">
      <c r="A195">
        <v>83900169</v>
      </c>
      <c r="B195" t="s">
        <v>1304</v>
      </c>
      <c r="C195">
        <v>10000</v>
      </c>
      <c r="D195">
        <v>7250</v>
      </c>
    </row>
    <row r="196" spans="1:4">
      <c r="A196">
        <v>83900170</v>
      </c>
      <c r="B196" t="s">
        <v>1304</v>
      </c>
      <c r="C196">
        <v>10000</v>
      </c>
      <c r="D196">
        <v>30361</v>
      </c>
    </row>
    <row r="197" spans="1:4">
      <c r="A197">
        <v>83900171</v>
      </c>
      <c r="B197" t="s">
        <v>1304</v>
      </c>
      <c r="C197">
        <v>10000</v>
      </c>
      <c r="D197">
        <v>16313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1305</v>
      </c>
    </row>
    <row r="2" spans="1:1">
      <c r="A2" t="s">
        <v>1306</v>
      </c>
    </row>
    <row r="3" spans="1:1">
      <c r="A3" t="s">
        <v>1307</v>
      </c>
    </row>
    <row r="4" spans="1:1">
      <c r="A4" t="s">
        <v>1308</v>
      </c>
    </row>
    <row r="5" spans="1:1">
      <c r="A5" t="s">
        <v>1309</v>
      </c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22" t="s">
        <v>1310</v>
      </c>
      <c r="B1" s="22"/>
    </row>
    <row r="2" spans="1:2">
      <c r="A2" s="22" t="s">
        <v>1311</v>
      </c>
      <c r="B2" s="22">
        <v>108910816</v>
      </c>
    </row>
    <row r="3" spans="1:2">
      <c r="A3" s="22" t="s">
        <v>1312</v>
      </c>
      <c r="B3" s="22">
        <v>325622080</v>
      </c>
    </row>
    <row r="4" spans="1:2">
      <c r="A4" t="s">
        <v>1313</v>
      </c>
      <c r="B4">
        <v>3346618</v>
      </c>
    </row>
    <row r="5" spans="1:2">
      <c r="A5" t="s">
        <v>1314</v>
      </c>
      <c r="B5">
        <v>105250496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B4D4FC-43A9-4B52-A440-A709E66A4473}">
  <ds:schemaRefs>
    <ds:schemaRef ds:uri="http://schemas.microsoft.com/office/2006/metadata/properties"/>
    <ds:schemaRef ds:uri="http://schemas.microsoft.com/office/infopath/2007/PartnerControls"/>
    <ds:schemaRef ds:uri="6331da68-d61e-47bc-8126-513862253bd5"/>
    <ds:schemaRef ds:uri="a4d2d677-fbf5-45bb-b7ac-5028206c07e3"/>
  </ds:schemaRefs>
</ds:datastoreItem>
</file>

<file path=customXml/itemProps2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MatRes Record</vt:lpstr>
      <vt:lpstr>Summary</vt:lpstr>
      <vt:lpstr>Job Aid</vt:lpstr>
      <vt:lpstr>Follow up</vt:lpstr>
      <vt:lpstr>ManualSufactor</vt:lpstr>
      <vt:lpstr>MatRes</vt:lpstr>
      <vt:lpstr>Status</vt:lpstr>
      <vt:lpstr>Value format</vt:lpstr>
      <vt:lpstr>MatRes Past Due Template</vt:lpstr>
      <vt:lpstr>Sufactor</vt:lpstr>
      <vt:lpstr>OPL -hyy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2026-01-06T05:30:49Z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</Properties>
</file>